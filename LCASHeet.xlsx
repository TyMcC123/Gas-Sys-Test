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Test\"/>
    </mc:Choice>
  </mc:AlternateContent>
  <xr:revisionPtr revIDLastSave="0" documentId="8_{3B2B2D59-8D23-4085-B431-F59EF2E6DE95}" xr6:coauthVersionLast="47" xr6:coauthVersionMax="47" xr10:uidLastSave="{00000000-0000-0000-0000-000000000000}"/>
  <bookViews>
    <workbookView xWindow="2340" yWindow="1110" windowWidth="25095" windowHeight="15090" xr2:uid="{1CA52AE3-C2FC-40D5-8A08-C9239C6F8FDD}"/>
  </bookViews>
  <sheets>
    <sheet name="LC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[2]D!$D$100:$D$106</definedName>
    <definedName name="__123Graph_ACurrent" hidden="1">#REF!</definedName>
    <definedName name="__123Graph_X" hidden="1">[2]D!$C$100:$C$106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769</definedName>
    <definedName name="_AtRisk_SimSetting_ReportOptionReportsFileType" hidden="1">1</definedName>
    <definedName name="_AtRisk_SimSetting_ReportOptionSelectiveQR" hidden="1">FALSE</definedName>
    <definedName name="_AtRisk_SimSetting_ReportsList" hidden="1">769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oveSeal_Depth">'[3]Geo-Activity Interaction'!$E$35</definedName>
    <definedName name="AboveSeal_Depth_Units">'[3]Geo-Activity Interaction'!$F$35</definedName>
    <definedName name="afdsafds" hidden="1">#REF!</definedName>
    <definedName name="AGRType">[4]InputsAndConstants!$G$8</definedName>
    <definedName name="AS2DocOpenMode" hidden="1">"AS2DocumentEdit"</definedName>
    <definedName name="AuxLoadTot">[5]Performance!$F$19</definedName>
    <definedName name="BioFeedAR">[4]EQDesignParameters!$C$7</definedName>
    <definedName name="booster_count">'[6]User Interface'!$G$10</definedName>
    <definedName name="Capture">[4]InputsAndConstants!$G$12</definedName>
    <definedName name="CarbonReplacement">[4]EQDesignParameters!$C$237</definedName>
    <definedName name="CarbonVolume">[4]EQDesignParameters!$C$238</definedName>
    <definedName name="Case_Number">'[4]Model Interface'!$A$17</definedName>
    <definedName name="co2_density">'[6]User Interface'!$G$9</definedName>
    <definedName name="co2_flow_rate">'[6]User Interface'!$C$7</definedName>
    <definedName name="CO2Emissions">[4]Emissions!$F$11</definedName>
    <definedName name="CO2TSpertonne">#REF!</definedName>
    <definedName name="CoalFeedAR">[4]EQDesignParameters!$C$6</definedName>
    <definedName name="CoalPrice">'[7]COE Calc'!$O$6</definedName>
    <definedName name="CondDuty">[4]EQDesignParameters!$C$106</definedName>
    <definedName name="COSBedLife">[4]EQDesignParameters!$C$169</definedName>
    <definedName name="COSInitialFill">[4]EQDesignParameters!$C$168</definedName>
    <definedName name="CWFlow">[5]EQDesignParameters!$C$53</definedName>
    <definedName name="CWFlowVol">[5]EQDesignParameters!$C$54</definedName>
    <definedName name="CWRange">[5]EQDesignParameters!$C$51</definedName>
    <definedName name="d360.">'[3]Geol Sal'!$D$98</definedName>
    <definedName name="Dedicated">'[8]state coordinates'!#REF!</definedName>
    <definedName name="Drow">[9]InputsAndConstants!$C$12</definedName>
    <definedName name="Engineer_Rate">[3]Activity_Inputs!$E$10</definedName>
    <definedName name="Engineer_Rate_Units">[3]Activity_Inputs!$F$10</definedName>
    <definedName name="fadsfasdf" hidden="1">#REF!</definedName>
    <definedName name="fds" hidden="1">#REF!</definedName>
    <definedName name="fdsaaa" hidden="1">#REF!</definedName>
    <definedName name="Field_Rate">[3]Activity_Inputs!$E$12</definedName>
    <definedName name="Field_Rate_Units">[3]Activity_Inputs!$F$12</definedName>
    <definedName name="Frow">[9]InputsAndConstants!$C$7</definedName>
    <definedName name="fsdafs" hidden="1">#REF!</definedName>
    <definedName name="Geologist_Rate">[3]Activity_Inputs!$E$9</definedName>
    <definedName name="Geologist_Rate_Units">[3]Activity_Inputs!$F$9</definedName>
    <definedName name="graphic">INDIRECT('[8]Input Output Interface'!$C$10)</definedName>
    <definedName name="GrossPower">[5]Performance!$F$7</definedName>
    <definedName name="Groundwater_Depth">'[3]Geo-Activity Interaction'!$E$36</definedName>
    <definedName name="Groundwater_Depth_Units">'[3]Geo-Activity Interaction'!$F$36</definedName>
    <definedName name="HClNaOHFlow">[4]EQDesignParameters!$C$374</definedName>
    <definedName name="HgEmissions">[4]InputsAndConstants!$C$63</definedName>
    <definedName name="hp2kW">[4]InputsAndConstants!$G$56</definedName>
    <definedName name="HRSGDuty">[5]EQDesignParameters!$C$25</definedName>
    <definedName name="infrastructure">'[8]Input Output Interface'!$C$10</definedName>
    <definedName name="Injection_Depth">'[3]Geo-Activity Interaction'!$E$32</definedName>
    <definedName name="Injection_Depth_Units">'[3]Geo-Activity Interaction'!$F$32</definedName>
    <definedName name="InReservoir_Depth">'[3]Geo-Activity Interaction'!$E$34</definedName>
    <definedName name="InReservoir_Depth_Units">'[3]Geo-Activity Interaction'!$F$34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_PL">'[10]Eng Mod'!$D$16</definedName>
    <definedName name="Landman_Rate">[3]Activity_Inputs!$E$11</definedName>
    <definedName name="Landman_Rate_Units">[3]Activity_Inputs!$F$11</definedName>
    <definedName name="Len_PL_U">'[10]Eng Mod'!$E$16</definedName>
    <definedName name="lookup_coll">[3]FR_Lookups!#REF!</definedName>
    <definedName name="lookup_locfee">[3]FR_Lookups!#REF!</definedName>
    <definedName name="maintenance_cycle_yrs">'[6]User Interface'!$C$11</definedName>
    <definedName name="MDEAInitialFill">[4]EQDesignParameters!$C$282</definedName>
    <definedName name="MDEAMakeupRate">[4]EQDesignParameters!$C$283</definedName>
    <definedName name="ModlData">[5]ModelData!$C$4:$G$35</definedName>
    <definedName name="MUWWTC">[5]EQDesignParameters!$C$234</definedName>
    <definedName name="Mytable">#REF!</definedName>
    <definedName name="n_pumps">'[10]Eng Mod'!$D$22</definedName>
    <definedName name="NaturalGasPrice">'[7]COE Calc'!$O$7</definedName>
    <definedName name="NetPlantEff">[5]Performance!$C$15</definedName>
    <definedName name="NetPower">[5]Performance!$F$20</definedName>
    <definedName name="NomATWACC">#REF!</definedName>
    <definedName name="NomCRF">#REF!</definedName>
    <definedName name="NonFCR">#REF!</definedName>
    <definedName name="NOxEmissions">[4]Emissions!$F$7</definedName>
    <definedName name="P_in">'[10]Eng Mod'!$D$17</definedName>
    <definedName name="P_out">'[10]Eng Mod'!$D$18</definedName>
    <definedName name="picture">INDIRECT('[8]Input Output Interface'!$J$23)</definedName>
    <definedName name="pipeline">INDIRECT('[8]Input Output Interface'!$J$23)</definedName>
    <definedName name="pipeline_diameter">'[6]User Interface'!$G$6</definedName>
    <definedName name="pipeline_dist">'[6]User Interface'!$C$6</definedName>
    <definedName name="pipeline_EF">#REF!</definedName>
    <definedName name="pipeline_graphic">INDIRECT('[8]Input Output Interface'!$C$10:$E$10)</definedName>
    <definedName name="pipeline_steel_mass">'[6]User Interface'!$G$7</definedName>
    <definedName name="PL_d">'[10]Eng Mod'!$G$54</definedName>
    <definedName name="PMEmissions">[4]Emissions!$F$8</definedName>
    <definedName name="PowerCO2Comp">[4]Performance!$F$20</definedName>
    <definedName name="Pr_units">'[10]Eng Mod'!$E$17</definedName>
    <definedName name="ProcessDischarge">[5]MassBalances!$Q$37</definedName>
    <definedName name="ProcessParametersB5B">#REF!</definedName>
    <definedName name="ProcessParametersB5BQ">#REF!</definedName>
    <definedName name="ProcessParametersCase5">#REF!</definedName>
    <definedName name="ProcessParametersCase6">#REF!</definedName>
    <definedName name="ProcessParametersMax">#REF!</definedName>
    <definedName name="ProcessParametersShellxTorr">#REF!</definedName>
    <definedName name="pump_power">'[10]Eng Mod'!$D$67</definedName>
    <definedName name="pump_power_factor">'[6]User Interface'!$G$8</definedName>
    <definedName name="RawWatConsump">[5]MassBalances!$S$37</definedName>
    <definedName name="RawWatMakeup">[5]MassBalances!$O$37</definedName>
    <definedName name="RealATWACC">#REF!</definedName>
    <definedName name="RealCRF">#REF!</definedName>
    <definedName name="RealFCR">[7]FinancialFactors!$C$22</definedName>
    <definedName name="RealTASC_3yr">[7]FinancialFactors!$C$40</definedName>
    <definedName name="RealTASC_5yr">[7]FinancialFactors!$C$42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ex1stgInitialFIll">[4]EQDesignParameters!$C$307</definedName>
    <definedName name="Selex1stgMakeupRate">[4]EQDesignParameters!$C$308</definedName>
    <definedName name="SelexInitFill">[4]EQDesignParameters!$C$316</definedName>
    <definedName name="SelexMakeupRate">[4]EQDesignParameters!$C$317</definedName>
    <definedName name="SFrow">[4]InputsAndConstants!$C$8</definedName>
    <definedName name="SGCDuty1">[4]EQDesignParameters!$C$354</definedName>
    <definedName name="SGCDuty2">[4]EQDesignParameters!$C$361</definedName>
    <definedName name="SO2Emissions">[4]Emissions!$F$6</definedName>
    <definedName name="steel_GWP">'[6]User Interface'!$C$8</definedName>
    <definedName name="STPower">[4]Performance!$F$6</definedName>
    <definedName name="Strat_Depth">'[3]Geo-Activity Interaction'!$E$31</definedName>
    <definedName name="Strat_Depth_Units">'[3]Geo-Activity Interaction'!$F$31</definedName>
    <definedName name="StrmData">[9]StreamTable!$A$3:$CI$68</definedName>
    <definedName name="SulfinolInitialFIll">[4]EQDesignParameters!$C$296</definedName>
    <definedName name="SulfinolMakeupRate">[4]EQDesignParameters!$C$297</definedName>
    <definedName name="T_Pipeline">'[10]Eng Mod'!$D$13</definedName>
    <definedName name="T_Pipeline_U">'[10]Eng Mod'!$E$13</definedName>
    <definedName name="TASC_NGCC">'[7]COE Calc'!$P$3</definedName>
    <definedName name="TASC_PCIGCC">'[7]COE Calc'!$P$4</definedName>
    <definedName name="TEGMakeRate">[4]EQDesignParameters!$C$323</definedName>
    <definedName name="ThermalInput">[5]Performance!$C$21</definedName>
    <definedName name="tons2lb">[4]InputsAndConstants!$G$66</definedName>
    <definedName name="TotalCarbonFill">[4]EQDesignParameters!$C$236</definedName>
    <definedName name="Trunkline">'[8]state coordinates'!#REF!</definedName>
    <definedName name="VACFLOWgpm">[4]EQDesignParameters!$C$380</definedName>
    <definedName name="VadoseZone_Depth">'[3]Geo-Activity Interaction'!$E$37</definedName>
    <definedName name="VadoseZone_Depth_Units">'[3]Geo-Activity Interaction'!$F$37</definedName>
    <definedName name="WaterDisposal_Depth">'[3]Geo-Activity Interaction'!$E$40</definedName>
    <definedName name="WaterDisposal_Depth_Units">'[3]Geo-Activity Interaction'!$F$40</definedName>
    <definedName name="WaterProduction_Depth">'[3]Geo-Activity Interaction'!$E$39</definedName>
    <definedName name="WaterProduction_Depth_Units">'[3]Geo-Activity Interaction'!$F$39</definedName>
    <definedName name="WGSInitialFill">[4]EQDesignParameters!$C$181</definedName>
    <definedName name="WGSMakeup">[4]EQDesignParameters!$C$183</definedName>
    <definedName name="ZLDH2SO4Flow">[4]EQDesignParameters!$C$377</definedName>
    <definedName name="ZLDSolids">[4]EQDesignParameters!$C$390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147" i="1" l="1"/>
  <c r="S3147" i="1" s="1"/>
  <c r="M3147" i="1"/>
  <c r="R3147" i="1" s="1"/>
  <c r="L3147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W3145" i="1"/>
  <c r="V3145" i="1"/>
  <c r="U3145" i="1"/>
  <c r="T3145" i="1"/>
  <c r="Q3145" i="1"/>
  <c r="N3145" i="1"/>
  <c r="M3145" i="1"/>
  <c r="R3145" i="1" s="1"/>
  <c r="L3145" i="1"/>
  <c r="W3144" i="1"/>
  <c r="V3144" i="1"/>
  <c r="U3144" i="1"/>
  <c r="N3144" i="1"/>
  <c r="S3144" i="1" s="1"/>
  <c r="M3144" i="1"/>
  <c r="L3144" i="1"/>
  <c r="W3143" i="1"/>
  <c r="V3143" i="1"/>
  <c r="U3143" i="1"/>
  <c r="T3143" i="1"/>
  <c r="Q3143" i="1"/>
  <c r="N3143" i="1"/>
  <c r="M3143" i="1"/>
  <c r="L3143" i="1"/>
  <c r="S3142" i="1"/>
  <c r="Q3142" i="1"/>
  <c r="P3142" i="1"/>
  <c r="O3142" i="1"/>
  <c r="N3142" i="1"/>
  <c r="M3142" i="1"/>
  <c r="R3142" i="1" s="1"/>
  <c r="L3142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W3140" i="1"/>
  <c r="V3140" i="1"/>
  <c r="U3140" i="1"/>
  <c r="T3140" i="1"/>
  <c r="R3140" i="1"/>
  <c r="Q3140" i="1"/>
  <c r="P3140" i="1"/>
  <c r="N3140" i="1"/>
  <c r="S3140" i="1" s="1"/>
  <c r="M3140" i="1"/>
  <c r="L3140" i="1"/>
  <c r="N3139" i="1"/>
  <c r="S3139" i="1" s="1"/>
  <c r="M3139" i="1"/>
  <c r="L3139" i="1"/>
  <c r="W3138" i="1"/>
  <c r="V3138" i="1"/>
  <c r="U3138" i="1"/>
  <c r="T3138" i="1"/>
  <c r="S3138" i="1"/>
  <c r="R3138" i="1"/>
  <c r="Q3138" i="1"/>
  <c r="O3138" i="1"/>
  <c r="N3138" i="1"/>
  <c r="M3138" i="1"/>
  <c r="P3138" i="1" s="1"/>
  <c r="L3138" i="1"/>
  <c r="N3137" i="1"/>
  <c r="S3137" i="1" s="1"/>
  <c r="M3137" i="1"/>
  <c r="R3137" i="1" s="1"/>
  <c r="L3137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W3135" i="1"/>
  <c r="V3135" i="1"/>
  <c r="U3135" i="1"/>
  <c r="T3135" i="1"/>
  <c r="Q3135" i="1"/>
  <c r="N3135" i="1"/>
  <c r="M3135" i="1"/>
  <c r="L3135" i="1"/>
  <c r="N3134" i="1"/>
  <c r="M3134" i="1"/>
  <c r="L3134" i="1"/>
  <c r="W3133" i="1"/>
  <c r="V3133" i="1"/>
  <c r="U3133" i="1"/>
  <c r="T3133" i="1"/>
  <c r="Q3133" i="1"/>
  <c r="N3133" i="1"/>
  <c r="M3133" i="1"/>
  <c r="L3133" i="1"/>
  <c r="S3132" i="1"/>
  <c r="R3132" i="1"/>
  <c r="Q3132" i="1"/>
  <c r="P3132" i="1"/>
  <c r="O3132" i="1"/>
  <c r="N3132" i="1"/>
  <c r="M3132" i="1"/>
  <c r="L3132" i="1"/>
  <c r="W3131" i="1"/>
  <c r="V3131" i="1"/>
  <c r="U3131" i="1"/>
  <c r="T3131" i="1"/>
  <c r="S3131" i="1"/>
  <c r="R3131" i="1"/>
  <c r="Q3131" i="1"/>
  <c r="P3131" i="1"/>
  <c r="N3131" i="1"/>
  <c r="O3131" i="1" s="1"/>
  <c r="M3131" i="1"/>
  <c r="L3131" i="1"/>
  <c r="W3130" i="1"/>
  <c r="V3130" i="1"/>
  <c r="U3130" i="1"/>
  <c r="T3130" i="1"/>
  <c r="S3130" i="1"/>
  <c r="R3130" i="1"/>
  <c r="Q3130" i="1"/>
  <c r="N3130" i="1"/>
  <c r="O3130" i="1" s="1"/>
  <c r="M3130" i="1"/>
  <c r="P3130" i="1" s="1"/>
  <c r="L3130" i="1"/>
  <c r="N3129" i="1"/>
  <c r="S3129" i="1" s="1"/>
  <c r="M3129" i="1"/>
  <c r="L3129" i="1"/>
  <c r="W3128" i="1"/>
  <c r="V3128" i="1"/>
  <c r="U3128" i="1"/>
  <c r="T3128" i="1"/>
  <c r="R3128" i="1"/>
  <c r="Q3128" i="1"/>
  <c r="N3128" i="1"/>
  <c r="O3128" i="1" s="1"/>
  <c r="M3128" i="1"/>
  <c r="P3128" i="1" s="1"/>
  <c r="L3128" i="1"/>
  <c r="S3127" i="1"/>
  <c r="N3127" i="1"/>
  <c r="O3127" i="1" s="1"/>
  <c r="M3127" i="1"/>
  <c r="R3127" i="1" s="1"/>
  <c r="L3127" i="1"/>
  <c r="W3126" i="1"/>
  <c r="V3126" i="1"/>
  <c r="U3126" i="1"/>
  <c r="T3126" i="1"/>
  <c r="S3126" i="1"/>
  <c r="R3126" i="1"/>
  <c r="Q3126" i="1"/>
  <c r="P3126" i="1"/>
  <c r="N3126" i="1"/>
  <c r="O3126" i="1" s="1"/>
  <c r="M3126" i="1"/>
  <c r="L3126" i="1"/>
  <c r="W3125" i="1"/>
  <c r="V3125" i="1"/>
  <c r="U3125" i="1"/>
  <c r="T3125" i="1"/>
  <c r="Q3125" i="1"/>
  <c r="N3125" i="1"/>
  <c r="M3125" i="1"/>
  <c r="L3125" i="1"/>
  <c r="N3124" i="1"/>
  <c r="M3124" i="1"/>
  <c r="L3124" i="1"/>
  <c r="W3123" i="1"/>
  <c r="V3123" i="1"/>
  <c r="U3123" i="1"/>
  <c r="T3123" i="1"/>
  <c r="Q3123" i="1"/>
  <c r="O3123" i="1"/>
  <c r="N3123" i="1"/>
  <c r="S3123" i="1" s="1"/>
  <c r="M3123" i="1"/>
  <c r="P3123" i="1" s="1"/>
  <c r="L3123" i="1"/>
  <c r="R3122" i="1"/>
  <c r="Q3122" i="1"/>
  <c r="P3122" i="1"/>
  <c r="N3122" i="1"/>
  <c r="S3122" i="1" s="1"/>
  <c r="M3122" i="1"/>
  <c r="L3122" i="1"/>
  <c r="W3121" i="1"/>
  <c r="V3121" i="1"/>
  <c r="U3121" i="1"/>
  <c r="T3121" i="1"/>
  <c r="S3121" i="1"/>
  <c r="R3121" i="1"/>
  <c r="Q3121" i="1"/>
  <c r="P3121" i="1"/>
  <c r="N3121" i="1"/>
  <c r="O3121" i="1" s="1"/>
  <c r="M3121" i="1"/>
  <c r="L3121" i="1"/>
  <c r="W3120" i="1"/>
  <c r="V3120" i="1"/>
  <c r="U3120" i="1"/>
  <c r="T3120" i="1"/>
  <c r="S3120" i="1"/>
  <c r="R3120" i="1"/>
  <c r="Q3120" i="1"/>
  <c r="P3120" i="1"/>
  <c r="N3120" i="1"/>
  <c r="O3120" i="1" s="1"/>
  <c r="M3120" i="1"/>
  <c r="L3120" i="1"/>
  <c r="W3119" i="1"/>
  <c r="O3119" i="1"/>
  <c r="N3119" i="1"/>
  <c r="S3119" i="1" s="1"/>
  <c r="M3119" i="1"/>
  <c r="L3119" i="1"/>
  <c r="W3118" i="1"/>
  <c r="V3118" i="1"/>
  <c r="U3118" i="1"/>
  <c r="T3118" i="1"/>
  <c r="S3118" i="1"/>
  <c r="Q3118" i="1"/>
  <c r="P3118" i="1"/>
  <c r="O3118" i="1"/>
  <c r="N3118" i="1"/>
  <c r="M3118" i="1"/>
  <c r="R3118" i="1" s="1"/>
  <c r="L3118" i="1"/>
  <c r="S3117" i="1"/>
  <c r="R3117" i="1"/>
  <c r="O3117" i="1"/>
  <c r="N3117" i="1"/>
  <c r="M3117" i="1"/>
  <c r="P3117" i="1" s="1"/>
  <c r="L3117" i="1"/>
  <c r="W3116" i="1"/>
  <c r="V3116" i="1"/>
  <c r="U3116" i="1"/>
  <c r="T3116" i="1"/>
  <c r="S3116" i="1"/>
  <c r="R3116" i="1"/>
  <c r="Q3116" i="1"/>
  <c r="P3116" i="1"/>
  <c r="N3116" i="1"/>
  <c r="O3116" i="1" s="1"/>
  <c r="M3116" i="1"/>
  <c r="L3116" i="1"/>
  <c r="N3115" i="1"/>
  <c r="M3115" i="1"/>
  <c r="L3115" i="1"/>
  <c r="W3114" i="1"/>
  <c r="V3114" i="1"/>
  <c r="U3114" i="1"/>
  <c r="N3114" i="1"/>
  <c r="M3114" i="1"/>
  <c r="L3114" i="1"/>
  <c r="W3113" i="1"/>
  <c r="V3113" i="1"/>
  <c r="U3113" i="1"/>
  <c r="T3113" i="1"/>
  <c r="Q3113" i="1"/>
  <c r="N3113" i="1"/>
  <c r="S3113" i="1" s="1"/>
  <c r="M3113" i="1"/>
  <c r="L3113" i="1"/>
  <c r="Q3112" i="1"/>
  <c r="N3112" i="1"/>
  <c r="M3112" i="1"/>
  <c r="L3112" i="1"/>
  <c r="W3111" i="1"/>
  <c r="V3111" i="1"/>
  <c r="U3111" i="1"/>
  <c r="T3111" i="1"/>
  <c r="S3111" i="1"/>
  <c r="R3111" i="1"/>
  <c r="Q3111" i="1"/>
  <c r="P3111" i="1"/>
  <c r="N3111" i="1"/>
  <c r="O3111" i="1" s="1"/>
  <c r="M3111" i="1"/>
  <c r="L3111" i="1"/>
  <c r="P3110" i="1"/>
  <c r="N3110" i="1"/>
  <c r="M3110" i="1"/>
  <c r="R3110" i="1" s="1"/>
  <c r="L3110" i="1"/>
  <c r="W3109" i="1"/>
  <c r="O3109" i="1"/>
  <c r="N3109" i="1"/>
  <c r="S3109" i="1" s="1"/>
  <c r="M3109" i="1"/>
  <c r="L3109" i="1"/>
  <c r="W3108" i="1"/>
  <c r="V3108" i="1"/>
  <c r="U3108" i="1"/>
  <c r="T3108" i="1"/>
  <c r="S3108" i="1"/>
  <c r="Q3108" i="1"/>
  <c r="O3108" i="1"/>
  <c r="N3108" i="1"/>
  <c r="M3108" i="1"/>
  <c r="L3108" i="1"/>
  <c r="S3107" i="1"/>
  <c r="R3107" i="1"/>
  <c r="O3107" i="1"/>
  <c r="N3107" i="1"/>
  <c r="M3107" i="1"/>
  <c r="P3107" i="1" s="1"/>
  <c r="L3107" i="1"/>
  <c r="W3106" i="1"/>
  <c r="V3106" i="1"/>
  <c r="U3106" i="1"/>
  <c r="T3106" i="1"/>
  <c r="S3106" i="1"/>
  <c r="R3106" i="1"/>
  <c r="Q3106" i="1"/>
  <c r="P3106" i="1"/>
  <c r="N3106" i="1"/>
  <c r="O3106" i="1" s="1"/>
  <c r="M3106" i="1"/>
  <c r="L3106" i="1"/>
  <c r="V3105" i="1"/>
  <c r="N3105" i="1"/>
  <c r="M3105" i="1"/>
  <c r="L3105" i="1"/>
  <c r="W3104" i="1"/>
  <c r="V3104" i="1"/>
  <c r="U3104" i="1"/>
  <c r="O3104" i="1"/>
  <c r="N3104" i="1"/>
  <c r="S3104" i="1" s="1"/>
  <c r="M3104" i="1"/>
  <c r="L3104" i="1"/>
  <c r="W3103" i="1"/>
  <c r="V3103" i="1"/>
  <c r="U3103" i="1"/>
  <c r="T3103" i="1"/>
  <c r="Q3103" i="1"/>
  <c r="N3103" i="1"/>
  <c r="S3103" i="1" s="1"/>
  <c r="M3103" i="1"/>
  <c r="L3103" i="1"/>
  <c r="S3102" i="1"/>
  <c r="R3102" i="1"/>
  <c r="Q3102" i="1"/>
  <c r="P3102" i="1"/>
  <c r="O3102" i="1"/>
  <c r="N3102" i="1"/>
  <c r="M3102" i="1"/>
  <c r="L3102" i="1"/>
  <c r="W3101" i="1"/>
  <c r="V3101" i="1"/>
  <c r="U3101" i="1"/>
  <c r="T3101" i="1"/>
  <c r="S3101" i="1"/>
  <c r="R3101" i="1"/>
  <c r="Q3101" i="1"/>
  <c r="P3101" i="1"/>
  <c r="N3101" i="1"/>
  <c r="O3101" i="1" s="1"/>
  <c r="M3101" i="1"/>
  <c r="L3101" i="1"/>
  <c r="W3100" i="1"/>
  <c r="V3100" i="1"/>
  <c r="U3100" i="1"/>
  <c r="T3100" i="1"/>
  <c r="S3100" i="1"/>
  <c r="R3100" i="1"/>
  <c r="O3100" i="1"/>
  <c r="N3100" i="1"/>
  <c r="M3100" i="1"/>
  <c r="P3100" i="1" s="1"/>
  <c r="L3100" i="1"/>
  <c r="Q3100" i="1" s="1"/>
  <c r="W3099" i="1"/>
  <c r="O3099" i="1"/>
  <c r="N3099" i="1"/>
  <c r="S3099" i="1" s="1"/>
  <c r="M3099" i="1"/>
  <c r="L3099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S3097" i="1"/>
  <c r="R3097" i="1"/>
  <c r="O3097" i="1"/>
  <c r="N3097" i="1"/>
  <c r="M3097" i="1"/>
  <c r="P3097" i="1" s="1"/>
  <c r="L3097" i="1"/>
  <c r="W3096" i="1"/>
  <c r="V3096" i="1"/>
  <c r="U3096" i="1"/>
  <c r="T3096" i="1"/>
  <c r="S3096" i="1"/>
  <c r="R3096" i="1"/>
  <c r="Q3096" i="1"/>
  <c r="P3096" i="1"/>
  <c r="N3096" i="1"/>
  <c r="O3096" i="1" s="1"/>
  <c r="M3096" i="1"/>
  <c r="L3096" i="1"/>
  <c r="U3095" i="1"/>
  <c r="N3095" i="1"/>
  <c r="M3095" i="1"/>
  <c r="L3095" i="1"/>
  <c r="W3094" i="1"/>
  <c r="V3094" i="1"/>
  <c r="U3094" i="1"/>
  <c r="O3094" i="1"/>
  <c r="N3094" i="1"/>
  <c r="S3094" i="1" s="1"/>
  <c r="M3094" i="1"/>
  <c r="L3094" i="1"/>
  <c r="W3093" i="1"/>
  <c r="V3093" i="1"/>
  <c r="U3093" i="1"/>
  <c r="T3093" i="1"/>
  <c r="Q3093" i="1"/>
  <c r="N3093" i="1"/>
  <c r="S3093" i="1" s="1"/>
  <c r="M3093" i="1"/>
  <c r="L3093" i="1"/>
  <c r="R3092" i="1"/>
  <c r="N3092" i="1"/>
  <c r="S3092" i="1" s="1"/>
  <c r="M3092" i="1"/>
  <c r="P3092" i="1" s="1"/>
  <c r="L3092" i="1"/>
  <c r="W3091" i="1"/>
  <c r="V3091" i="1"/>
  <c r="U3091" i="1"/>
  <c r="T3091" i="1"/>
  <c r="S3091" i="1"/>
  <c r="R3091" i="1"/>
  <c r="Q3091" i="1"/>
  <c r="P3091" i="1"/>
  <c r="N3091" i="1"/>
  <c r="O3091" i="1" s="1"/>
  <c r="M3091" i="1"/>
  <c r="L3091" i="1"/>
  <c r="U3090" i="1"/>
  <c r="R3090" i="1"/>
  <c r="P3090" i="1"/>
  <c r="O3090" i="1"/>
  <c r="N3090" i="1"/>
  <c r="S3090" i="1" s="1"/>
  <c r="M3090" i="1"/>
  <c r="L3090" i="1"/>
  <c r="W3090" i="1" s="1"/>
  <c r="W3089" i="1"/>
  <c r="O3089" i="1"/>
  <c r="N3089" i="1"/>
  <c r="S3089" i="1" s="1"/>
  <c r="M3089" i="1"/>
  <c r="L3089" i="1"/>
  <c r="W3088" i="1"/>
  <c r="V3088" i="1"/>
  <c r="U3088" i="1"/>
  <c r="T3088" i="1"/>
  <c r="Q3088" i="1"/>
  <c r="N3088" i="1"/>
  <c r="S3088" i="1" s="1"/>
  <c r="M3088" i="1"/>
  <c r="L3088" i="1"/>
  <c r="S3087" i="1"/>
  <c r="R3087" i="1"/>
  <c r="O3087" i="1"/>
  <c r="N3087" i="1"/>
  <c r="M3087" i="1"/>
  <c r="P3087" i="1" s="1"/>
  <c r="L3087" i="1"/>
  <c r="W3086" i="1"/>
  <c r="V3086" i="1"/>
  <c r="U3086" i="1"/>
  <c r="T3086" i="1"/>
  <c r="S3086" i="1"/>
  <c r="R3086" i="1"/>
  <c r="Q3086" i="1"/>
  <c r="P3086" i="1"/>
  <c r="N3086" i="1"/>
  <c r="O3086" i="1" s="1"/>
  <c r="M3086" i="1"/>
  <c r="L3086" i="1"/>
  <c r="V3085" i="1"/>
  <c r="U3085" i="1"/>
  <c r="N3085" i="1"/>
  <c r="M3085" i="1"/>
  <c r="L3085" i="1"/>
  <c r="U3084" i="1"/>
  <c r="N3084" i="1"/>
  <c r="S3084" i="1" s="1"/>
  <c r="M3084" i="1"/>
  <c r="L3084" i="1"/>
  <c r="W3083" i="1"/>
  <c r="V3083" i="1"/>
  <c r="U3083" i="1"/>
  <c r="T3083" i="1"/>
  <c r="Q3083" i="1"/>
  <c r="N3083" i="1"/>
  <c r="S3083" i="1" s="1"/>
  <c r="M3083" i="1"/>
  <c r="L3083" i="1"/>
  <c r="S3082" i="1"/>
  <c r="R3082" i="1"/>
  <c r="O3082" i="1"/>
  <c r="N3082" i="1"/>
  <c r="M3082" i="1"/>
  <c r="P3082" i="1" s="1"/>
  <c r="L3082" i="1"/>
  <c r="W3081" i="1"/>
  <c r="V3081" i="1"/>
  <c r="U3081" i="1"/>
  <c r="T3081" i="1"/>
  <c r="S3081" i="1"/>
  <c r="R3081" i="1"/>
  <c r="Q3081" i="1"/>
  <c r="P3081" i="1"/>
  <c r="N3081" i="1"/>
  <c r="O3081" i="1" s="1"/>
  <c r="M3081" i="1"/>
  <c r="L3081" i="1"/>
  <c r="V3080" i="1"/>
  <c r="U3080" i="1"/>
  <c r="T3080" i="1"/>
  <c r="N3080" i="1"/>
  <c r="S3080" i="1" s="1"/>
  <c r="M3080" i="1"/>
  <c r="L3080" i="1"/>
  <c r="W3079" i="1"/>
  <c r="O3079" i="1"/>
  <c r="N3079" i="1"/>
  <c r="S3079" i="1" s="1"/>
  <c r="M3079" i="1"/>
  <c r="L3079" i="1"/>
  <c r="W3078" i="1"/>
  <c r="V3078" i="1"/>
  <c r="U3078" i="1"/>
  <c r="T3078" i="1"/>
  <c r="S3078" i="1"/>
  <c r="R3078" i="1"/>
  <c r="Q3078" i="1"/>
  <c r="O3078" i="1"/>
  <c r="N3078" i="1"/>
  <c r="M3078" i="1"/>
  <c r="P3078" i="1" s="1"/>
  <c r="L3078" i="1"/>
  <c r="S3077" i="1"/>
  <c r="R3077" i="1"/>
  <c r="O3077" i="1"/>
  <c r="N3077" i="1"/>
  <c r="M3077" i="1"/>
  <c r="P3077" i="1" s="1"/>
  <c r="L3077" i="1"/>
  <c r="W3076" i="1"/>
  <c r="V3076" i="1"/>
  <c r="U3076" i="1"/>
  <c r="T3076" i="1"/>
  <c r="S3076" i="1"/>
  <c r="R3076" i="1"/>
  <c r="Q3076" i="1"/>
  <c r="P3076" i="1"/>
  <c r="N3076" i="1"/>
  <c r="O3076" i="1" s="1"/>
  <c r="M3076" i="1"/>
  <c r="L3076" i="1"/>
  <c r="U3075" i="1"/>
  <c r="N3075" i="1"/>
  <c r="M3075" i="1"/>
  <c r="L3075" i="1"/>
  <c r="W3074" i="1"/>
  <c r="V3074" i="1"/>
  <c r="N3074" i="1"/>
  <c r="M3074" i="1"/>
  <c r="L3074" i="1"/>
  <c r="W3073" i="1"/>
  <c r="V3073" i="1"/>
  <c r="U3073" i="1"/>
  <c r="T3073" i="1"/>
  <c r="Q3073" i="1"/>
  <c r="N3073" i="1"/>
  <c r="S3073" i="1" s="1"/>
  <c r="M3073" i="1"/>
  <c r="L3073" i="1"/>
  <c r="Q3072" i="1"/>
  <c r="O3072" i="1"/>
  <c r="N3072" i="1"/>
  <c r="S3072" i="1" s="1"/>
  <c r="M3072" i="1"/>
  <c r="L3072" i="1"/>
  <c r="W3071" i="1"/>
  <c r="V3071" i="1"/>
  <c r="U3071" i="1"/>
  <c r="T3071" i="1"/>
  <c r="S3071" i="1"/>
  <c r="R3071" i="1"/>
  <c r="Q3071" i="1"/>
  <c r="P3071" i="1"/>
  <c r="N3071" i="1"/>
  <c r="O3071" i="1" s="1"/>
  <c r="M3071" i="1"/>
  <c r="L3071" i="1"/>
  <c r="W3070" i="1"/>
  <c r="V3070" i="1"/>
  <c r="U3070" i="1"/>
  <c r="T3070" i="1"/>
  <c r="S3070" i="1"/>
  <c r="R3070" i="1"/>
  <c r="Q3070" i="1"/>
  <c r="P3070" i="1"/>
  <c r="N3070" i="1"/>
  <c r="O3070" i="1" s="1"/>
  <c r="M3070" i="1"/>
  <c r="L3070" i="1"/>
  <c r="W3069" i="1"/>
  <c r="O3069" i="1"/>
  <c r="N3069" i="1"/>
  <c r="S3069" i="1" s="1"/>
  <c r="M3069" i="1"/>
  <c r="L3069" i="1"/>
  <c r="W3068" i="1"/>
  <c r="V3068" i="1"/>
  <c r="U3068" i="1"/>
  <c r="T3068" i="1"/>
  <c r="Q3068" i="1"/>
  <c r="N3068" i="1"/>
  <c r="S3068" i="1" s="1"/>
  <c r="M3068" i="1"/>
  <c r="L3068" i="1"/>
  <c r="S3067" i="1"/>
  <c r="R3067" i="1"/>
  <c r="O3067" i="1"/>
  <c r="N3067" i="1"/>
  <c r="M3067" i="1"/>
  <c r="P3067" i="1" s="1"/>
  <c r="L3067" i="1"/>
  <c r="W3066" i="1"/>
  <c r="V3066" i="1"/>
  <c r="U3066" i="1"/>
  <c r="T3066" i="1"/>
  <c r="S3066" i="1"/>
  <c r="R3066" i="1"/>
  <c r="Q3066" i="1"/>
  <c r="P3066" i="1"/>
  <c r="N3066" i="1"/>
  <c r="O3066" i="1" s="1"/>
  <c r="M3066" i="1"/>
  <c r="L3066" i="1"/>
  <c r="W3065" i="1"/>
  <c r="V3065" i="1"/>
  <c r="N3065" i="1"/>
  <c r="M3065" i="1"/>
  <c r="L3065" i="1"/>
  <c r="V3064" i="1"/>
  <c r="U3064" i="1"/>
  <c r="N3064" i="1"/>
  <c r="S3064" i="1" s="1"/>
  <c r="M3064" i="1"/>
  <c r="L3064" i="1"/>
  <c r="W3063" i="1"/>
  <c r="V3063" i="1"/>
  <c r="U3063" i="1"/>
  <c r="T3063" i="1"/>
  <c r="Q3063" i="1"/>
  <c r="N3063" i="1"/>
  <c r="S3063" i="1" s="1"/>
  <c r="M3063" i="1"/>
  <c r="L3063" i="1"/>
  <c r="S3062" i="1"/>
  <c r="P3062" i="1"/>
  <c r="O3062" i="1"/>
  <c r="N3062" i="1"/>
  <c r="M3062" i="1"/>
  <c r="R3062" i="1" s="1"/>
  <c r="L3062" i="1"/>
  <c r="W3061" i="1"/>
  <c r="V3061" i="1"/>
  <c r="U3061" i="1"/>
  <c r="T3061" i="1"/>
  <c r="S3061" i="1"/>
  <c r="R3061" i="1"/>
  <c r="Q3061" i="1"/>
  <c r="P3061" i="1"/>
  <c r="N3061" i="1"/>
  <c r="O3061" i="1" s="1"/>
  <c r="M3061" i="1"/>
  <c r="L3061" i="1"/>
  <c r="V3060" i="1"/>
  <c r="S3060" i="1"/>
  <c r="N3060" i="1"/>
  <c r="O3060" i="1" s="1"/>
  <c r="M3060" i="1"/>
  <c r="L3060" i="1"/>
  <c r="O3059" i="1"/>
  <c r="N3059" i="1"/>
  <c r="S3059" i="1" s="1"/>
  <c r="M3059" i="1"/>
  <c r="L3059" i="1"/>
  <c r="W3058" i="1"/>
  <c r="V3058" i="1"/>
  <c r="U3058" i="1"/>
  <c r="T3058" i="1"/>
  <c r="S3058" i="1"/>
  <c r="Q3058" i="1"/>
  <c r="P3058" i="1"/>
  <c r="O3058" i="1"/>
  <c r="N3058" i="1"/>
  <c r="M3058" i="1"/>
  <c r="R3058" i="1" s="1"/>
  <c r="L3058" i="1"/>
  <c r="S3057" i="1"/>
  <c r="R3057" i="1"/>
  <c r="O3057" i="1"/>
  <c r="N3057" i="1"/>
  <c r="M3057" i="1"/>
  <c r="P3057" i="1" s="1"/>
  <c r="L3057" i="1"/>
  <c r="W3056" i="1"/>
  <c r="V3056" i="1"/>
  <c r="U3056" i="1"/>
  <c r="T3056" i="1"/>
  <c r="S3056" i="1"/>
  <c r="R3056" i="1"/>
  <c r="Q3056" i="1"/>
  <c r="P3056" i="1"/>
  <c r="N3056" i="1"/>
  <c r="O3056" i="1" s="1"/>
  <c r="M3056" i="1"/>
  <c r="L3056" i="1"/>
  <c r="P3055" i="1"/>
  <c r="N3055" i="1"/>
  <c r="M3055" i="1"/>
  <c r="R3055" i="1" s="1"/>
  <c r="L3055" i="1"/>
  <c r="U3054" i="1"/>
  <c r="N3054" i="1"/>
  <c r="S3054" i="1" s="1"/>
  <c r="M3054" i="1"/>
  <c r="L3054" i="1"/>
  <c r="W3053" i="1"/>
  <c r="V3053" i="1"/>
  <c r="U3053" i="1"/>
  <c r="T3053" i="1"/>
  <c r="Q3053" i="1"/>
  <c r="N3053" i="1"/>
  <c r="S3053" i="1" s="1"/>
  <c r="M3053" i="1"/>
  <c r="L3053" i="1"/>
  <c r="S3052" i="1"/>
  <c r="R3052" i="1"/>
  <c r="O3052" i="1"/>
  <c r="N3052" i="1"/>
  <c r="M3052" i="1"/>
  <c r="P3052" i="1" s="1"/>
  <c r="L3052" i="1"/>
  <c r="W3051" i="1"/>
  <c r="V3051" i="1"/>
  <c r="U3051" i="1"/>
  <c r="T3051" i="1"/>
  <c r="S3051" i="1"/>
  <c r="R3051" i="1"/>
  <c r="Q3051" i="1"/>
  <c r="P3051" i="1"/>
  <c r="N3051" i="1"/>
  <c r="O3051" i="1" s="1"/>
  <c r="M3051" i="1"/>
  <c r="L3051" i="1"/>
  <c r="P3050" i="1"/>
  <c r="O3050" i="1"/>
  <c r="N3050" i="1"/>
  <c r="S3050" i="1" s="1"/>
  <c r="M3050" i="1"/>
  <c r="R3050" i="1" s="1"/>
  <c r="L3050" i="1"/>
  <c r="W3049" i="1"/>
  <c r="O3049" i="1"/>
  <c r="N3049" i="1"/>
  <c r="S3049" i="1" s="1"/>
  <c r="M3049" i="1"/>
  <c r="L3049" i="1"/>
  <c r="W3048" i="1"/>
  <c r="V3048" i="1"/>
  <c r="U3048" i="1"/>
  <c r="T3048" i="1"/>
  <c r="S3048" i="1"/>
  <c r="Q3048" i="1"/>
  <c r="O3048" i="1"/>
  <c r="N3048" i="1"/>
  <c r="M3048" i="1"/>
  <c r="P3048" i="1" s="1"/>
  <c r="L3048" i="1"/>
  <c r="S3047" i="1"/>
  <c r="R3047" i="1"/>
  <c r="O3047" i="1"/>
  <c r="N3047" i="1"/>
  <c r="M3047" i="1"/>
  <c r="P3047" i="1" s="1"/>
  <c r="L3047" i="1"/>
  <c r="W3046" i="1"/>
  <c r="V3046" i="1"/>
  <c r="U3046" i="1"/>
  <c r="T3046" i="1"/>
  <c r="S3046" i="1"/>
  <c r="R3046" i="1"/>
  <c r="Q3046" i="1"/>
  <c r="P3046" i="1"/>
  <c r="N3046" i="1"/>
  <c r="O3046" i="1" s="1"/>
  <c r="M3046" i="1"/>
  <c r="L3046" i="1"/>
  <c r="W3045" i="1"/>
  <c r="V3045" i="1"/>
  <c r="U3045" i="1"/>
  <c r="O3045" i="1"/>
  <c r="N3045" i="1"/>
  <c r="S3045" i="1" s="1"/>
  <c r="M3045" i="1"/>
  <c r="L3045" i="1"/>
  <c r="V3044" i="1"/>
  <c r="N3044" i="1"/>
  <c r="S3044" i="1" s="1"/>
  <c r="M3044" i="1"/>
  <c r="L3044" i="1"/>
  <c r="W3043" i="1"/>
  <c r="V3043" i="1"/>
  <c r="U3043" i="1"/>
  <c r="T3043" i="1"/>
  <c r="Q3043" i="1"/>
  <c r="N3043" i="1"/>
  <c r="M3043" i="1"/>
  <c r="L3043" i="1"/>
  <c r="R3042" i="1"/>
  <c r="Q3042" i="1"/>
  <c r="N3042" i="1"/>
  <c r="M3042" i="1"/>
  <c r="P3042" i="1" s="1"/>
  <c r="L3042" i="1"/>
  <c r="W3041" i="1"/>
  <c r="V3041" i="1"/>
  <c r="U3041" i="1"/>
  <c r="T3041" i="1"/>
  <c r="S3041" i="1"/>
  <c r="R3041" i="1"/>
  <c r="Q3041" i="1"/>
  <c r="P3041" i="1"/>
  <c r="N3041" i="1"/>
  <c r="O3041" i="1" s="1"/>
  <c r="M3041" i="1"/>
  <c r="L3041" i="1"/>
  <c r="N3040" i="1"/>
  <c r="S3040" i="1" s="1"/>
  <c r="M3040" i="1"/>
  <c r="R3040" i="1" s="1"/>
  <c r="L3040" i="1"/>
  <c r="W3040" i="1" s="1"/>
  <c r="W3039" i="1"/>
  <c r="O3039" i="1"/>
  <c r="N3039" i="1"/>
  <c r="S3039" i="1" s="1"/>
  <c r="M3039" i="1"/>
  <c r="L3039" i="1"/>
  <c r="W3038" i="1"/>
  <c r="V3038" i="1"/>
  <c r="U3038" i="1"/>
  <c r="T3038" i="1"/>
  <c r="R3038" i="1"/>
  <c r="Q3038" i="1"/>
  <c r="N3038" i="1"/>
  <c r="O3038" i="1" s="1"/>
  <c r="M3038" i="1"/>
  <c r="P3038" i="1" s="1"/>
  <c r="L3038" i="1"/>
  <c r="S3037" i="1"/>
  <c r="O3037" i="1"/>
  <c r="N3037" i="1"/>
  <c r="M3037" i="1"/>
  <c r="L3037" i="1"/>
  <c r="W3036" i="1"/>
  <c r="V3036" i="1"/>
  <c r="U3036" i="1"/>
  <c r="T3036" i="1"/>
  <c r="S3036" i="1"/>
  <c r="R3036" i="1"/>
  <c r="Q3036" i="1"/>
  <c r="P3036" i="1"/>
  <c r="N3036" i="1"/>
  <c r="O3036" i="1" s="1"/>
  <c r="M3036" i="1"/>
  <c r="L3036" i="1"/>
  <c r="W3035" i="1"/>
  <c r="N3035" i="1"/>
  <c r="M3035" i="1"/>
  <c r="L3035" i="1"/>
  <c r="N3034" i="1"/>
  <c r="M3034" i="1"/>
  <c r="L3034" i="1"/>
  <c r="W3033" i="1"/>
  <c r="V3033" i="1"/>
  <c r="U3033" i="1"/>
  <c r="T3033" i="1"/>
  <c r="Q3033" i="1"/>
  <c r="O3033" i="1"/>
  <c r="N3033" i="1"/>
  <c r="S3033" i="1" s="1"/>
  <c r="M3033" i="1"/>
  <c r="L3033" i="1"/>
  <c r="R3032" i="1"/>
  <c r="Q3032" i="1"/>
  <c r="P3032" i="1"/>
  <c r="N3032" i="1"/>
  <c r="S3032" i="1" s="1"/>
  <c r="M3032" i="1"/>
  <c r="L3032" i="1"/>
  <c r="W3031" i="1"/>
  <c r="V3031" i="1"/>
  <c r="U3031" i="1"/>
  <c r="T3031" i="1"/>
  <c r="S3031" i="1"/>
  <c r="R3031" i="1"/>
  <c r="Q3031" i="1"/>
  <c r="P3031" i="1"/>
  <c r="N3031" i="1"/>
  <c r="O3031" i="1" s="1"/>
  <c r="M3031" i="1"/>
  <c r="L3031" i="1"/>
  <c r="U3030" i="1"/>
  <c r="T3030" i="1"/>
  <c r="S3030" i="1"/>
  <c r="N3030" i="1"/>
  <c r="O3030" i="1" s="1"/>
  <c r="M3030" i="1"/>
  <c r="L3030" i="1"/>
  <c r="W3029" i="1"/>
  <c r="O3029" i="1"/>
  <c r="N3029" i="1"/>
  <c r="S3029" i="1" s="1"/>
  <c r="M3029" i="1"/>
  <c r="L3029" i="1"/>
  <c r="W3028" i="1"/>
  <c r="V3028" i="1"/>
  <c r="U3028" i="1"/>
  <c r="T3028" i="1"/>
  <c r="R3028" i="1"/>
  <c r="Q3028" i="1"/>
  <c r="P3028" i="1"/>
  <c r="N3028" i="1"/>
  <c r="S3028" i="1" s="1"/>
  <c r="M3028" i="1"/>
  <c r="L3028" i="1"/>
  <c r="S3027" i="1"/>
  <c r="R3027" i="1"/>
  <c r="O3027" i="1"/>
  <c r="N3027" i="1"/>
  <c r="M3027" i="1"/>
  <c r="P3027" i="1" s="1"/>
  <c r="L3027" i="1"/>
  <c r="W3026" i="1"/>
  <c r="V3026" i="1"/>
  <c r="U3026" i="1"/>
  <c r="T3026" i="1"/>
  <c r="S3026" i="1"/>
  <c r="R3026" i="1"/>
  <c r="Q3026" i="1"/>
  <c r="P3026" i="1"/>
  <c r="N3026" i="1"/>
  <c r="O3026" i="1" s="1"/>
  <c r="M3026" i="1"/>
  <c r="L3026" i="1"/>
  <c r="P3025" i="1"/>
  <c r="O3025" i="1"/>
  <c r="N3025" i="1"/>
  <c r="S3025" i="1" s="1"/>
  <c r="M3025" i="1"/>
  <c r="R3025" i="1" s="1"/>
  <c r="L3025" i="1"/>
  <c r="W3024" i="1"/>
  <c r="O3024" i="1"/>
  <c r="N3024" i="1"/>
  <c r="S3024" i="1" s="1"/>
  <c r="M3024" i="1"/>
  <c r="L3024" i="1"/>
  <c r="W3023" i="1"/>
  <c r="V3023" i="1"/>
  <c r="U3023" i="1"/>
  <c r="T3023" i="1"/>
  <c r="Q3023" i="1"/>
  <c r="O3023" i="1"/>
  <c r="N3023" i="1"/>
  <c r="S3023" i="1" s="1"/>
  <c r="M3023" i="1"/>
  <c r="L3023" i="1"/>
  <c r="S3022" i="1"/>
  <c r="R3022" i="1"/>
  <c r="P3022" i="1"/>
  <c r="O3022" i="1"/>
  <c r="N3022" i="1"/>
  <c r="M3022" i="1"/>
  <c r="L3022" i="1"/>
  <c r="W3021" i="1"/>
  <c r="V3021" i="1"/>
  <c r="U3021" i="1"/>
  <c r="T3021" i="1"/>
  <c r="S3021" i="1"/>
  <c r="R3021" i="1"/>
  <c r="Q3021" i="1"/>
  <c r="P3021" i="1"/>
  <c r="N3021" i="1"/>
  <c r="O3021" i="1" s="1"/>
  <c r="M3021" i="1"/>
  <c r="L3021" i="1"/>
  <c r="W3020" i="1"/>
  <c r="V3020" i="1"/>
  <c r="U3020" i="1"/>
  <c r="T3020" i="1"/>
  <c r="S3020" i="1"/>
  <c r="R3020" i="1"/>
  <c r="O3020" i="1"/>
  <c r="N3020" i="1"/>
  <c r="M3020" i="1"/>
  <c r="P3020" i="1" s="1"/>
  <c r="L3020" i="1"/>
  <c r="Q3020" i="1" s="1"/>
  <c r="W3019" i="1"/>
  <c r="O3019" i="1"/>
  <c r="N3019" i="1"/>
  <c r="S3019" i="1" s="1"/>
  <c r="M3019" i="1"/>
  <c r="L3019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S3017" i="1"/>
  <c r="O3017" i="1"/>
  <c r="N3017" i="1"/>
  <c r="M3017" i="1"/>
  <c r="L3017" i="1"/>
  <c r="W3016" i="1"/>
  <c r="V3016" i="1"/>
  <c r="U3016" i="1"/>
  <c r="T3016" i="1"/>
  <c r="S3016" i="1"/>
  <c r="R3016" i="1"/>
  <c r="Q3016" i="1"/>
  <c r="P3016" i="1"/>
  <c r="N3016" i="1"/>
  <c r="O3016" i="1" s="1"/>
  <c r="M3016" i="1"/>
  <c r="L3016" i="1"/>
  <c r="U3015" i="1"/>
  <c r="N3015" i="1"/>
  <c r="S3015" i="1" s="1"/>
  <c r="M3015" i="1"/>
  <c r="R3015" i="1" s="1"/>
  <c r="L3015" i="1"/>
  <c r="W3014" i="1"/>
  <c r="V3014" i="1"/>
  <c r="O3014" i="1"/>
  <c r="N3014" i="1"/>
  <c r="S3014" i="1" s="1"/>
  <c r="M3014" i="1"/>
  <c r="L3014" i="1"/>
  <c r="W3013" i="1"/>
  <c r="V3013" i="1"/>
  <c r="U3013" i="1"/>
  <c r="T3013" i="1"/>
  <c r="Q3013" i="1"/>
  <c r="N3013" i="1"/>
  <c r="S3013" i="1" s="1"/>
  <c r="M3013" i="1"/>
  <c r="L3013" i="1"/>
  <c r="R3012" i="1"/>
  <c r="P3012" i="1"/>
  <c r="O3012" i="1"/>
  <c r="N3012" i="1"/>
  <c r="S3012" i="1" s="1"/>
  <c r="M3012" i="1"/>
  <c r="L3012" i="1"/>
  <c r="W3011" i="1"/>
  <c r="V3011" i="1"/>
  <c r="U3011" i="1"/>
  <c r="T3011" i="1"/>
  <c r="S3011" i="1"/>
  <c r="R3011" i="1"/>
  <c r="Q3011" i="1"/>
  <c r="P3011" i="1"/>
  <c r="N3011" i="1"/>
  <c r="O3011" i="1" s="1"/>
  <c r="M3011" i="1"/>
  <c r="L3011" i="1"/>
  <c r="S3010" i="1"/>
  <c r="R3010" i="1"/>
  <c r="O3010" i="1"/>
  <c r="N3010" i="1"/>
  <c r="M3010" i="1"/>
  <c r="P3010" i="1" s="1"/>
  <c r="L3010" i="1"/>
  <c r="N3009" i="1"/>
  <c r="M3009" i="1"/>
  <c r="L3009" i="1"/>
  <c r="W3008" i="1"/>
  <c r="T3008" i="1"/>
  <c r="Q3008" i="1"/>
  <c r="N3008" i="1"/>
  <c r="S3008" i="1" s="1"/>
  <c r="M3008" i="1"/>
  <c r="L3008" i="1"/>
  <c r="V3008" i="1" s="1"/>
  <c r="O3007" i="1"/>
  <c r="N3007" i="1"/>
  <c r="S3007" i="1" s="1"/>
  <c r="M3007" i="1"/>
  <c r="L3007" i="1"/>
  <c r="W3006" i="1"/>
  <c r="V3006" i="1"/>
  <c r="U3006" i="1"/>
  <c r="T3006" i="1"/>
  <c r="R3006" i="1"/>
  <c r="Q3006" i="1"/>
  <c r="P3006" i="1"/>
  <c r="N3006" i="1"/>
  <c r="O3006" i="1" s="1"/>
  <c r="M3006" i="1"/>
  <c r="L3006" i="1"/>
  <c r="R3005" i="1"/>
  <c r="O3005" i="1"/>
  <c r="N3005" i="1"/>
  <c r="S3005" i="1" s="1"/>
  <c r="M3005" i="1"/>
  <c r="P3005" i="1" s="1"/>
  <c r="L3005" i="1"/>
  <c r="W3004" i="1"/>
  <c r="V3004" i="1"/>
  <c r="U3004" i="1"/>
  <c r="T3004" i="1"/>
  <c r="R3004" i="1"/>
  <c r="Q3004" i="1"/>
  <c r="P3004" i="1"/>
  <c r="O3004" i="1"/>
  <c r="N3004" i="1"/>
  <c r="S3004" i="1" s="1"/>
  <c r="M3004" i="1"/>
  <c r="L3004" i="1"/>
  <c r="T3003" i="1"/>
  <c r="S3003" i="1"/>
  <c r="R3003" i="1"/>
  <c r="O3003" i="1"/>
  <c r="N3003" i="1"/>
  <c r="M3003" i="1"/>
  <c r="P3003" i="1" s="1"/>
  <c r="L3003" i="1"/>
  <c r="V3002" i="1"/>
  <c r="U3002" i="1"/>
  <c r="T3002" i="1"/>
  <c r="S3002" i="1"/>
  <c r="R3002" i="1"/>
  <c r="N3002" i="1"/>
  <c r="O3002" i="1" s="1"/>
  <c r="M3002" i="1"/>
  <c r="P3002" i="1" s="1"/>
  <c r="L3002" i="1"/>
  <c r="W3002" i="1" s="1"/>
  <c r="U3001" i="1"/>
  <c r="T3001" i="1"/>
  <c r="S3001" i="1"/>
  <c r="N3001" i="1"/>
  <c r="O3001" i="1" s="1"/>
  <c r="M3001" i="1"/>
  <c r="L3001" i="1"/>
  <c r="W3000" i="1"/>
  <c r="V3000" i="1"/>
  <c r="U3000" i="1"/>
  <c r="N3000" i="1"/>
  <c r="M3000" i="1"/>
  <c r="R3000" i="1" s="1"/>
  <c r="L3000" i="1"/>
  <c r="W2999" i="1"/>
  <c r="V2999" i="1"/>
  <c r="U2999" i="1"/>
  <c r="T2999" i="1"/>
  <c r="Q2999" i="1"/>
  <c r="N2999" i="1"/>
  <c r="M2999" i="1"/>
  <c r="L2999" i="1"/>
  <c r="T2998" i="1"/>
  <c r="S2998" i="1"/>
  <c r="R2998" i="1"/>
  <c r="O2998" i="1"/>
  <c r="N2998" i="1"/>
  <c r="M2998" i="1"/>
  <c r="P2998" i="1" s="1"/>
  <c r="L2998" i="1"/>
  <c r="S2997" i="1"/>
  <c r="R2997" i="1"/>
  <c r="N2997" i="1"/>
  <c r="O2997" i="1" s="1"/>
  <c r="M2997" i="1"/>
  <c r="P2997" i="1" s="1"/>
  <c r="L2997" i="1"/>
  <c r="U2996" i="1"/>
  <c r="Q2996" i="1"/>
  <c r="N2996" i="1"/>
  <c r="S2996" i="1" s="1"/>
  <c r="M2996" i="1"/>
  <c r="R2996" i="1" s="1"/>
  <c r="L2996" i="1"/>
  <c r="W2995" i="1"/>
  <c r="V2995" i="1"/>
  <c r="O2995" i="1"/>
  <c r="N2995" i="1"/>
  <c r="S2995" i="1" s="1"/>
  <c r="M2995" i="1"/>
  <c r="L2995" i="1"/>
  <c r="W2994" i="1"/>
  <c r="V2994" i="1"/>
  <c r="U2994" i="1"/>
  <c r="T2994" i="1"/>
  <c r="Q2994" i="1"/>
  <c r="N2994" i="1"/>
  <c r="S2994" i="1" s="1"/>
  <c r="M2994" i="1"/>
  <c r="R2994" i="1" s="1"/>
  <c r="L2994" i="1"/>
  <c r="T2993" i="1"/>
  <c r="N2993" i="1"/>
  <c r="O2993" i="1" s="1"/>
  <c r="M2993" i="1"/>
  <c r="L2993" i="1"/>
  <c r="W2992" i="1"/>
  <c r="V2992" i="1"/>
  <c r="U2992" i="1"/>
  <c r="S2992" i="1"/>
  <c r="R2992" i="1"/>
  <c r="N2992" i="1"/>
  <c r="O2992" i="1" s="1"/>
  <c r="M2992" i="1"/>
  <c r="P2992" i="1" s="1"/>
  <c r="L2992" i="1"/>
  <c r="T2992" i="1" s="1"/>
  <c r="P2991" i="1"/>
  <c r="O2991" i="1"/>
  <c r="N2991" i="1"/>
  <c r="S2991" i="1" s="1"/>
  <c r="M2991" i="1"/>
  <c r="R2991" i="1" s="1"/>
  <c r="L2991" i="1"/>
  <c r="W2990" i="1"/>
  <c r="P2990" i="1"/>
  <c r="O2990" i="1"/>
  <c r="N2990" i="1"/>
  <c r="S2990" i="1" s="1"/>
  <c r="M2990" i="1"/>
  <c r="R2990" i="1" s="1"/>
  <c r="L2990" i="1"/>
  <c r="W2989" i="1"/>
  <c r="V2989" i="1"/>
  <c r="U2989" i="1"/>
  <c r="T2989" i="1"/>
  <c r="Q2989" i="1"/>
  <c r="N2989" i="1"/>
  <c r="S2989" i="1" s="1"/>
  <c r="M2989" i="1"/>
  <c r="R2989" i="1" s="1"/>
  <c r="L2989" i="1"/>
  <c r="N2988" i="1"/>
  <c r="S2988" i="1" s="1"/>
  <c r="M2988" i="1"/>
  <c r="R2988" i="1" s="1"/>
  <c r="L2988" i="1"/>
  <c r="W2987" i="1"/>
  <c r="V2987" i="1"/>
  <c r="S2987" i="1"/>
  <c r="R2987" i="1"/>
  <c r="Q2987" i="1"/>
  <c r="N2987" i="1"/>
  <c r="O2987" i="1" s="1"/>
  <c r="M2987" i="1"/>
  <c r="P2987" i="1" s="1"/>
  <c r="L2987" i="1"/>
  <c r="W2986" i="1"/>
  <c r="N2986" i="1"/>
  <c r="O2986" i="1" s="1"/>
  <c r="M2986" i="1"/>
  <c r="L2986" i="1"/>
  <c r="N2985" i="1"/>
  <c r="M2985" i="1"/>
  <c r="L2985" i="1"/>
  <c r="W2984" i="1"/>
  <c r="V2984" i="1"/>
  <c r="U2984" i="1"/>
  <c r="T2984" i="1"/>
  <c r="S2984" i="1"/>
  <c r="Q2984" i="1"/>
  <c r="N2984" i="1"/>
  <c r="O2984" i="1" s="1"/>
  <c r="M2984" i="1"/>
  <c r="L2984" i="1"/>
  <c r="P2983" i="1"/>
  <c r="O2983" i="1"/>
  <c r="N2983" i="1"/>
  <c r="S2983" i="1" s="1"/>
  <c r="M2983" i="1"/>
  <c r="R2983" i="1" s="1"/>
  <c r="L2983" i="1"/>
  <c r="S2982" i="1"/>
  <c r="R2982" i="1"/>
  <c r="N2982" i="1"/>
  <c r="O2982" i="1" s="1"/>
  <c r="M2982" i="1"/>
  <c r="P2982" i="1" s="1"/>
  <c r="L2982" i="1"/>
  <c r="W2981" i="1"/>
  <c r="V2981" i="1"/>
  <c r="U2981" i="1"/>
  <c r="T2981" i="1"/>
  <c r="Q2981" i="1"/>
  <c r="N2981" i="1"/>
  <c r="S2981" i="1" s="1"/>
  <c r="M2981" i="1"/>
  <c r="L2981" i="1"/>
  <c r="N2980" i="1"/>
  <c r="S2980" i="1" s="1"/>
  <c r="M2980" i="1"/>
  <c r="L2980" i="1"/>
  <c r="W2979" i="1"/>
  <c r="V2979" i="1"/>
  <c r="U2979" i="1"/>
  <c r="T2979" i="1"/>
  <c r="R2979" i="1"/>
  <c r="Q2979" i="1"/>
  <c r="P2979" i="1"/>
  <c r="O2979" i="1"/>
  <c r="N2979" i="1"/>
  <c r="S2979" i="1" s="1"/>
  <c r="M2979" i="1"/>
  <c r="L2979" i="1"/>
  <c r="S2978" i="1"/>
  <c r="N2978" i="1"/>
  <c r="O2978" i="1" s="1"/>
  <c r="M2978" i="1"/>
  <c r="L2978" i="1"/>
  <c r="S2977" i="1"/>
  <c r="R2977" i="1"/>
  <c r="N2977" i="1"/>
  <c r="O2977" i="1" s="1"/>
  <c r="M2977" i="1"/>
  <c r="P2977" i="1" s="1"/>
  <c r="L2977" i="1"/>
  <c r="U2976" i="1"/>
  <c r="R2976" i="1"/>
  <c r="P2976" i="1"/>
  <c r="N2976" i="1"/>
  <c r="M2976" i="1"/>
  <c r="L2976" i="1"/>
  <c r="W2976" i="1" s="1"/>
  <c r="U2975" i="1"/>
  <c r="P2975" i="1"/>
  <c r="N2975" i="1"/>
  <c r="M2975" i="1"/>
  <c r="R2975" i="1" s="1"/>
  <c r="L2975" i="1"/>
  <c r="W2974" i="1"/>
  <c r="V2974" i="1"/>
  <c r="U2974" i="1"/>
  <c r="T2974" i="1"/>
  <c r="R2974" i="1"/>
  <c r="Q2974" i="1"/>
  <c r="P2974" i="1"/>
  <c r="O2974" i="1"/>
  <c r="N2974" i="1"/>
  <c r="S2974" i="1" s="1"/>
  <c r="M2974" i="1"/>
  <c r="L2974" i="1"/>
  <c r="T2973" i="1"/>
  <c r="R2973" i="1"/>
  <c r="Q2973" i="1"/>
  <c r="P2973" i="1"/>
  <c r="O2973" i="1"/>
  <c r="N2973" i="1"/>
  <c r="S2973" i="1" s="1"/>
  <c r="M2973" i="1"/>
  <c r="L2973" i="1"/>
  <c r="V2972" i="1"/>
  <c r="S2972" i="1"/>
  <c r="R2972" i="1"/>
  <c r="Q2972" i="1"/>
  <c r="N2972" i="1"/>
  <c r="O2972" i="1" s="1"/>
  <c r="M2972" i="1"/>
  <c r="P2972" i="1" s="1"/>
  <c r="L2972" i="1"/>
  <c r="W2972" i="1" s="1"/>
  <c r="S2971" i="1"/>
  <c r="R2971" i="1"/>
  <c r="P2971" i="1"/>
  <c r="O2971" i="1"/>
  <c r="N2971" i="1"/>
  <c r="M2971" i="1"/>
  <c r="L2971" i="1"/>
  <c r="R2970" i="1"/>
  <c r="P2970" i="1"/>
  <c r="O2970" i="1"/>
  <c r="N2970" i="1"/>
  <c r="S2970" i="1" s="1"/>
  <c r="M2970" i="1"/>
  <c r="L2970" i="1"/>
  <c r="W2969" i="1"/>
  <c r="V2969" i="1"/>
  <c r="U2969" i="1"/>
  <c r="T2969" i="1"/>
  <c r="S2969" i="1"/>
  <c r="Q2969" i="1"/>
  <c r="N2969" i="1"/>
  <c r="O2969" i="1" s="1"/>
  <c r="M2969" i="1"/>
  <c r="L2969" i="1"/>
  <c r="R2968" i="1"/>
  <c r="Q2968" i="1"/>
  <c r="P2968" i="1"/>
  <c r="N2968" i="1"/>
  <c r="S2968" i="1" s="1"/>
  <c r="M2968" i="1"/>
  <c r="L2968" i="1"/>
  <c r="W2967" i="1"/>
  <c r="V2967" i="1"/>
  <c r="U2967" i="1"/>
  <c r="T2967" i="1"/>
  <c r="S2967" i="1"/>
  <c r="R2967" i="1"/>
  <c r="N2967" i="1"/>
  <c r="O2967" i="1" s="1"/>
  <c r="M2967" i="1"/>
  <c r="P2967" i="1" s="1"/>
  <c r="L2967" i="1"/>
  <c r="Q2967" i="1" s="1"/>
  <c r="S2966" i="1"/>
  <c r="O2966" i="1"/>
  <c r="N2966" i="1"/>
  <c r="M2966" i="1"/>
  <c r="L2966" i="1"/>
  <c r="W2965" i="1"/>
  <c r="V2965" i="1"/>
  <c r="U2965" i="1"/>
  <c r="R2965" i="1"/>
  <c r="N2965" i="1"/>
  <c r="M2965" i="1"/>
  <c r="P2965" i="1" s="1"/>
  <c r="L2965" i="1"/>
  <c r="W2964" i="1"/>
  <c r="V2964" i="1"/>
  <c r="U2964" i="1"/>
  <c r="T2964" i="1"/>
  <c r="Q2964" i="1"/>
  <c r="N2964" i="1"/>
  <c r="M2964" i="1"/>
  <c r="L2964" i="1"/>
  <c r="V2963" i="1"/>
  <c r="T2963" i="1"/>
  <c r="S2963" i="1"/>
  <c r="P2963" i="1"/>
  <c r="O2963" i="1"/>
  <c r="N2963" i="1"/>
  <c r="M2963" i="1"/>
  <c r="R2963" i="1" s="1"/>
  <c r="L2963" i="1"/>
  <c r="U2962" i="1"/>
  <c r="R2962" i="1"/>
  <c r="N2962" i="1"/>
  <c r="M2962" i="1"/>
  <c r="P2962" i="1" s="1"/>
  <c r="L2962" i="1"/>
  <c r="N2961" i="1"/>
  <c r="S2961" i="1" s="1"/>
  <c r="M2961" i="1"/>
  <c r="L2961" i="1"/>
  <c r="W2960" i="1"/>
  <c r="Q2960" i="1"/>
  <c r="P2960" i="1"/>
  <c r="O2960" i="1"/>
  <c r="N2960" i="1"/>
  <c r="S2960" i="1" s="1"/>
  <c r="M2960" i="1"/>
  <c r="R2960" i="1" s="1"/>
  <c r="L2960" i="1"/>
  <c r="U2959" i="1"/>
  <c r="R2959" i="1"/>
  <c r="P2959" i="1"/>
  <c r="N2959" i="1"/>
  <c r="S2959" i="1" s="1"/>
  <c r="M2959" i="1"/>
  <c r="L2959" i="1"/>
  <c r="W2959" i="1" s="1"/>
  <c r="S2958" i="1"/>
  <c r="R2958" i="1"/>
  <c r="P2958" i="1"/>
  <c r="O2958" i="1"/>
  <c r="N2958" i="1"/>
  <c r="M2958" i="1"/>
  <c r="L2958" i="1"/>
  <c r="T2957" i="1"/>
  <c r="S2957" i="1"/>
  <c r="R2957" i="1"/>
  <c r="Q2957" i="1"/>
  <c r="N2957" i="1"/>
  <c r="O2957" i="1" s="1"/>
  <c r="M2957" i="1"/>
  <c r="P2957" i="1" s="1"/>
  <c r="L2957" i="1"/>
  <c r="W2957" i="1" s="1"/>
  <c r="W2956" i="1"/>
  <c r="V2956" i="1"/>
  <c r="U2956" i="1"/>
  <c r="T2956" i="1"/>
  <c r="S2956" i="1"/>
  <c r="R2956" i="1"/>
  <c r="P2956" i="1"/>
  <c r="O2956" i="1"/>
  <c r="N2956" i="1"/>
  <c r="M2956" i="1"/>
  <c r="L2956" i="1"/>
  <c r="Q2956" i="1" s="1"/>
  <c r="V2955" i="1"/>
  <c r="U2955" i="1"/>
  <c r="T2955" i="1"/>
  <c r="N2955" i="1"/>
  <c r="M2955" i="1"/>
  <c r="L2955" i="1"/>
  <c r="V2954" i="1"/>
  <c r="N2954" i="1"/>
  <c r="S2954" i="1" s="1"/>
  <c r="M2954" i="1"/>
  <c r="P2954" i="1" s="1"/>
  <c r="L2954" i="1"/>
  <c r="N2953" i="1"/>
  <c r="M2953" i="1"/>
  <c r="L2953" i="1"/>
  <c r="U2952" i="1"/>
  <c r="Q2952" i="1"/>
  <c r="P2952" i="1"/>
  <c r="N2952" i="1"/>
  <c r="M2952" i="1"/>
  <c r="R2952" i="1" s="1"/>
  <c r="L2952" i="1"/>
  <c r="W2952" i="1" s="1"/>
  <c r="S2951" i="1"/>
  <c r="R2951" i="1"/>
  <c r="P2951" i="1"/>
  <c r="O2951" i="1"/>
  <c r="N2951" i="1"/>
  <c r="M2951" i="1"/>
  <c r="L2951" i="1"/>
  <c r="T2950" i="1"/>
  <c r="R2950" i="1"/>
  <c r="Q2950" i="1"/>
  <c r="P2950" i="1"/>
  <c r="N2950" i="1"/>
  <c r="S2950" i="1" s="1"/>
  <c r="M2950" i="1"/>
  <c r="L2950" i="1"/>
  <c r="W2950" i="1" s="1"/>
  <c r="W2949" i="1"/>
  <c r="V2949" i="1"/>
  <c r="U2949" i="1"/>
  <c r="T2949" i="1"/>
  <c r="S2949" i="1"/>
  <c r="R2949" i="1"/>
  <c r="P2949" i="1"/>
  <c r="O2949" i="1"/>
  <c r="N2949" i="1"/>
  <c r="M2949" i="1"/>
  <c r="L2949" i="1"/>
  <c r="Q2949" i="1" s="1"/>
  <c r="T2948" i="1"/>
  <c r="N2948" i="1"/>
  <c r="O2948" i="1" s="1"/>
  <c r="M2948" i="1"/>
  <c r="L2948" i="1"/>
  <c r="W2947" i="1"/>
  <c r="V2947" i="1"/>
  <c r="U2947" i="1"/>
  <c r="N2947" i="1"/>
  <c r="S2947" i="1" s="1"/>
  <c r="M2947" i="1"/>
  <c r="P2947" i="1" s="1"/>
  <c r="L2947" i="1"/>
  <c r="W2946" i="1"/>
  <c r="V2946" i="1"/>
  <c r="U2946" i="1"/>
  <c r="T2946" i="1"/>
  <c r="Q2946" i="1"/>
  <c r="N2946" i="1"/>
  <c r="M2946" i="1"/>
  <c r="R2946" i="1" s="1"/>
  <c r="L2946" i="1"/>
  <c r="V2945" i="1"/>
  <c r="S2945" i="1"/>
  <c r="Q2945" i="1"/>
  <c r="P2945" i="1"/>
  <c r="O2945" i="1"/>
  <c r="N2945" i="1"/>
  <c r="M2945" i="1"/>
  <c r="R2945" i="1" s="1"/>
  <c r="L2945" i="1"/>
  <c r="W2945" i="1" s="1"/>
  <c r="W2944" i="1"/>
  <c r="V2944" i="1"/>
  <c r="U2944" i="1"/>
  <c r="T2944" i="1"/>
  <c r="R2944" i="1"/>
  <c r="Q2944" i="1"/>
  <c r="N2944" i="1"/>
  <c r="O2944" i="1" s="1"/>
  <c r="M2944" i="1"/>
  <c r="P2944" i="1" s="1"/>
  <c r="L2944" i="1"/>
  <c r="S2943" i="1"/>
  <c r="N2943" i="1"/>
  <c r="O2943" i="1" s="1"/>
  <c r="M2943" i="1"/>
  <c r="L2943" i="1"/>
  <c r="W2942" i="1"/>
  <c r="V2942" i="1"/>
  <c r="R2942" i="1"/>
  <c r="N2942" i="1"/>
  <c r="S2942" i="1" s="1"/>
  <c r="M2942" i="1"/>
  <c r="P2942" i="1" s="1"/>
  <c r="L2942" i="1"/>
  <c r="W2941" i="1"/>
  <c r="V2941" i="1"/>
  <c r="U2941" i="1"/>
  <c r="T2941" i="1"/>
  <c r="Q2941" i="1"/>
  <c r="P2941" i="1"/>
  <c r="N2941" i="1"/>
  <c r="S2941" i="1" s="1"/>
  <c r="M2941" i="1"/>
  <c r="R2941" i="1" s="1"/>
  <c r="L2941" i="1"/>
  <c r="V2940" i="1"/>
  <c r="S2940" i="1"/>
  <c r="Q2940" i="1"/>
  <c r="P2940" i="1"/>
  <c r="O2940" i="1"/>
  <c r="N2940" i="1"/>
  <c r="M2940" i="1"/>
  <c r="R2940" i="1" s="1"/>
  <c r="L2940" i="1"/>
  <c r="W2940" i="1" s="1"/>
  <c r="W2939" i="1"/>
  <c r="V2939" i="1"/>
  <c r="U2939" i="1"/>
  <c r="T2939" i="1"/>
  <c r="R2939" i="1"/>
  <c r="Q2939" i="1"/>
  <c r="N2939" i="1"/>
  <c r="M2939" i="1"/>
  <c r="P2939" i="1" s="1"/>
  <c r="L2939" i="1"/>
  <c r="U2938" i="1"/>
  <c r="S2938" i="1"/>
  <c r="N2938" i="1"/>
  <c r="O2938" i="1" s="1"/>
  <c r="M2938" i="1"/>
  <c r="L2938" i="1"/>
  <c r="W2937" i="1"/>
  <c r="V2937" i="1"/>
  <c r="U2937" i="1"/>
  <c r="R2937" i="1"/>
  <c r="N2937" i="1"/>
  <c r="S2937" i="1" s="1"/>
  <c r="M2937" i="1"/>
  <c r="P2937" i="1" s="1"/>
  <c r="L2937" i="1"/>
  <c r="W2936" i="1"/>
  <c r="V2936" i="1"/>
  <c r="U2936" i="1"/>
  <c r="T2936" i="1"/>
  <c r="R2936" i="1"/>
  <c r="Q2936" i="1"/>
  <c r="N2936" i="1"/>
  <c r="S2936" i="1" s="1"/>
  <c r="M2936" i="1"/>
  <c r="P2936" i="1" s="1"/>
  <c r="L2936" i="1"/>
  <c r="V2935" i="1"/>
  <c r="Q2935" i="1"/>
  <c r="P2935" i="1"/>
  <c r="O2935" i="1"/>
  <c r="N2935" i="1"/>
  <c r="S2935" i="1" s="1"/>
  <c r="M2935" i="1"/>
  <c r="R2935" i="1" s="1"/>
  <c r="L2935" i="1"/>
  <c r="W2935" i="1" s="1"/>
  <c r="W2934" i="1"/>
  <c r="V2934" i="1"/>
  <c r="U2934" i="1"/>
  <c r="T2934" i="1"/>
  <c r="R2934" i="1"/>
  <c r="Q2934" i="1"/>
  <c r="N2934" i="1"/>
  <c r="O2934" i="1" s="1"/>
  <c r="M2934" i="1"/>
  <c r="P2934" i="1" s="1"/>
  <c r="L2934" i="1"/>
  <c r="U2933" i="1"/>
  <c r="T2933" i="1"/>
  <c r="N2933" i="1"/>
  <c r="O2933" i="1" s="1"/>
  <c r="M2933" i="1"/>
  <c r="L2933" i="1"/>
  <c r="W2932" i="1"/>
  <c r="V2932" i="1"/>
  <c r="U2932" i="1"/>
  <c r="R2932" i="1"/>
  <c r="N2932" i="1"/>
  <c r="S2932" i="1" s="1"/>
  <c r="M2932" i="1"/>
  <c r="P2932" i="1" s="1"/>
  <c r="L2932" i="1"/>
  <c r="W2931" i="1"/>
  <c r="V2931" i="1"/>
  <c r="U2931" i="1"/>
  <c r="T2931" i="1"/>
  <c r="Q2931" i="1"/>
  <c r="O2931" i="1"/>
  <c r="N2931" i="1"/>
  <c r="S2931" i="1" s="1"/>
  <c r="M2931" i="1"/>
  <c r="L2931" i="1"/>
  <c r="V2930" i="1"/>
  <c r="Q2930" i="1"/>
  <c r="P2930" i="1"/>
  <c r="O2930" i="1"/>
  <c r="N2930" i="1"/>
  <c r="S2930" i="1" s="1"/>
  <c r="M2930" i="1"/>
  <c r="R2930" i="1" s="1"/>
  <c r="L2930" i="1"/>
  <c r="W2930" i="1" s="1"/>
  <c r="W2929" i="1"/>
  <c r="V2929" i="1"/>
  <c r="U2929" i="1"/>
  <c r="T2929" i="1"/>
  <c r="S2929" i="1"/>
  <c r="R2929" i="1"/>
  <c r="Q2929" i="1"/>
  <c r="N2929" i="1"/>
  <c r="O2929" i="1" s="1"/>
  <c r="M2929" i="1"/>
  <c r="P2929" i="1" s="1"/>
  <c r="L2929" i="1"/>
  <c r="N2928" i="1"/>
  <c r="O2928" i="1" s="1"/>
  <c r="M2928" i="1"/>
  <c r="L2928" i="1"/>
  <c r="U2927" i="1"/>
  <c r="N2927" i="1"/>
  <c r="S2927" i="1" s="1"/>
  <c r="M2927" i="1"/>
  <c r="P2927" i="1" s="1"/>
  <c r="L2927" i="1"/>
  <c r="W2926" i="1"/>
  <c r="V2926" i="1"/>
  <c r="U2926" i="1"/>
  <c r="T2926" i="1"/>
  <c r="Q2926" i="1"/>
  <c r="N2926" i="1"/>
  <c r="M2926" i="1"/>
  <c r="R2926" i="1" s="1"/>
  <c r="L2926" i="1"/>
  <c r="V2925" i="1"/>
  <c r="Q2925" i="1"/>
  <c r="P2925" i="1"/>
  <c r="O2925" i="1"/>
  <c r="N2925" i="1"/>
  <c r="S2925" i="1" s="1"/>
  <c r="M2925" i="1"/>
  <c r="R2925" i="1" s="1"/>
  <c r="L2925" i="1"/>
  <c r="W2925" i="1" s="1"/>
  <c r="W2924" i="1"/>
  <c r="V2924" i="1"/>
  <c r="U2924" i="1"/>
  <c r="T2924" i="1"/>
  <c r="S2924" i="1"/>
  <c r="R2924" i="1"/>
  <c r="Q2924" i="1"/>
  <c r="N2924" i="1"/>
  <c r="O2924" i="1" s="1"/>
  <c r="M2924" i="1"/>
  <c r="P2924" i="1" s="1"/>
  <c r="L2924" i="1"/>
  <c r="U2923" i="1"/>
  <c r="T2923" i="1"/>
  <c r="S2923" i="1"/>
  <c r="N2923" i="1"/>
  <c r="O2923" i="1" s="1"/>
  <c r="M2923" i="1"/>
  <c r="L2923" i="1"/>
  <c r="V2922" i="1"/>
  <c r="N2922" i="1"/>
  <c r="S2922" i="1" s="1"/>
  <c r="M2922" i="1"/>
  <c r="P2922" i="1" s="1"/>
  <c r="L2922" i="1"/>
  <c r="W2921" i="1"/>
  <c r="V2921" i="1"/>
  <c r="U2921" i="1"/>
  <c r="T2921" i="1"/>
  <c r="R2921" i="1"/>
  <c r="Q2921" i="1"/>
  <c r="P2921" i="1"/>
  <c r="O2921" i="1"/>
  <c r="N2921" i="1"/>
  <c r="S2921" i="1" s="1"/>
  <c r="M2921" i="1"/>
  <c r="L2921" i="1"/>
  <c r="V2920" i="1"/>
  <c r="Q2920" i="1"/>
  <c r="P2920" i="1"/>
  <c r="O2920" i="1"/>
  <c r="N2920" i="1"/>
  <c r="S2920" i="1" s="1"/>
  <c r="M2920" i="1"/>
  <c r="R2920" i="1" s="1"/>
  <c r="L2920" i="1"/>
  <c r="W2920" i="1" s="1"/>
  <c r="W2919" i="1"/>
  <c r="V2919" i="1"/>
  <c r="U2919" i="1"/>
  <c r="T2919" i="1"/>
  <c r="R2919" i="1"/>
  <c r="Q2919" i="1"/>
  <c r="N2919" i="1"/>
  <c r="M2919" i="1"/>
  <c r="P2919" i="1" s="1"/>
  <c r="L2919" i="1"/>
  <c r="U2918" i="1"/>
  <c r="T2918" i="1"/>
  <c r="N2918" i="1"/>
  <c r="M2918" i="1"/>
  <c r="L2918" i="1"/>
  <c r="W2917" i="1"/>
  <c r="N2917" i="1"/>
  <c r="S2917" i="1" s="1"/>
  <c r="M2917" i="1"/>
  <c r="P2917" i="1" s="1"/>
  <c r="L2917" i="1"/>
  <c r="W2916" i="1"/>
  <c r="V2916" i="1"/>
  <c r="U2916" i="1"/>
  <c r="T2916" i="1"/>
  <c r="R2916" i="1"/>
  <c r="Q2916" i="1"/>
  <c r="P2916" i="1"/>
  <c r="O2916" i="1"/>
  <c r="N2916" i="1"/>
  <c r="S2916" i="1" s="1"/>
  <c r="M2916" i="1"/>
  <c r="L2916" i="1"/>
  <c r="P2915" i="1"/>
  <c r="O2915" i="1"/>
  <c r="N2915" i="1"/>
  <c r="S2915" i="1" s="1"/>
  <c r="M2915" i="1"/>
  <c r="R2915" i="1" s="1"/>
  <c r="L2915" i="1"/>
  <c r="W2914" i="1"/>
  <c r="V2914" i="1"/>
  <c r="U2914" i="1"/>
  <c r="T2914" i="1"/>
  <c r="R2914" i="1"/>
  <c r="Q2914" i="1"/>
  <c r="N2914" i="1"/>
  <c r="M2914" i="1"/>
  <c r="P2914" i="1" s="1"/>
  <c r="L2914" i="1"/>
  <c r="U2913" i="1"/>
  <c r="T2913" i="1"/>
  <c r="Q2913" i="1"/>
  <c r="P2913" i="1"/>
  <c r="N2913" i="1"/>
  <c r="M2913" i="1"/>
  <c r="R2913" i="1" s="1"/>
  <c r="L2913" i="1"/>
  <c r="R2912" i="1"/>
  <c r="N2912" i="1"/>
  <c r="S2912" i="1" s="1"/>
  <c r="M2912" i="1"/>
  <c r="P2912" i="1" s="1"/>
  <c r="L2912" i="1"/>
  <c r="W2911" i="1"/>
  <c r="V2911" i="1"/>
  <c r="U2911" i="1"/>
  <c r="T2911" i="1"/>
  <c r="R2911" i="1"/>
  <c r="Q2911" i="1"/>
  <c r="P2911" i="1"/>
  <c r="O2911" i="1"/>
  <c r="N2911" i="1"/>
  <c r="S2911" i="1" s="1"/>
  <c r="M2911" i="1"/>
  <c r="L2911" i="1"/>
  <c r="O2910" i="1"/>
  <c r="N2910" i="1"/>
  <c r="S2910" i="1" s="1"/>
  <c r="M2910" i="1"/>
  <c r="R2910" i="1" s="1"/>
  <c r="L2910" i="1"/>
  <c r="W2909" i="1"/>
  <c r="V2909" i="1"/>
  <c r="U2909" i="1"/>
  <c r="T2909" i="1"/>
  <c r="S2909" i="1"/>
  <c r="R2909" i="1"/>
  <c r="Q2909" i="1"/>
  <c r="N2909" i="1"/>
  <c r="O2909" i="1" s="1"/>
  <c r="M2909" i="1"/>
  <c r="P2909" i="1" s="1"/>
  <c r="L2909" i="1"/>
  <c r="S2908" i="1"/>
  <c r="N2908" i="1"/>
  <c r="O2908" i="1" s="1"/>
  <c r="M2908" i="1"/>
  <c r="R2908" i="1" s="1"/>
  <c r="L2908" i="1"/>
  <c r="V2907" i="1"/>
  <c r="N2907" i="1"/>
  <c r="S2907" i="1" s="1"/>
  <c r="M2907" i="1"/>
  <c r="L2907" i="1"/>
  <c r="W2906" i="1"/>
  <c r="V2906" i="1"/>
  <c r="U2906" i="1"/>
  <c r="T2906" i="1"/>
  <c r="R2906" i="1"/>
  <c r="Q2906" i="1"/>
  <c r="P2906" i="1"/>
  <c r="O2906" i="1"/>
  <c r="N2906" i="1"/>
  <c r="S2906" i="1" s="1"/>
  <c r="M2906" i="1"/>
  <c r="L2906" i="1"/>
  <c r="O2905" i="1"/>
  <c r="N2905" i="1"/>
  <c r="S2905" i="1" s="1"/>
  <c r="M2905" i="1"/>
  <c r="L2905" i="1"/>
  <c r="W2904" i="1"/>
  <c r="V2904" i="1"/>
  <c r="U2904" i="1"/>
  <c r="T2904" i="1"/>
  <c r="S2904" i="1"/>
  <c r="R2904" i="1"/>
  <c r="Q2904" i="1"/>
  <c r="N2904" i="1"/>
  <c r="O2904" i="1" s="1"/>
  <c r="M2904" i="1"/>
  <c r="P2904" i="1" s="1"/>
  <c r="L2904" i="1"/>
  <c r="P2903" i="1"/>
  <c r="N2903" i="1"/>
  <c r="O2903" i="1" s="1"/>
  <c r="M2903" i="1"/>
  <c r="R2903" i="1" s="1"/>
  <c r="L2903" i="1"/>
  <c r="R2902" i="1"/>
  <c r="N2902" i="1"/>
  <c r="M2902" i="1"/>
  <c r="P2902" i="1" s="1"/>
  <c r="L2902" i="1"/>
  <c r="W2901" i="1"/>
  <c r="V2901" i="1"/>
  <c r="U2901" i="1"/>
  <c r="T2901" i="1"/>
  <c r="Q2901" i="1"/>
  <c r="N2901" i="1"/>
  <c r="S2901" i="1" s="1"/>
  <c r="M2901" i="1"/>
  <c r="L2901" i="1"/>
  <c r="R2900" i="1"/>
  <c r="Q2900" i="1"/>
  <c r="P2900" i="1"/>
  <c r="O2900" i="1"/>
  <c r="N2900" i="1"/>
  <c r="S2900" i="1" s="1"/>
  <c r="M2900" i="1"/>
  <c r="L2900" i="1"/>
  <c r="W2899" i="1"/>
  <c r="V2899" i="1"/>
  <c r="U2899" i="1"/>
  <c r="T2899" i="1"/>
  <c r="R2899" i="1"/>
  <c r="Q2899" i="1"/>
  <c r="N2899" i="1"/>
  <c r="O2899" i="1" s="1"/>
  <c r="M2899" i="1"/>
  <c r="P2899" i="1" s="1"/>
  <c r="L2899" i="1"/>
  <c r="N2898" i="1"/>
  <c r="O2898" i="1" s="1"/>
  <c r="M2898" i="1"/>
  <c r="L2898" i="1"/>
  <c r="W2897" i="1"/>
  <c r="V2897" i="1"/>
  <c r="U2897" i="1"/>
  <c r="R2897" i="1"/>
  <c r="N2897" i="1"/>
  <c r="M2897" i="1"/>
  <c r="P2897" i="1" s="1"/>
  <c r="L2897" i="1"/>
  <c r="W2896" i="1"/>
  <c r="V2896" i="1"/>
  <c r="U2896" i="1"/>
  <c r="T2896" i="1"/>
  <c r="R2896" i="1"/>
  <c r="Q2896" i="1"/>
  <c r="O2896" i="1"/>
  <c r="N2896" i="1"/>
  <c r="S2896" i="1" s="1"/>
  <c r="M2896" i="1"/>
  <c r="P2896" i="1" s="1"/>
  <c r="L2896" i="1"/>
  <c r="V2895" i="1"/>
  <c r="R2895" i="1"/>
  <c r="Q2895" i="1"/>
  <c r="P2895" i="1"/>
  <c r="O2895" i="1"/>
  <c r="N2895" i="1"/>
  <c r="S2895" i="1" s="1"/>
  <c r="M2895" i="1"/>
  <c r="L2895" i="1"/>
  <c r="W2894" i="1"/>
  <c r="V2894" i="1"/>
  <c r="U2894" i="1"/>
  <c r="T2894" i="1"/>
  <c r="S2894" i="1"/>
  <c r="R2894" i="1"/>
  <c r="Q2894" i="1"/>
  <c r="N2894" i="1"/>
  <c r="O2894" i="1" s="1"/>
  <c r="M2894" i="1"/>
  <c r="P2894" i="1" s="1"/>
  <c r="L2894" i="1"/>
  <c r="V2893" i="1"/>
  <c r="U2893" i="1"/>
  <c r="T2893" i="1"/>
  <c r="S2893" i="1"/>
  <c r="Q2893" i="1"/>
  <c r="N2893" i="1"/>
  <c r="O2893" i="1" s="1"/>
  <c r="M2893" i="1"/>
  <c r="L2893" i="1"/>
  <c r="W2893" i="1" s="1"/>
  <c r="N2892" i="1"/>
  <c r="M2892" i="1"/>
  <c r="L2892" i="1"/>
  <c r="W2891" i="1"/>
  <c r="V2891" i="1"/>
  <c r="U2891" i="1"/>
  <c r="T2891" i="1"/>
  <c r="R2891" i="1"/>
  <c r="Q2891" i="1"/>
  <c r="P2891" i="1"/>
  <c r="N2891" i="1"/>
  <c r="M2891" i="1"/>
  <c r="L2891" i="1"/>
  <c r="V2890" i="1"/>
  <c r="O2890" i="1"/>
  <c r="N2890" i="1"/>
  <c r="S2890" i="1" s="1"/>
  <c r="M2890" i="1"/>
  <c r="R2890" i="1" s="1"/>
  <c r="L2890" i="1"/>
  <c r="W2889" i="1"/>
  <c r="V2889" i="1"/>
  <c r="U2889" i="1"/>
  <c r="T2889" i="1"/>
  <c r="R2889" i="1"/>
  <c r="Q2889" i="1"/>
  <c r="N2889" i="1"/>
  <c r="O2889" i="1" s="1"/>
  <c r="M2889" i="1"/>
  <c r="P2889" i="1" s="1"/>
  <c r="L2889" i="1"/>
  <c r="T2888" i="1"/>
  <c r="N2888" i="1"/>
  <c r="O2888" i="1" s="1"/>
  <c r="M2888" i="1"/>
  <c r="R2888" i="1" s="1"/>
  <c r="L2888" i="1"/>
  <c r="N2887" i="1"/>
  <c r="M2887" i="1"/>
  <c r="L2887" i="1"/>
  <c r="W2886" i="1"/>
  <c r="V2886" i="1"/>
  <c r="U2886" i="1"/>
  <c r="T2886" i="1"/>
  <c r="Q2886" i="1"/>
  <c r="N2886" i="1"/>
  <c r="S2886" i="1" s="1"/>
  <c r="M2886" i="1"/>
  <c r="R2886" i="1" s="1"/>
  <c r="L2886" i="1"/>
  <c r="R2885" i="1"/>
  <c r="O2885" i="1"/>
  <c r="N2885" i="1"/>
  <c r="S2885" i="1" s="1"/>
  <c r="M2885" i="1"/>
  <c r="P2885" i="1" s="1"/>
  <c r="L2885" i="1"/>
  <c r="W2884" i="1"/>
  <c r="V2884" i="1"/>
  <c r="U2884" i="1"/>
  <c r="T2884" i="1"/>
  <c r="S2884" i="1"/>
  <c r="R2884" i="1"/>
  <c r="Q2884" i="1"/>
  <c r="N2884" i="1"/>
  <c r="O2884" i="1" s="1"/>
  <c r="M2884" i="1"/>
  <c r="P2884" i="1" s="1"/>
  <c r="L2884" i="1"/>
  <c r="P2883" i="1"/>
  <c r="N2883" i="1"/>
  <c r="M2883" i="1"/>
  <c r="R2883" i="1" s="1"/>
  <c r="L2883" i="1"/>
  <c r="W2882" i="1"/>
  <c r="V2882" i="1"/>
  <c r="U2882" i="1"/>
  <c r="N2882" i="1"/>
  <c r="M2882" i="1"/>
  <c r="L2882" i="1"/>
  <c r="W2881" i="1"/>
  <c r="V2881" i="1"/>
  <c r="U2881" i="1"/>
  <c r="T2881" i="1"/>
  <c r="R2881" i="1"/>
  <c r="Q2881" i="1"/>
  <c r="N2881" i="1"/>
  <c r="S2881" i="1" s="1"/>
  <c r="M2881" i="1"/>
  <c r="P2881" i="1" s="1"/>
  <c r="L2881" i="1"/>
  <c r="V2880" i="1"/>
  <c r="R2880" i="1"/>
  <c r="Q2880" i="1"/>
  <c r="P2880" i="1"/>
  <c r="O2880" i="1"/>
  <c r="N2880" i="1"/>
  <c r="S2880" i="1" s="1"/>
  <c r="M2880" i="1"/>
  <c r="L2880" i="1"/>
  <c r="W2879" i="1"/>
  <c r="V2879" i="1"/>
  <c r="U2879" i="1"/>
  <c r="T2879" i="1"/>
  <c r="S2879" i="1"/>
  <c r="R2879" i="1"/>
  <c r="Q2879" i="1"/>
  <c r="N2879" i="1"/>
  <c r="O2879" i="1" s="1"/>
  <c r="M2879" i="1"/>
  <c r="P2879" i="1" s="1"/>
  <c r="L2879" i="1"/>
  <c r="V2878" i="1"/>
  <c r="U2878" i="1"/>
  <c r="T2878" i="1"/>
  <c r="S2878" i="1"/>
  <c r="R2878" i="1"/>
  <c r="Q2878" i="1"/>
  <c r="P2878" i="1"/>
  <c r="N2878" i="1"/>
  <c r="O2878" i="1" s="1"/>
  <c r="M2878" i="1"/>
  <c r="L2878" i="1"/>
  <c r="W2878" i="1" s="1"/>
  <c r="R2877" i="1"/>
  <c r="N2877" i="1"/>
  <c r="M2877" i="1"/>
  <c r="P2877" i="1" s="1"/>
  <c r="L2877" i="1"/>
  <c r="W2876" i="1"/>
  <c r="V2876" i="1"/>
  <c r="U2876" i="1"/>
  <c r="T2876" i="1"/>
  <c r="S2876" i="1"/>
  <c r="Q2876" i="1"/>
  <c r="P2876" i="1"/>
  <c r="O2876" i="1"/>
  <c r="N2876" i="1"/>
  <c r="M2876" i="1"/>
  <c r="R2876" i="1" s="1"/>
  <c r="L2876" i="1"/>
  <c r="N2875" i="1"/>
  <c r="M2875" i="1"/>
  <c r="R2875" i="1" s="1"/>
  <c r="L2875" i="1"/>
  <c r="W2874" i="1"/>
  <c r="V2874" i="1"/>
  <c r="U2874" i="1"/>
  <c r="T2874" i="1"/>
  <c r="S2874" i="1"/>
  <c r="R2874" i="1"/>
  <c r="Q2874" i="1"/>
  <c r="N2874" i="1"/>
  <c r="O2874" i="1" s="1"/>
  <c r="M2874" i="1"/>
  <c r="P2874" i="1" s="1"/>
  <c r="L2874" i="1"/>
  <c r="P2873" i="1"/>
  <c r="O2873" i="1"/>
  <c r="N2873" i="1"/>
  <c r="S2873" i="1" s="1"/>
  <c r="M2873" i="1"/>
  <c r="R2873" i="1" s="1"/>
  <c r="L2873" i="1"/>
  <c r="W2872" i="1"/>
  <c r="V2872" i="1"/>
  <c r="U2872" i="1"/>
  <c r="R2872" i="1"/>
  <c r="N2872" i="1"/>
  <c r="M2872" i="1"/>
  <c r="P2872" i="1" s="1"/>
  <c r="L2872" i="1"/>
  <c r="W2871" i="1"/>
  <c r="V2871" i="1"/>
  <c r="U2871" i="1"/>
  <c r="T2871" i="1"/>
  <c r="Q2871" i="1"/>
  <c r="N2871" i="1"/>
  <c r="M2871" i="1"/>
  <c r="R2871" i="1" s="1"/>
  <c r="L2871" i="1"/>
  <c r="V2870" i="1"/>
  <c r="R2870" i="1"/>
  <c r="Q2870" i="1"/>
  <c r="P2870" i="1"/>
  <c r="O2870" i="1"/>
  <c r="N2870" i="1"/>
  <c r="S2870" i="1" s="1"/>
  <c r="M2870" i="1"/>
  <c r="L2870" i="1"/>
  <c r="W2869" i="1"/>
  <c r="V2869" i="1"/>
  <c r="U2869" i="1"/>
  <c r="T2869" i="1"/>
  <c r="R2869" i="1"/>
  <c r="Q2869" i="1"/>
  <c r="N2869" i="1"/>
  <c r="O2869" i="1" s="1"/>
  <c r="M2869" i="1"/>
  <c r="P2869" i="1" s="1"/>
  <c r="L2869" i="1"/>
  <c r="V2868" i="1"/>
  <c r="U2868" i="1"/>
  <c r="T2868" i="1"/>
  <c r="S2868" i="1"/>
  <c r="R2868" i="1"/>
  <c r="Q2868" i="1"/>
  <c r="P2868" i="1"/>
  <c r="O2868" i="1"/>
  <c r="N2868" i="1"/>
  <c r="M2868" i="1"/>
  <c r="L2868" i="1"/>
  <c r="W2868" i="1" s="1"/>
  <c r="V2867" i="1"/>
  <c r="N2867" i="1"/>
  <c r="M2867" i="1"/>
  <c r="P2867" i="1" s="1"/>
  <c r="L2867" i="1"/>
  <c r="W2866" i="1"/>
  <c r="V2866" i="1"/>
  <c r="U2866" i="1"/>
  <c r="T2866" i="1"/>
  <c r="R2866" i="1"/>
  <c r="Q2866" i="1"/>
  <c r="P2866" i="1"/>
  <c r="N2866" i="1"/>
  <c r="M2866" i="1"/>
  <c r="L2866" i="1"/>
  <c r="Q2865" i="1"/>
  <c r="N2865" i="1"/>
  <c r="S2865" i="1" s="1"/>
  <c r="M2865" i="1"/>
  <c r="R2865" i="1" s="1"/>
  <c r="L2865" i="1"/>
  <c r="W2864" i="1"/>
  <c r="V2864" i="1"/>
  <c r="U2864" i="1"/>
  <c r="T2864" i="1"/>
  <c r="R2864" i="1"/>
  <c r="Q2864" i="1"/>
  <c r="N2864" i="1"/>
  <c r="M2864" i="1"/>
  <c r="P2864" i="1" s="1"/>
  <c r="L2864" i="1"/>
  <c r="V2863" i="1"/>
  <c r="U2863" i="1"/>
  <c r="R2863" i="1"/>
  <c r="N2863" i="1"/>
  <c r="S2863" i="1" s="1"/>
  <c r="M2863" i="1"/>
  <c r="P2863" i="1" s="1"/>
  <c r="L2863" i="1"/>
  <c r="W2863" i="1" s="1"/>
  <c r="W2862" i="1"/>
  <c r="R2862" i="1"/>
  <c r="N2862" i="1"/>
  <c r="M2862" i="1"/>
  <c r="P2862" i="1" s="1"/>
  <c r="L2862" i="1"/>
  <c r="W2861" i="1"/>
  <c r="V2861" i="1"/>
  <c r="U2861" i="1"/>
  <c r="T2861" i="1"/>
  <c r="S2861" i="1"/>
  <c r="Q2861" i="1"/>
  <c r="N2861" i="1"/>
  <c r="O2861" i="1" s="1"/>
  <c r="M2861" i="1"/>
  <c r="R2861" i="1" s="1"/>
  <c r="L2861" i="1"/>
  <c r="O2860" i="1"/>
  <c r="N2860" i="1"/>
  <c r="S2860" i="1" s="1"/>
  <c r="M2860" i="1"/>
  <c r="L2860" i="1"/>
  <c r="W2859" i="1"/>
  <c r="V2859" i="1"/>
  <c r="U2859" i="1"/>
  <c r="T2859" i="1"/>
  <c r="S2859" i="1"/>
  <c r="R2859" i="1"/>
  <c r="Q2859" i="1"/>
  <c r="N2859" i="1"/>
  <c r="O2859" i="1" s="1"/>
  <c r="M2859" i="1"/>
  <c r="P2859" i="1" s="1"/>
  <c r="L2859" i="1"/>
  <c r="S2858" i="1"/>
  <c r="N2858" i="1"/>
  <c r="O2858" i="1" s="1"/>
  <c r="M2858" i="1"/>
  <c r="L2858" i="1"/>
  <c r="W2857" i="1"/>
  <c r="V2857" i="1"/>
  <c r="U2857" i="1"/>
  <c r="N2857" i="1"/>
  <c r="M2857" i="1"/>
  <c r="L2857" i="1"/>
  <c r="W2856" i="1"/>
  <c r="V2856" i="1"/>
  <c r="U2856" i="1"/>
  <c r="T2856" i="1"/>
  <c r="R2856" i="1"/>
  <c r="Q2856" i="1"/>
  <c r="N2856" i="1"/>
  <c r="S2856" i="1" s="1"/>
  <c r="M2856" i="1"/>
  <c r="P2856" i="1" s="1"/>
  <c r="L2856" i="1"/>
  <c r="V2855" i="1"/>
  <c r="Q2855" i="1"/>
  <c r="O2855" i="1"/>
  <c r="N2855" i="1"/>
  <c r="S2855" i="1" s="1"/>
  <c r="M2855" i="1"/>
  <c r="L2855" i="1"/>
  <c r="W2854" i="1"/>
  <c r="V2854" i="1"/>
  <c r="U2854" i="1"/>
  <c r="T2854" i="1"/>
  <c r="S2854" i="1"/>
  <c r="R2854" i="1"/>
  <c r="Q2854" i="1"/>
  <c r="N2854" i="1"/>
  <c r="O2854" i="1" s="1"/>
  <c r="M2854" i="1"/>
  <c r="P2854" i="1" s="1"/>
  <c r="L2854" i="1"/>
  <c r="V2853" i="1"/>
  <c r="U2853" i="1"/>
  <c r="T2853" i="1"/>
  <c r="S2853" i="1"/>
  <c r="R2853" i="1"/>
  <c r="Q2853" i="1"/>
  <c r="P2853" i="1"/>
  <c r="N2853" i="1"/>
  <c r="O2853" i="1" s="1"/>
  <c r="M2853" i="1"/>
  <c r="L2853" i="1"/>
  <c r="W2853" i="1" s="1"/>
  <c r="Q2852" i="1"/>
  <c r="N2852" i="1"/>
  <c r="M2852" i="1"/>
  <c r="L2852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N2850" i="1"/>
  <c r="M2850" i="1"/>
  <c r="L2850" i="1"/>
  <c r="W2849" i="1"/>
  <c r="V2849" i="1"/>
  <c r="U2849" i="1"/>
  <c r="T2849" i="1"/>
  <c r="S2849" i="1"/>
  <c r="R2849" i="1"/>
  <c r="Q2849" i="1"/>
  <c r="N2849" i="1"/>
  <c r="O2849" i="1" s="1"/>
  <c r="M2849" i="1"/>
  <c r="P2849" i="1" s="1"/>
  <c r="L2849" i="1"/>
  <c r="P2848" i="1"/>
  <c r="N2848" i="1"/>
  <c r="S2848" i="1" s="1"/>
  <c r="M2848" i="1"/>
  <c r="R2848" i="1" s="1"/>
  <c r="L2848" i="1"/>
  <c r="W2847" i="1"/>
  <c r="V2847" i="1"/>
  <c r="U2847" i="1"/>
  <c r="R2847" i="1"/>
  <c r="Q2847" i="1"/>
  <c r="P2847" i="1"/>
  <c r="N2847" i="1"/>
  <c r="M2847" i="1"/>
  <c r="L2847" i="1"/>
  <c r="T2847" i="1" s="1"/>
  <c r="W2846" i="1"/>
  <c r="V2846" i="1"/>
  <c r="U2846" i="1"/>
  <c r="T2846" i="1"/>
  <c r="Q2846" i="1"/>
  <c r="N2846" i="1"/>
  <c r="M2846" i="1"/>
  <c r="L2846" i="1"/>
  <c r="V2845" i="1"/>
  <c r="U2845" i="1"/>
  <c r="Q2845" i="1"/>
  <c r="N2845" i="1"/>
  <c r="S2845" i="1" s="1"/>
  <c r="M2845" i="1"/>
  <c r="R2845" i="1" s="1"/>
  <c r="L2845" i="1"/>
  <c r="W2845" i="1" s="1"/>
  <c r="V2844" i="1"/>
  <c r="R2844" i="1"/>
  <c r="Q2844" i="1"/>
  <c r="N2844" i="1"/>
  <c r="M2844" i="1"/>
  <c r="P2844" i="1" s="1"/>
  <c r="L2844" i="1"/>
  <c r="V2843" i="1"/>
  <c r="U2843" i="1"/>
  <c r="R2843" i="1"/>
  <c r="N2843" i="1"/>
  <c r="S2843" i="1" s="1"/>
  <c r="M2843" i="1"/>
  <c r="P2843" i="1" s="1"/>
  <c r="L2843" i="1"/>
  <c r="W2843" i="1" s="1"/>
  <c r="N2842" i="1"/>
  <c r="S2842" i="1" s="1"/>
  <c r="M2842" i="1"/>
  <c r="R2842" i="1" s="1"/>
  <c r="L2842" i="1"/>
  <c r="W2841" i="1"/>
  <c r="V2841" i="1"/>
  <c r="U2841" i="1"/>
  <c r="T2841" i="1"/>
  <c r="Q2841" i="1"/>
  <c r="N2841" i="1"/>
  <c r="S2841" i="1" s="1"/>
  <c r="M2841" i="1"/>
  <c r="L2841" i="1"/>
  <c r="V2840" i="1"/>
  <c r="U2840" i="1"/>
  <c r="T2840" i="1"/>
  <c r="S2840" i="1"/>
  <c r="R2840" i="1"/>
  <c r="Q2840" i="1"/>
  <c r="P2840" i="1"/>
  <c r="N2840" i="1"/>
  <c r="O2840" i="1" s="1"/>
  <c r="M2840" i="1"/>
  <c r="L2840" i="1"/>
  <c r="W2840" i="1" s="1"/>
  <c r="W2839" i="1"/>
  <c r="Q2839" i="1"/>
  <c r="N2839" i="1"/>
  <c r="M2839" i="1"/>
  <c r="P2839" i="1" s="1"/>
  <c r="L2839" i="1"/>
  <c r="V2839" i="1" s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N2837" i="1"/>
  <c r="S2837" i="1" s="1"/>
  <c r="M2837" i="1"/>
  <c r="R2837" i="1" s="1"/>
  <c r="L2837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N2835" i="1"/>
  <c r="M2835" i="1"/>
  <c r="L2835" i="1"/>
  <c r="W2834" i="1"/>
  <c r="V2834" i="1"/>
  <c r="U2834" i="1"/>
  <c r="S2834" i="1"/>
  <c r="R2834" i="1"/>
  <c r="N2834" i="1"/>
  <c r="O2834" i="1" s="1"/>
  <c r="M2834" i="1"/>
  <c r="P2834" i="1" s="1"/>
  <c r="L2834" i="1"/>
  <c r="T2834" i="1" s="1"/>
  <c r="R2833" i="1"/>
  <c r="Q2833" i="1"/>
  <c r="P2833" i="1"/>
  <c r="N2833" i="1"/>
  <c r="M2833" i="1"/>
  <c r="L2833" i="1"/>
  <c r="W2832" i="1"/>
  <c r="R2832" i="1"/>
  <c r="N2832" i="1"/>
  <c r="S2832" i="1" s="1"/>
  <c r="M2832" i="1"/>
  <c r="P2832" i="1" s="1"/>
  <c r="L2832" i="1"/>
  <c r="T2832" i="1" s="1"/>
  <c r="W2831" i="1"/>
  <c r="V2831" i="1"/>
  <c r="U2831" i="1"/>
  <c r="T2831" i="1"/>
  <c r="S2831" i="1"/>
  <c r="Q2831" i="1"/>
  <c r="O2831" i="1"/>
  <c r="N2831" i="1"/>
  <c r="M2831" i="1"/>
  <c r="L2831" i="1"/>
  <c r="U2830" i="1"/>
  <c r="N2830" i="1"/>
  <c r="M2830" i="1"/>
  <c r="R2830" i="1" s="1"/>
  <c r="L2830" i="1"/>
  <c r="W2830" i="1" s="1"/>
  <c r="W2829" i="1"/>
  <c r="V2829" i="1"/>
  <c r="U2829" i="1"/>
  <c r="T2829" i="1"/>
  <c r="S2829" i="1"/>
  <c r="R2829" i="1"/>
  <c r="Q2829" i="1"/>
  <c r="P2829" i="1"/>
  <c r="N2829" i="1"/>
  <c r="O2829" i="1" s="1"/>
  <c r="M2829" i="1"/>
  <c r="L2829" i="1"/>
  <c r="N2828" i="1"/>
  <c r="M2828" i="1"/>
  <c r="L2828" i="1"/>
  <c r="W2827" i="1"/>
  <c r="V2827" i="1"/>
  <c r="U2827" i="1"/>
  <c r="T2827" i="1"/>
  <c r="R2827" i="1"/>
  <c r="Q2827" i="1"/>
  <c r="P2827" i="1"/>
  <c r="O2827" i="1"/>
  <c r="N2827" i="1"/>
  <c r="S2827" i="1" s="1"/>
  <c r="M2827" i="1"/>
  <c r="L2827" i="1"/>
  <c r="P2826" i="1"/>
  <c r="O2826" i="1"/>
  <c r="N2826" i="1"/>
  <c r="S2826" i="1" s="1"/>
  <c r="M2826" i="1"/>
  <c r="R2826" i="1" s="1"/>
  <c r="L2826" i="1"/>
  <c r="V2825" i="1"/>
  <c r="U2825" i="1"/>
  <c r="R2825" i="1"/>
  <c r="N2825" i="1"/>
  <c r="M2825" i="1"/>
  <c r="P2825" i="1" s="1"/>
  <c r="L2825" i="1"/>
  <c r="W2825" i="1" s="1"/>
  <c r="W2824" i="1"/>
  <c r="V2824" i="1"/>
  <c r="U2824" i="1"/>
  <c r="T2824" i="1"/>
  <c r="S2824" i="1"/>
  <c r="R2824" i="1"/>
  <c r="Q2824" i="1"/>
  <c r="P2824" i="1"/>
  <c r="N2824" i="1"/>
  <c r="O2824" i="1" s="1"/>
  <c r="M2824" i="1"/>
  <c r="L2824" i="1"/>
  <c r="R2823" i="1"/>
  <c r="P2823" i="1"/>
  <c r="O2823" i="1"/>
  <c r="N2823" i="1"/>
  <c r="S2823" i="1" s="1"/>
  <c r="M2823" i="1"/>
  <c r="L2823" i="1"/>
  <c r="W2822" i="1"/>
  <c r="V2822" i="1"/>
  <c r="U2822" i="1"/>
  <c r="T2822" i="1"/>
  <c r="S2822" i="1"/>
  <c r="R2822" i="1"/>
  <c r="Q2822" i="1"/>
  <c r="P2822" i="1"/>
  <c r="N2822" i="1"/>
  <c r="O2822" i="1" s="1"/>
  <c r="M2822" i="1"/>
  <c r="L2822" i="1"/>
  <c r="O2821" i="1"/>
  <c r="N2821" i="1"/>
  <c r="S2821" i="1" s="1"/>
  <c r="M2821" i="1"/>
  <c r="L2821" i="1"/>
  <c r="W2820" i="1"/>
  <c r="V2820" i="1"/>
  <c r="U2820" i="1"/>
  <c r="R2820" i="1"/>
  <c r="N2820" i="1"/>
  <c r="M2820" i="1"/>
  <c r="P2820" i="1" s="1"/>
  <c r="L2820" i="1"/>
  <c r="T2820" i="1" s="1"/>
  <c r="W2819" i="1"/>
  <c r="V2819" i="1"/>
  <c r="U2819" i="1"/>
  <c r="T2819" i="1"/>
  <c r="R2819" i="1"/>
  <c r="Q2819" i="1"/>
  <c r="N2819" i="1"/>
  <c r="M2819" i="1"/>
  <c r="P2819" i="1" s="1"/>
  <c r="L2819" i="1"/>
  <c r="R2818" i="1"/>
  <c r="P2818" i="1"/>
  <c r="O2818" i="1"/>
  <c r="N2818" i="1"/>
  <c r="S2818" i="1" s="1"/>
  <c r="M2818" i="1"/>
  <c r="L2818" i="1"/>
  <c r="W2817" i="1"/>
  <c r="V2817" i="1"/>
  <c r="U2817" i="1"/>
  <c r="T2817" i="1"/>
  <c r="S2817" i="1"/>
  <c r="R2817" i="1"/>
  <c r="Q2817" i="1"/>
  <c r="P2817" i="1"/>
  <c r="N2817" i="1"/>
  <c r="O2817" i="1" s="1"/>
  <c r="M2817" i="1"/>
  <c r="L2817" i="1"/>
  <c r="V2816" i="1"/>
  <c r="S2816" i="1"/>
  <c r="P2816" i="1"/>
  <c r="O2816" i="1"/>
  <c r="N2816" i="1"/>
  <c r="M2816" i="1"/>
  <c r="R2816" i="1" s="1"/>
  <c r="L2816" i="1"/>
  <c r="W2815" i="1"/>
  <c r="V2815" i="1"/>
  <c r="U2815" i="1"/>
  <c r="R2815" i="1"/>
  <c r="N2815" i="1"/>
  <c r="M2815" i="1"/>
  <c r="P2815" i="1" s="1"/>
  <c r="L2815" i="1"/>
  <c r="T2815" i="1" s="1"/>
  <c r="W2814" i="1"/>
  <c r="V2814" i="1"/>
  <c r="U2814" i="1"/>
  <c r="T2814" i="1"/>
  <c r="R2814" i="1"/>
  <c r="Q2814" i="1"/>
  <c r="P2814" i="1"/>
  <c r="N2814" i="1"/>
  <c r="S2814" i="1" s="1"/>
  <c r="M2814" i="1"/>
  <c r="L2814" i="1"/>
  <c r="R2813" i="1"/>
  <c r="P2813" i="1"/>
  <c r="O2813" i="1"/>
  <c r="N2813" i="1"/>
  <c r="S2813" i="1" s="1"/>
  <c r="M2813" i="1"/>
  <c r="L2813" i="1"/>
  <c r="W2812" i="1"/>
  <c r="V2812" i="1"/>
  <c r="U2812" i="1"/>
  <c r="T2812" i="1"/>
  <c r="R2812" i="1"/>
  <c r="Q2812" i="1"/>
  <c r="P2812" i="1"/>
  <c r="N2812" i="1"/>
  <c r="M2812" i="1"/>
  <c r="L2812" i="1"/>
  <c r="N2811" i="1"/>
  <c r="S2811" i="1" s="1"/>
  <c r="M2811" i="1"/>
  <c r="L2811" i="1"/>
  <c r="W2810" i="1"/>
  <c r="V2810" i="1"/>
  <c r="U2810" i="1"/>
  <c r="R2810" i="1"/>
  <c r="N2810" i="1"/>
  <c r="M2810" i="1"/>
  <c r="P2810" i="1" s="1"/>
  <c r="L2810" i="1"/>
  <c r="T2810" i="1" s="1"/>
  <c r="W2809" i="1"/>
  <c r="V2809" i="1"/>
  <c r="U2809" i="1"/>
  <c r="T2809" i="1"/>
  <c r="R2809" i="1"/>
  <c r="Q2809" i="1"/>
  <c r="N2809" i="1"/>
  <c r="M2809" i="1"/>
  <c r="P2809" i="1" s="1"/>
  <c r="L2809" i="1"/>
  <c r="V2808" i="1"/>
  <c r="R2808" i="1"/>
  <c r="P2808" i="1"/>
  <c r="O2808" i="1"/>
  <c r="N2808" i="1"/>
  <c r="S2808" i="1" s="1"/>
  <c r="M2808" i="1"/>
  <c r="L2808" i="1"/>
  <c r="W2807" i="1"/>
  <c r="V2807" i="1"/>
  <c r="U2807" i="1"/>
  <c r="T2807" i="1"/>
  <c r="S2807" i="1"/>
  <c r="R2807" i="1"/>
  <c r="Q2807" i="1"/>
  <c r="P2807" i="1"/>
  <c r="N2807" i="1"/>
  <c r="O2807" i="1" s="1"/>
  <c r="M2807" i="1"/>
  <c r="L2807" i="1"/>
  <c r="S2806" i="1"/>
  <c r="P2806" i="1"/>
  <c r="O2806" i="1"/>
  <c r="N2806" i="1"/>
  <c r="M2806" i="1"/>
  <c r="R2806" i="1" s="1"/>
  <c r="L2806" i="1"/>
  <c r="V2806" i="1" s="1"/>
  <c r="R2805" i="1"/>
  <c r="N2805" i="1"/>
  <c r="M2805" i="1"/>
  <c r="P2805" i="1" s="1"/>
  <c r="L2805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R2803" i="1"/>
  <c r="P2803" i="1"/>
  <c r="O2803" i="1"/>
  <c r="N2803" i="1"/>
  <c r="S2803" i="1" s="1"/>
  <c r="M2803" i="1"/>
  <c r="L2803" i="1"/>
  <c r="W2802" i="1"/>
  <c r="V2802" i="1"/>
  <c r="U2802" i="1"/>
  <c r="T2802" i="1"/>
  <c r="R2802" i="1"/>
  <c r="Q2802" i="1"/>
  <c r="P2802" i="1"/>
  <c r="N2802" i="1"/>
  <c r="M2802" i="1"/>
  <c r="L2802" i="1"/>
  <c r="S2801" i="1"/>
  <c r="N2801" i="1"/>
  <c r="O2801" i="1" s="1"/>
  <c r="M2801" i="1"/>
  <c r="L2801" i="1"/>
  <c r="R2800" i="1"/>
  <c r="N2800" i="1"/>
  <c r="M2800" i="1"/>
  <c r="P2800" i="1" s="1"/>
  <c r="L2800" i="1"/>
  <c r="W2799" i="1"/>
  <c r="V2799" i="1"/>
  <c r="U2799" i="1"/>
  <c r="T2799" i="1"/>
  <c r="S2799" i="1"/>
  <c r="R2799" i="1"/>
  <c r="Q2799" i="1"/>
  <c r="P2799" i="1"/>
  <c r="N2799" i="1"/>
  <c r="O2799" i="1" s="1"/>
  <c r="M2799" i="1"/>
  <c r="L2799" i="1"/>
  <c r="V2798" i="1"/>
  <c r="R2798" i="1"/>
  <c r="P2798" i="1"/>
  <c r="O2798" i="1"/>
  <c r="N2798" i="1"/>
  <c r="S2798" i="1" s="1"/>
  <c r="M2798" i="1"/>
  <c r="L2798" i="1"/>
  <c r="W2797" i="1"/>
  <c r="V2797" i="1"/>
  <c r="U2797" i="1"/>
  <c r="T2797" i="1"/>
  <c r="R2797" i="1"/>
  <c r="Q2797" i="1"/>
  <c r="P2797" i="1"/>
  <c r="N2797" i="1"/>
  <c r="M2797" i="1"/>
  <c r="L2797" i="1"/>
  <c r="T2796" i="1"/>
  <c r="S2796" i="1"/>
  <c r="Q2796" i="1"/>
  <c r="P2796" i="1"/>
  <c r="O2796" i="1"/>
  <c r="N2796" i="1"/>
  <c r="M2796" i="1"/>
  <c r="R2796" i="1" s="1"/>
  <c r="L2796" i="1"/>
  <c r="W2795" i="1"/>
  <c r="V2795" i="1"/>
  <c r="U2795" i="1"/>
  <c r="R2795" i="1"/>
  <c r="N2795" i="1"/>
  <c r="M2795" i="1"/>
  <c r="P2795" i="1" s="1"/>
  <c r="L2795" i="1"/>
  <c r="W2794" i="1"/>
  <c r="V2794" i="1"/>
  <c r="U2794" i="1"/>
  <c r="T2794" i="1"/>
  <c r="R2794" i="1"/>
  <c r="Q2794" i="1"/>
  <c r="P2794" i="1"/>
  <c r="O2794" i="1"/>
  <c r="N2794" i="1"/>
  <c r="S2794" i="1" s="1"/>
  <c r="M2794" i="1"/>
  <c r="L2794" i="1"/>
  <c r="O2793" i="1"/>
  <c r="N2793" i="1"/>
  <c r="S2793" i="1" s="1"/>
  <c r="M2793" i="1"/>
  <c r="L2793" i="1"/>
  <c r="W2792" i="1"/>
  <c r="V2792" i="1"/>
  <c r="U2792" i="1"/>
  <c r="T2792" i="1"/>
  <c r="R2792" i="1"/>
  <c r="Q2792" i="1"/>
  <c r="P2792" i="1"/>
  <c r="N2792" i="1"/>
  <c r="M2792" i="1"/>
  <c r="L2792" i="1"/>
  <c r="Q2791" i="1"/>
  <c r="O2791" i="1"/>
  <c r="N2791" i="1"/>
  <c r="S2791" i="1" s="1"/>
  <c r="M2791" i="1"/>
  <c r="R2791" i="1" s="1"/>
  <c r="L2791" i="1"/>
  <c r="U2790" i="1"/>
  <c r="R2790" i="1"/>
  <c r="N2790" i="1"/>
  <c r="M2790" i="1"/>
  <c r="P2790" i="1" s="1"/>
  <c r="L2790" i="1"/>
  <c r="W2789" i="1"/>
  <c r="V2789" i="1"/>
  <c r="U2789" i="1"/>
  <c r="T2789" i="1"/>
  <c r="Q2789" i="1"/>
  <c r="P2789" i="1"/>
  <c r="O2789" i="1"/>
  <c r="N2789" i="1"/>
  <c r="S2789" i="1" s="1"/>
  <c r="M2789" i="1"/>
  <c r="R2789" i="1" s="1"/>
  <c r="L2789" i="1"/>
  <c r="V2788" i="1"/>
  <c r="R2788" i="1"/>
  <c r="O2788" i="1"/>
  <c r="N2788" i="1"/>
  <c r="S2788" i="1" s="1"/>
  <c r="M2788" i="1"/>
  <c r="P2788" i="1" s="1"/>
  <c r="L2788" i="1"/>
  <c r="W2787" i="1"/>
  <c r="V2787" i="1"/>
  <c r="U2787" i="1"/>
  <c r="T2787" i="1"/>
  <c r="R2787" i="1"/>
  <c r="Q2787" i="1"/>
  <c r="P2787" i="1"/>
  <c r="N2787" i="1"/>
  <c r="M2787" i="1"/>
  <c r="L2787" i="1"/>
  <c r="T2786" i="1"/>
  <c r="S2786" i="1"/>
  <c r="R2786" i="1"/>
  <c r="P2786" i="1"/>
  <c r="N2786" i="1"/>
  <c r="O2786" i="1" s="1"/>
  <c r="M2786" i="1"/>
  <c r="L2786" i="1"/>
  <c r="W2785" i="1"/>
  <c r="V2785" i="1"/>
  <c r="U2785" i="1"/>
  <c r="R2785" i="1"/>
  <c r="N2785" i="1"/>
  <c r="M2785" i="1"/>
  <c r="P2785" i="1" s="1"/>
  <c r="L2785" i="1"/>
  <c r="W2784" i="1"/>
  <c r="V2784" i="1"/>
  <c r="U2784" i="1"/>
  <c r="T2784" i="1"/>
  <c r="S2784" i="1"/>
  <c r="R2784" i="1"/>
  <c r="Q2784" i="1"/>
  <c r="O2784" i="1"/>
  <c r="N2784" i="1"/>
  <c r="M2784" i="1"/>
  <c r="P2784" i="1" s="1"/>
  <c r="L2784" i="1"/>
  <c r="V2783" i="1"/>
  <c r="R2783" i="1"/>
  <c r="P2783" i="1"/>
  <c r="N2783" i="1"/>
  <c r="S2783" i="1" s="1"/>
  <c r="M2783" i="1"/>
  <c r="L2783" i="1"/>
  <c r="W2782" i="1"/>
  <c r="V2782" i="1"/>
  <c r="U2782" i="1"/>
  <c r="T2782" i="1"/>
  <c r="S2782" i="1"/>
  <c r="R2782" i="1"/>
  <c r="Q2782" i="1"/>
  <c r="P2782" i="1"/>
  <c r="N2782" i="1"/>
  <c r="O2782" i="1" s="1"/>
  <c r="M2782" i="1"/>
  <c r="L2782" i="1"/>
  <c r="S2781" i="1"/>
  <c r="R2781" i="1"/>
  <c r="Q2781" i="1"/>
  <c r="P2781" i="1"/>
  <c r="O2781" i="1"/>
  <c r="N2781" i="1"/>
  <c r="M2781" i="1"/>
  <c r="L2781" i="1"/>
  <c r="W2780" i="1"/>
  <c r="V2780" i="1"/>
  <c r="U2780" i="1"/>
  <c r="R2780" i="1"/>
  <c r="N2780" i="1"/>
  <c r="M2780" i="1"/>
  <c r="P2780" i="1" s="1"/>
  <c r="L2780" i="1"/>
  <c r="W2779" i="1"/>
  <c r="V2779" i="1"/>
  <c r="U2779" i="1"/>
  <c r="T2779" i="1"/>
  <c r="R2779" i="1"/>
  <c r="Q2779" i="1"/>
  <c r="P2779" i="1"/>
  <c r="O2779" i="1"/>
  <c r="N2779" i="1"/>
  <c r="S2779" i="1" s="1"/>
  <c r="M2779" i="1"/>
  <c r="L2779" i="1"/>
  <c r="R2778" i="1"/>
  <c r="P2778" i="1"/>
  <c r="N2778" i="1"/>
  <c r="S2778" i="1" s="1"/>
  <c r="M2778" i="1"/>
  <c r="L2778" i="1"/>
  <c r="W2777" i="1"/>
  <c r="V2777" i="1"/>
  <c r="U2777" i="1"/>
  <c r="T2777" i="1"/>
  <c r="R2777" i="1"/>
  <c r="Q2777" i="1"/>
  <c r="P2777" i="1"/>
  <c r="N2777" i="1"/>
  <c r="M2777" i="1"/>
  <c r="L2777" i="1"/>
  <c r="V2776" i="1"/>
  <c r="T2776" i="1"/>
  <c r="R2776" i="1"/>
  <c r="Q2776" i="1"/>
  <c r="P2776" i="1"/>
  <c r="O2776" i="1"/>
  <c r="N2776" i="1"/>
  <c r="S2776" i="1" s="1"/>
  <c r="M2776" i="1"/>
  <c r="L2776" i="1"/>
  <c r="V2775" i="1"/>
  <c r="R2775" i="1"/>
  <c r="N2775" i="1"/>
  <c r="M2775" i="1"/>
  <c r="P2775" i="1" s="1"/>
  <c r="L2775" i="1"/>
  <c r="W2774" i="1"/>
  <c r="V2774" i="1"/>
  <c r="U2774" i="1"/>
  <c r="T2774" i="1"/>
  <c r="Q2774" i="1"/>
  <c r="O2774" i="1"/>
  <c r="N2774" i="1"/>
  <c r="S2774" i="1" s="1"/>
  <c r="M2774" i="1"/>
  <c r="R2774" i="1" s="1"/>
  <c r="L2774" i="1"/>
  <c r="P2773" i="1"/>
  <c r="N2773" i="1"/>
  <c r="S2773" i="1" s="1"/>
  <c r="M2773" i="1"/>
  <c r="R2773" i="1" s="1"/>
  <c r="L2773" i="1"/>
  <c r="W2772" i="1"/>
  <c r="V2772" i="1"/>
  <c r="U2772" i="1"/>
  <c r="T2772" i="1"/>
  <c r="R2772" i="1"/>
  <c r="Q2772" i="1"/>
  <c r="P2772" i="1"/>
  <c r="N2772" i="1"/>
  <c r="M2772" i="1"/>
  <c r="L2772" i="1"/>
  <c r="S2771" i="1"/>
  <c r="O2771" i="1"/>
  <c r="N2771" i="1"/>
  <c r="M2771" i="1"/>
  <c r="L2771" i="1"/>
  <c r="R2770" i="1"/>
  <c r="N2770" i="1"/>
  <c r="M2770" i="1"/>
  <c r="P2770" i="1" s="1"/>
  <c r="L2770" i="1"/>
  <c r="W2769" i="1"/>
  <c r="V2769" i="1"/>
  <c r="U2769" i="1"/>
  <c r="T2769" i="1"/>
  <c r="S2769" i="1"/>
  <c r="R2769" i="1"/>
  <c r="Q2769" i="1"/>
  <c r="P2769" i="1"/>
  <c r="N2769" i="1"/>
  <c r="O2769" i="1" s="1"/>
  <c r="M2769" i="1"/>
  <c r="L2769" i="1"/>
  <c r="V2768" i="1"/>
  <c r="R2768" i="1"/>
  <c r="P2768" i="1"/>
  <c r="O2768" i="1"/>
  <c r="N2768" i="1"/>
  <c r="S2768" i="1" s="1"/>
  <c r="M2768" i="1"/>
  <c r="L2768" i="1"/>
  <c r="W2767" i="1"/>
  <c r="V2767" i="1"/>
  <c r="U2767" i="1"/>
  <c r="T2767" i="1"/>
  <c r="R2767" i="1"/>
  <c r="Q2767" i="1"/>
  <c r="P2767" i="1"/>
  <c r="N2767" i="1"/>
  <c r="O2767" i="1" s="1"/>
  <c r="M2767" i="1"/>
  <c r="L2767" i="1"/>
  <c r="S2766" i="1"/>
  <c r="R2766" i="1"/>
  <c r="Q2766" i="1"/>
  <c r="P2766" i="1"/>
  <c r="N2766" i="1"/>
  <c r="O2766" i="1" s="1"/>
  <c r="M2766" i="1"/>
  <c r="L2766" i="1"/>
  <c r="W2765" i="1"/>
  <c r="V2765" i="1"/>
  <c r="U2765" i="1"/>
  <c r="R2765" i="1"/>
  <c r="N2765" i="1"/>
  <c r="M2765" i="1"/>
  <c r="P2765" i="1" s="1"/>
  <c r="L2765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V2763" i="1"/>
  <c r="R2763" i="1"/>
  <c r="P2763" i="1"/>
  <c r="O2763" i="1"/>
  <c r="N2763" i="1"/>
  <c r="S2763" i="1" s="1"/>
  <c r="M2763" i="1"/>
  <c r="L2763" i="1"/>
  <c r="W2762" i="1"/>
  <c r="V2762" i="1"/>
  <c r="U2762" i="1"/>
  <c r="T2762" i="1"/>
  <c r="R2762" i="1"/>
  <c r="Q2762" i="1"/>
  <c r="P2762" i="1"/>
  <c r="N2762" i="1"/>
  <c r="M2762" i="1"/>
  <c r="L2762" i="1"/>
  <c r="V2761" i="1"/>
  <c r="T2761" i="1"/>
  <c r="S2761" i="1"/>
  <c r="R2761" i="1"/>
  <c r="Q2761" i="1"/>
  <c r="P2761" i="1"/>
  <c r="O2761" i="1"/>
  <c r="N2761" i="1"/>
  <c r="M2761" i="1"/>
  <c r="L2761" i="1"/>
  <c r="W2760" i="1"/>
  <c r="R2760" i="1"/>
  <c r="N2760" i="1"/>
  <c r="M2760" i="1"/>
  <c r="P2760" i="1" s="1"/>
  <c r="L2760" i="1"/>
  <c r="W2759" i="1"/>
  <c r="V2759" i="1"/>
  <c r="U2759" i="1"/>
  <c r="T2759" i="1"/>
  <c r="R2759" i="1"/>
  <c r="Q2759" i="1"/>
  <c r="P2759" i="1"/>
  <c r="N2759" i="1"/>
  <c r="M2759" i="1"/>
  <c r="L2759" i="1"/>
  <c r="R2758" i="1"/>
  <c r="N2758" i="1"/>
  <c r="S2758" i="1" s="1"/>
  <c r="M2758" i="1"/>
  <c r="P2758" i="1" s="1"/>
  <c r="L2758" i="1"/>
  <c r="W2757" i="1"/>
  <c r="V2757" i="1"/>
  <c r="U2757" i="1"/>
  <c r="T2757" i="1"/>
  <c r="R2757" i="1"/>
  <c r="Q2757" i="1"/>
  <c r="P2757" i="1"/>
  <c r="N2757" i="1"/>
  <c r="M2757" i="1"/>
  <c r="L2757" i="1"/>
  <c r="R2756" i="1"/>
  <c r="N2756" i="1"/>
  <c r="M2756" i="1"/>
  <c r="P2756" i="1" s="1"/>
  <c r="L2756" i="1"/>
  <c r="W2755" i="1"/>
  <c r="V2755" i="1"/>
  <c r="R2755" i="1"/>
  <c r="N2755" i="1"/>
  <c r="M2755" i="1"/>
  <c r="P2755" i="1" s="1"/>
  <c r="L2755" i="1"/>
  <c r="V2754" i="1"/>
  <c r="N2754" i="1"/>
  <c r="M2754" i="1"/>
  <c r="P2754" i="1" s="1"/>
  <c r="L2754" i="1"/>
  <c r="O2753" i="1"/>
  <c r="N2753" i="1"/>
  <c r="S2753" i="1" s="1"/>
  <c r="M2753" i="1"/>
  <c r="L2753" i="1"/>
  <c r="W2752" i="1"/>
  <c r="V2752" i="1"/>
  <c r="U2752" i="1"/>
  <c r="T2752" i="1"/>
  <c r="S2752" i="1"/>
  <c r="R2752" i="1"/>
  <c r="Q2752" i="1"/>
  <c r="P2752" i="1"/>
  <c r="N2752" i="1"/>
  <c r="O2752" i="1" s="1"/>
  <c r="M2752" i="1"/>
  <c r="L2752" i="1"/>
  <c r="S2751" i="1"/>
  <c r="N2751" i="1"/>
  <c r="O2751" i="1" s="1"/>
  <c r="M2751" i="1"/>
  <c r="L2751" i="1"/>
  <c r="W2750" i="1"/>
  <c r="V2750" i="1"/>
  <c r="U2750" i="1"/>
  <c r="T2750" i="1"/>
  <c r="R2750" i="1"/>
  <c r="N2750" i="1"/>
  <c r="M2750" i="1"/>
  <c r="P2750" i="1" s="1"/>
  <c r="L2750" i="1"/>
  <c r="Q2750" i="1" s="1"/>
  <c r="S2749" i="1"/>
  <c r="N2749" i="1"/>
  <c r="O2749" i="1" s="1"/>
  <c r="M2749" i="1"/>
  <c r="P2749" i="1" s="1"/>
  <c r="L2749" i="1"/>
  <c r="V2749" i="1" s="1"/>
  <c r="V2748" i="1"/>
  <c r="O2748" i="1"/>
  <c r="N2748" i="1"/>
  <c r="S2748" i="1" s="1"/>
  <c r="M2748" i="1"/>
  <c r="L2748" i="1"/>
  <c r="W2747" i="1"/>
  <c r="V2747" i="1"/>
  <c r="U2747" i="1"/>
  <c r="T2747" i="1"/>
  <c r="S2747" i="1"/>
  <c r="R2747" i="1"/>
  <c r="Q2747" i="1"/>
  <c r="P2747" i="1"/>
  <c r="N2747" i="1"/>
  <c r="O2747" i="1" s="1"/>
  <c r="M2747" i="1"/>
  <c r="L2747" i="1"/>
  <c r="V2746" i="1"/>
  <c r="T2746" i="1"/>
  <c r="R2746" i="1"/>
  <c r="Q2746" i="1"/>
  <c r="P2746" i="1"/>
  <c r="N2746" i="1"/>
  <c r="M2746" i="1"/>
  <c r="L2746" i="1"/>
  <c r="V2745" i="1"/>
  <c r="U2745" i="1"/>
  <c r="T2745" i="1"/>
  <c r="R2745" i="1"/>
  <c r="N2745" i="1"/>
  <c r="M2745" i="1"/>
  <c r="P2745" i="1" s="1"/>
  <c r="L2745" i="1"/>
  <c r="Q2745" i="1" s="1"/>
  <c r="W2744" i="1"/>
  <c r="V2744" i="1"/>
  <c r="U2744" i="1"/>
  <c r="T2744" i="1"/>
  <c r="R2744" i="1"/>
  <c r="Q2744" i="1"/>
  <c r="P2744" i="1"/>
  <c r="N2744" i="1"/>
  <c r="O2744" i="1" s="1"/>
  <c r="M2744" i="1"/>
  <c r="L2744" i="1"/>
  <c r="V2743" i="1"/>
  <c r="O2743" i="1"/>
  <c r="N2743" i="1"/>
  <c r="S2743" i="1" s="1"/>
  <c r="M2743" i="1"/>
  <c r="L2743" i="1"/>
  <c r="W2742" i="1"/>
  <c r="V2742" i="1"/>
  <c r="U2742" i="1"/>
  <c r="T2742" i="1"/>
  <c r="S2742" i="1"/>
  <c r="R2742" i="1"/>
  <c r="Q2742" i="1"/>
  <c r="P2742" i="1"/>
  <c r="N2742" i="1"/>
  <c r="O2742" i="1" s="1"/>
  <c r="M2742" i="1"/>
  <c r="L2742" i="1"/>
  <c r="R2741" i="1"/>
  <c r="Q2741" i="1"/>
  <c r="P2741" i="1"/>
  <c r="N2741" i="1"/>
  <c r="S2741" i="1" s="1"/>
  <c r="M2741" i="1"/>
  <c r="L2741" i="1"/>
  <c r="W2740" i="1"/>
  <c r="V2740" i="1"/>
  <c r="U2740" i="1"/>
  <c r="T2740" i="1"/>
  <c r="R2740" i="1"/>
  <c r="N2740" i="1"/>
  <c r="M2740" i="1"/>
  <c r="P2740" i="1" s="1"/>
  <c r="L2740" i="1"/>
  <c r="Q2740" i="1" s="1"/>
  <c r="V2739" i="1"/>
  <c r="R2739" i="1"/>
  <c r="Q2739" i="1"/>
  <c r="P2739" i="1"/>
  <c r="N2739" i="1"/>
  <c r="M2739" i="1"/>
  <c r="L2739" i="1"/>
  <c r="W2739" i="1" s="1"/>
  <c r="O2738" i="1"/>
  <c r="N2738" i="1"/>
  <c r="S2738" i="1" s="1"/>
  <c r="M2738" i="1"/>
  <c r="L2738" i="1"/>
  <c r="W2737" i="1"/>
  <c r="V2737" i="1"/>
  <c r="U2737" i="1"/>
  <c r="T2737" i="1"/>
  <c r="R2737" i="1"/>
  <c r="Q2737" i="1"/>
  <c r="P2737" i="1"/>
  <c r="N2737" i="1"/>
  <c r="M2737" i="1"/>
  <c r="L2737" i="1"/>
  <c r="V2736" i="1"/>
  <c r="T2736" i="1"/>
  <c r="R2736" i="1"/>
  <c r="Q2736" i="1"/>
  <c r="P2736" i="1"/>
  <c r="N2736" i="1"/>
  <c r="M2736" i="1"/>
  <c r="L2736" i="1"/>
  <c r="V2735" i="1"/>
  <c r="R2735" i="1"/>
  <c r="N2735" i="1"/>
  <c r="M2735" i="1"/>
  <c r="P2735" i="1" s="1"/>
  <c r="L2735" i="1"/>
  <c r="W2734" i="1"/>
  <c r="V2734" i="1"/>
  <c r="U2734" i="1"/>
  <c r="T2734" i="1"/>
  <c r="R2734" i="1"/>
  <c r="Q2734" i="1"/>
  <c r="P2734" i="1"/>
  <c r="N2734" i="1"/>
  <c r="S2734" i="1" s="1"/>
  <c r="M2734" i="1"/>
  <c r="L2734" i="1"/>
  <c r="N2733" i="1"/>
  <c r="S2733" i="1" s="1"/>
  <c r="M2733" i="1"/>
  <c r="L2733" i="1"/>
  <c r="W2732" i="1"/>
  <c r="V2732" i="1"/>
  <c r="U2732" i="1"/>
  <c r="T2732" i="1"/>
  <c r="R2732" i="1"/>
  <c r="Q2732" i="1"/>
  <c r="P2732" i="1"/>
  <c r="N2732" i="1"/>
  <c r="M2732" i="1"/>
  <c r="L2732" i="1"/>
  <c r="N2731" i="1"/>
  <c r="M2731" i="1"/>
  <c r="L2731" i="1"/>
  <c r="R2730" i="1"/>
  <c r="N2730" i="1"/>
  <c r="M2730" i="1"/>
  <c r="P2730" i="1" s="1"/>
  <c r="L2730" i="1"/>
  <c r="R2729" i="1"/>
  <c r="N2729" i="1"/>
  <c r="M2729" i="1"/>
  <c r="P2729" i="1" s="1"/>
  <c r="L2729" i="1"/>
  <c r="R2728" i="1"/>
  <c r="O2728" i="1"/>
  <c r="N2728" i="1"/>
  <c r="S2728" i="1" s="1"/>
  <c r="M2728" i="1"/>
  <c r="P2728" i="1" s="1"/>
  <c r="L2728" i="1"/>
  <c r="W2727" i="1"/>
  <c r="V2727" i="1"/>
  <c r="U2727" i="1"/>
  <c r="T2727" i="1"/>
  <c r="R2727" i="1"/>
  <c r="Q2727" i="1"/>
  <c r="P2727" i="1"/>
  <c r="N2727" i="1"/>
  <c r="O2727" i="1" s="1"/>
  <c r="M2727" i="1"/>
  <c r="L2727" i="1"/>
  <c r="V2726" i="1"/>
  <c r="S2726" i="1"/>
  <c r="R2726" i="1"/>
  <c r="N2726" i="1"/>
  <c r="O2726" i="1" s="1"/>
  <c r="M2726" i="1"/>
  <c r="P2726" i="1" s="1"/>
  <c r="L2726" i="1"/>
  <c r="W2725" i="1"/>
  <c r="V2725" i="1"/>
  <c r="U2725" i="1"/>
  <c r="R2725" i="1"/>
  <c r="N2725" i="1"/>
  <c r="M2725" i="1"/>
  <c r="P2725" i="1" s="1"/>
  <c r="L2725" i="1"/>
  <c r="Q2725" i="1" s="1"/>
  <c r="V2724" i="1"/>
  <c r="U2724" i="1"/>
  <c r="T2724" i="1"/>
  <c r="R2724" i="1"/>
  <c r="N2724" i="1"/>
  <c r="O2724" i="1" s="1"/>
  <c r="M2724" i="1"/>
  <c r="P2724" i="1" s="1"/>
  <c r="L2724" i="1"/>
  <c r="V2723" i="1"/>
  <c r="R2723" i="1"/>
  <c r="O2723" i="1"/>
  <c r="N2723" i="1"/>
  <c r="S2723" i="1" s="1"/>
  <c r="M2723" i="1"/>
  <c r="P2723" i="1" s="1"/>
  <c r="L2723" i="1"/>
  <c r="W2722" i="1"/>
  <c r="V2722" i="1"/>
  <c r="U2722" i="1"/>
  <c r="T2722" i="1"/>
  <c r="S2722" i="1"/>
  <c r="R2722" i="1"/>
  <c r="Q2722" i="1"/>
  <c r="P2722" i="1"/>
  <c r="N2722" i="1"/>
  <c r="O2722" i="1" s="1"/>
  <c r="M2722" i="1"/>
  <c r="L2722" i="1"/>
  <c r="V2721" i="1"/>
  <c r="T2721" i="1"/>
  <c r="R2721" i="1"/>
  <c r="Q2721" i="1"/>
  <c r="N2721" i="1"/>
  <c r="O2721" i="1" s="1"/>
  <c r="M2721" i="1"/>
  <c r="P2721" i="1" s="1"/>
  <c r="L2721" i="1"/>
  <c r="V2720" i="1"/>
  <c r="U2720" i="1"/>
  <c r="T2720" i="1"/>
  <c r="R2720" i="1"/>
  <c r="N2720" i="1"/>
  <c r="M2720" i="1"/>
  <c r="P2720" i="1" s="1"/>
  <c r="L2720" i="1"/>
  <c r="Q2720" i="1" s="1"/>
  <c r="W2719" i="1"/>
  <c r="V2719" i="1"/>
  <c r="U2719" i="1"/>
  <c r="T2719" i="1"/>
  <c r="S2719" i="1"/>
  <c r="R2719" i="1"/>
  <c r="Q2719" i="1"/>
  <c r="N2719" i="1"/>
  <c r="O2719" i="1" s="1"/>
  <c r="M2719" i="1"/>
  <c r="P2719" i="1" s="1"/>
  <c r="L2719" i="1"/>
  <c r="V2718" i="1"/>
  <c r="O2718" i="1"/>
  <c r="N2718" i="1"/>
  <c r="S2718" i="1" s="1"/>
  <c r="M2718" i="1"/>
  <c r="R2718" i="1" s="1"/>
  <c r="L2718" i="1"/>
  <c r="W2717" i="1"/>
  <c r="V2717" i="1"/>
  <c r="U2717" i="1"/>
  <c r="T2717" i="1"/>
  <c r="S2717" i="1"/>
  <c r="R2717" i="1"/>
  <c r="Q2717" i="1"/>
  <c r="P2717" i="1"/>
  <c r="N2717" i="1"/>
  <c r="O2717" i="1" s="1"/>
  <c r="M2717" i="1"/>
  <c r="L2717" i="1"/>
  <c r="S2716" i="1"/>
  <c r="R2716" i="1"/>
  <c r="Q2716" i="1"/>
  <c r="P2716" i="1"/>
  <c r="O2716" i="1"/>
  <c r="N2716" i="1"/>
  <c r="M2716" i="1"/>
  <c r="L2716" i="1"/>
  <c r="W2716" i="1" s="1"/>
  <c r="W2715" i="1"/>
  <c r="V2715" i="1"/>
  <c r="U2715" i="1"/>
  <c r="T2715" i="1"/>
  <c r="R2715" i="1"/>
  <c r="N2715" i="1"/>
  <c r="M2715" i="1"/>
  <c r="P2715" i="1" s="1"/>
  <c r="L2715" i="1"/>
  <c r="Q2715" i="1" s="1"/>
  <c r="W2714" i="1"/>
  <c r="S2714" i="1"/>
  <c r="R2714" i="1"/>
  <c r="Q2714" i="1"/>
  <c r="P2714" i="1"/>
  <c r="O2714" i="1"/>
  <c r="N2714" i="1"/>
  <c r="M2714" i="1"/>
  <c r="L2714" i="1"/>
  <c r="V2714" i="1" s="1"/>
  <c r="V2713" i="1"/>
  <c r="R2713" i="1"/>
  <c r="Q2713" i="1"/>
  <c r="P2713" i="1"/>
  <c r="O2713" i="1"/>
  <c r="N2713" i="1"/>
  <c r="S2713" i="1" s="1"/>
  <c r="M2713" i="1"/>
  <c r="L2713" i="1"/>
  <c r="W2712" i="1"/>
  <c r="V2712" i="1"/>
  <c r="U2712" i="1"/>
  <c r="T2712" i="1"/>
  <c r="S2712" i="1"/>
  <c r="R2712" i="1"/>
  <c r="Q2712" i="1"/>
  <c r="P2712" i="1"/>
  <c r="N2712" i="1"/>
  <c r="O2712" i="1" s="1"/>
  <c r="M2712" i="1"/>
  <c r="L2712" i="1"/>
  <c r="V2711" i="1"/>
  <c r="U2711" i="1"/>
  <c r="T2711" i="1"/>
  <c r="S2711" i="1"/>
  <c r="R2711" i="1"/>
  <c r="Q2711" i="1"/>
  <c r="O2711" i="1"/>
  <c r="N2711" i="1"/>
  <c r="M2711" i="1"/>
  <c r="P2711" i="1" s="1"/>
  <c r="L2711" i="1"/>
  <c r="W2711" i="1" s="1"/>
  <c r="U2710" i="1"/>
  <c r="T2710" i="1"/>
  <c r="R2710" i="1"/>
  <c r="N2710" i="1"/>
  <c r="M2710" i="1"/>
  <c r="P2710" i="1" s="1"/>
  <c r="L2710" i="1"/>
  <c r="Q2710" i="1" s="1"/>
  <c r="W2709" i="1"/>
  <c r="V2709" i="1"/>
  <c r="U2709" i="1"/>
  <c r="T2709" i="1"/>
  <c r="S2709" i="1"/>
  <c r="Q2709" i="1"/>
  <c r="O2709" i="1"/>
  <c r="N2709" i="1"/>
  <c r="M2709" i="1"/>
  <c r="L2709" i="1"/>
  <c r="Q2708" i="1"/>
  <c r="N2708" i="1"/>
  <c r="M2708" i="1"/>
  <c r="L2708" i="1"/>
  <c r="U2707" i="1"/>
  <c r="S2707" i="1"/>
  <c r="R2707" i="1"/>
  <c r="Q2707" i="1"/>
  <c r="P2707" i="1"/>
  <c r="N2707" i="1"/>
  <c r="O2707" i="1" s="1"/>
  <c r="M2707" i="1"/>
  <c r="L2707" i="1"/>
  <c r="T2707" i="1" s="1"/>
  <c r="S2706" i="1"/>
  <c r="R2706" i="1"/>
  <c r="Q2706" i="1"/>
  <c r="P2706" i="1"/>
  <c r="O2706" i="1"/>
  <c r="N2706" i="1"/>
  <c r="M2706" i="1"/>
  <c r="L2706" i="1"/>
  <c r="W2706" i="1" s="1"/>
  <c r="W2705" i="1"/>
  <c r="V2705" i="1"/>
  <c r="U2705" i="1"/>
  <c r="T2705" i="1"/>
  <c r="Q2705" i="1"/>
  <c r="N2705" i="1"/>
  <c r="M2705" i="1"/>
  <c r="L2705" i="1"/>
  <c r="U2704" i="1"/>
  <c r="T2704" i="1"/>
  <c r="S2704" i="1"/>
  <c r="Q2704" i="1"/>
  <c r="O2704" i="1"/>
  <c r="N2704" i="1"/>
  <c r="M2704" i="1"/>
  <c r="L2704" i="1"/>
  <c r="V2703" i="1"/>
  <c r="U2703" i="1"/>
  <c r="T2703" i="1"/>
  <c r="R2703" i="1"/>
  <c r="O2703" i="1"/>
  <c r="N2703" i="1"/>
  <c r="S2703" i="1" s="1"/>
  <c r="M2703" i="1"/>
  <c r="P2703" i="1" s="1"/>
  <c r="L2703" i="1"/>
  <c r="W2703" i="1" s="1"/>
  <c r="V2702" i="1"/>
  <c r="N2702" i="1"/>
  <c r="O2702" i="1" s="1"/>
  <c r="M2702" i="1"/>
  <c r="L2702" i="1"/>
  <c r="Q2702" i="1" s="1"/>
  <c r="V2701" i="1"/>
  <c r="U2701" i="1"/>
  <c r="N2701" i="1"/>
  <c r="S2701" i="1" s="1"/>
  <c r="M2701" i="1"/>
  <c r="L2701" i="1"/>
  <c r="W2700" i="1"/>
  <c r="V2700" i="1"/>
  <c r="U2700" i="1"/>
  <c r="P2700" i="1"/>
  <c r="N2700" i="1"/>
  <c r="M2700" i="1"/>
  <c r="R2700" i="1" s="1"/>
  <c r="L2700" i="1"/>
  <c r="W2699" i="1"/>
  <c r="O2699" i="1"/>
  <c r="N2699" i="1"/>
  <c r="S2699" i="1" s="1"/>
  <c r="M2699" i="1"/>
  <c r="L2699" i="1"/>
  <c r="V2698" i="1"/>
  <c r="Q2698" i="1"/>
  <c r="P2698" i="1"/>
  <c r="O2698" i="1"/>
  <c r="N2698" i="1"/>
  <c r="S2698" i="1" s="1"/>
  <c r="M2698" i="1"/>
  <c r="R2698" i="1" s="1"/>
  <c r="L2698" i="1"/>
  <c r="W2698" i="1" s="1"/>
  <c r="U2697" i="1"/>
  <c r="Q2697" i="1"/>
  <c r="P2697" i="1"/>
  <c r="N2697" i="1"/>
  <c r="M2697" i="1"/>
  <c r="R2697" i="1" s="1"/>
  <c r="L2697" i="1"/>
  <c r="V2696" i="1"/>
  <c r="U2696" i="1"/>
  <c r="T2696" i="1"/>
  <c r="S2696" i="1"/>
  <c r="R2696" i="1"/>
  <c r="Q2696" i="1"/>
  <c r="P2696" i="1"/>
  <c r="O2696" i="1"/>
  <c r="N2696" i="1"/>
  <c r="M2696" i="1"/>
  <c r="L2696" i="1"/>
  <c r="W2696" i="1" s="1"/>
  <c r="W2695" i="1"/>
  <c r="Q2695" i="1"/>
  <c r="N2695" i="1"/>
  <c r="M2695" i="1"/>
  <c r="L2695" i="1"/>
  <c r="V2695" i="1" s="1"/>
  <c r="W2694" i="1"/>
  <c r="V2694" i="1"/>
  <c r="U2694" i="1"/>
  <c r="T2694" i="1"/>
  <c r="S2694" i="1"/>
  <c r="Q2694" i="1"/>
  <c r="O2694" i="1"/>
  <c r="N2694" i="1"/>
  <c r="M2694" i="1"/>
  <c r="P2694" i="1" s="1"/>
  <c r="L2694" i="1"/>
  <c r="T2693" i="1"/>
  <c r="R2693" i="1"/>
  <c r="Q2693" i="1"/>
  <c r="P2693" i="1"/>
  <c r="O2693" i="1"/>
  <c r="N2693" i="1"/>
  <c r="S2693" i="1" s="1"/>
  <c r="M2693" i="1"/>
  <c r="L2693" i="1"/>
  <c r="W2693" i="1" s="1"/>
  <c r="W2692" i="1"/>
  <c r="V2692" i="1"/>
  <c r="U2692" i="1"/>
  <c r="T2692" i="1"/>
  <c r="S2692" i="1"/>
  <c r="R2692" i="1"/>
  <c r="N2692" i="1"/>
  <c r="O2692" i="1" s="1"/>
  <c r="M2692" i="1"/>
  <c r="P2692" i="1" s="1"/>
  <c r="L2692" i="1"/>
  <c r="Q2692" i="1" s="1"/>
  <c r="S2691" i="1"/>
  <c r="O2691" i="1"/>
  <c r="N2691" i="1"/>
  <c r="M2691" i="1"/>
  <c r="L2691" i="1"/>
  <c r="W2690" i="1"/>
  <c r="V2690" i="1"/>
  <c r="U2690" i="1"/>
  <c r="T2690" i="1"/>
  <c r="P2690" i="1"/>
  <c r="N2690" i="1"/>
  <c r="M2690" i="1"/>
  <c r="R2690" i="1" s="1"/>
  <c r="L2690" i="1"/>
  <c r="Q2690" i="1" s="1"/>
  <c r="W2689" i="1"/>
  <c r="U2689" i="1"/>
  <c r="N2689" i="1"/>
  <c r="M2689" i="1"/>
  <c r="L2689" i="1"/>
  <c r="Q2689" i="1" s="1"/>
  <c r="N2688" i="1"/>
  <c r="S2688" i="1" s="1"/>
  <c r="M2688" i="1"/>
  <c r="L2688" i="1"/>
  <c r="W2687" i="1"/>
  <c r="V2687" i="1"/>
  <c r="P2687" i="1"/>
  <c r="N2687" i="1"/>
  <c r="M2687" i="1"/>
  <c r="R2687" i="1" s="1"/>
  <c r="L2687" i="1"/>
  <c r="T2687" i="1" s="1"/>
  <c r="S2686" i="1"/>
  <c r="N2686" i="1"/>
  <c r="O2686" i="1" s="1"/>
  <c r="M2686" i="1"/>
  <c r="L2686" i="1"/>
  <c r="W2685" i="1"/>
  <c r="Q2685" i="1"/>
  <c r="N2685" i="1"/>
  <c r="M2685" i="1"/>
  <c r="R2685" i="1" s="1"/>
  <c r="L2685" i="1"/>
  <c r="V2685" i="1" s="1"/>
  <c r="U2684" i="1"/>
  <c r="Q2684" i="1"/>
  <c r="N2684" i="1"/>
  <c r="M2684" i="1"/>
  <c r="R2684" i="1" s="1"/>
  <c r="L2684" i="1"/>
  <c r="W2684" i="1" s="1"/>
  <c r="V2683" i="1"/>
  <c r="U2683" i="1"/>
  <c r="T2683" i="1"/>
  <c r="R2683" i="1"/>
  <c r="Q2683" i="1"/>
  <c r="P2683" i="1"/>
  <c r="O2683" i="1"/>
  <c r="N2683" i="1"/>
  <c r="S2683" i="1" s="1"/>
  <c r="M2683" i="1"/>
  <c r="L2683" i="1"/>
  <c r="W2683" i="1" s="1"/>
  <c r="W2682" i="1"/>
  <c r="S2682" i="1"/>
  <c r="R2682" i="1"/>
  <c r="Q2682" i="1"/>
  <c r="P2682" i="1"/>
  <c r="N2682" i="1"/>
  <c r="O2682" i="1" s="1"/>
  <c r="M2682" i="1"/>
  <c r="L2682" i="1"/>
  <c r="V2682" i="1" s="1"/>
  <c r="V2681" i="1"/>
  <c r="U2681" i="1"/>
  <c r="T2681" i="1"/>
  <c r="S2681" i="1"/>
  <c r="Q2681" i="1"/>
  <c r="O2681" i="1"/>
  <c r="N2681" i="1"/>
  <c r="M2681" i="1"/>
  <c r="L2681" i="1"/>
  <c r="W2681" i="1" s="1"/>
  <c r="U2680" i="1"/>
  <c r="T2680" i="1"/>
  <c r="R2680" i="1"/>
  <c r="Q2680" i="1"/>
  <c r="P2680" i="1"/>
  <c r="N2680" i="1"/>
  <c r="M2680" i="1"/>
  <c r="L2680" i="1"/>
  <c r="W2680" i="1" s="1"/>
  <c r="W2679" i="1"/>
  <c r="V2679" i="1"/>
  <c r="U2679" i="1"/>
  <c r="T2679" i="1"/>
  <c r="S2679" i="1"/>
  <c r="R2679" i="1"/>
  <c r="O2679" i="1"/>
  <c r="N2679" i="1"/>
  <c r="M2679" i="1"/>
  <c r="P2679" i="1" s="1"/>
  <c r="L2679" i="1"/>
  <c r="Q2679" i="1" s="1"/>
  <c r="V2678" i="1"/>
  <c r="R2678" i="1"/>
  <c r="Q2678" i="1"/>
  <c r="O2678" i="1"/>
  <c r="N2678" i="1"/>
  <c r="S2678" i="1" s="1"/>
  <c r="M2678" i="1"/>
  <c r="P2678" i="1" s="1"/>
  <c r="L2678" i="1"/>
  <c r="W2678" i="1" s="1"/>
  <c r="U2677" i="1"/>
  <c r="N2677" i="1"/>
  <c r="O2677" i="1" s="1"/>
  <c r="M2677" i="1"/>
  <c r="R2677" i="1" s="1"/>
  <c r="L2677" i="1"/>
  <c r="T2677" i="1" s="1"/>
  <c r="S2676" i="1"/>
  <c r="O2676" i="1"/>
  <c r="N2676" i="1"/>
  <c r="M2676" i="1"/>
  <c r="L2676" i="1"/>
  <c r="W2675" i="1"/>
  <c r="N2675" i="1"/>
  <c r="M2675" i="1"/>
  <c r="L2675" i="1"/>
  <c r="W2674" i="1"/>
  <c r="V2674" i="1"/>
  <c r="U2674" i="1"/>
  <c r="Q2674" i="1"/>
  <c r="P2674" i="1"/>
  <c r="N2674" i="1"/>
  <c r="S2674" i="1" s="1"/>
  <c r="M2674" i="1"/>
  <c r="R2674" i="1" s="1"/>
  <c r="L2674" i="1"/>
  <c r="T2674" i="1" s="1"/>
  <c r="T2673" i="1"/>
  <c r="N2673" i="1"/>
  <c r="S2673" i="1" s="1"/>
  <c r="M2673" i="1"/>
  <c r="L2673" i="1"/>
  <c r="W2672" i="1"/>
  <c r="V2672" i="1"/>
  <c r="U2672" i="1"/>
  <c r="T2672" i="1"/>
  <c r="S2672" i="1"/>
  <c r="R2672" i="1"/>
  <c r="Q2672" i="1"/>
  <c r="P2672" i="1"/>
  <c r="N2672" i="1"/>
  <c r="O2672" i="1" s="1"/>
  <c r="M2672" i="1"/>
  <c r="L2672" i="1"/>
  <c r="U2671" i="1"/>
  <c r="Q2671" i="1"/>
  <c r="N2671" i="1"/>
  <c r="M2671" i="1"/>
  <c r="L2671" i="1"/>
  <c r="W2671" i="1" s="1"/>
  <c r="W2670" i="1"/>
  <c r="V2670" i="1"/>
  <c r="U2670" i="1"/>
  <c r="T2670" i="1"/>
  <c r="R2670" i="1"/>
  <c r="Q2670" i="1"/>
  <c r="P2670" i="1"/>
  <c r="N2670" i="1"/>
  <c r="M2670" i="1"/>
  <c r="L2670" i="1"/>
  <c r="W2669" i="1"/>
  <c r="S2669" i="1"/>
  <c r="R2669" i="1"/>
  <c r="Q2669" i="1"/>
  <c r="P2669" i="1"/>
  <c r="O2669" i="1"/>
  <c r="N2669" i="1"/>
  <c r="M2669" i="1"/>
  <c r="L2669" i="1"/>
  <c r="V2669" i="1" s="1"/>
  <c r="V2668" i="1"/>
  <c r="U2668" i="1"/>
  <c r="T2668" i="1"/>
  <c r="R2668" i="1"/>
  <c r="Q2668" i="1"/>
  <c r="O2668" i="1"/>
  <c r="N2668" i="1"/>
  <c r="S2668" i="1" s="1"/>
  <c r="M2668" i="1"/>
  <c r="P2668" i="1" s="1"/>
  <c r="L2668" i="1"/>
  <c r="W2668" i="1" s="1"/>
  <c r="S2667" i="1"/>
  <c r="R2667" i="1"/>
  <c r="Q2667" i="1"/>
  <c r="N2667" i="1"/>
  <c r="O2667" i="1" s="1"/>
  <c r="M2667" i="1"/>
  <c r="P2667" i="1" s="1"/>
  <c r="L2667" i="1"/>
  <c r="V2666" i="1"/>
  <c r="U2666" i="1"/>
  <c r="T2666" i="1"/>
  <c r="S2666" i="1"/>
  <c r="R2666" i="1"/>
  <c r="O2666" i="1"/>
  <c r="N2666" i="1"/>
  <c r="M2666" i="1"/>
  <c r="P2666" i="1" s="1"/>
  <c r="L2666" i="1"/>
  <c r="W2666" i="1" s="1"/>
  <c r="W2665" i="1"/>
  <c r="V2665" i="1"/>
  <c r="U2665" i="1"/>
  <c r="N2665" i="1"/>
  <c r="M2665" i="1"/>
  <c r="P2665" i="1" s="1"/>
  <c r="L2665" i="1"/>
  <c r="Q2665" i="1" s="1"/>
  <c r="N2664" i="1"/>
  <c r="S2664" i="1" s="1"/>
  <c r="M2664" i="1"/>
  <c r="L2664" i="1"/>
  <c r="O2663" i="1"/>
  <c r="N2663" i="1"/>
  <c r="S2663" i="1" s="1"/>
  <c r="M2663" i="1"/>
  <c r="L2663" i="1"/>
  <c r="W2662" i="1"/>
  <c r="N2662" i="1"/>
  <c r="O2662" i="1" s="1"/>
  <c r="M2662" i="1"/>
  <c r="L2662" i="1"/>
  <c r="V2661" i="1"/>
  <c r="U2661" i="1"/>
  <c r="Q2661" i="1"/>
  <c r="N2661" i="1"/>
  <c r="M2661" i="1"/>
  <c r="L2661" i="1"/>
  <c r="W2661" i="1" s="1"/>
  <c r="N2660" i="1"/>
  <c r="M2660" i="1"/>
  <c r="L2660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V2658" i="1"/>
  <c r="U2658" i="1"/>
  <c r="Q2658" i="1"/>
  <c r="N2658" i="1"/>
  <c r="M2658" i="1"/>
  <c r="L2658" i="1"/>
  <c r="W2658" i="1" s="1"/>
  <c r="U2657" i="1"/>
  <c r="T2657" i="1"/>
  <c r="S2657" i="1"/>
  <c r="R2657" i="1"/>
  <c r="P2657" i="1"/>
  <c r="N2657" i="1"/>
  <c r="O2657" i="1" s="1"/>
  <c r="M2657" i="1"/>
  <c r="L2657" i="1"/>
  <c r="S2656" i="1"/>
  <c r="R2656" i="1"/>
  <c r="Q2656" i="1"/>
  <c r="P2656" i="1"/>
  <c r="O2656" i="1"/>
  <c r="N2656" i="1"/>
  <c r="M2656" i="1"/>
  <c r="L2656" i="1"/>
  <c r="W2656" i="1" s="1"/>
  <c r="W2655" i="1"/>
  <c r="V2655" i="1"/>
  <c r="U2655" i="1"/>
  <c r="T2655" i="1"/>
  <c r="R2655" i="1"/>
  <c r="Q2655" i="1"/>
  <c r="N2655" i="1"/>
  <c r="M2655" i="1"/>
  <c r="P2655" i="1" s="1"/>
  <c r="L2655" i="1"/>
  <c r="S2654" i="1"/>
  <c r="O2654" i="1"/>
  <c r="N2654" i="1"/>
  <c r="M2654" i="1"/>
  <c r="P2654" i="1" s="1"/>
  <c r="L2654" i="1"/>
  <c r="V2653" i="1"/>
  <c r="U2653" i="1"/>
  <c r="T2653" i="1"/>
  <c r="R2653" i="1"/>
  <c r="O2653" i="1"/>
  <c r="N2653" i="1"/>
  <c r="S2653" i="1" s="1"/>
  <c r="M2653" i="1"/>
  <c r="P2653" i="1" s="1"/>
  <c r="L2653" i="1"/>
  <c r="W2653" i="1" s="1"/>
  <c r="U2652" i="1"/>
  <c r="T2652" i="1"/>
  <c r="S2652" i="1"/>
  <c r="N2652" i="1"/>
  <c r="O2652" i="1" s="1"/>
  <c r="M2652" i="1"/>
  <c r="L2652" i="1"/>
  <c r="Q2652" i="1" s="1"/>
  <c r="V2651" i="1"/>
  <c r="U2651" i="1"/>
  <c r="Q2651" i="1"/>
  <c r="N2651" i="1"/>
  <c r="S2651" i="1" s="1"/>
  <c r="M2651" i="1"/>
  <c r="L2651" i="1"/>
  <c r="W2650" i="1"/>
  <c r="V2650" i="1"/>
  <c r="U2650" i="1"/>
  <c r="P2650" i="1"/>
  <c r="N2650" i="1"/>
  <c r="M2650" i="1"/>
  <c r="R2650" i="1" s="1"/>
  <c r="L2650" i="1"/>
  <c r="S2649" i="1"/>
  <c r="N2649" i="1"/>
  <c r="O2649" i="1" s="1"/>
  <c r="M2649" i="1"/>
  <c r="L2649" i="1"/>
  <c r="V2648" i="1"/>
  <c r="Q2648" i="1"/>
  <c r="P2648" i="1"/>
  <c r="O2648" i="1"/>
  <c r="N2648" i="1"/>
  <c r="S2648" i="1" s="1"/>
  <c r="M2648" i="1"/>
  <c r="R2648" i="1" s="1"/>
  <c r="L2648" i="1"/>
  <c r="W2648" i="1" s="1"/>
  <c r="U2647" i="1"/>
  <c r="Q2647" i="1"/>
  <c r="N2647" i="1"/>
  <c r="M2647" i="1"/>
  <c r="R2647" i="1" s="1"/>
  <c r="L2647" i="1"/>
  <c r="V2646" i="1"/>
  <c r="U2646" i="1"/>
  <c r="T2646" i="1"/>
  <c r="S2646" i="1"/>
  <c r="R2646" i="1"/>
  <c r="Q2646" i="1"/>
  <c r="P2646" i="1"/>
  <c r="O2646" i="1"/>
  <c r="N2646" i="1"/>
  <c r="M2646" i="1"/>
  <c r="L2646" i="1"/>
  <c r="W2646" i="1" s="1"/>
  <c r="W2645" i="1"/>
  <c r="V2645" i="1"/>
  <c r="T2645" i="1"/>
  <c r="Q2645" i="1"/>
  <c r="N2645" i="1"/>
  <c r="M2645" i="1"/>
  <c r="R2645" i="1" s="1"/>
  <c r="L2645" i="1"/>
  <c r="U2645" i="1" s="1"/>
  <c r="W2644" i="1"/>
  <c r="V2644" i="1"/>
  <c r="U2644" i="1"/>
  <c r="T2644" i="1"/>
  <c r="S2644" i="1"/>
  <c r="Q2644" i="1"/>
  <c r="O2644" i="1"/>
  <c r="N2644" i="1"/>
  <c r="M2644" i="1"/>
  <c r="L2644" i="1"/>
  <c r="T2643" i="1"/>
  <c r="R2643" i="1"/>
  <c r="Q2643" i="1"/>
  <c r="P2643" i="1"/>
  <c r="O2643" i="1"/>
  <c r="N2643" i="1"/>
  <c r="S2643" i="1" s="1"/>
  <c r="M2643" i="1"/>
  <c r="L2643" i="1"/>
  <c r="W2643" i="1" s="1"/>
  <c r="W2642" i="1"/>
  <c r="V2642" i="1"/>
  <c r="U2642" i="1"/>
  <c r="T2642" i="1"/>
  <c r="R2642" i="1"/>
  <c r="N2642" i="1"/>
  <c r="O2642" i="1" s="1"/>
  <c r="M2642" i="1"/>
  <c r="P2642" i="1" s="1"/>
  <c r="L2642" i="1"/>
  <c r="Q2642" i="1" s="1"/>
  <c r="T2641" i="1"/>
  <c r="S2641" i="1"/>
  <c r="R2641" i="1"/>
  <c r="O2641" i="1"/>
  <c r="N2641" i="1"/>
  <c r="M2641" i="1"/>
  <c r="P2641" i="1" s="1"/>
  <c r="L2641" i="1"/>
  <c r="W2640" i="1"/>
  <c r="V2640" i="1"/>
  <c r="U2640" i="1"/>
  <c r="T2640" i="1"/>
  <c r="P2640" i="1"/>
  <c r="N2640" i="1"/>
  <c r="M2640" i="1"/>
  <c r="R2640" i="1" s="1"/>
  <c r="L2640" i="1"/>
  <c r="Q2640" i="1" s="1"/>
  <c r="W2639" i="1"/>
  <c r="V2639" i="1"/>
  <c r="T2639" i="1"/>
  <c r="N2639" i="1"/>
  <c r="M2639" i="1"/>
  <c r="L2639" i="1"/>
  <c r="Q2639" i="1" s="1"/>
  <c r="V2638" i="1"/>
  <c r="U2638" i="1"/>
  <c r="Q2638" i="1"/>
  <c r="N2638" i="1"/>
  <c r="S2638" i="1" s="1"/>
  <c r="M2638" i="1"/>
  <c r="L2638" i="1"/>
  <c r="U2637" i="1"/>
  <c r="Q2637" i="1"/>
  <c r="N2637" i="1"/>
  <c r="M2637" i="1"/>
  <c r="L2637" i="1"/>
  <c r="T2637" i="1" s="1"/>
  <c r="V2636" i="1"/>
  <c r="S2636" i="1"/>
  <c r="N2636" i="1"/>
  <c r="O2636" i="1" s="1"/>
  <c r="M2636" i="1"/>
  <c r="L2636" i="1"/>
  <c r="W2635" i="1"/>
  <c r="R2635" i="1"/>
  <c r="Q2635" i="1"/>
  <c r="P2635" i="1"/>
  <c r="N2635" i="1"/>
  <c r="M2635" i="1"/>
  <c r="L2635" i="1"/>
  <c r="U2634" i="1"/>
  <c r="T2634" i="1"/>
  <c r="Q2634" i="1"/>
  <c r="P2634" i="1"/>
  <c r="N2634" i="1"/>
  <c r="M2634" i="1"/>
  <c r="R2634" i="1" s="1"/>
  <c r="L2634" i="1"/>
  <c r="W2634" i="1" s="1"/>
  <c r="V2633" i="1"/>
  <c r="U2633" i="1"/>
  <c r="T2633" i="1"/>
  <c r="R2633" i="1"/>
  <c r="Q2633" i="1"/>
  <c r="P2633" i="1"/>
  <c r="O2633" i="1"/>
  <c r="N2633" i="1"/>
  <c r="S2633" i="1" s="1"/>
  <c r="M2633" i="1"/>
  <c r="L2633" i="1"/>
  <c r="W2633" i="1" s="1"/>
  <c r="W2632" i="1"/>
  <c r="R2632" i="1"/>
  <c r="Q2632" i="1"/>
  <c r="P2632" i="1"/>
  <c r="N2632" i="1"/>
  <c r="O2632" i="1" s="1"/>
  <c r="M2632" i="1"/>
  <c r="L2632" i="1"/>
  <c r="V2632" i="1" s="1"/>
  <c r="U2631" i="1"/>
  <c r="T2631" i="1"/>
  <c r="S2631" i="1"/>
  <c r="R2631" i="1"/>
  <c r="Q2631" i="1"/>
  <c r="O2631" i="1"/>
  <c r="N2631" i="1"/>
  <c r="M2631" i="1"/>
  <c r="P2631" i="1" s="1"/>
  <c r="L2631" i="1"/>
  <c r="W2631" i="1" s="1"/>
  <c r="U2630" i="1"/>
  <c r="T2630" i="1"/>
  <c r="R2630" i="1"/>
  <c r="Q2630" i="1"/>
  <c r="P2630" i="1"/>
  <c r="N2630" i="1"/>
  <c r="M2630" i="1"/>
  <c r="L2630" i="1"/>
  <c r="W2630" i="1" s="1"/>
  <c r="W2629" i="1"/>
  <c r="V2629" i="1"/>
  <c r="U2629" i="1"/>
  <c r="T2629" i="1"/>
  <c r="S2629" i="1"/>
  <c r="R2629" i="1"/>
  <c r="O2629" i="1"/>
  <c r="N2629" i="1"/>
  <c r="M2629" i="1"/>
  <c r="P2629" i="1" s="1"/>
  <c r="L2629" i="1"/>
  <c r="Q2629" i="1" s="1"/>
  <c r="V2628" i="1"/>
  <c r="U2628" i="1"/>
  <c r="T2628" i="1"/>
  <c r="R2628" i="1"/>
  <c r="Q2628" i="1"/>
  <c r="O2628" i="1"/>
  <c r="N2628" i="1"/>
  <c r="S2628" i="1" s="1"/>
  <c r="M2628" i="1"/>
  <c r="P2628" i="1" s="1"/>
  <c r="L2628" i="1"/>
  <c r="W2628" i="1" s="1"/>
  <c r="W2627" i="1"/>
  <c r="V2627" i="1"/>
  <c r="U2627" i="1"/>
  <c r="Q2627" i="1"/>
  <c r="P2627" i="1"/>
  <c r="N2627" i="1"/>
  <c r="O2627" i="1" s="1"/>
  <c r="M2627" i="1"/>
  <c r="R2627" i="1" s="1"/>
  <c r="L2627" i="1"/>
  <c r="T2627" i="1" s="1"/>
  <c r="V2626" i="1"/>
  <c r="U2626" i="1"/>
  <c r="T2626" i="1"/>
  <c r="S2626" i="1"/>
  <c r="Q2626" i="1"/>
  <c r="O2626" i="1"/>
  <c r="N2626" i="1"/>
  <c r="M2626" i="1"/>
  <c r="L2626" i="1"/>
  <c r="W2626" i="1" s="1"/>
  <c r="W2625" i="1"/>
  <c r="V2625" i="1"/>
  <c r="N2625" i="1"/>
  <c r="M2625" i="1"/>
  <c r="L2625" i="1"/>
  <c r="N2624" i="1"/>
  <c r="M2624" i="1"/>
  <c r="L2624" i="1"/>
  <c r="O2623" i="1"/>
  <c r="N2623" i="1"/>
  <c r="S2623" i="1" s="1"/>
  <c r="M2623" i="1"/>
  <c r="L2623" i="1"/>
  <c r="W2622" i="1"/>
  <c r="V2622" i="1"/>
  <c r="U2622" i="1"/>
  <c r="T2622" i="1"/>
  <c r="R2622" i="1"/>
  <c r="Q2622" i="1"/>
  <c r="P2622" i="1"/>
  <c r="N2622" i="1"/>
  <c r="M2622" i="1"/>
  <c r="L2622" i="1"/>
  <c r="U2621" i="1"/>
  <c r="T2621" i="1"/>
  <c r="Q2621" i="1"/>
  <c r="P2621" i="1"/>
  <c r="O2621" i="1"/>
  <c r="N2621" i="1"/>
  <c r="S2621" i="1" s="1"/>
  <c r="M2621" i="1"/>
  <c r="R2621" i="1" s="1"/>
  <c r="L2621" i="1"/>
  <c r="W2621" i="1" s="1"/>
  <c r="W2620" i="1"/>
  <c r="R2620" i="1"/>
  <c r="Q2620" i="1"/>
  <c r="P2620" i="1"/>
  <c r="O2620" i="1"/>
  <c r="N2620" i="1"/>
  <c r="S2620" i="1" s="1"/>
  <c r="M2620" i="1"/>
  <c r="L2620" i="1"/>
  <c r="R2619" i="1"/>
  <c r="Q2619" i="1"/>
  <c r="P2619" i="1"/>
  <c r="N2619" i="1"/>
  <c r="M2619" i="1"/>
  <c r="L2619" i="1"/>
  <c r="U2618" i="1"/>
  <c r="S2618" i="1"/>
  <c r="P2618" i="1"/>
  <c r="O2618" i="1"/>
  <c r="N2618" i="1"/>
  <c r="M2618" i="1"/>
  <c r="R2618" i="1" s="1"/>
  <c r="L2618" i="1"/>
  <c r="W2617" i="1"/>
  <c r="V2617" i="1"/>
  <c r="R2617" i="1"/>
  <c r="P2617" i="1"/>
  <c r="O2617" i="1"/>
  <c r="N2617" i="1"/>
  <c r="S2617" i="1" s="1"/>
  <c r="M2617" i="1"/>
  <c r="L2617" i="1"/>
  <c r="Q2617" i="1" s="1"/>
  <c r="Q2616" i="1"/>
  <c r="P2616" i="1"/>
  <c r="N2616" i="1"/>
  <c r="O2616" i="1" s="1"/>
  <c r="M2616" i="1"/>
  <c r="R2616" i="1" s="1"/>
  <c r="L2616" i="1"/>
  <c r="V2615" i="1"/>
  <c r="U2615" i="1"/>
  <c r="T2615" i="1"/>
  <c r="S2615" i="1"/>
  <c r="R2615" i="1"/>
  <c r="Q2615" i="1"/>
  <c r="P2615" i="1"/>
  <c r="O2615" i="1"/>
  <c r="N2615" i="1"/>
  <c r="M2615" i="1"/>
  <c r="L2615" i="1"/>
  <c r="W2615" i="1" s="1"/>
  <c r="S2614" i="1"/>
  <c r="R2614" i="1"/>
  <c r="P2614" i="1"/>
  <c r="N2614" i="1"/>
  <c r="O2614" i="1" s="1"/>
  <c r="M2614" i="1"/>
  <c r="L2614" i="1"/>
  <c r="W2613" i="1"/>
  <c r="V2613" i="1"/>
  <c r="S2613" i="1"/>
  <c r="P2613" i="1"/>
  <c r="O2613" i="1"/>
  <c r="N2613" i="1"/>
  <c r="M2613" i="1"/>
  <c r="R2613" i="1" s="1"/>
  <c r="L2613" i="1"/>
  <c r="Q2613" i="1" s="1"/>
  <c r="U2612" i="1"/>
  <c r="P2612" i="1"/>
  <c r="N2612" i="1"/>
  <c r="S2612" i="1" s="1"/>
  <c r="M2612" i="1"/>
  <c r="R2612" i="1" s="1"/>
  <c r="L2612" i="1"/>
  <c r="W2611" i="1"/>
  <c r="Q2611" i="1"/>
  <c r="P2611" i="1"/>
  <c r="O2611" i="1"/>
  <c r="N2611" i="1"/>
  <c r="S2611" i="1" s="1"/>
  <c r="M2611" i="1"/>
  <c r="R2611" i="1" s="1"/>
  <c r="L2611" i="1"/>
  <c r="S2610" i="1"/>
  <c r="R2610" i="1"/>
  <c r="P2610" i="1"/>
  <c r="O2610" i="1"/>
  <c r="N2610" i="1"/>
  <c r="M2610" i="1"/>
  <c r="L2610" i="1"/>
  <c r="W2609" i="1"/>
  <c r="U2609" i="1"/>
  <c r="T2609" i="1"/>
  <c r="R2609" i="1"/>
  <c r="Q2609" i="1"/>
  <c r="P2609" i="1"/>
  <c r="N2609" i="1"/>
  <c r="M2609" i="1"/>
  <c r="L2609" i="1"/>
  <c r="V2609" i="1" s="1"/>
  <c r="S2608" i="1"/>
  <c r="O2608" i="1"/>
  <c r="N2608" i="1"/>
  <c r="M2608" i="1"/>
  <c r="L2608" i="1"/>
  <c r="W2607" i="1"/>
  <c r="V2607" i="1"/>
  <c r="U2607" i="1"/>
  <c r="T2607" i="1"/>
  <c r="R2607" i="1"/>
  <c r="Q2607" i="1"/>
  <c r="P2607" i="1"/>
  <c r="O2607" i="1"/>
  <c r="N2607" i="1"/>
  <c r="S2607" i="1" s="1"/>
  <c r="M2607" i="1"/>
  <c r="L2607" i="1"/>
  <c r="S2606" i="1"/>
  <c r="N2606" i="1"/>
  <c r="O2606" i="1" s="1"/>
  <c r="M2606" i="1"/>
  <c r="R2606" i="1" s="1"/>
  <c r="L2606" i="1"/>
  <c r="V2605" i="1"/>
  <c r="U2605" i="1"/>
  <c r="T2605" i="1"/>
  <c r="S2605" i="1"/>
  <c r="R2605" i="1"/>
  <c r="Q2605" i="1"/>
  <c r="P2605" i="1"/>
  <c r="O2605" i="1"/>
  <c r="N2605" i="1"/>
  <c r="M2605" i="1"/>
  <c r="L2605" i="1"/>
  <c r="W2605" i="1" s="1"/>
  <c r="N2604" i="1"/>
  <c r="M2604" i="1"/>
  <c r="P2604" i="1" s="1"/>
  <c r="L2604" i="1"/>
  <c r="W2603" i="1"/>
  <c r="V2603" i="1"/>
  <c r="U2603" i="1"/>
  <c r="T2603" i="1"/>
  <c r="S2603" i="1"/>
  <c r="P2603" i="1"/>
  <c r="O2603" i="1"/>
  <c r="N2603" i="1"/>
  <c r="M2603" i="1"/>
  <c r="R2603" i="1" s="1"/>
  <c r="L2603" i="1"/>
  <c r="Q2603" i="1" s="1"/>
  <c r="W2602" i="1"/>
  <c r="V2602" i="1"/>
  <c r="U2602" i="1"/>
  <c r="T2602" i="1"/>
  <c r="R2602" i="1"/>
  <c r="O2602" i="1"/>
  <c r="N2602" i="1"/>
  <c r="S2602" i="1" s="1"/>
  <c r="M2602" i="1"/>
  <c r="P2602" i="1" s="1"/>
  <c r="L2602" i="1"/>
  <c r="Q2602" i="1" s="1"/>
  <c r="S2601" i="1"/>
  <c r="R2601" i="1"/>
  <c r="Q2601" i="1"/>
  <c r="P2601" i="1"/>
  <c r="O2601" i="1"/>
  <c r="N2601" i="1"/>
  <c r="M2601" i="1"/>
  <c r="L2601" i="1"/>
  <c r="V2600" i="1"/>
  <c r="U2600" i="1"/>
  <c r="T2600" i="1"/>
  <c r="S2600" i="1"/>
  <c r="R2600" i="1"/>
  <c r="Q2600" i="1"/>
  <c r="P2600" i="1"/>
  <c r="O2600" i="1"/>
  <c r="N2600" i="1"/>
  <c r="M2600" i="1"/>
  <c r="L2600" i="1"/>
  <c r="W2600" i="1" s="1"/>
  <c r="W2599" i="1"/>
  <c r="V2599" i="1"/>
  <c r="U2599" i="1"/>
  <c r="T2599" i="1"/>
  <c r="R2599" i="1"/>
  <c r="N2599" i="1"/>
  <c r="M2599" i="1"/>
  <c r="P2599" i="1" s="1"/>
  <c r="L2599" i="1"/>
  <c r="Q2599" i="1" s="1"/>
  <c r="S2598" i="1"/>
  <c r="P2598" i="1"/>
  <c r="O2598" i="1"/>
  <c r="N2598" i="1"/>
  <c r="M2598" i="1"/>
  <c r="R2598" i="1" s="1"/>
  <c r="L2598" i="1"/>
  <c r="W2597" i="1"/>
  <c r="V2597" i="1"/>
  <c r="U2597" i="1"/>
  <c r="T2597" i="1"/>
  <c r="O2597" i="1"/>
  <c r="N2597" i="1"/>
  <c r="S2597" i="1" s="1"/>
  <c r="M2597" i="1"/>
  <c r="P2597" i="1" s="1"/>
  <c r="L2597" i="1"/>
  <c r="Q2597" i="1" s="1"/>
  <c r="S2596" i="1"/>
  <c r="N2596" i="1"/>
  <c r="O2596" i="1" s="1"/>
  <c r="M2596" i="1"/>
  <c r="L2596" i="1"/>
  <c r="V2595" i="1"/>
  <c r="U2595" i="1"/>
  <c r="T2595" i="1"/>
  <c r="S2595" i="1"/>
  <c r="R2595" i="1"/>
  <c r="P2595" i="1"/>
  <c r="O2595" i="1"/>
  <c r="N2595" i="1"/>
  <c r="M2595" i="1"/>
  <c r="L2595" i="1"/>
  <c r="U2594" i="1"/>
  <c r="T2594" i="1"/>
  <c r="P2594" i="1"/>
  <c r="N2594" i="1"/>
  <c r="O2594" i="1" s="1"/>
  <c r="M2594" i="1"/>
  <c r="R2594" i="1" s="1"/>
  <c r="L2594" i="1"/>
  <c r="W2593" i="1"/>
  <c r="V2593" i="1"/>
  <c r="S2593" i="1"/>
  <c r="O2593" i="1"/>
  <c r="N2593" i="1"/>
  <c r="M2593" i="1"/>
  <c r="L2593" i="1"/>
  <c r="Q2593" i="1" s="1"/>
  <c r="T2592" i="1"/>
  <c r="O2592" i="1"/>
  <c r="N2592" i="1"/>
  <c r="S2592" i="1" s="1"/>
  <c r="M2592" i="1"/>
  <c r="R2592" i="1" s="1"/>
  <c r="L2592" i="1"/>
  <c r="W2591" i="1"/>
  <c r="R2591" i="1"/>
  <c r="Q2591" i="1"/>
  <c r="P2591" i="1"/>
  <c r="N2591" i="1"/>
  <c r="M2591" i="1"/>
  <c r="L2591" i="1"/>
  <c r="V2590" i="1"/>
  <c r="U2590" i="1"/>
  <c r="T2590" i="1"/>
  <c r="S2590" i="1"/>
  <c r="R2590" i="1"/>
  <c r="Q2590" i="1"/>
  <c r="P2590" i="1"/>
  <c r="O2590" i="1"/>
  <c r="N2590" i="1"/>
  <c r="M2590" i="1"/>
  <c r="L2590" i="1"/>
  <c r="W2590" i="1" s="1"/>
  <c r="U2589" i="1"/>
  <c r="S2589" i="1"/>
  <c r="Q2589" i="1"/>
  <c r="N2589" i="1"/>
  <c r="O2589" i="1" s="1"/>
  <c r="M2589" i="1"/>
  <c r="L2589" i="1"/>
  <c r="W2588" i="1"/>
  <c r="V2588" i="1"/>
  <c r="U2588" i="1"/>
  <c r="T2588" i="1"/>
  <c r="P2588" i="1"/>
  <c r="N2588" i="1"/>
  <c r="O2588" i="1" s="1"/>
  <c r="M2588" i="1"/>
  <c r="R2588" i="1" s="1"/>
  <c r="L2588" i="1"/>
  <c r="Q2588" i="1" s="1"/>
  <c r="V2587" i="1"/>
  <c r="N2587" i="1"/>
  <c r="M2587" i="1"/>
  <c r="L2587" i="1"/>
  <c r="W2586" i="1"/>
  <c r="T2586" i="1"/>
  <c r="S2586" i="1"/>
  <c r="R2586" i="1"/>
  <c r="Q2586" i="1"/>
  <c r="P2586" i="1"/>
  <c r="O2586" i="1"/>
  <c r="N2586" i="1"/>
  <c r="M2586" i="1"/>
  <c r="L2586" i="1"/>
  <c r="V2585" i="1"/>
  <c r="U2585" i="1"/>
  <c r="T2585" i="1"/>
  <c r="S2585" i="1"/>
  <c r="R2585" i="1"/>
  <c r="P2585" i="1"/>
  <c r="O2585" i="1"/>
  <c r="N2585" i="1"/>
  <c r="M2585" i="1"/>
  <c r="L2585" i="1"/>
  <c r="W2585" i="1" s="1"/>
  <c r="V2584" i="1"/>
  <c r="U2584" i="1"/>
  <c r="T2584" i="1"/>
  <c r="S2584" i="1"/>
  <c r="Q2584" i="1"/>
  <c r="N2584" i="1"/>
  <c r="O2584" i="1" s="1"/>
  <c r="M2584" i="1"/>
  <c r="L2584" i="1"/>
  <c r="W2584" i="1" s="1"/>
  <c r="W2583" i="1"/>
  <c r="V2583" i="1"/>
  <c r="U2583" i="1"/>
  <c r="P2583" i="1"/>
  <c r="N2583" i="1"/>
  <c r="S2583" i="1" s="1"/>
  <c r="M2583" i="1"/>
  <c r="R2583" i="1" s="1"/>
  <c r="L2583" i="1"/>
  <c r="Q2583" i="1" s="1"/>
  <c r="W2582" i="1"/>
  <c r="V2582" i="1"/>
  <c r="U2582" i="1"/>
  <c r="T2582" i="1"/>
  <c r="R2582" i="1"/>
  <c r="Q2582" i="1"/>
  <c r="N2582" i="1"/>
  <c r="M2582" i="1"/>
  <c r="P2582" i="1" s="1"/>
  <c r="L2582" i="1"/>
  <c r="T2581" i="1"/>
  <c r="R2581" i="1"/>
  <c r="Q2581" i="1"/>
  <c r="P2581" i="1"/>
  <c r="O2581" i="1"/>
  <c r="N2581" i="1"/>
  <c r="S2581" i="1" s="1"/>
  <c r="M2581" i="1"/>
  <c r="L2581" i="1"/>
  <c r="V2580" i="1"/>
  <c r="U2580" i="1"/>
  <c r="T2580" i="1"/>
  <c r="S2580" i="1"/>
  <c r="R2580" i="1"/>
  <c r="P2580" i="1"/>
  <c r="O2580" i="1"/>
  <c r="N2580" i="1"/>
  <c r="M2580" i="1"/>
  <c r="L2580" i="1"/>
  <c r="W2580" i="1" s="1"/>
  <c r="R2579" i="1"/>
  <c r="N2579" i="1"/>
  <c r="M2579" i="1"/>
  <c r="P2579" i="1" s="1"/>
  <c r="L2579" i="1"/>
  <c r="W2578" i="1"/>
  <c r="V2578" i="1"/>
  <c r="P2578" i="1"/>
  <c r="N2578" i="1"/>
  <c r="S2578" i="1" s="1"/>
  <c r="M2578" i="1"/>
  <c r="R2578" i="1" s="1"/>
  <c r="L2578" i="1"/>
  <c r="N2577" i="1"/>
  <c r="M2577" i="1"/>
  <c r="L2577" i="1"/>
  <c r="W2576" i="1"/>
  <c r="T2576" i="1"/>
  <c r="Q2576" i="1"/>
  <c r="N2576" i="1"/>
  <c r="S2576" i="1" s="1"/>
  <c r="M2576" i="1"/>
  <c r="L2576" i="1"/>
  <c r="U2575" i="1"/>
  <c r="T2575" i="1"/>
  <c r="S2575" i="1"/>
  <c r="R2575" i="1"/>
  <c r="P2575" i="1"/>
  <c r="O2575" i="1"/>
  <c r="N2575" i="1"/>
  <c r="M2575" i="1"/>
  <c r="L2575" i="1"/>
  <c r="T2574" i="1"/>
  <c r="S2574" i="1"/>
  <c r="R2574" i="1"/>
  <c r="P2574" i="1"/>
  <c r="N2574" i="1"/>
  <c r="O2574" i="1" s="1"/>
  <c r="M2574" i="1"/>
  <c r="L2574" i="1"/>
  <c r="W2573" i="1"/>
  <c r="V2573" i="1"/>
  <c r="S2573" i="1"/>
  <c r="P2573" i="1"/>
  <c r="O2573" i="1"/>
  <c r="N2573" i="1"/>
  <c r="M2573" i="1"/>
  <c r="R2573" i="1" s="1"/>
  <c r="L2573" i="1"/>
  <c r="Q2573" i="1" s="1"/>
  <c r="U2572" i="1"/>
  <c r="P2572" i="1"/>
  <c r="N2572" i="1"/>
  <c r="S2572" i="1" s="1"/>
  <c r="M2572" i="1"/>
  <c r="R2572" i="1" s="1"/>
  <c r="L2572" i="1"/>
  <c r="W2571" i="1"/>
  <c r="T2571" i="1"/>
  <c r="R2571" i="1"/>
  <c r="Q2571" i="1"/>
  <c r="P2571" i="1"/>
  <c r="N2571" i="1"/>
  <c r="S2571" i="1" s="1"/>
  <c r="M2571" i="1"/>
  <c r="L2571" i="1"/>
  <c r="V2570" i="1"/>
  <c r="U2570" i="1"/>
  <c r="T2570" i="1"/>
  <c r="S2570" i="1"/>
  <c r="R2570" i="1"/>
  <c r="P2570" i="1"/>
  <c r="O2570" i="1"/>
  <c r="N2570" i="1"/>
  <c r="M2570" i="1"/>
  <c r="L2570" i="1"/>
  <c r="W2570" i="1" s="1"/>
  <c r="V2569" i="1"/>
  <c r="U2569" i="1"/>
  <c r="T2569" i="1"/>
  <c r="S2569" i="1"/>
  <c r="R2569" i="1"/>
  <c r="Q2569" i="1"/>
  <c r="N2569" i="1"/>
  <c r="O2569" i="1" s="1"/>
  <c r="M2569" i="1"/>
  <c r="P2569" i="1" s="1"/>
  <c r="L2569" i="1"/>
  <c r="W2569" i="1" s="1"/>
  <c r="V2568" i="1"/>
  <c r="S2568" i="1"/>
  <c r="P2568" i="1"/>
  <c r="O2568" i="1"/>
  <c r="N2568" i="1"/>
  <c r="M2568" i="1"/>
  <c r="R2568" i="1" s="1"/>
  <c r="L2568" i="1"/>
  <c r="S2567" i="1"/>
  <c r="P2567" i="1"/>
  <c r="N2567" i="1"/>
  <c r="O2567" i="1" s="1"/>
  <c r="M2567" i="1"/>
  <c r="R2567" i="1" s="1"/>
  <c r="L2567" i="1"/>
  <c r="S2566" i="1"/>
  <c r="N2566" i="1"/>
  <c r="O2566" i="1" s="1"/>
  <c r="M2566" i="1"/>
  <c r="L2566" i="1"/>
  <c r="W2565" i="1"/>
  <c r="V2565" i="1"/>
  <c r="U2565" i="1"/>
  <c r="S2565" i="1"/>
  <c r="R2565" i="1"/>
  <c r="Q2565" i="1"/>
  <c r="P2565" i="1"/>
  <c r="O2565" i="1"/>
  <c r="N2565" i="1"/>
  <c r="M2565" i="1"/>
  <c r="L2565" i="1"/>
  <c r="T2565" i="1" s="1"/>
  <c r="W2564" i="1"/>
  <c r="V2564" i="1"/>
  <c r="U2564" i="1"/>
  <c r="T2564" i="1"/>
  <c r="Q2564" i="1"/>
  <c r="O2564" i="1"/>
  <c r="N2564" i="1"/>
  <c r="S2564" i="1" s="1"/>
  <c r="M2564" i="1"/>
  <c r="L2564" i="1"/>
  <c r="V2563" i="1"/>
  <c r="U2563" i="1"/>
  <c r="T2563" i="1"/>
  <c r="R2563" i="1"/>
  <c r="N2563" i="1"/>
  <c r="S2563" i="1" s="1"/>
  <c r="M2563" i="1"/>
  <c r="P2563" i="1" s="1"/>
  <c r="L2563" i="1"/>
  <c r="W2563" i="1" s="1"/>
  <c r="U2562" i="1"/>
  <c r="T2562" i="1"/>
  <c r="S2562" i="1"/>
  <c r="R2562" i="1"/>
  <c r="N2562" i="1"/>
  <c r="O2562" i="1" s="1"/>
  <c r="M2562" i="1"/>
  <c r="P2562" i="1" s="1"/>
  <c r="L2562" i="1"/>
  <c r="W2561" i="1"/>
  <c r="V2561" i="1"/>
  <c r="S2561" i="1"/>
  <c r="R2561" i="1"/>
  <c r="N2561" i="1"/>
  <c r="O2561" i="1" s="1"/>
  <c r="M2561" i="1"/>
  <c r="P2561" i="1" s="1"/>
  <c r="L2561" i="1"/>
  <c r="W2560" i="1"/>
  <c r="V2560" i="1"/>
  <c r="U2560" i="1"/>
  <c r="R2560" i="1"/>
  <c r="Q2560" i="1"/>
  <c r="P2560" i="1"/>
  <c r="O2560" i="1"/>
  <c r="N2560" i="1"/>
  <c r="S2560" i="1" s="1"/>
  <c r="M2560" i="1"/>
  <c r="L2560" i="1"/>
  <c r="T2560" i="1" s="1"/>
  <c r="W2559" i="1"/>
  <c r="V2559" i="1"/>
  <c r="U2559" i="1"/>
  <c r="T2559" i="1"/>
  <c r="R2559" i="1"/>
  <c r="Q2559" i="1"/>
  <c r="N2559" i="1"/>
  <c r="M2559" i="1"/>
  <c r="P2559" i="1" s="1"/>
  <c r="L2559" i="1"/>
  <c r="V2558" i="1"/>
  <c r="U2558" i="1"/>
  <c r="T2558" i="1"/>
  <c r="S2558" i="1"/>
  <c r="R2558" i="1"/>
  <c r="O2558" i="1"/>
  <c r="N2558" i="1"/>
  <c r="M2558" i="1"/>
  <c r="P2558" i="1" s="1"/>
  <c r="L2558" i="1"/>
  <c r="W2558" i="1" s="1"/>
  <c r="S2557" i="1"/>
  <c r="R2557" i="1"/>
  <c r="N2557" i="1"/>
  <c r="O2557" i="1" s="1"/>
  <c r="M2557" i="1"/>
  <c r="P2557" i="1" s="1"/>
  <c r="L2557" i="1"/>
  <c r="N2556" i="1"/>
  <c r="M2556" i="1"/>
  <c r="L2556" i="1"/>
  <c r="W2555" i="1"/>
  <c r="V2555" i="1"/>
  <c r="U2555" i="1"/>
  <c r="R2555" i="1"/>
  <c r="Q2555" i="1"/>
  <c r="P2555" i="1"/>
  <c r="O2555" i="1"/>
  <c r="N2555" i="1"/>
  <c r="S2555" i="1" s="1"/>
  <c r="M2555" i="1"/>
  <c r="L2555" i="1"/>
  <c r="T2555" i="1" s="1"/>
  <c r="W2554" i="1"/>
  <c r="V2554" i="1"/>
  <c r="U2554" i="1"/>
  <c r="T2554" i="1"/>
  <c r="Q2554" i="1"/>
  <c r="O2554" i="1"/>
  <c r="N2554" i="1"/>
  <c r="S2554" i="1" s="1"/>
  <c r="M2554" i="1"/>
  <c r="L2554" i="1"/>
  <c r="V2553" i="1"/>
  <c r="U2553" i="1"/>
  <c r="T2553" i="1"/>
  <c r="S2553" i="1"/>
  <c r="O2553" i="1"/>
  <c r="N2553" i="1"/>
  <c r="M2553" i="1"/>
  <c r="L2553" i="1"/>
  <c r="W2553" i="1" s="1"/>
  <c r="N2552" i="1"/>
  <c r="O2552" i="1" s="1"/>
  <c r="M2552" i="1"/>
  <c r="L2552" i="1"/>
  <c r="N2551" i="1"/>
  <c r="M2551" i="1"/>
  <c r="L2551" i="1"/>
  <c r="W2550" i="1"/>
  <c r="V2550" i="1"/>
  <c r="U2550" i="1"/>
  <c r="R2550" i="1"/>
  <c r="Q2550" i="1"/>
  <c r="P2550" i="1"/>
  <c r="N2550" i="1"/>
  <c r="S2550" i="1" s="1"/>
  <c r="M2550" i="1"/>
  <c r="L2550" i="1"/>
  <c r="T2550" i="1" s="1"/>
  <c r="W2549" i="1"/>
  <c r="V2549" i="1"/>
  <c r="U2549" i="1"/>
  <c r="T2549" i="1"/>
  <c r="Q2549" i="1"/>
  <c r="O2549" i="1"/>
  <c r="N2549" i="1"/>
  <c r="S2549" i="1" s="1"/>
  <c r="M2549" i="1"/>
  <c r="R2549" i="1" s="1"/>
  <c r="L2549" i="1"/>
  <c r="V2548" i="1"/>
  <c r="U2548" i="1"/>
  <c r="T2548" i="1"/>
  <c r="S2548" i="1"/>
  <c r="N2548" i="1"/>
  <c r="O2548" i="1" s="1"/>
  <c r="M2548" i="1"/>
  <c r="L2548" i="1"/>
  <c r="W2548" i="1" s="1"/>
  <c r="V2547" i="1"/>
  <c r="U2547" i="1"/>
  <c r="T2547" i="1"/>
  <c r="N2547" i="1"/>
  <c r="M2547" i="1"/>
  <c r="L2547" i="1"/>
  <c r="W2546" i="1"/>
  <c r="V2546" i="1"/>
  <c r="S2546" i="1"/>
  <c r="Q2546" i="1"/>
  <c r="N2546" i="1"/>
  <c r="O2546" i="1" s="1"/>
  <c r="M2546" i="1"/>
  <c r="P2546" i="1" s="1"/>
  <c r="L2546" i="1"/>
  <c r="W2545" i="1"/>
  <c r="V2545" i="1"/>
  <c r="U2545" i="1"/>
  <c r="R2545" i="1"/>
  <c r="Q2545" i="1"/>
  <c r="P2545" i="1"/>
  <c r="N2545" i="1"/>
  <c r="S2545" i="1" s="1"/>
  <c r="M2545" i="1"/>
  <c r="L2545" i="1"/>
  <c r="T2545" i="1" s="1"/>
  <c r="W2544" i="1"/>
  <c r="V2544" i="1"/>
  <c r="U2544" i="1"/>
  <c r="T2544" i="1"/>
  <c r="R2544" i="1"/>
  <c r="Q2544" i="1"/>
  <c r="O2544" i="1"/>
  <c r="N2544" i="1"/>
  <c r="S2544" i="1" s="1"/>
  <c r="M2544" i="1"/>
  <c r="P2544" i="1" s="1"/>
  <c r="L2544" i="1"/>
  <c r="V2543" i="1"/>
  <c r="U2543" i="1"/>
  <c r="T2543" i="1"/>
  <c r="S2543" i="1"/>
  <c r="R2543" i="1"/>
  <c r="N2543" i="1"/>
  <c r="O2543" i="1" s="1"/>
  <c r="M2543" i="1"/>
  <c r="P2543" i="1" s="1"/>
  <c r="L2543" i="1"/>
  <c r="W2543" i="1" s="1"/>
  <c r="V2542" i="1"/>
  <c r="U2542" i="1"/>
  <c r="T2542" i="1"/>
  <c r="S2542" i="1"/>
  <c r="N2542" i="1"/>
  <c r="O2542" i="1" s="1"/>
  <c r="M2542" i="1"/>
  <c r="L2542" i="1"/>
  <c r="W2542" i="1" s="1"/>
  <c r="V2541" i="1"/>
  <c r="S2541" i="1"/>
  <c r="Q2541" i="1"/>
  <c r="N2541" i="1"/>
  <c r="O2541" i="1" s="1"/>
  <c r="M2541" i="1"/>
  <c r="L2541" i="1"/>
  <c r="W2540" i="1"/>
  <c r="V2540" i="1"/>
  <c r="U2540" i="1"/>
  <c r="R2540" i="1"/>
  <c r="Q2540" i="1"/>
  <c r="P2540" i="1"/>
  <c r="N2540" i="1"/>
  <c r="M2540" i="1"/>
  <c r="L2540" i="1"/>
  <c r="T2540" i="1" s="1"/>
  <c r="W2539" i="1"/>
  <c r="V2539" i="1"/>
  <c r="U2539" i="1"/>
  <c r="T2539" i="1"/>
  <c r="R2539" i="1"/>
  <c r="Q2539" i="1"/>
  <c r="P2539" i="1"/>
  <c r="N2539" i="1"/>
  <c r="M2539" i="1"/>
  <c r="L2539" i="1"/>
  <c r="V2538" i="1"/>
  <c r="U2538" i="1"/>
  <c r="T2538" i="1"/>
  <c r="S2538" i="1"/>
  <c r="R2538" i="1"/>
  <c r="N2538" i="1"/>
  <c r="O2538" i="1" s="1"/>
  <c r="M2538" i="1"/>
  <c r="P2538" i="1" s="1"/>
  <c r="L2538" i="1"/>
  <c r="W2538" i="1" s="1"/>
  <c r="R2537" i="1"/>
  <c r="N2537" i="1"/>
  <c r="M2537" i="1"/>
  <c r="P2537" i="1" s="1"/>
  <c r="L2537" i="1"/>
  <c r="Q2536" i="1"/>
  <c r="N2536" i="1"/>
  <c r="M2536" i="1"/>
  <c r="P2536" i="1" s="1"/>
  <c r="L2536" i="1"/>
  <c r="W2535" i="1"/>
  <c r="V2535" i="1"/>
  <c r="U2535" i="1"/>
  <c r="R2535" i="1"/>
  <c r="Q2535" i="1"/>
  <c r="P2535" i="1"/>
  <c r="N2535" i="1"/>
  <c r="M2535" i="1"/>
  <c r="L2535" i="1"/>
  <c r="T2535" i="1" s="1"/>
  <c r="W2534" i="1"/>
  <c r="V2534" i="1"/>
  <c r="U2534" i="1"/>
  <c r="T2534" i="1"/>
  <c r="Q2534" i="1"/>
  <c r="P2534" i="1"/>
  <c r="N2534" i="1"/>
  <c r="M2534" i="1"/>
  <c r="R2534" i="1" s="1"/>
  <c r="L2534" i="1"/>
  <c r="V2533" i="1"/>
  <c r="U2533" i="1"/>
  <c r="T2533" i="1"/>
  <c r="N2533" i="1"/>
  <c r="M2533" i="1"/>
  <c r="P2533" i="1" s="1"/>
  <c r="L2533" i="1"/>
  <c r="W2533" i="1" s="1"/>
  <c r="N2532" i="1"/>
  <c r="M2532" i="1"/>
  <c r="L2532" i="1"/>
  <c r="W2531" i="1"/>
  <c r="V2531" i="1"/>
  <c r="Q2531" i="1"/>
  <c r="N2531" i="1"/>
  <c r="O2531" i="1" s="1"/>
  <c r="M2531" i="1"/>
  <c r="P2531" i="1" s="1"/>
  <c r="L2531" i="1"/>
  <c r="W2530" i="1"/>
  <c r="V2530" i="1"/>
  <c r="U2530" i="1"/>
  <c r="R2530" i="1"/>
  <c r="Q2530" i="1"/>
  <c r="P2530" i="1"/>
  <c r="N2530" i="1"/>
  <c r="S2530" i="1" s="1"/>
  <c r="M2530" i="1"/>
  <c r="L2530" i="1"/>
  <c r="T2530" i="1" s="1"/>
  <c r="W2529" i="1"/>
  <c r="V2529" i="1"/>
  <c r="U2529" i="1"/>
  <c r="T2529" i="1"/>
  <c r="Q2529" i="1"/>
  <c r="P2529" i="1"/>
  <c r="N2529" i="1"/>
  <c r="S2529" i="1" s="1"/>
  <c r="M2529" i="1"/>
  <c r="R2529" i="1" s="1"/>
  <c r="L2529" i="1"/>
  <c r="V2528" i="1"/>
  <c r="U2528" i="1"/>
  <c r="T2528" i="1"/>
  <c r="N2528" i="1"/>
  <c r="M2528" i="1"/>
  <c r="L2528" i="1"/>
  <c r="W2528" i="1" s="1"/>
  <c r="V2527" i="1"/>
  <c r="U2527" i="1"/>
  <c r="T2527" i="1"/>
  <c r="Q2527" i="1"/>
  <c r="N2527" i="1"/>
  <c r="O2527" i="1" s="1"/>
  <c r="M2527" i="1"/>
  <c r="P2527" i="1" s="1"/>
  <c r="L2527" i="1"/>
  <c r="W2527" i="1" s="1"/>
  <c r="W2526" i="1"/>
  <c r="T2526" i="1"/>
  <c r="S2526" i="1"/>
  <c r="R2526" i="1"/>
  <c r="N2526" i="1"/>
  <c r="O2526" i="1" s="1"/>
  <c r="M2526" i="1"/>
  <c r="P2526" i="1" s="1"/>
  <c r="L2526" i="1"/>
  <c r="W2525" i="1"/>
  <c r="V2525" i="1"/>
  <c r="U2525" i="1"/>
  <c r="R2525" i="1"/>
  <c r="Q2525" i="1"/>
  <c r="P2525" i="1"/>
  <c r="N2525" i="1"/>
  <c r="M2525" i="1"/>
  <c r="L2525" i="1"/>
  <c r="T2525" i="1" s="1"/>
  <c r="W2524" i="1"/>
  <c r="V2524" i="1"/>
  <c r="U2524" i="1"/>
  <c r="T2524" i="1"/>
  <c r="R2524" i="1"/>
  <c r="Q2524" i="1"/>
  <c r="N2524" i="1"/>
  <c r="S2524" i="1" s="1"/>
  <c r="M2524" i="1"/>
  <c r="P2524" i="1" s="1"/>
  <c r="L2524" i="1"/>
  <c r="V2523" i="1"/>
  <c r="U2523" i="1"/>
  <c r="T2523" i="1"/>
  <c r="S2523" i="1"/>
  <c r="O2523" i="1"/>
  <c r="N2523" i="1"/>
  <c r="M2523" i="1"/>
  <c r="R2523" i="1" s="1"/>
  <c r="L2523" i="1"/>
  <c r="S2522" i="1"/>
  <c r="R2522" i="1"/>
  <c r="N2522" i="1"/>
  <c r="O2522" i="1" s="1"/>
  <c r="M2522" i="1"/>
  <c r="P2522" i="1" s="1"/>
  <c r="L2522" i="1"/>
  <c r="W2521" i="1"/>
  <c r="V2521" i="1"/>
  <c r="T2521" i="1"/>
  <c r="R2521" i="1"/>
  <c r="N2521" i="1"/>
  <c r="M2521" i="1"/>
  <c r="P2521" i="1" s="1"/>
  <c r="L2521" i="1"/>
  <c r="U2521" i="1" s="1"/>
  <c r="V2520" i="1"/>
  <c r="R2520" i="1"/>
  <c r="Q2520" i="1"/>
  <c r="P2520" i="1"/>
  <c r="N2520" i="1"/>
  <c r="S2520" i="1" s="1"/>
  <c r="M2520" i="1"/>
  <c r="L2520" i="1"/>
  <c r="W2519" i="1"/>
  <c r="V2519" i="1"/>
  <c r="U2519" i="1"/>
  <c r="T2519" i="1"/>
  <c r="R2519" i="1"/>
  <c r="Q2519" i="1"/>
  <c r="O2519" i="1"/>
  <c r="N2519" i="1"/>
  <c r="S2519" i="1" s="1"/>
  <c r="M2519" i="1"/>
  <c r="P2519" i="1" s="1"/>
  <c r="L2519" i="1"/>
  <c r="V2518" i="1"/>
  <c r="S2518" i="1"/>
  <c r="R2518" i="1"/>
  <c r="N2518" i="1"/>
  <c r="O2518" i="1" s="1"/>
  <c r="M2518" i="1"/>
  <c r="P2518" i="1" s="1"/>
  <c r="L2518" i="1"/>
  <c r="V2517" i="1"/>
  <c r="U2517" i="1"/>
  <c r="S2517" i="1"/>
  <c r="N2517" i="1"/>
  <c r="O2517" i="1" s="1"/>
  <c r="M2517" i="1"/>
  <c r="P2517" i="1" s="1"/>
  <c r="L2517" i="1"/>
  <c r="V2516" i="1"/>
  <c r="S2516" i="1"/>
  <c r="R2516" i="1"/>
  <c r="Q2516" i="1"/>
  <c r="N2516" i="1"/>
  <c r="O2516" i="1" s="1"/>
  <c r="M2516" i="1"/>
  <c r="P2516" i="1" s="1"/>
  <c r="L2516" i="1"/>
  <c r="V2515" i="1"/>
  <c r="U2515" i="1"/>
  <c r="R2515" i="1"/>
  <c r="Q2515" i="1"/>
  <c r="P2515" i="1"/>
  <c r="N2515" i="1"/>
  <c r="M2515" i="1"/>
  <c r="L2515" i="1"/>
  <c r="T2515" i="1" s="1"/>
  <c r="W2514" i="1"/>
  <c r="V2514" i="1"/>
  <c r="U2514" i="1"/>
  <c r="T2514" i="1"/>
  <c r="R2514" i="1"/>
  <c r="Q2514" i="1"/>
  <c r="N2514" i="1"/>
  <c r="M2514" i="1"/>
  <c r="P2514" i="1" s="1"/>
  <c r="L2514" i="1"/>
  <c r="U2513" i="1"/>
  <c r="S2513" i="1"/>
  <c r="O2513" i="1"/>
  <c r="N2513" i="1"/>
  <c r="M2513" i="1"/>
  <c r="L2513" i="1"/>
  <c r="V2512" i="1"/>
  <c r="T2512" i="1"/>
  <c r="S2512" i="1"/>
  <c r="R2512" i="1"/>
  <c r="N2512" i="1"/>
  <c r="O2512" i="1" s="1"/>
  <c r="M2512" i="1"/>
  <c r="P2512" i="1" s="1"/>
  <c r="L2512" i="1"/>
  <c r="W2511" i="1"/>
  <c r="V2511" i="1"/>
  <c r="T2511" i="1"/>
  <c r="S2511" i="1"/>
  <c r="R2511" i="1"/>
  <c r="N2511" i="1"/>
  <c r="O2511" i="1" s="1"/>
  <c r="M2511" i="1"/>
  <c r="P2511" i="1" s="1"/>
  <c r="L2511" i="1"/>
  <c r="W2510" i="1"/>
  <c r="V2510" i="1"/>
  <c r="R2510" i="1"/>
  <c r="Q2510" i="1"/>
  <c r="P2510" i="1"/>
  <c r="N2510" i="1"/>
  <c r="S2510" i="1" s="1"/>
  <c r="M2510" i="1"/>
  <c r="L2510" i="1"/>
  <c r="W2509" i="1"/>
  <c r="V2509" i="1"/>
  <c r="U2509" i="1"/>
  <c r="T2509" i="1"/>
  <c r="R2509" i="1"/>
  <c r="Q2509" i="1"/>
  <c r="O2509" i="1"/>
  <c r="N2509" i="1"/>
  <c r="S2509" i="1" s="1"/>
  <c r="M2509" i="1"/>
  <c r="P2509" i="1" s="1"/>
  <c r="L2509" i="1"/>
  <c r="V2508" i="1"/>
  <c r="T2508" i="1"/>
  <c r="N2508" i="1"/>
  <c r="O2508" i="1" s="1"/>
  <c r="M2508" i="1"/>
  <c r="L2508" i="1"/>
  <c r="V2507" i="1"/>
  <c r="T2507" i="1"/>
  <c r="S2507" i="1"/>
  <c r="N2507" i="1"/>
  <c r="O2507" i="1" s="1"/>
  <c r="M2507" i="1"/>
  <c r="P2507" i="1" s="1"/>
  <c r="L2507" i="1"/>
  <c r="V2506" i="1"/>
  <c r="S2506" i="1"/>
  <c r="N2506" i="1"/>
  <c r="O2506" i="1" s="1"/>
  <c r="M2506" i="1"/>
  <c r="L2506" i="1"/>
  <c r="V2505" i="1"/>
  <c r="U2505" i="1"/>
  <c r="R2505" i="1"/>
  <c r="Q2505" i="1"/>
  <c r="N2505" i="1"/>
  <c r="M2505" i="1"/>
  <c r="P2505" i="1" s="1"/>
  <c r="L2505" i="1"/>
  <c r="T2505" i="1" s="1"/>
  <c r="W2504" i="1"/>
  <c r="V2504" i="1"/>
  <c r="U2504" i="1"/>
  <c r="T2504" i="1"/>
  <c r="R2504" i="1"/>
  <c r="Q2504" i="1"/>
  <c r="N2504" i="1"/>
  <c r="M2504" i="1"/>
  <c r="P2504" i="1" s="1"/>
  <c r="L2504" i="1"/>
  <c r="P2503" i="1"/>
  <c r="N2503" i="1"/>
  <c r="M2503" i="1"/>
  <c r="R2503" i="1" s="1"/>
  <c r="L2503" i="1"/>
  <c r="V2502" i="1"/>
  <c r="U2502" i="1"/>
  <c r="T2502" i="1"/>
  <c r="N2502" i="1"/>
  <c r="O2502" i="1" s="1"/>
  <c r="M2502" i="1"/>
  <c r="L2502" i="1"/>
  <c r="W2501" i="1"/>
  <c r="N2501" i="1"/>
  <c r="M2501" i="1"/>
  <c r="L2501" i="1"/>
  <c r="V2500" i="1"/>
  <c r="U2500" i="1"/>
  <c r="R2500" i="1"/>
  <c r="O2500" i="1"/>
  <c r="N2500" i="1"/>
  <c r="S2500" i="1" s="1"/>
  <c r="M2500" i="1"/>
  <c r="P2500" i="1" s="1"/>
  <c r="L2500" i="1"/>
  <c r="W2499" i="1"/>
  <c r="V2499" i="1"/>
  <c r="U2499" i="1"/>
  <c r="T2499" i="1"/>
  <c r="Q2499" i="1"/>
  <c r="O2499" i="1"/>
  <c r="N2499" i="1"/>
  <c r="S2499" i="1" s="1"/>
  <c r="M2499" i="1"/>
  <c r="L2499" i="1"/>
  <c r="U2498" i="1"/>
  <c r="T2498" i="1"/>
  <c r="O2498" i="1"/>
  <c r="N2498" i="1"/>
  <c r="S2498" i="1" s="1"/>
  <c r="M2498" i="1"/>
  <c r="R2498" i="1" s="1"/>
  <c r="L2498" i="1"/>
  <c r="W2498" i="1" s="1"/>
  <c r="V2497" i="1"/>
  <c r="S2497" i="1"/>
  <c r="Q2497" i="1"/>
  <c r="N2497" i="1"/>
  <c r="O2497" i="1" s="1"/>
  <c r="M2497" i="1"/>
  <c r="L2497" i="1"/>
  <c r="W2496" i="1"/>
  <c r="V2496" i="1"/>
  <c r="R2496" i="1"/>
  <c r="P2496" i="1"/>
  <c r="N2496" i="1"/>
  <c r="M2496" i="1"/>
  <c r="L2496" i="1"/>
  <c r="W2495" i="1"/>
  <c r="R2495" i="1"/>
  <c r="P2495" i="1"/>
  <c r="N2495" i="1"/>
  <c r="M2495" i="1"/>
  <c r="L2495" i="1"/>
  <c r="W2494" i="1"/>
  <c r="V2494" i="1"/>
  <c r="U2494" i="1"/>
  <c r="T2494" i="1"/>
  <c r="Q2494" i="1"/>
  <c r="O2494" i="1"/>
  <c r="N2494" i="1"/>
  <c r="S2494" i="1" s="1"/>
  <c r="M2494" i="1"/>
  <c r="P2494" i="1" s="1"/>
  <c r="L2494" i="1"/>
  <c r="R2493" i="1"/>
  <c r="Q2493" i="1"/>
  <c r="P2493" i="1"/>
  <c r="O2493" i="1"/>
  <c r="N2493" i="1"/>
  <c r="S2493" i="1" s="1"/>
  <c r="M2493" i="1"/>
  <c r="L2493" i="1"/>
  <c r="U2492" i="1"/>
  <c r="T2492" i="1"/>
  <c r="R2492" i="1"/>
  <c r="Q2492" i="1"/>
  <c r="N2492" i="1"/>
  <c r="M2492" i="1"/>
  <c r="P2492" i="1" s="1"/>
  <c r="L2492" i="1"/>
  <c r="N2491" i="1"/>
  <c r="M2491" i="1"/>
  <c r="P2491" i="1" s="1"/>
  <c r="L2491" i="1"/>
  <c r="W2490" i="1"/>
  <c r="V2490" i="1"/>
  <c r="U2490" i="1"/>
  <c r="Q2490" i="1"/>
  <c r="O2490" i="1"/>
  <c r="N2490" i="1"/>
  <c r="S2490" i="1" s="1"/>
  <c r="M2490" i="1"/>
  <c r="L2490" i="1"/>
  <c r="T2490" i="1" s="1"/>
  <c r="W2489" i="1"/>
  <c r="V2489" i="1"/>
  <c r="U2489" i="1"/>
  <c r="T2489" i="1"/>
  <c r="R2489" i="1"/>
  <c r="Q2489" i="1"/>
  <c r="O2489" i="1"/>
  <c r="N2489" i="1"/>
  <c r="S2489" i="1" s="1"/>
  <c r="M2489" i="1"/>
  <c r="P2489" i="1" s="1"/>
  <c r="L2489" i="1"/>
  <c r="V2488" i="1"/>
  <c r="U2488" i="1"/>
  <c r="T2488" i="1"/>
  <c r="S2488" i="1"/>
  <c r="R2488" i="1"/>
  <c r="Q2488" i="1"/>
  <c r="P2488" i="1"/>
  <c r="O2488" i="1"/>
  <c r="N2488" i="1"/>
  <c r="M2488" i="1"/>
  <c r="L2488" i="1"/>
  <c r="W2488" i="1" s="1"/>
  <c r="U2487" i="1"/>
  <c r="S2487" i="1"/>
  <c r="R2487" i="1"/>
  <c r="P2487" i="1"/>
  <c r="N2487" i="1"/>
  <c r="O2487" i="1" s="1"/>
  <c r="M2487" i="1"/>
  <c r="L2487" i="1"/>
  <c r="W2486" i="1"/>
  <c r="V2486" i="1"/>
  <c r="U2486" i="1"/>
  <c r="T2486" i="1"/>
  <c r="S2486" i="1"/>
  <c r="R2486" i="1"/>
  <c r="Q2486" i="1"/>
  <c r="N2486" i="1"/>
  <c r="O2486" i="1" s="1"/>
  <c r="M2486" i="1"/>
  <c r="P2486" i="1" s="1"/>
  <c r="L2486" i="1"/>
  <c r="V2485" i="1"/>
  <c r="P2485" i="1"/>
  <c r="N2485" i="1"/>
  <c r="M2485" i="1"/>
  <c r="R2485" i="1" s="1"/>
  <c r="L2485" i="1"/>
  <c r="O2484" i="1"/>
  <c r="N2484" i="1"/>
  <c r="S2484" i="1" s="1"/>
  <c r="M2484" i="1"/>
  <c r="L2484" i="1"/>
  <c r="T2483" i="1"/>
  <c r="R2483" i="1"/>
  <c r="P2483" i="1"/>
  <c r="N2483" i="1"/>
  <c r="M2483" i="1"/>
  <c r="L2483" i="1"/>
  <c r="N2482" i="1"/>
  <c r="M2482" i="1"/>
  <c r="L2482" i="1"/>
  <c r="V2481" i="1"/>
  <c r="U2481" i="1"/>
  <c r="Q2481" i="1"/>
  <c r="O2481" i="1"/>
  <c r="N2481" i="1"/>
  <c r="S2481" i="1" s="1"/>
  <c r="M2481" i="1"/>
  <c r="R2481" i="1" s="1"/>
  <c r="L2481" i="1"/>
  <c r="W2480" i="1"/>
  <c r="T2480" i="1"/>
  <c r="R2480" i="1"/>
  <c r="P2480" i="1"/>
  <c r="O2480" i="1"/>
  <c r="N2480" i="1"/>
  <c r="S2480" i="1" s="1"/>
  <c r="M2480" i="1"/>
  <c r="L2480" i="1"/>
  <c r="S2479" i="1"/>
  <c r="R2479" i="1"/>
  <c r="P2479" i="1"/>
  <c r="O2479" i="1"/>
  <c r="N2479" i="1"/>
  <c r="M2479" i="1"/>
  <c r="L2479" i="1"/>
  <c r="V2478" i="1"/>
  <c r="U2478" i="1"/>
  <c r="T2478" i="1"/>
  <c r="Q2478" i="1"/>
  <c r="N2478" i="1"/>
  <c r="O2478" i="1" s="1"/>
  <c r="M2478" i="1"/>
  <c r="L2478" i="1"/>
  <c r="W2478" i="1" s="1"/>
  <c r="W2477" i="1"/>
  <c r="V2477" i="1"/>
  <c r="S2477" i="1"/>
  <c r="N2477" i="1"/>
  <c r="O2477" i="1" s="1"/>
  <c r="M2477" i="1"/>
  <c r="L2477" i="1"/>
  <c r="Q2477" i="1" s="1"/>
  <c r="W2476" i="1"/>
  <c r="V2476" i="1"/>
  <c r="U2476" i="1"/>
  <c r="T2476" i="1"/>
  <c r="Q2476" i="1"/>
  <c r="N2476" i="1"/>
  <c r="S2476" i="1" s="1"/>
  <c r="M2476" i="1"/>
  <c r="L2476" i="1"/>
  <c r="W2475" i="1"/>
  <c r="T2475" i="1"/>
  <c r="N2475" i="1"/>
  <c r="M2475" i="1"/>
  <c r="R2475" i="1" s="1"/>
  <c r="L2475" i="1"/>
  <c r="V2474" i="1"/>
  <c r="U2474" i="1"/>
  <c r="T2474" i="1"/>
  <c r="S2474" i="1"/>
  <c r="R2474" i="1"/>
  <c r="Q2474" i="1"/>
  <c r="P2474" i="1"/>
  <c r="O2474" i="1"/>
  <c r="N2474" i="1"/>
  <c r="M2474" i="1"/>
  <c r="L2474" i="1"/>
  <c r="W2474" i="1" s="1"/>
  <c r="U2473" i="1"/>
  <c r="R2473" i="1"/>
  <c r="P2473" i="1"/>
  <c r="N2473" i="1"/>
  <c r="M2473" i="1"/>
  <c r="L2473" i="1"/>
  <c r="W2472" i="1"/>
  <c r="V2472" i="1"/>
  <c r="S2472" i="1"/>
  <c r="N2472" i="1"/>
  <c r="O2472" i="1" s="1"/>
  <c r="M2472" i="1"/>
  <c r="R2472" i="1" s="1"/>
  <c r="L2472" i="1"/>
  <c r="Q2471" i="1"/>
  <c r="N2471" i="1"/>
  <c r="S2471" i="1" s="1"/>
  <c r="M2471" i="1"/>
  <c r="R2471" i="1" s="1"/>
  <c r="L2471" i="1"/>
  <c r="W2470" i="1"/>
  <c r="T2470" i="1"/>
  <c r="R2470" i="1"/>
  <c r="P2470" i="1"/>
  <c r="N2470" i="1"/>
  <c r="S2470" i="1" s="1"/>
  <c r="M2470" i="1"/>
  <c r="L2470" i="1"/>
  <c r="U2469" i="1"/>
  <c r="S2469" i="1"/>
  <c r="R2469" i="1"/>
  <c r="P2469" i="1"/>
  <c r="O2469" i="1"/>
  <c r="N2469" i="1"/>
  <c r="M2469" i="1"/>
  <c r="L2469" i="1"/>
  <c r="V2468" i="1"/>
  <c r="U2468" i="1"/>
  <c r="T2468" i="1"/>
  <c r="R2468" i="1"/>
  <c r="Q2468" i="1"/>
  <c r="N2468" i="1"/>
  <c r="O2468" i="1" s="1"/>
  <c r="M2468" i="1"/>
  <c r="P2468" i="1" s="1"/>
  <c r="L2468" i="1"/>
  <c r="W2468" i="1" s="1"/>
  <c r="W2467" i="1"/>
  <c r="V2467" i="1"/>
  <c r="S2467" i="1"/>
  <c r="N2467" i="1"/>
  <c r="O2467" i="1" s="1"/>
  <c r="M2467" i="1"/>
  <c r="L2467" i="1"/>
  <c r="Q2467" i="1" s="1"/>
  <c r="W2466" i="1"/>
  <c r="V2466" i="1"/>
  <c r="U2466" i="1"/>
  <c r="T2466" i="1"/>
  <c r="Q2466" i="1"/>
  <c r="N2466" i="1"/>
  <c r="S2466" i="1" s="1"/>
  <c r="M2466" i="1"/>
  <c r="L2466" i="1"/>
  <c r="W2465" i="1"/>
  <c r="T2465" i="1"/>
  <c r="P2465" i="1"/>
  <c r="N2465" i="1"/>
  <c r="M2465" i="1"/>
  <c r="R2465" i="1" s="1"/>
  <c r="L2465" i="1"/>
  <c r="V2464" i="1"/>
  <c r="U2464" i="1"/>
  <c r="T2464" i="1"/>
  <c r="S2464" i="1"/>
  <c r="R2464" i="1"/>
  <c r="Q2464" i="1"/>
  <c r="P2464" i="1"/>
  <c r="O2464" i="1"/>
  <c r="N2464" i="1"/>
  <c r="M2464" i="1"/>
  <c r="L2464" i="1"/>
  <c r="W2464" i="1" s="1"/>
  <c r="V2463" i="1"/>
  <c r="U2463" i="1"/>
  <c r="R2463" i="1"/>
  <c r="P2463" i="1"/>
  <c r="N2463" i="1"/>
  <c r="M2463" i="1"/>
  <c r="L2463" i="1"/>
  <c r="W2462" i="1"/>
  <c r="V2462" i="1"/>
  <c r="U2462" i="1"/>
  <c r="S2462" i="1"/>
  <c r="N2462" i="1"/>
  <c r="O2462" i="1" s="1"/>
  <c r="M2462" i="1"/>
  <c r="R2462" i="1" s="1"/>
  <c r="L2462" i="1"/>
  <c r="O2461" i="1"/>
  <c r="N2461" i="1"/>
  <c r="S2461" i="1" s="1"/>
  <c r="M2461" i="1"/>
  <c r="R2461" i="1" s="1"/>
  <c r="L2461" i="1"/>
  <c r="W2460" i="1"/>
  <c r="T2460" i="1"/>
  <c r="R2460" i="1"/>
  <c r="P2460" i="1"/>
  <c r="N2460" i="1"/>
  <c r="S2460" i="1" s="1"/>
  <c r="M2460" i="1"/>
  <c r="L2460" i="1"/>
  <c r="U2459" i="1"/>
  <c r="T2459" i="1"/>
  <c r="S2459" i="1"/>
  <c r="R2459" i="1"/>
  <c r="P2459" i="1"/>
  <c r="O2459" i="1"/>
  <c r="N2459" i="1"/>
  <c r="M2459" i="1"/>
  <c r="L2459" i="1"/>
  <c r="V2458" i="1"/>
  <c r="U2458" i="1"/>
  <c r="T2458" i="1"/>
  <c r="R2458" i="1"/>
  <c r="N2458" i="1"/>
  <c r="O2458" i="1" s="1"/>
  <c r="M2458" i="1"/>
  <c r="P2458" i="1" s="1"/>
  <c r="L2458" i="1"/>
  <c r="W2458" i="1" s="1"/>
  <c r="W2457" i="1"/>
  <c r="V2457" i="1"/>
  <c r="N2457" i="1"/>
  <c r="M2457" i="1"/>
  <c r="L2457" i="1"/>
  <c r="Q2457" i="1" s="1"/>
  <c r="W2456" i="1"/>
  <c r="V2456" i="1"/>
  <c r="U2456" i="1"/>
  <c r="T2456" i="1"/>
  <c r="Q2456" i="1"/>
  <c r="N2456" i="1"/>
  <c r="S2456" i="1" s="1"/>
  <c r="M2456" i="1"/>
  <c r="L2456" i="1"/>
  <c r="W2455" i="1"/>
  <c r="T2455" i="1"/>
  <c r="P2455" i="1"/>
  <c r="N2455" i="1"/>
  <c r="M2455" i="1"/>
  <c r="R2455" i="1" s="1"/>
  <c r="L2455" i="1"/>
  <c r="V2454" i="1"/>
  <c r="U2454" i="1"/>
  <c r="T2454" i="1"/>
  <c r="S2454" i="1"/>
  <c r="R2454" i="1"/>
  <c r="Q2454" i="1"/>
  <c r="P2454" i="1"/>
  <c r="O2454" i="1"/>
  <c r="N2454" i="1"/>
  <c r="M2454" i="1"/>
  <c r="L2454" i="1"/>
  <c r="W2454" i="1" s="1"/>
  <c r="R2453" i="1"/>
  <c r="P2453" i="1"/>
  <c r="N2453" i="1"/>
  <c r="M2453" i="1"/>
  <c r="L2453" i="1"/>
  <c r="V2452" i="1"/>
  <c r="U2452" i="1"/>
  <c r="S2452" i="1"/>
  <c r="N2452" i="1"/>
  <c r="O2452" i="1" s="1"/>
  <c r="M2452" i="1"/>
  <c r="R2452" i="1" s="1"/>
  <c r="L2452" i="1"/>
  <c r="N2451" i="1"/>
  <c r="S2451" i="1" s="1"/>
  <c r="M2451" i="1"/>
  <c r="R2451" i="1" s="1"/>
  <c r="L2451" i="1"/>
  <c r="R2450" i="1"/>
  <c r="P2450" i="1"/>
  <c r="N2450" i="1"/>
  <c r="S2450" i="1" s="1"/>
  <c r="M2450" i="1"/>
  <c r="L2450" i="1"/>
  <c r="U2449" i="1"/>
  <c r="T2449" i="1"/>
  <c r="S2449" i="1"/>
  <c r="R2449" i="1"/>
  <c r="Q2449" i="1"/>
  <c r="P2449" i="1"/>
  <c r="O2449" i="1"/>
  <c r="N2449" i="1"/>
  <c r="M2449" i="1"/>
  <c r="L2449" i="1"/>
  <c r="V2448" i="1"/>
  <c r="U2448" i="1"/>
  <c r="T2448" i="1"/>
  <c r="N2448" i="1"/>
  <c r="O2448" i="1" s="1"/>
  <c r="M2448" i="1"/>
  <c r="L2448" i="1"/>
  <c r="W2448" i="1" s="1"/>
  <c r="W2447" i="1"/>
  <c r="V2447" i="1"/>
  <c r="N2447" i="1"/>
  <c r="M2447" i="1"/>
  <c r="L2447" i="1"/>
  <c r="Q2447" i="1" s="1"/>
  <c r="W2446" i="1"/>
  <c r="V2446" i="1"/>
  <c r="U2446" i="1"/>
  <c r="T2446" i="1"/>
  <c r="Q2446" i="1"/>
  <c r="N2446" i="1"/>
  <c r="S2446" i="1" s="1"/>
  <c r="M2446" i="1"/>
  <c r="L2446" i="1"/>
  <c r="W2445" i="1"/>
  <c r="T2445" i="1"/>
  <c r="N2445" i="1"/>
  <c r="M2445" i="1"/>
  <c r="L2445" i="1"/>
  <c r="V2444" i="1"/>
  <c r="U2444" i="1"/>
  <c r="T2444" i="1"/>
  <c r="S2444" i="1"/>
  <c r="R2444" i="1"/>
  <c r="Q2444" i="1"/>
  <c r="P2444" i="1"/>
  <c r="O2444" i="1"/>
  <c r="N2444" i="1"/>
  <c r="M2444" i="1"/>
  <c r="L2444" i="1"/>
  <c r="W2444" i="1" s="1"/>
  <c r="R2443" i="1"/>
  <c r="P2443" i="1"/>
  <c r="N2443" i="1"/>
  <c r="M2443" i="1"/>
  <c r="L2443" i="1"/>
  <c r="V2442" i="1"/>
  <c r="S2442" i="1"/>
  <c r="N2442" i="1"/>
  <c r="O2442" i="1" s="1"/>
  <c r="M2442" i="1"/>
  <c r="R2442" i="1" s="1"/>
  <c r="L2442" i="1"/>
  <c r="V2441" i="1"/>
  <c r="U2441" i="1"/>
  <c r="Q2441" i="1"/>
  <c r="N2441" i="1"/>
  <c r="S2441" i="1" s="1"/>
  <c r="M2441" i="1"/>
  <c r="R2441" i="1" s="1"/>
  <c r="L2441" i="1"/>
  <c r="R2440" i="1"/>
  <c r="P2440" i="1"/>
  <c r="N2440" i="1"/>
  <c r="S2440" i="1" s="1"/>
  <c r="M2440" i="1"/>
  <c r="L2440" i="1"/>
  <c r="S2439" i="1"/>
  <c r="R2439" i="1"/>
  <c r="Q2439" i="1"/>
  <c r="P2439" i="1"/>
  <c r="O2439" i="1"/>
  <c r="N2439" i="1"/>
  <c r="M2439" i="1"/>
  <c r="L2439" i="1"/>
  <c r="V2438" i="1"/>
  <c r="U2438" i="1"/>
  <c r="T2438" i="1"/>
  <c r="N2438" i="1"/>
  <c r="O2438" i="1" s="1"/>
  <c r="M2438" i="1"/>
  <c r="P2438" i="1" s="1"/>
  <c r="L2438" i="1"/>
  <c r="W2438" i="1" s="1"/>
  <c r="W2437" i="1"/>
  <c r="V2437" i="1"/>
  <c r="N2437" i="1"/>
  <c r="O2437" i="1" s="1"/>
  <c r="M2437" i="1"/>
  <c r="L2437" i="1"/>
  <c r="Q2437" i="1" s="1"/>
  <c r="W2436" i="1"/>
  <c r="V2436" i="1"/>
  <c r="U2436" i="1"/>
  <c r="T2436" i="1"/>
  <c r="Q2436" i="1"/>
  <c r="N2436" i="1"/>
  <c r="S2436" i="1" s="1"/>
  <c r="M2436" i="1"/>
  <c r="L2436" i="1"/>
  <c r="W2435" i="1"/>
  <c r="T2435" i="1"/>
  <c r="N2435" i="1"/>
  <c r="M2435" i="1"/>
  <c r="R2435" i="1" s="1"/>
  <c r="L2435" i="1"/>
  <c r="V2434" i="1"/>
  <c r="U2434" i="1"/>
  <c r="T2434" i="1"/>
  <c r="S2434" i="1"/>
  <c r="R2434" i="1"/>
  <c r="Q2434" i="1"/>
  <c r="P2434" i="1"/>
  <c r="O2434" i="1"/>
  <c r="N2434" i="1"/>
  <c r="M2434" i="1"/>
  <c r="L2434" i="1"/>
  <c r="W2434" i="1" s="1"/>
  <c r="V2433" i="1"/>
  <c r="U2433" i="1"/>
  <c r="R2433" i="1"/>
  <c r="P2433" i="1"/>
  <c r="N2433" i="1"/>
  <c r="M2433" i="1"/>
  <c r="L2433" i="1"/>
  <c r="V2432" i="1"/>
  <c r="S2432" i="1"/>
  <c r="N2432" i="1"/>
  <c r="O2432" i="1" s="1"/>
  <c r="M2432" i="1"/>
  <c r="R2432" i="1" s="1"/>
  <c r="L2432" i="1"/>
  <c r="O2431" i="1"/>
  <c r="N2431" i="1"/>
  <c r="S2431" i="1" s="1"/>
  <c r="M2431" i="1"/>
  <c r="R2431" i="1" s="1"/>
  <c r="L2431" i="1"/>
  <c r="W2430" i="1"/>
  <c r="T2430" i="1"/>
  <c r="R2430" i="1"/>
  <c r="P2430" i="1"/>
  <c r="N2430" i="1"/>
  <c r="S2430" i="1" s="1"/>
  <c r="M2430" i="1"/>
  <c r="L2430" i="1"/>
  <c r="U2429" i="1"/>
  <c r="S2429" i="1"/>
  <c r="R2429" i="1"/>
  <c r="Q2429" i="1"/>
  <c r="P2429" i="1"/>
  <c r="O2429" i="1"/>
  <c r="N2429" i="1"/>
  <c r="M2429" i="1"/>
  <c r="L2429" i="1"/>
  <c r="V2428" i="1"/>
  <c r="U2428" i="1"/>
  <c r="T2428" i="1"/>
  <c r="R2428" i="1"/>
  <c r="N2428" i="1"/>
  <c r="O2428" i="1" s="1"/>
  <c r="M2428" i="1"/>
  <c r="P2428" i="1" s="1"/>
  <c r="L2428" i="1"/>
  <c r="W2428" i="1" s="1"/>
  <c r="W2427" i="1"/>
  <c r="V2427" i="1"/>
  <c r="N2427" i="1"/>
  <c r="M2427" i="1"/>
  <c r="L2427" i="1"/>
  <c r="Q2427" i="1" s="1"/>
  <c r="W2426" i="1"/>
  <c r="V2426" i="1"/>
  <c r="U2426" i="1"/>
  <c r="T2426" i="1"/>
  <c r="Q2426" i="1"/>
  <c r="N2426" i="1"/>
  <c r="S2426" i="1" s="1"/>
  <c r="M2426" i="1"/>
  <c r="L2426" i="1"/>
  <c r="W2425" i="1"/>
  <c r="T2425" i="1"/>
  <c r="N2425" i="1"/>
  <c r="M2425" i="1"/>
  <c r="R2425" i="1" s="1"/>
  <c r="L2425" i="1"/>
  <c r="V2424" i="1"/>
  <c r="U2424" i="1"/>
  <c r="T2424" i="1"/>
  <c r="S2424" i="1"/>
  <c r="R2424" i="1"/>
  <c r="Q2424" i="1"/>
  <c r="P2424" i="1"/>
  <c r="O2424" i="1"/>
  <c r="N2424" i="1"/>
  <c r="M2424" i="1"/>
  <c r="L2424" i="1"/>
  <c r="W2424" i="1" s="1"/>
  <c r="R2423" i="1"/>
  <c r="P2423" i="1"/>
  <c r="N2423" i="1"/>
  <c r="M2423" i="1"/>
  <c r="L2423" i="1"/>
  <c r="W2422" i="1"/>
  <c r="S2422" i="1"/>
  <c r="N2422" i="1"/>
  <c r="O2422" i="1" s="1"/>
  <c r="M2422" i="1"/>
  <c r="R2422" i="1" s="1"/>
  <c r="L2422" i="1"/>
  <c r="N2421" i="1"/>
  <c r="S2421" i="1" s="1"/>
  <c r="M2421" i="1"/>
  <c r="R2421" i="1" s="1"/>
  <c r="L2421" i="1"/>
  <c r="W2420" i="1"/>
  <c r="R2420" i="1"/>
  <c r="P2420" i="1"/>
  <c r="N2420" i="1"/>
  <c r="S2420" i="1" s="1"/>
  <c r="M2420" i="1"/>
  <c r="L2420" i="1"/>
  <c r="S2419" i="1"/>
  <c r="R2419" i="1"/>
  <c r="P2419" i="1"/>
  <c r="O2419" i="1"/>
  <c r="N2419" i="1"/>
  <c r="M2419" i="1"/>
  <c r="L2419" i="1"/>
  <c r="V2418" i="1"/>
  <c r="U2418" i="1"/>
  <c r="T2418" i="1"/>
  <c r="R2418" i="1"/>
  <c r="N2418" i="1"/>
  <c r="O2418" i="1" s="1"/>
  <c r="M2418" i="1"/>
  <c r="P2418" i="1" s="1"/>
  <c r="L2418" i="1"/>
  <c r="W2418" i="1" s="1"/>
  <c r="W2417" i="1"/>
  <c r="V2417" i="1"/>
  <c r="S2417" i="1"/>
  <c r="N2417" i="1"/>
  <c r="O2417" i="1" s="1"/>
  <c r="M2417" i="1"/>
  <c r="L2417" i="1"/>
  <c r="Q2417" i="1" s="1"/>
  <c r="W2416" i="1"/>
  <c r="V2416" i="1"/>
  <c r="U2416" i="1"/>
  <c r="T2416" i="1"/>
  <c r="Q2416" i="1"/>
  <c r="N2416" i="1"/>
  <c r="S2416" i="1" s="1"/>
  <c r="M2416" i="1"/>
  <c r="L2416" i="1"/>
  <c r="W2415" i="1"/>
  <c r="T2415" i="1"/>
  <c r="P2415" i="1"/>
  <c r="N2415" i="1"/>
  <c r="M2415" i="1"/>
  <c r="R2415" i="1" s="1"/>
  <c r="L2415" i="1"/>
  <c r="V2414" i="1"/>
  <c r="U2414" i="1"/>
  <c r="T2414" i="1"/>
  <c r="S2414" i="1"/>
  <c r="R2414" i="1"/>
  <c r="Q2414" i="1"/>
  <c r="P2414" i="1"/>
  <c r="O2414" i="1"/>
  <c r="N2414" i="1"/>
  <c r="M2414" i="1"/>
  <c r="L2414" i="1"/>
  <c r="W2414" i="1" s="1"/>
  <c r="V2413" i="1"/>
  <c r="U2413" i="1"/>
  <c r="R2413" i="1"/>
  <c r="P2413" i="1"/>
  <c r="N2413" i="1"/>
  <c r="M2413" i="1"/>
  <c r="L2413" i="1"/>
  <c r="W2412" i="1"/>
  <c r="V2412" i="1"/>
  <c r="U2412" i="1"/>
  <c r="S2412" i="1"/>
  <c r="N2412" i="1"/>
  <c r="O2412" i="1" s="1"/>
  <c r="M2412" i="1"/>
  <c r="R2412" i="1" s="1"/>
  <c r="L2412" i="1"/>
  <c r="O2411" i="1"/>
  <c r="N2411" i="1"/>
  <c r="S2411" i="1" s="1"/>
  <c r="M2411" i="1"/>
  <c r="R2411" i="1" s="1"/>
  <c r="L2411" i="1"/>
  <c r="W2410" i="1"/>
  <c r="T2410" i="1"/>
  <c r="R2410" i="1"/>
  <c r="P2410" i="1"/>
  <c r="N2410" i="1"/>
  <c r="S2410" i="1" s="1"/>
  <c r="M2410" i="1"/>
  <c r="L2410" i="1"/>
  <c r="U2409" i="1"/>
  <c r="T2409" i="1"/>
  <c r="S2409" i="1"/>
  <c r="R2409" i="1"/>
  <c r="P2409" i="1"/>
  <c r="O2409" i="1"/>
  <c r="N2409" i="1"/>
  <c r="M2409" i="1"/>
  <c r="L2409" i="1"/>
  <c r="V2408" i="1"/>
  <c r="U2408" i="1"/>
  <c r="T2408" i="1"/>
  <c r="R2408" i="1"/>
  <c r="N2408" i="1"/>
  <c r="O2408" i="1" s="1"/>
  <c r="M2408" i="1"/>
  <c r="P2408" i="1" s="1"/>
  <c r="L2408" i="1"/>
  <c r="W2408" i="1" s="1"/>
  <c r="W2407" i="1"/>
  <c r="V2407" i="1"/>
  <c r="N2407" i="1"/>
  <c r="M2407" i="1"/>
  <c r="L2407" i="1"/>
  <c r="Q2407" i="1" s="1"/>
  <c r="W2406" i="1"/>
  <c r="V2406" i="1"/>
  <c r="U2406" i="1"/>
  <c r="T2406" i="1"/>
  <c r="Q2406" i="1"/>
  <c r="N2406" i="1"/>
  <c r="S2406" i="1" s="1"/>
  <c r="M2406" i="1"/>
  <c r="L2406" i="1"/>
  <c r="W2405" i="1"/>
  <c r="T2405" i="1"/>
  <c r="P2405" i="1"/>
  <c r="N2405" i="1"/>
  <c r="M2405" i="1"/>
  <c r="R2405" i="1" s="1"/>
  <c r="L2405" i="1"/>
  <c r="V2404" i="1"/>
  <c r="U2404" i="1"/>
  <c r="T2404" i="1"/>
  <c r="S2404" i="1"/>
  <c r="R2404" i="1"/>
  <c r="Q2404" i="1"/>
  <c r="P2404" i="1"/>
  <c r="O2404" i="1"/>
  <c r="N2404" i="1"/>
  <c r="M2404" i="1"/>
  <c r="L2404" i="1"/>
  <c r="W2404" i="1" s="1"/>
  <c r="R2403" i="1"/>
  <c r="P2403" i="1"/>
  <c r="N2403" i="1"/>
  <c r="M2403" i="1"/>
  <c r="L2403" i="1"/>
  <c r="S2402" i="1"/>
  <c r="N2402" i="1"/>
  <c r="O2402" i="1" s="1"/>
  <c r="M2402" i="1"/>
  <c r="R2402" i="1" s="1"/>
  <c r="L2402" i="1"/>
  <c r="N2401" i="1"/>
  <c r="S2401" i="1" s="1"/>
  <c r="M2401" i="1"/>
  <c r="R2401" i="1" s="1"/>
  <c r="L2401" i="1"/>
  <c r="R2400" i="1"/>
  <c r="P2400" i="1"/>
  <c r="N2400" i="1"/>
  <c r="S2400" i="1" s="1"/>
  <c r="M2400" i="1"/>
  <c r="L2400" i="1"/>
  <c r="U2399" i="1"/>
  <c r="T2399" i="1"/>
  <c r="S2399" i="1"/>
  <c r="R2399" i="1"/>
  <c r="Q2399" i="1"/>
  <c r="P2399" i="1"/>
  <c r="O2399" i="1"/>
  <c r="N2399" i="1"/>
  <c r="M2399" i="1"/>
  <c r="L2399" i="1"/>
  <c r="V2398" i="1"/>
  <c r="U2398" i="1"/>
  <c r="T2398" i="1"/>
  <c r="N2398" i="1"/>
  <c r="O2398" i="1" s="1"/>
  <c r="M2398" i="1"/>
  <c r="L2398" i="1"/>
  <c r="W2398" i="1" s="1"/>
  <c r="S2397" i="1"/>
  <c r="P2397" i="1"/>
  <c r="N2397" i="1"/>
  <c r="O2397" i="1" s="1"/>
  <c r="M2397" i="1"/>
  <c r="R2397" i="1" s="1"/>
  <c r="L2397" i="1"/>
  <c r="W2396" i="1"/>
  <c r="V2396" i="1"/>
  <c r="T2396" i="1"/>
  <c r="O2396" i="1"/>
  <c r="N2396" i="1"/>
  <c r="S2396" i="1" s="1"/>
  <c r="M2396" i="1"/>
  <c r="L2396" i="1"/>
  <c r="U2395" i="1"/>
  <c r="N2395" i="1"/>
  <c r="M2395" i="1"/>
  <c r="L2395" i="1"/>
  <c r="V2394" i="1"/>
  <c r="U2394" i="1"/>
  <c r="T2394" i="1"/>
  <c r="R2394" i="1"/>
  <c r="Q2394" i="1"/>
  <c r="P2394" i="1"/>
  <c r="N2394" i="1"/>
  <c r="M2394" i="1"/>
  <c r="L2394" i="1"/>
  <c r="W2394" i="1" s="1"/>
  <c r="V2393" i="1"/>
  <c r="T2393" i="1"/>
  <c r="Q2393" i="1"/>
  <c r="N2393" i="1"/>
  <c r="O2393" i="1" s="1"/>
  <c r="M2393" i="1"/>
  <c r="L2393" i="1"/>
  <c r="W2393" i="1" s="1"/>
  <c r="W2392" i="1"/>
  <c r="S2392" i="1"/>
  <c r="R2392" i="1"/>
  <c r="Q2392" i="1"/>
  <c r="P2392" i="1"/>
  <c r="N2392" i="1"/>
  <c r="O2392" i="1" s="1"/>
  <c r="M2392" i="1"/>
  <c r="L2392" i="1"/>
  <c r="V2391" i="1"/>
  <c r="U2391" i="1"/>
  <c r="T2391" i="1"/>
  <c r="Q2391" i="1"/>
  <c r="O2391" i="1"/>
  <c r="N2391" i="1"/>
  <c r="S2391" i="1" s="1"/>
  <c r="M2391" i="1"/>
  <c r="R2391" i="1" s="1"/>
  <c r="L2391" i="1"/>
  <c r="W2391" i="1" s="1"/>
  <c r="U2390" i="1"/>
  <c r="R2390" i="1"/>
  <c r="P2390" i="1"/>
  <c r="N2390" i="1"/>
  <c r="M2390" i="1"/>
  <c r="L2390" i="1"/>
  <c r="V2389" i="1"/>
  <c r="T2389" i="1"/>
  <c r="S2389" i="1"/>
  <c r="R2389" i="1"/>
  <c r="Q2389" i="1"/>
  <c r="O2389" i="1"/>
  <c r="N2389" i="1"/>
  <c r="M2389" i="1"/>
  <c r="P2389" i="1" s="1"/>
  <c r="L2389" i="1"/>
  <c r="W2389" i="1" s="1"/>
  <c r="T2388" i="1"/>
  <c r="S2388" i="1"/>
  <c r="N2388" i="1"/>
  <c r="O2388" i="1" s="1"/>
  <c r="M2388" i="1"/>
  <c r="L2388" i="1"/>
  <c r="V2387" i="1"/>
  <c r="S2387" i="1"/>
  <c r="N2387" i="1"/>
  <c r="O2387" i="1" s="1"/>
  <c r="M2387" i="1"/>
  <c r="R2387" i="1" s="1"/>
  <c r="L2387" i="1"/>
  <c r="V2386" i="1"/>
  <c r="N2386" i="1"/>
  <c r="S2386" i="1" s="1"/>
  <c r="M2386" i="1"/>
  <c r="R2386" i="1" s="1"/>
  <c r="L2386" i="1"/>
  <c r="U2385" i="1"/>
  <c r="R2385" i="1"/>
  <c r="N2385" i="1"/>
  <c r="M2385" i="1"/>
  <c r="P2385" i="1" s="1"/>
  <c r="L2385" i="1"/>
  <c r="V2384" i="1"/>
  <c r="N2384" i="1"/>
  <c r="M2384" i="1"/>
  <c r="L2384" i="1"/>
  <c r="N2383" i="1"/>
  <c r="O2383" i="1" s="1"/>
  <c r="M2383" i="1"/>
  <c r="R2383" i="1" s="1"/>
  <c r="L2383" i="1"/>
  <c r="R2382" i="1"/>
  <c r="P2382" i="1"/>
  <c r="N2382" i="1"/>
  <c r="M2382" i="1"/>
  <c r="L2382" i="1"/>
  <c r="W2381" i="1"/>
  <c r="V2381" i="1"/>
  <c r="U2381" i="1"/>
  <c r="T2381" i="1"/>
  <c r="R2381" i="1"/>
  <c r="Q2381" i="1"/>
  <c r="P2381" i="1"/>
  <c r="O2381" i="1"/>
  <c r="N2381" i="1"/>
  <c r="S2381" i="1" s="1"/>
  <c r="M2381" i="1"/>
  <c r="L2381" i="1"/>
  <c r="W2380" i="1"/>
  <c r="U2380" i="1"/>
  <c r="T2380" i="1"/>
  <c r="S2380" i="1"/>
  <c r="R2380" i="1"/>
  <c r="Q2380" i="1"/>
  <c r="O2380" i="1"/>
  <c r="N2380" i="1"/>
  <c r="M2380" i="1"/>
  <c r="P2380" i="1" s="1"/>
  <c r="L2380" i="1"/>
  <c r="V2380" i="1" s="1"/>
  <c r="U2379" i="1"/>
  <c r="S2379" i="1"/>
  <c r="O2379" i="1"/>
  <c r="N2379" i="1"/>
  <c r="M2379" i="1"/>
  <c r="P2379" i="1" s="1"/>
  <c r="L2379" i="1"/>
  <c r="V2378" i="1"/>
  <c r="U2378" i="1"/>
  <c r="T2378" i="1"/>
  <c r="S2378" i="1"/>
  <c r="Q2378" i="1"/>
  <c r="N2378" i="1"/>
  <c r="O2378" i="1" s="1"/>
  <c r="M2378" i="1"/>
  <c r="L2378" i="1"/>
  <c r="W2378" i="1" s="1"/>
  <c r="P2377" i="1"/>
  <c r="N2377" i="1"/>
  <c r="O2377" i="1" s="1"/>
  <c r="M2377" i="1"/>
  <c r="R2377" i="1" s="1"/>
  <c r="L2377" i="1"/>
  <c r="W2376" i="1"/>
  <c r="V2376" i="1"/>
  <c r="U2376" i="1"/>
  <c r="T2376" i="1"/>
  <c r="R2376" i="1"/>
  <c r="Q2376" i="1"/>
  <c r="P2376" i="1"/>
  <c r="O2376" i="1"/>
  <c r="N2376" i="1"/>
  <c r="S2376" i="1" s="1"/>
  <c r="M2376" i="1"/>
  <c r="L2376" i="1"/>
  <c r="W2375" i="1"/>
  <c r="U2375" i="1"/>
  <c r="T2375" i="1"/>
  <c r="S2375" i="1"/>
  <c r="Q2375" i="1"/>
  <c r="O2375" i="1"/>
  <c r="N2375" i="1"/>
  <c r="M2375" i="1"/>
  <c r="L2375" i="1"/>
  <c r="V2375" i="1" s="1"/>
  <c r="V2374" i="1"/>
  <c r="S2374" i="1"/>
  <c r="O2374" i="1"/>
  <c r="N2374" i="1"/>
  <c r="M2374" i="1"/>
  <c r="P2374" i="1" s="1"/>
  <c r="L2374" i="1"/>
  <c r="V2373" i="1"/>
  <c r="U2373" i="1"/>
  <c r="T2373" i="1"/>
  <c r="S2373" i="1"/>
  <c r="Q2373" i="1"/>
  <c r="N2373" i="1"/>
  <c r="O2373" i="1" s="1"/>
  <c r="M2373" i="1"/>
  <c r="L2373" i="1"/>
  <c r="W2373" i="1" s="1"/>
  <c r="W2372" i="1"/>
  <c r="V2372" i="1"/>
  <c r="S2372" i="1"/>
  <c r="Q2372" i="1"/>
  <c r="P2372" i="1"/>
  <c r="N2372" i="1"/>
  <c r="O2372" i="1" s="1"/>
  <c r="M2372" i="1"/>
  <c r="R2372" i="1" s="1"/>
  <c r="L2372" i="1"/>
  <c r="W2371" i="1"/>
  <c r="V2371" i="1"/>
  <c r="U2371" i="1"/>
  <c r="T2371" i="1"/>
  <c r="R2371" i="1"/>
  <c r="Q2371" i="1"/>
  <c r="P2371" i="1"/>
  <c r="O2371" i="1"/>
  <c r="N2371" i="1"/>
  <c r="S2371" i="1" s="1"/>
  <c r="M2371" i="1"/>
  <c r="L2371" i="1"/>
  <c r="W2370" i="1"/>
  <c r="U2370" i="1"/>
  <c r="T2370" i="1"/>
  <c r="S2370" i="1"/>
  <c r="R2370" i="1"/>
  <c r="Q2370" i="1"/>
  <c r="O2370" i="1"/>
  <c r="N2370" i="1"/>
  <c r="M2370" i="1"/>
  <c r="P2370" i="1" s="1"/>
  <c r="L2370" i="1"/>
  <c r="V2370" i="1" s="1"/>
  <c r="S2369" i="1"/>
  <c r="R2369" i="1"/>
  <c r="O2369" i="1"/>
  <c r="N2369" i="1"/>
  <c r="M2369" i="1"/>
  <c r="P2369" i="1" s="1"/>
  <c r="L2369" i="1"/>
  <c r="V2368" i="1"/>
  <c r="U2368" i="1"/>
  <c r="T2368" i="1"/>
  <c r="Q2368" i="1"/>
  <c r="N2368" i="1"/>
  <c r="O2368" i="1" s="1"/>
  <c r="M2368" i="1"/>
  <c r="L2368" i="1"/>
  <c r="W2368" i="1" s="1"/>
  <c r="N2367" i="1"/>
  <c r="O2367" i="1" s="1"/>
  <c r="M2367" i="1"/>
  <c r="L2367" i="1"/>
  <c r="W2366" i="1"/>
  <c r="V2366" i="1"/>
  <c r="U2366" i="1"/>
  <c r="T2366" i="1"/>
  <c r="R2366" i="1"/>
  <c r="Q2366" i="1"/>
  <c r="P2366" i="1"/>
  <c r="N2366" i="1"/>
  <c r="M2366" i="1"/>
  <c r="L2366" i="1"/>
  <c r="W2365" i="1"/>
  <c r="U2365" i="1"/>
  <c r="T2365" i="1"/>
  <c r="S2365" i="1"/>
  <c r="Q2365" i="1"/>
  <c r="O2365" i="1"/>
  <c r="N2365" i="1"/>
  <c r="M2365" i="1"/>
  <c r="L2365" i="1"/>
  <c r="V2365" i="1" s="1"/>
  <c r="U2364" i="1"/>
  <c r="S2364" i="1"/>
  <c r="O2364" i="1"/>
  <c r="N2364" i="1"/>
  <c r="M2364" i="1"/>
  <c r="L2364" i="1"/>
  <c r="V2363" i="1"/>
  <c r="U2363" i="1"/>
  <c r="T2363" i="1"/>
  <c r="Q2363" i="1"/>
  <c r="N2363" i="1"/>
  <c r="M2363" i="1"/>
  <c r="L2363" i="1"/>
  <c r="W2363" i="1" s="1"/>
  <c r="W2362" i="1"/>
  <c r="V2362" i="1"/>
  <c r="Q2362" i="1"/>
  <c r="N2362" i="1"/>
  <c r="O2362" i="1" s="1"/>
  <c r="M2362" i="1"/>
  <c r="L2362" i="1"/>
  <c r="W2361" i="1"/>
  <c r="V2361" i="1"/>
  <c r="U2361" i="1"/>
  <c r="T2361" i="1"/>
  <c r="R2361" i="1"/>
  <c r="Q2361" i="1"/>
  <c r="P2361" i="1"/>
  <c r="N2361" i="1"/>
  <c r="S2361" i="1" s="1"/>
  <c r="M2361" i="1"/>
  <c r="L2361" i="1"/>
  <c r="W2360" i="1"/>
  <c r="U2360" i="1"/>
  <c r="T2360" i="1"/>
  <c r="S2360" i="1"/>
  <c r="R2360" i="1"/>
  <c r="Q2360" i="1"/>
  <c r="P2360" i="1"/>
  <c r="O2360" i="1"/>
  <c r="N2360" i="1"/>
  <c r="M2360" i="1"/>
  <c r="L2360" i="1"/>
  <c r="V2360" i="1" s="1"/>
  <c r="V2359" i="1"/>
  <c r="S2359" i="1"/>
  <c r="O2359" i="1"/>
  <c r="N2359" i="1"/>
  <c r="M2359" i="1"/>
  <c r="P2359" i="1" s="1"/>
  <c r="L2359" i="1"/>
  <c r="V2358" i="1"/>
  <c r="U2358" i="1"/>
  <c r="T2358" i="1"/>
  <c r="Q2358" i="1"/>
  <c r="N2358" i="1"/>
  <c r="O2358" i="1" s="1"/>
  <c r="M2358" i="1"/>
  <c r="L2358" i="1"/>
  <c r="W2358" i="1" s="1"/>
  <c r="W2357" i="1"/>
  <c r="V2357" i="1"/>
  <c r="Q2357" i="1"/>
  <c r="P2357" i="1"/>
  <c r="N2357" i="1"/>
  <c r="M2357" i="1"/>
  <c r="R2357" i="1" s="1"/>
  <c r="L2357" i="1"/>
  <c r="W2356" i="1"/>
  <c r="V2356" i="1"/>
  <c r="U2356" i="1"/>
  <c r="T2356" i="1"/>
  <c r="R2356" i="1"/>
  <c r="Q2356" i="1"/>
  <c r="P2356" i="1"/>
  <c r="N2356" i="1"/>
  <c r="S2356" i="1" s="1"/>
  <c r="M2356" i="1"/>
  <c r="L2356" i="1"/>
  <c r="W2355" i="1"/>
  <c r="U2355" i="1"/>
  <c r="T2355" i="1"/>
  <c r="S2355" i="1"/>
  <c r="R2355" i="1"/>
  <c r="Q2355" i="1"/>
  <c r="P2355" i="1"/>
  <c r="O2355" i="1"/>
  <c r="N2355" i="1"/>
  <c r="M2355" i="1"/>
  <c r="L2355" i="1"/>
  <c r="V2355" i="1" s="1"/>
  <c r="U2354" i="1"/>
  <c r="S2354" i="1"/>
  <c r="O2354" i="1"/>
  <c r="N2354" i="1"/>
  <c r="M2354" i="1"/>
  <c r="L2354" i="1"/>
  <c r="V2353" i="1"/>
  <c r="U2353" i="1"/>
  <c r="T2353" i="1"/>
  <c r="Q2353" i="1"/>
  <c r="N2353" i="1"/>
  <c r="O2353" i="1" s="1"/>
  <c r="M2353" i="1"/>
  <c r="L2353" i="1"/>
  <c r="W2353" i="1" s="1"/>
  <c r="W2352" i="1"/>
  <c r="N2352" i="1"/>
  <c r="M2352" i="1"/>
  <c r="R2352" i="1" s="1"/>
  <c r="L2352" i="1"/>
  <c r="W2351" i="1"/>
  <c r="V2351" i="1"/>
  <c r="U2351" i="1"/>
  <c r="T2351" i="1"/>
  <c r="R2351" i="1"/>
  <c r="Q2351" i="1"/>
  <c r="P2351" i="1"/>
  <c r="N2351" i="1"/>
  <c r="S2351" i="1" s="1"/>
  <c r="M2351" i="1"/>
  <c r="L2351" i="1"/>
  <c r="W2350" i="1"/>
  <c r="U2350" i="1"/>
  <c r="T2350" i="1"/>
  <c r="S2350" i="1"/>
  <c r="Q2350" i="1"/>
  <c r="O2350" i="1"/>
  <c r="N2350" i="1"/>
  <c r="M2350" i="1"/>
  <c r="L2350" i="1"/>
  <c r="V2350" i="1" s="1"/>
  <c r="V2349" i="1"/>
  <c r="U2349" i="1"/>
  <c r="S2349" i="1"/>
  <c r="R2349" i="1"/>
  <c r="O2349" i="1"/>
  <c r="N2349" i="1"/>
  <c r="M2349" i="1"/>
  <c r="P2349" i="1" s="1"/>
  <c r="L2349" i="1"/>
  <c r="V2348" i="1"/>
  <c r="U2348" i="1"/>
  <c r="N2348" i="1"/>
  <c r="O2348" i="1" s="1"/>
  <c r="M2348" i="1"/>
  <c r="L2348" i="1"/>
  <c r="W2348" i="1" s="1"/>
  <c r="V2347" i="1"/>
  <c r="S2347" i="1"/>
  <c r="Q2347" i="1"/>
  <c r="N2347" i="1"/>
  <c r="O2347" i="1" s="1"/>
  <c r="M2347" i="1"/>
  <c r="L2347" i="1"/>
  <c r="W2346" i="1"/>
  <c r="V2346" i="1"/>
  <c r="U2346" i="1"/>
  <c r="T2346" i="1"/>
  <c r="R2346" i="1"/>
  <c r="Q2346" i="1"/>
  <c r="P2346" i="1"/>
  <c r="N2346" i="1"/>
  <c r="S2346" i="1" s="1"/>
  <c r="M2346" i="1"/>
  <c r="L2346" i="1"/>
  <c r="W2345" i="1"/>
  <c r="U2345" i="1"/>
  <c r="T2345" i="1"/>
  <c r="S2345" i="1"/>
  <c r="Q2345" i="1"/>
  <c r="O2345" i="1"/>
  <c r="N2345" i="1"/>
  <c r="M2345" i="1"/>
  <c r="L2345" i="1"/>
  <c r="V2345" i="1" s="1"/>
  <c r="V2344" i="1"/>
  <c r="U2344" i="1"/>
  <c r="T2344" i="1"/>
  <c r="S2344" i="1"/>
  <c r="O2344" i="1"/>
  <c r="N2344" i="1"/>
  <c r="M2344" i="1"/>
  <c r="P2344" i="1" s="1"/>
  <c r="L2344" i="1"/>
  <c r="Q2343" i="1"/>
  <c r="N2343" i="1"/>
  <c r="M2343" i="1"/>
  <c r="L2343" i="1"/>
  <c r="W2342" i="1"/>
  <c r="V2342" i="1"/>
  <c r="S2342" i="1"/>
  <c r="Q2342" i="1"/>
  <c r="P2342" i="1"/>
  <c r="N2342" i="1"/>
  <c r="O2342" i="1" s="1"/>
  <c r="M2342" i="1"/>
  <c r="R2342" i="1" s="1"/>
  <c r="L2342" i="1"/>
  <c r="W2341" i="1"/>
  <c r="V2341" i="1"/>
  <c r="U2341" i="1"/>
  <c r="T2341" i="1"/>
  <c r="R2341" i="1"/>
  <c r="Q2341" i="1"/>
  <c r="P2341" i="1"/>
  <c r="N2341" i="1"/>
  <c r="M2341" i="1"/>
  <c r="L2341" i="1"/>
  <c r="W2340" i="1"/>
  <c r="U2340" i="1"/>
  <c r="T2340" i="1"/>
  <c r="S2340" i="1"/>
  <c r="R2340" i="1"/>
  <c r="Q2340" i="1"/>
  <c r="P2340" i="1"/>
  <c r="O2340" i="1"/>
  <c r="N2340" i="1"/>
  <c r="M2340" i="1"/>
  <c r="L2340" i="1"/>
  <c r="V2340" i="1" s="1"/>
  <c r="U2339" i="1"/>
  <c r="S2339" i="1"/>
  <c r="O2339" i="1"/>
  <c r="N2339" i="1"/>
  <c r="M2339" i="1"/>
  <c r="P2339" i="1" s="1"/>
  <c r="L2339" i="1"/>
  <c r="V2338" i="1"/>
  <c r="U2338" i="1"/>
  <c r="T2338" i="1"/>
  <c r="S2338" i="1"/>
  <c r="N2338" i="1"/>
  <c r="O2338" i="1" s="1"/>
  <c r="M2338" i="1"/>
  <c r="L2338" i="1"/>
  <c r="W2338" i="1" s="1"/>
  <c r="P2337" i="1"/>
  <c r="N2337" i="1"/>
  <c r="O2337" i="1" s="1"/>
  <c r="M2337" i="1"/>
  <c r="R2337" i="1" s="1"/>
  <c r="L2337" i="1"/>
  <c r="W2336" i="1"/>
  <c r="V2336" i="1"/>
  <c r="U2336" i="1"/>
  <c r="T2336" i="1"/>
  <c r="R2336" i="1"/>
  <c r="Q2336" i="1"/>
  <c r="P2336" i="1"/>
  <c r="N2336" i="1"/>
  <c r="M2336" i="1"/>
  <c r="L2336" i="1"/>
  <c r="W2335" i="1"/>
  <c r="U2335" i="1"/>
  <c r="T2335" i="1"/>
  <c r="S2335" i="1"/>
  <c r="Q2335" i="1"/>
  <c r="O2335" i="1"/>
  <c r="N2335" i="1"/>
  <c r="M2335" i="1"/>
  <c r="L2335" i="1"/>
  <c r="V2335" i="1" s="1"/>
  <c r="S2334" i="1"/>
  <c r="O2334" i="1"/>
  <c r="N2334" i="1"/>
  <c r="M2334" i="1"/>
  <c r="P2334" i="1" s="1"/>
  <c r="L2334" i="1"/>
  <c r="V2333" i="1"/>
  <c r="N2333" i="1"/>
  <c r="M2333" i="1"/>
  <c r="L2333" i="1"/>
  <c r="W2333" i="1" s="1"/>
  <c r="W2332" i="1"/>
  <c r="V2332" i="1"/>
  <c r="S2332" i="1"/>
  <c r="Q2332" i="1"/>
  <c r="N2332" i="1"/>
  <c r="O2332" i="1" s="1"/>
  <c r="M2332" i="1"/>
  <c r="L2332" i="1"/>
  <c r="W2331" i="1"/>
  <c r="V2331" i="1"/>
  <c r="U2331" i="1"/>
  <c r="T2331" i="1"/>
  <c r="R2331" i="1"/>
  <c r="Q2331" i="1"/>
  <c r="P2331" i="1"/>
  <c r="N2331" i="1"/>
  <c r="S2331" i="1" s="1"/>
  <c r="M2331" i="1"/>
  <c r="L2331" i="1"/>
  <c r="W2330" i="1"/>
  <c r="U2330" i="1"/>
  <c r="T2330" i="1"/>
  <c r="S2330" i="1"/>
  <c r="R2330" i="1"/>
  <c r="Q2330" i="1"/>
  <c r="P2330" i="1"/>
  <c r="O2330" i="1"/>
  <c r="N2330" i="1"/>
  <c r="M2330" i="1"/>
  <c r="L2330" i="1"/>
  <c r="V2330" i="1" s="1"/>
  <c r="V2329" i="1"/>
  <c r="U2329" i="1"/>
  <c r="T2329" i="1"/>
  <c r="S2329" i="1"/>
  <c r="O2329" i="1"/>
  <c r="N2329" i="1"/>
  <c r="M2329" i="1"/>
  <c r="L2329" i="1"/>
  <c r="U2328" i="1"/>
  <c r="T2328" i="1"/>
  <c r="S2328" i="1"/>
  <c r="Q2328" i="1"/>
  <c r="N2328" i="1"/>
  <c r="O2328" i="1" s="1"/>
  <c r="M2328" i="1"/>
  <c r="L2328" i="1"/>
  <c r="W2327" i="1"/>
  <c r="V2327" i="1"/>
  <c r="Q2327" i="1"/>
  <c r="P2327" i="1"/>
  <c r="N2327" i="1"/>
  <c r="O2327" i="1" s="1"/>
  <c r="M2327" i="1"/>
  <c r="R2327" i="1" s="1"/>
  <c r="L2327" i="1"/>
  <c r="W2326" i="1"/>
  <c r="V2326" i="1"/>
  <c r="U2326" i="1"/>
  <c r="T2326" i="1"/>
  <c r="R2326" i="1"/>
  <c r="Q2326" i="1"/>
  <c r="P2326" i="1"/>
  <c r="O2326" i="1"/>
  <c r="N2326" i="1"/>
  <c r="S2326" i="1" s="1"/>
  <c r="M2326" i="1"/>
  <c r="L2326" i="1"/>
  <c r="W2325" i="1"/>
  <c r="U2325" i="1"/>
  <c r="T2325" i="1"/>
  <c r="R2325" i="1"/>
  <c r="Q2325" i="1"/>
  <c r="P2325" i="1"/>
  <c r="O2325" i="1"/>
  <c r="N2325" i="1"/>
  <c r="S2325" i="1" s="1"/>
  <c r="M2325" i="1"/>
  <c r="L2325" i="1"/>
  <c r="V2325" i="1" s="1"/>
  <c r="S2324" i="1"/>
  <c r="O2324" i="1"/>
  <c r="N2324" i="1"/>
  <c r="M2324" i="1"/>
  <c r="L2324" i="1"/>
  <c r="V2323" i="1"/>
  <c r="U2323" i="1"/>
  <c r="T2323" i="1"/>
  <c r="S2323" i="1"/>
  <c r="Q2323" i="1"/>
  <c r="N2323" i="1"/>
  <c r="O2323" i="1" s="1"/>
  <c r="M2323" i="1"/>
  <c r="L2323" i="1"/>
  <c r="W2323" i="1" s="1"/>
  <c r="Q2322" i="1"/>
  <c r="N2322" i="1"/>
  <c r="O2322" i="1" s="1"/>
  <c r="M2322" i="1"/>
  <c r="L2322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W2320" i="1"/>
  <c r="U2320" i="1"/>
  <c r="T2320" i="1"/>
  <c r="R2320" i="1"/>
  <c r="Q2320" i="1"/>
  <c r="O2320" i="1"/>
  <c r="N2320" i="1"/>
  <c r="S2320" i="1" s="1"/>
  <c r="M2320" i="1"/>
  <c r="P2320" i="1" s="1"/>
  <c r="L2320" i="1"/>
  <c r="V2320" i="1" s="1"/>
  <c r="W2319" i="1"/>
  <c r="V2319" i="1"/>
  <c r="U2319" i="1"/>
  <c r="T2319" i="1"/>
  <c r="S2319" i="1"/>
  <c r="O2319" i="1"/>
  <c r="N2319" i="1"/>
  <c r="M2319" i="1"/>
  <c r="P2319" i="1" s="1"/>
  <c r="L2319" i="1"/>
  <c r="Q2319" i="1" s="1"/>
  <c r="S2318" i="1"/>
  <c r="N2318" i="1"/>
  <c r="O2318" i="1" s="1"/>
  <c r="M2318" i="1"/>
  <c r="L2318" i="1"/>
  <c r="W2317" i="1"/>
  <c r="V2317" i="1"/>
  <c r="S2317" i="1"/>
  <c r="N2317" i="1"/>
  <c r="O2317" i="1" s="1"/>
  <c r="M2317" i="1"/>
  <c r="R2317" i="1" s="1"/>
  <c r="L2317" i="1"/>
  <c r="W2316" i="1"/>
  <c r="V2316" i="1"/>
  <c r="U2316" i="1"/>
  <c r="T2316" i="1"/>
  <c r="R2316" i="1"/>
  <c r="Q2316" i="1"/>
  <c r="P2316" i="1"/>
  <c r="N2316" i="1"/>
  <c r="M2316" i="1"/>
  <c r="L2316" i="1"/>
  <c r="W2315" i="1"/>
  <c r="U2315" i="1"/>
  <c r="T2315" i="1"/>
  <c r="R2315" i="1"/>
  <c r="Q2315" i="1"/>
  <c r="O2315" i="1"/>
  <c r="N2315" i="1"/>
  <c r="S2315" i="1" s="1"/>
  <c r="M2315" i="1"/>
  <c r="P2315" i="1" s="1"/>
  <c r="L2315" i="1"/>
  <c r="V2315" i="1" s="1"/>
  <c r="S2314" i="1"/>
  <c r="O2314" i="1"/>
  <c r="N2314" i="1"/>
  <c r="M2314" i="1"/>
  <c r="L2314" i="1"/>
  <c r="V2313" i="1"/>
  <c r="U2313" i="1"/>
  <c r="T2313" i="1"/>
  <c r="S2313" i="1"/>
  <c r="O2313" i="1"/>
  <c r="N2313" i="1"/>
  <c r="M2313" i="1"/>
  <c r="L2313" i="1"/>
  <c r="W2313" i="1" s="1"/>
  <c r="W2312" i="1"/>
  <c r="N2312" i="1"/>
  <c r="M2312" i="1"/>
  <c r="R2312" i="1" s="1"/>
  <c r="L2312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W2310" i="1"/>
  <c r="U2310" i="1"/>
  <c r="T2310" i="1"/>
  <c r="Q2310" i="1"/>
  <c r="P2310" i="1"/>
  <c r="O2310" i="1"/>
  <c r="N2310" i="1"/>
  <c r="S2310" i="1" s="1"/>
  <c r="M2310" i="1"/>
  <c r="R2310" i="1" s="1"/>
  <c r="L2310" i="1"/>
  <c r="V2310" i="1" s="1"/>
  <c r="S2309" i="1"/>
  <c r="R2309" i="1"/>
  <c r="O2309" i="1"/>
  <c r="N2309" i="1"/>
  <c r="M2309" i="1"/>
  <c r="P2309" i="1" s="1"/>
  <c r="L2309" i="1"/>
  <c r="O2308" i="1"/>
  <c r="N2308" i="1"/>
  <c r="S2308" i="1" s="1"/>
  <c r="M2308" i="1"/>
  <c r="L2308" i="1"/>
  <c r="N2307" i="1"/>
  <c r="O2307" i="1" s="1"/>
  <c r="M2307" i="1"/>
  <c r="L2307" i="1"/>
  <c r="W2306" i="1"/>
  <c r="V2306" i="1"/>
  <c r="U2306" i="1"/>
  <c r="T2306" i="1"/>
  <c r="R2306" i="1"/>
  <c r="Q2306" i="1"/>
  <c r="P2306" i="1"/>
  <c r="O2306" i="1"/>
  <c r="N2306" i="1"/>
  <c r="S2306" i="1" s="1"/>
  <c r="M2306" i="1"/>
  <c r="L2306" i="1"/>
  <c r="W2305" i="1"/>
  <c r="U2305" i="1"/>
  <c r="T2305" i="1"/>
  <c r="Q2305" i="1"/>
  <c r="O2305" i="1"/>
  <c r="N2305" i="1"/>
  <c r="S2305" i="1" s="1"/>
  <c r="M2305" i="1"/>
  <c r="L2305" i="1"/>
  <c r="V2305" i="1" s="1"/>
  <c r="W2304" i="1"/>
  <c r="V2304" i="1"/>
  <c r="S2304" i="1"/>
  <c r="O2304" i="1"/>
  <c r="N2304" i="1"/>
  <c r="M2304" i="1"/>
  <c r="P2304" i="1" s="1"/>
  <c r="L2304" i="1"/>
  <c r="V2303" i="1"/>
  <c r="U2303" i="1"/>
  <c r="T2303" i="1"/>
  <c r="S2303" i="1"/>
  <c r="Q2303" i="1"/>
  <c r="N2303" i="1"/>
  <c r="O2303" i="1" s="1"/>
  <c r="M2303" i="1"/>
  <c r="L2303" i="1"/>
  <c r="W2303" i="1" s="1"/>
  <c r="V2302" i="1"/>
  <c r="S2302" i="1"/>
  <c r="N2302" i="1"/>
  <c r="O2302" i="1" s="1"/>
  <c r="M2302" i="1"/>
  <c r="R2302" i="1" s="1"/>
  <c r="L2302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W2300" i="1"/>
  <c r="U2300" i="1"/>
  <c r="T2300" i="1"/>
  <c r="Q2300" i="1"/>
  <c r="O2300" i="1"/>
  <c r="N2300" i="1"/>
  <c r="S2300" i="1" s="1"/>
  <c r="M2300" i="1"/>
  <c r="R2300" i="1" s="1"/>
  <c r="L2300" i="1"/>
  <c r="V2300" i="1" s="1"/>
  <c r="W2299" i="1"/>
  <c r="V2299" i="1"/>
  <c r="U2299" i="1"/>
  <c r="T2299" i="1"/>
  <c r="S2299" i="1"/>
  <c r="O2299" i="1"/>
  <c r="N2299" i="1"/>
  <c r="M2299" i="1"/>
  <c r="P2299" i="1" s="1"/>
  <c r="L2299" i="1"/>
  <c r="Q2299" i="1" s="1"/>
  <c r="V2298" i="1"/>
  <c r="U2298" i="1"/>
  <c r="T2298" i="1"/>
  <c r="N2298" i="1"/>
  <c r="S2298" i="1" s="1"/>
  <c r="M2298" i="1"/>
  <c r="L2298" i="1"/>
  <c r="W2298" i="1" s="1"/>
  <c r="V2297" i="1"/>
  <c r="Q2297" i="1"/>
  <c r="P2297" i="1"/>
  <c r="N2297" i="1"/>
  <c r="M2297" i="1"/>
  <c r="R2297" i="1" s="1"/>
  <c r="L2297" i="1"/>
  <c r="W2296" i="1"/>
  <c r="V2296" i="1"/>
  <c r="U2296" i="1"/>
  <c r="T2296" i="1"/>
  <c r="S2296" i="1"/>
  <c r="R2296" i="1"/>
  <c r="Q2296" i="1"/>
  <c r="P2296" i="1"/>
  <c r="N2296" i="1"/>
  <c r="O2296" i="1" s="1"/>
  <c r="M2296" i="1"/>
  <c r="L2296" i="1"/>
  <c r="W2295" i="1"/>
  <c r="U2295" i="1"/>
  <c r="T2295" i="1"/>
  <c r="R2295" i="1"/>
  <c r="Q2295" i="1"/>
  <c r="P2295" i="1"/>
  <c r="O2295" i="1"/>
  <c r="N2295" i="1"/>
  <c r="S2295" i="1" s="1"/>
  <c r="M2295" i="1"/>
  <c r="L2295" i="1"/>
  <c r="V2295" i="1" s="1"/>
  <c r="W2294" i="1"/>
  <c r="V2294" i="1"/>
  <c r="U2294" i="1"/>
  <c r="T2294" i="1"/>
  <c r="S2294" i="1"/>
  <c r="O2294" i="1"/>
  <c r="N2294" i="1"/>
  <c r="M2294" i="1"/>
  <c r="L2294" i="1"/>
  <c r="Q2294" i="1" s="1"/>
  <c r="N2293" i="1"/>
  <c r="M2293" i="1"/>
  <c r="L2293" i="1"/>
  <c r="W2292" i="1"/>
  <c r="V2292" i="1"/>
  <c r="S2292" i="1"/>
  <c r="Q2292" i="1"/>
  <c r="P2292" i="1"/>
  <c r="N2292" i="1"/>
  <c r="O2292" i="1" s="1"/>
  <c r="M2292" i="1"/>
  <c r="R2292" i="1" s="1"/>
  <c r="L2292" i="1"/>
  <c r="W2291" i="1"/>
  <c r="V2291" i="1"/>
  <c r="U2291" i="1"/>
  <c r="T2291" i="1"/>
  <c r="R2291" i="1"/>
  <c r="Q2291" i="1"/>
  <c r="P2291" i="1"/>
  <c r="O2291" i="1"/>
  <c r="N2291" i="1"/>
  <c r="S2291" i="1" s="1"/>
  <c r="M2291" i="1"/>
  <c r="L2291" i="1"/>
  <c r="W2290" i="1"/>
  <c r="U2290" i="1"/>
  <c r="T2290" i="1"/>
  <c r="R2290" i="1"/>
  <c r="Q2290" i="1"/>
  <c r="O2290" i="1"/>
  <c r="N2290" i="1"/>
  <c r="S2290" i="1" s="1"/>
  <c r="M2290" i="1"/>
  <c r="P2290" i="1" s="1"/>
  <c r="L2290" i="1"/>
  <c r="V2290" i="1" s="1"/>
  <c r="S2289" i="1"/>
  <c r="O2289" i="1"/>
  <c r="N2289" i="1"/>
  <c r="M2289" i="1"/>
  <c r="L2289" i="1"/>
  <c r="V2288" i="1"/>
  <c r="U2288" i="1"/>
  <c r="T2288" i="1"/>
  <c r="S2288" i="1"/>
  <c r="Q2288" i="1"/>
  <c r="N2288" i="1"/>
  <c r="O2288" i="1" s="1"/>
  <c r="M2288" i="1"/>
  <c r="L2288" i="1"/>
  <c r="W2288" i="1" s="1"/>
  <c r="W2287" i="1"/>
  <c r="V2287" i="1"/>
  <c r="Q2287" i="1"/>
  <c r="N2287" i="1"/>
  <c r="M2287" i="1"/>
  <c r="R2287" i="1" s="1"/>
  <c r="L2287" i="1"/>
  <c r="W2286" i="1"/>
  <c r="V2286" i="1"/>
  <c r="U2286" i="1"/>
  <c r="T2286" i="1"/>
  <c r="S2286" i="1"/>
  <c r="R2286" i="1"/>
  <c r="Q2286" i="1"/>
  <c r="P2286" i="1"/>
  <c r="N2286" i="1"/>
  <c r="O2286" i="1" s="1"/>
  <c r="M2286" i="1"/>
  <c r="L2286" i="1"/>
  <c r="W2285" i="1"/>
  <c r="U2285" i="1"/>
  <c r="T2285" i="1"/>
  <c r="R2285" i="1"/>
  <c r="Q2285" i="1"/>
  <c r="O2285" i="1"/>
  <c r="N2285" i="1"/>
  <c r="S2285" i="1" s="1"/>
  <c r="M2285" i="1"/>
  <c r="P2285" i="1" s="1"/>
  <c r="L2285" i="1"/>
  <c r="V2285" i="1" s="1"/>
  <c r="W2284" i="1"/>
  <c r="V2284" i="1"/>
  <c r="U2284" i="1"/>
  <c r="T2284" i="1"/>
  <c r="S2284" i="1"/>
  <c r="R2284" i="1"/>
  <c r="O2284" i="1"/>
  <c r="N2284" i="1"/>
  <c r="M2284" i="1"/>
  <c r="P2284" i="1" s="1"/>
  <c r="L2284" i="1"/>
  <c r="Q2284" i="1" s="1"/>
  <c r="V2283" i="1"/>
  <c r="U2283" i="1"/>
  <c r="T2283" i="1"/>
  <c r="S2283" i="1"/>
  <c r="Q2283" i="1"/>
  <c r="N2283" i="1"/>
  <c r="O2283" i="1" s="1"/>
  <c r="M2283" i="1"/>
  <c r="L2283" i="1"/>
  <c r="W2283" i="1" s="1"/>
  <c r="W2282" i="1"/>
  <c r="V2282" i="1"/>
  <c r="Q2282" i="1"/>
  <c r="N2282" i="1"/>
  <c r="O2282" i="1" s="1"/>
  <c r="M2282" i="1"/>
  <c r="L2282" i="1"/>
  <c r="W2281" i="1"/>
  <c r="V2281" i="1"/>
  <c r="U2281" i="1"/>
  <c r="T2281" i="1"/>
  <c r="S2281" i="1"/>
  <c r="R2281" i="1"/>
  <c r="Q2281" i="1"/>
  <c r="P2281" i="1"/>
  <c r="N2281" i="1"/>
  <c r="O2281" i="1" s="1"/>
  <c r="M2281" i="1"/>
  <c r="L2281" i="1"/>
  <c r="W2280" i="1"/>
  <c r="U2280" i="1"/>
  <c r="T2280" i="1"/>
  <c r="R2280" i="1"/>
  <c r="Q2280" i="1"/>
  <c r="P2280" i="1"/>
  <c r="O2280" i="1"/>
  <c r="N2280" i="1"/>
  <c r="S2280" i="1" s="1"/>
  <c r="M2280" i="1"/>
  <c r="L2280" i="1"/>
  <c r="V2280" i="1" s="1"/>
  <c r="V2279" i="1"/>
  <c r="U2279" i="1"/>
  <c r="T2279" i="1"/>
  <c r="S2279" i="1"/>
  <c r="R2279" i="1"/>
  <c r="O2279" i="1"/>
  <c r="N2279" i="1"/>
  <c r="M2279" i="1"/>
  <c r="P2279" i="1" s="1"/>
  <c r="L2279" i="1"/>
  <c r="V2278" i="1"/>
  <c r="U2278" i="1"/>
  <c r="T2278" i="1"/>
  <c r="S2278" i="1"/>
  <c r="R2278" i="1"/>
  <c r="Q2278" i="1"/>
  <c r="O2278" i="1"/>
  <c r="N2278" i="1"/>
  <c r="M2278" i="1"/>
  <c r="P2278" i="1" s="1"/>
  <c r="L2278" i="1"/>
  <c r="W2278" i="1" s="1"/>
  <c r="V2277" i="1"/>
  <c r="Q2277" i="1"/>
  <c r="N2277" i="1"/>
  <c r="M2277" i="1"/>
  <c r="R2277" i="1" s="1"/>
  <c r="L2277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U2275" i="1"/>
  <c r="T2275" i="1"/>
  <c r="Q2275" i="1"/>
  <c r="P2275" i="1"/>
  <c r="O2275" i="1"/>
  <c r="N2275" i="1"/>
  <c r="S2275" i="1" s="1"/>
  <c r="M2275" i="1"/>
  <c r="R2275" i="1" s="1"/>
  <c r="L2275" i="1"/>
  <c r="W2274" i="1"/>
  <c r="V2274" i="1"/>
  <c r="U2274" i="1"/>
  <c r="T2274" i="1"/>
  <c r="S2274" i="1"/>
  <c r="R2274" i="1"/>
  <c r="O2274" i="1"/>
  <c r="N2274" i="1"/>
  <c r="M2274" i="1"/>
  <c r="P2274" i="1" s="1"/>
  <c r="L2274" i="1"/>
  <c r="Q2274" i="1" s="1"/>
  <c r="U2273" i="1"/>
  <c r="T2273" i="1"/>
  <c r="S2273" i="1"/>
  <c r="Q2273" i="1"/>
  <c r="P2273" i="1"/>
  <c r="O2273" i="1"/>
  <c r="N2273" i="1"/>
  <c r="M2273" i="1"/>
  <c r="R2273" i="1" s="1"/>
  <c r="L2273" i="1"/>
  <c r="W2272" i="1"/>
  <c r="V2272" i="1"/>
  <c r="Q2272" i="1"/>
  <c r="P2272" i="1"/>
  <c r="N2272" i="1"/>
  <c r="M2272" i="1"/>
  <c r="R2272" i="1" s="1"/>
  <c r="L2272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W2270" i="1"/>
  <c r="U2270" i="1"/>
  <c r="T2270" i="1"/>
  <c r="R2270" i="1"/>
  <c r="Q2270" i="1"/>
  <c r="P2270" i="1"/>
  <c r="N2270" i="1"/>
  <c r="S2270" i="1" s="1"/>
  <c r="M2270" i="1"/>
  <c r="L2270" i="1"/>
  <c r="V2270" i="1" s="1"/>
  <c r="W2269" i="1"/>
  <c r="V2269" i="1"/>
  <c r="U2269" i="1"/>
  <c r="T2269" i="1"/>
  <c r="S2269" i="1"/>
  <c r="O2269" i="1"/>
  <c r="N2269" i="1"/>
  <c r="M2269" i="1"/>
  <c r="P2269" i="1" s="1"/>
  <c r="L2269" i="1"/>
  <c r="Q2269" i="1" s="1"/>
  <c r="S2268" i="1"/>
  <c r="R2268" i="1"/>
  <c r="N2268" i="1"/>
  <c r="O2268" i="1" s="1"/>
  <c r="M2268" i="1"/>
  <c r="P2268" i="1" s="1"/>
  <c r="L2268" i="1"/>
  <c r="W2267" i="1"/>
  <c r="V2267" i="1"/>
  <c r="S2267" i="1"/>
  <c r="Q2267" i="1"/>
  <c r="P2267" i="1"/>
  <c r="N2267" i="1"/>
  <c r="O2267" i="1" s="1"/>
  <c r="M2267" i="1"/>
  <c r="R2267" i="1" s="1"/>
  <c r="L2267" i="1"/>
  <c r="W2266" i="1"/>
  <c r="V2266" i="1"/>
  <c r="U2266" i="1"/>
  <c r="T2266" i="1"/>
  <c r="S2266" i="1"/>
  <c r="R2266" i="1"/>
  <c r="Q2266" i="1"/>
  <c r="P2266" i="1"/>
  <c r="N2266" i="1"/>
  <c r="O2266" i="1" s="1"/>
  <c r="M2266" i="1"/>
  <c r="L2266" i="1"/>
  <c r="W2265" i="1"/>
  <c r="U2265" i="1"/>
  <c r="T2265" i="1"/>
  <c r="R2265" i="1"/>
  <c r="P2265" i="1"/>
  <c r="N2265" i="1"/>
  <c r="S2265" i="1" s="1"/>
  <c r="M2265" i="1"/>
  <c r="L2265" i="1"/>
  <c r="S2264" i="1"/>
  <c r="O2264" i="1"/>
  <c r="N2264" i="1"/>
  <c r="M2264" i="1"/>
  <c r="P2264" i="1" s="1"/>
  <c r="L2264" i="1"/>
  <c r="S2263" i="1"/>
  <c r="R2263" i="1"/>
  <c r="P2263" i="1"/>
  <c r="N2263" i="1"/>
  <c r="O2263" i="1" s="1"/>
  <c r="M2263" i="1"/>
  <c r="L2263" i="1"/>
  <c r="W2262" i="1"/>
  <c r="S2262" i="1"/>
  <c r="N2262" i="1"/>
  <c r="O2262" i="1" s="1"/>
  <c r="M2262" i="1"/>
  <c r="R2262" i="1" s="1"/>
  <c r="L2262" i="1"/>
  <c r="V2262" i="1" s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W2260" i="1"/>
  <c r="U2260" i="1"/>
  <c r="T2260" i="1"/>
  <c r="N2260" i="1"/>
  <c r="S2260" i="1" s="1"/>
  <c r="M2260" i="1"/>
  <c r="L2260" i="1"/>
  <c r="S2259" i="1"/>
  <c r="R2259" i="1"/>
  <c r="O2259" i="1"/>
  <c r="N2259" i="1"/>
  <c r="M2259" i="1"/>
  <c r="P2259" i="1" s="1"/>
  <c r="L2259" i="1"/>
  <c r="W2258" i="1"/>
  <c r="V2258" i="1"/>
  <c r="Q2258" i="1"/>
  <c r="P2258" i="1"/>
  <c r="O2258" i="1"/>
  <c r="N2258" i="1"/>
  <c r="S2258" i="1" s="1"/>
  <c r="M2258" i="1"/>
  <c r="R2258" i="1" s="1"/>
  <c r="L2258" i="1"/>
  <c r="Q2257" i="1"/>
  <c r="P2257" i="1"/>
  <c r="O2257" i="1"/>
  <c r="N2257" i="1"/>
  <c r="S2257" i="1" s="1"/>
  <c r="M2257" i="1"/>
  <c r="R2257" i="1" s="1"/>
  <c r="L2257" i="1"/>
  <c r="W2256" i="1"/>
  <c r="V2256" i="1"/>
  <c r="U2256" i="1"/>
  <c r="T2256" i="1"/>
  <c r="R2256" i="1"/>
  <c r="Q2256" i="1"/>
  <c r="P2256" i="1"/>
  <c r="O2256" i="1"/>
  <c r="N2256" i="1"/>
  <c r="S2256" i="1" s="1"/>
  <c r="M2256" i="1"/>
  <c r="L2256" i="1"/>
  <c r="W2255" i="1"/>
  <c r="U2255" i="1"/>
  <c r="T2255" i="1"/>
  <c r="S2255" i="1"/>
  <c r="R2255" i="1"/>
  <c r="Q2255" i="1"/>
  <c r="P2255" i="1"/>
  <c r="O2255" i="1"/>
  <c r="N2255" i="1"/>
  <c r="M2255" i="1"/>
  <c r="L2255" i="1"/>
  <c r="V2255" i="1" s="1"/>
  <c r="U2254" i="1"/>
  <c r="T2254" i="1"/>
  <c r="S2254" i="1"/>
  <c r="R2254" i="1"/>
  <c r="O2254" i="1"/>
  <c r="N2254" i="1"/>
  <c r="M2254" i="1"/>
  <c r="P2254" i="1" s="1"/>
  <c r="L2254" i="1"/>
  <c r="W2253" i="1"/>
  <c r="V2253" i="1"/>
  <c r="U2253" i="1"/>
  <c r="T2253" i="1"/>
  <c r="S2253" i="1"/>
  <c r="R2253" i="1"/>
  <c r="Q2253" i="1"/>
  <c r="P2253" i="1"/>
  <c r="N2253" i="1"/>
  <c r="O2253" i="1" s="1"/>
  <c r="M2253" i="1"/>
  <c r="L2253" i="1"/>
  <c r="W2252" i="1"/>
  <c r="V2252" i="1"/>
  <c r="Q2252" i="1"/>
  <c r="P2252" i="1"/>
  <c r="O2252" i="1"/>
  <c r="N2252" i="1"/>
  <c r="S2252" i="1" s="1"/>
  <c r="M2252" i="1"/>
  <c r="R2252" i="1" s="1"/>
  <c r="L2252" i="1"/>
  <c r="W2251" i="1"/>
  <c r="V2251" i="1"/>
  <c r="U2251" i="1"/>
  <c r="T2251" i="1"/>
  <c r="S2251" i="1"/>
  <c r="R2251" i="1"/>
  <c r="Q2251" i="1"/>
  <c r="P2251" i="1"/>
  <c r="N2251" i="1"/>
  <c r="O2251" i="1" s="1"/>
  <c r="M2251" i="1"/>
  <c r="L2251" i="1"/>
  <c r="W2250" i="1"/>
  <c r="U2250" i="1"/>
  <c r="T2250" i="1"/>
  <c r="S2250" i="1"/>
  <c r="R2250" i="1"/>
  <c r="Q2250" i="1"/>
  <c r="P2250" i="1"/>
  <c r="O2250" i="1"/>
  <c r="N2250" i="1"/>
  <c r="M2250" i="1"/>
  <c r="L2250" i="1"/>
  <c r="V2250" i="1" s="1"/>
  <c r="U2249" i="1"/>
  <c r="T2249" i="1"/>
  <c r="S2249" i="1"/>
  <c r="O2249" i="1"/>
  <c r="N2249" i="1"/>
  <c r="M2249" i="1"/>
  <c r="L2249" i="1"/>
  <c r="W2248" i="1"/>
  <c r="V2248" i="1"/>
  <c r="U2248" i="1"/>
  <c r="T2248" i="1"/>
  <c r="S2248" i="1"/>
  <c r="R2248" i="1"/>
  <c r="Q2248" i="1"/>
  <c r="P2248" i="1"/>
  <c r="N2248" i="1"/>
  <c r="O2248" i="1" s="1"/>
  <c r="M2248" i="1"/>
  <c r="L2248" i="1"/>
  <c r="N2247" i="1"/>
  <c r="M2247" i="1"/>
  <c r="L2247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N2245" i="1"/>
  <c r="M2245" i="1"/>
  <c r="L2245" i="1"/>
  <c r="W2244" i="1"/>
  <c r="V2244" i="1"/>
  <c r="U2244" i="1"/>
  <c r="T2244" i="1"/>
  <c r="S2244" i="1"/>
  <c r="R2244" i="1"/>
  <c r="O2244" i="1"/>
  <c r="N2244" i="1"/>
  <c r="M2244" i="1"/>
  <c r="P2244" i="1" s="1"/>
  <c r="L2244" i="1"/>
  <c r="Q2244" i="1" s="1"/>
  <c r="S2243" i="1"/>
  <c r="N2243" i="1"/>
  <c r="O2243" i="1" s="1"/>
  <c r="M2243" i="1"/>
  <c r="P2243" i="1" s="1"/>
  <c r="L2243" i="1"/>
  <c r="W2242" i="1"/>
  <c r="V2242" i="1"/>
  <c r="S2242" i="1"/>
  <c r="Q2242" i="1"/>
  <c r="P2242" i="1"/>
  <c r="O2242" i="1"/>
  <c r="N2242" i="1"/>
  <c r="M2242" i="1"/>
  <c r="R2242" i="1" s="1"/>
  <c r="L2242" i="1"/>
  <c r="W2241" i="1"/>
  <c r="V2241" i="1"/>
  <c r="U2241" i="1"/>
  <c r="T2241" i="1"/>
  <c r="R2241" i="1"/>
  <c r="Q2241" i="1"/>
  <c r="P2241" i="1"/>
  <c r="N2241" i="1"/>
  <c r="O2241" i="1" s="1"/>
  <c r="M2241" i="1"/>
  <c r="L2241" i="1"/>
  <c r="W2240" i="1"/>
  <c r="U2240" i="1"/>
  <c r="T2240" i="1"/>
  <c r="S2240" i="1"/>
  <c r="R2240" i="1"/>
  <c r="Q2240" i="1"/>
  <c r="P2240" i="1"/>
  <c r="N2240" i="1"/>
  <c r="O2240" i="1" s="1"/>
  <c r="M2240" i="1"/>
  <c r="L2240" i="1"/>
  <c r="V2240" i="1" s="1"/>
  <c r="S2239" i="1"/>
  <c r="O2239" i="1"/>
  <c r="N2239" i="1"/>
  <c r="M2239" i="1"/>
  <c r="L2239" i="1"/>
  <c r="W2238" i="1"/>
  <c r="V2238" i="1"/>
  <c r="U2238" i="1"/>
  <c r="T2238" i="1"/>
  <c r="S2238" i="1"/>
  <c r="R2238" i="1"/>
  <c r="N2238" i="1"/>
  <c r="O2238" i="1" s="1"/>
  <c r="M2238" i="1"/>
  <c r="P2238" i="1" s="1"/>
  <c r="L2238" i="1"/>
  <c r="Q2238" i="1" s="1"/>
  <c r="V2237" i="1"/>
  <c r="S2237" i="1"/>
  <c r="N2237" i="1"/>
  <c r="O2237" i="1" s="1"/>
  <c r="M2237" i="1"/>
  <c r="R2237" i="1" s="1"/>
  <c r="L2237" i="1"/>
  <c r="W2237" i="1" s="1"/>
  <c r="W2236" i="1"/>
  <c r="V2236" i="1"/>
  <c r="U2236" i="1"/>
  <c r="T2236" i="1"/>
  <c r="S2236" i="1"/>
  <c r="R2236" i="1"/>
  <c r="Q2236" i="1"/>
  <c r="P2236" i="1"/>
  <c r="N2236" i="1"/>
  <c r="O2236" i="1" s="1"/>
  <c r="M2236" i="1"/>
  <c r="L2236" i="1"/>
  <c r="N2235" i="1"/>
  <c r="O2235" i="1" s="1"/>
  <c r="M2235" i="1"/>
  <c r="L2235" i="1"/>
  <c r="W2234" i="1"/>
  <c r="S2234" i="1"/>
  <c r="O2234" i="1"/>
  <c r="N2234" i="1"/>
  <c r="M2234" i="1"/>
  <c r="L2234" i="1"/>
  <c r="T2233" i="1"/>
  <c r="S2233" i="1"/>
  <c r="N2233" i="1"/>
  <c r="O2233" i="1" s="1"/>
  <c r="M2233" i="1"/>
  <c r="P2233" i="1" s="1"/>
  <c r="L2233" i="1"/>
  <c r="N2232" i="1"/>
  <c r="S2232" i="1" s="1"/>
  <c r="M2232" i="1"/>
  <c r="R2232" i="1" s="1"/>
  <c r="L2232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Q2230" i="1"/>
  <c r="P2230" i="1"/>
  <c r="O2230" i="1"/>
  <c r="N2230" i="1"/>
  <c r="S2230" i="1" s="1"/>
  <c r="M2230" i="1"/>
  <c r="R2230" i="1" s="1"/>
  <c r="L2230" i="1"/>
  <c r="W2229" i="1"/>
  <c r="V2229" i="1"/>
  <c r="U2229" i="1"/>
  <c r="T2229" i="1"/>
  <c r="S2229" i="1"/>
  <c r="R2229" i="1"/>
  <c r="O2229" i="1"/>
  <c r="N2229" i="1"/>
  <c r="M2229" i="1"/>
  <c r="P2229" i="1" s="1"/>
  <c r="L2229" i="1"/>
  <c r="Q2229" i="1" s="1"/>
  <c r="O2228" i="1"/>
  <c r="N2228" i="1"/>
  <c r="S2228" i="1" s="1"/>
  <c r="M2228" i="1"/>
  <c r="L2228" i="1"/>
  <c r="W2227" i="1"/>
  <c r="V2227" i="1"/>
  <c r="S2227" i="1"/>
  <c r="Q2227" i="1"/>
  <c r="P2227" i="1"/>
  <c r="O2227" i="1"/>
  <c r="N2227" i="1"/>
  <c r="M2227" i="1"/>
  <c r="R2227" i="1" s="1"/>
  <c r="L2227" i="1"/>
  <c r="W2226" i="1"/>
  <c r="V2226" i="1"/>
  <c r="U2226" i="1"/>
  <c r="T2226" i="1"/>
  <c r="R2226" i="1"/>
  <c r="Q2226" i="1"/>
  <c r="P2226" i="1"/>
  <c r="O2226" i="1"/>
  <c r="N2226" i="1"/>
  <c r="S2226" i="1" s="1"/>
  <c r="M2226" i="1"/>
  <c r="L2226" i="1"/>
  <c r="W2225" i="1"/>
  <c r="U2225" i="1"/>
  <c r="T2225" i="1"/>
  <c r="S2225" i="1"/>
  <c r="N2225" i="1"/>
  <c r="O2225" i="1" s="1"/>
  <c r="M2225" i="1"/>
  <c r="P2225" i="1" s="1"/>
  <c r="L2225" i="1"/>
  <c r="S2224" i="1"/>
  <c r="R2224" i="1"/>
  <c r="O2224" i="1"/>
  <c r="N2224" i="1"/>
  <c r="M2224" i="1"/>
  <c r="P2224" i="1" s="1"/>
  <c r="L2224" i="1"/>
  <c r="N2223" i="1"/>
  <c r="S2223" i="1" s="1"/>
  <c r="M2223" i="1"/>
  <c r="L2223" i="1"/>
  <c r="N2222" i="1"/>
  <c r="S2222" i="1" s="1"/>
  <c r="M2222" i="1"/>
  <c r="L2222" i="1"/>
  <c r="W2221" i="1"/>
  <c r="V2221" i="1"/>
  <c r="U2221" i="1"/>
  <c r="T2221" i="1"/>
  <c r="R2221" i="1"/>
  <c r="Q2221" i="1"/>
  <c r="P2221" i="1"/>
  <c r="N2221" i="1"/>
  <c r="S2221" i="1" s="1"/>
  <c r="M2221" i="1"/>
  <c r="L2221" i="1"/>
  <c r="N2220" i="1"/>
  <c r="M2220" i="1"/>
  <c r="L2220" i="1"/>
  <c r="S2219" i="1"/>
  <c r="R2219" i="1"/>
  <c r="O2219" i="1"/>
  <c r="N2219" i="1"/>
  <c r="M2219" i="1"/>
  <c r="P2219" i="1" s="1"/>
  <c r="L2219" i="1"/>
  <c r="W2218" i="1"/>
  <c r="V2218" i="1"/>
  <c r="U2218" i="1"/>
  <c r="T2218" i="1"/>
  <c r="R2218" i="1"/>
  <c r="Q2218" i="1"/>
  <c r="P2218" i="1"/>
  <c r="N2218" i="1"/>
  <c r="O2218" i="1" s="1"/>
  <c r="M2218" i="1"/>
  <c r="L2218" i="1"/>
  <c r="U2217" i="1"/>
  <c r="T2217" i="1"/>
  <c r="S2217" i="1"/>
  <c r="R2217" i="1"/>
  <c r="Q2217" i="1"/>
  <c r="P2217" i="1"/>
  <c r="O2217" i="1"/>
  <c r="N2217" i="1"/>
  <c r="M2217" i="1"/>
  <c r="L2217" i="1"/>
  <c r="S2216" i="1"/>
  <c r="N2216" i="1"/>
  <c r="O2216" i="1" s="1"/>
  <c r="M2216" i="1"/>
  <c r="P2216" i="1" s="1"/>
  <c r="L2216" i="1"/>
  <c r="S2215" i="1"/>
  <c r="R2215" i="1"/>
  <c r="P2215" i="1"/>
  <c r="N2215" i="1"/>
  <c r="O2215" i="1" s="1"/>
  <c r="M2215" i="1"/>
  <c r="L2215" i="1"/>
  <c r="N2214" i="1"/>
  <c r="S2214" i="1" s="1"/>
  <c r="M2214" i="1"/>
  <c r="R2214" i="1" s="1"/>
  <c r="L2214" i="1"/>
  <c r="W2213" i="1"/>
  <c r="V2213" i="1"/>
  <c r="U2213" i="1"/>
  <c r="T2213" i="1"/>
  <c r="S2213" i="1"/>
  <c r="R2213" i="1"/>
  <c r="Q2213" i="1"/>
  <c r="P2213" i="1"/>
  <c r="N2213" i="1"/>
  <c r="O2213" i="1" s="1"/>
  <c r="M2213" i="1"/>
  <c r="L2213" i="1"/>
  <c r="N2212" i="1"/>
  <c r="M2212" i="1"/>
  <c r="L2212" i="1"/>
  <c r="W2211" i="1"/>
  <c r="V2211" i="1"/>
  <c r="U2211" i="1"/>
  <c r="T2211" i="1"/>
  <c r="S2211" i="1"/>
  <c r="R2211" i="1"/>
  <c r="N2211" i="1"/>
  <c r="O2211" i="1" s="1"/>
  <c r="M2211" i="1"/>
  <c r="P2211" i="1" s="1"/>
  <c r="L2211" i="1"/>
  <c r="Q2211" i="1" s="1"/>
  <c r="N2210" i="1"/>
  <c r="S2210" i="1" s="1"/>
  <c r="M2210" i="1"/>
  <c r="L2210" i="1"/>
  <c r="W2209" i="1"/>
  <c r="V2209" i="1"/>
  <c r="Q2209" i="1"/>
  <c r="P2209" i="1"/>
  <c r="O2209" i="1"/>
  <c r="N2209" i="1"/>
  <c r="S2209" i="1" s="1"/>
  <c r="M2209" i="1"/>
  <c r="R2209" i="1" s="1"/>
  <c r="L2209" i="1"/>
  <c r="W2208" i="1"/>
  <c r="V2208" i="1"/>
  <c r="U2208" i="1"/>
  <c r="T2208" i="1"/>
  <c r="R2208" i="1"/>
  <c r="Q2208" i="1"/>
  <c r="P2208" i="1"/>
  <c r="N2208" i="1"/>
  <c r="S2208" i="1" s="1"/>
  <c r="M2208" i="1"/>
  <c r="L2208" i="1"/>
  <c r="U2207" i="1"/>
  <c r="T2207" i="1"/>
  <c r="S2207" i="1"/>
  <c r="Q2207" i="1"/>
  <c r="O2207" i="1"/>
  <c r="N2207" i="1"/>
  <c r="M2207" i="1"/>
  <c r="L2207" i="1"/>
  <c r="S2206" i="1"/>
  <c r="N2206" i="1"/>
  <c r="O2206" i="1" s="1"/>
  <c r="M2206" i="1"/>
  <c r="L2206" i="1"/>
  <c r="W2205" i="1"/>
  <c r="V2205" i="1"/>
  <c r="U2205" i="1"/>
  <c r="T2205" i="1"/>
  <c r="R2205" i="1"/>
  <c r="Q2205" i="1"/>
  <c r="P2205" i="1"/>
  <c r="N2205" i="1"/>
  <c r="M2205" i="1"/>
  <c r="L2205" i="1"/>
  <c r="N2204" i="1"/>
  <c r="M2204" i="1"/>
  <c r="L2204" i="1"/>
  <c r="W2203" i="1"/>
  <c r="V2203" i="1"/>
  <c r="U2203" i="1"/>
  <c r="T2203" i="1"/>
  <c r="R2203" i="1"/>
  <c r="Q2203" i="1"/>
  <c r="P2203" i="1"/>
  <c r="N2203" i="1"/>
  <c r="M2203" i="1"/>
  <c r="L2203" i="1"/>
  <c r="N2202" i="1"/>
  <c r="S2202" i="1" s="1"/>
  <c r="M2202" i="1"/>
  <c r="R2202" i="1" s="1"/>
  <c r="L2202" i="1"/>
  <c r="W2201" i="1"/>
  <c r="V2201" i="1"/>
  <c r="U2201" i="1"/>
  <c r="T2201" i="1"/>
  <c r="S2201" i="1"/>
  <c r="N2201" i="1"/>
  <c r="O2201" i="1" s="1"/>
  <c r="M2201" i="1"/>
  <c r="L2201" i="1"/>
  <c r="Q2201" i="1" s="1"/>
  <c r="Q2200" i="1"/>
  <c r="N2200" i="1"/>
  <c r="S2200" i="1" s="1"/>
  <c r="M2200" i="1"/>
  <c r="R2200" i="1" s="1"/>
  <c r="L2200" i="1"/>
  <c r="W2199" i="1"/>
  <c r="V2199" i="1"/>
  <c r="Q2199" i="1"/>
  <c r="O2199" i="1"/>
  <c r="N2199" i="1"/>
  <c r="S2199" i="1" s="1"/>
  <c r="M2199" i="1"/>
  <c r="L2199" i="1"/>
  <c r="W2198" i="1"/>
  <c r="V2198" i="1"/>
  <c r="U2198" i="1"/>
  <c r="T2198" i="1"/>
  <c r="R2198" i="1"/>
  <c r="Q2198" i="1"/>
  <c r="P2198" i="1"/>
  <c r="N2198" i="1"/>
  <c r="M2198" i="1"/>
  <c r="L2198" i="1"/>
  <c r="U2197" i="1"/>
  <c r="T2197" i="1"/>
  <c r="S2197" i="1"/>
  <c r="R2197" i="1"/>
  <c r="Q2197" i="1"/>
  <c r="P2197" i="1"/>
  <c r="O2197" i="1"/>
  <c r="N2197" i="1"/>
  <c r="M2197" i="1"/>
  <c r="L2197" i="1"/>
  <c r="S2196" i="1"/>
  <c r="N2196" i="1"/>
  <c r="O2196" i="1" s="1"/>
  <c r="M2196" i="1"/>
  <c r="P2196" i="1" s="1"/>
  <c r="L2196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O2194" i="1"/>
  <c r="N2194" i="1"/>
  <c r="S2194" i="1" s="1"/>
  <c r="M2194" i="1"/>
  <c r="L2194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P2192" i="1"/>
  <c r="N2192" i="1"/>
  <c r="M2192" i="1"/>
  <c r="R2192" i="1" s="1"/>
  <c r="L2192" i="1"/>
  <c r="W2191" i="1"/>
  <c r="V2191" i="1"/>
  <c r="U2191" i="1"/>
  <c r="T2191" i="1"/>
  <c r="S2191" i="1"/>
  <c r="R2191" i="1"/>
  <c r="N2191" i="1"/>
  <c r="O2191" i="1" s="1"/>
  <c r="M2191" i="1"/>
  <c r="P2191" i="1" s="1"/>
  <c r="L2191" i="1"/>
  <c r="Q2191" i="1" s="1"/>
  <c r="S2190" i="1"/>
  <c r="N2190" i="1"/>
  <c r="O2190" i="1" s="1"/>
  <c r="M2190" i="1"/>
  <c r="R2190" i="1" s="1"/>
  <c r="L2190" i="1"/>
  <c r="W2189" i="1"/>
  <c r="V2189" i="1"/>
  <c r="Q2189" i="1"/>
  <c r="P2189" i="1"/>
  <c r="O2189" i="1"/>
  <c r="N2189" i="1"/>
  <c r="S2189" i="1" s="1"/>
  <c r="M2189" i="1"/>
  <c r="R2189" i="1" s="1"/>
  <c r="L2189" i="1"/>
  <c r="W2188" i="1"/>
  <c r="V2188" i="1"/>
  <c r="U2188" i="1"/>
  <c r="T2188" i="1"/>
  <c r="S2188" i="1"/>
  <c r="R2188" i="1"/>
  <c r="Q2188" i="1"/>
  <c r="P2188" i="1"/>
  <c r="N2188" i="1"/>
  <c r="O2188" i="1" s="1"/>
  <c r="M2188" i="1"/>
  <c r="L2188" i="1"/>
  <c r="U2187" i="1"/>
  <c r="T2187" i="1"/>
  <c r="S2187" i="1"/>
  <c r="R2187" i="1"/>
  <c r="Q2187" i="1"/>
  <c r="P2187" i="1"/>
  <c r="O2187" i="1"/>
  <c r="N2187" i="1"/>
  <c r="M2187" i="1"/>
  <c r="L2187" i="1"/>
  <c r="U2186" i="1"/>
  <c r="T2186" i="1"/>
  <c r="S2186" i="1"/>
  <c r="R2186" i="1"/>
  <c r="N2186" i="1"/>
  <c r="O2186" i="1" s="1"/>
  <c r="M2186" i="1"/>
  <c r="P2186" i="1" s="1"/>
  <c r="L2186" i="1"/>
  <c r="W2185" i="1"/>
  <c r="V2185" i="1"/>
  <c r="U2185" i="1"/>
  <c r="T2185" i="1"/>
  <c r="S2185" i="1"/>
  <c r="R2185" i="1"/>
  <c r="Q2185" i="1"/>
  <c r="P2185" i="1"/>
  <c r="N2185" i="1"/>
  <c r="O2185" i="1" s="1"/>
  <c r="M2185" i="1"/>
  <c r="L2185" i="1"/>
  <c r="V2184" i="1"/>
  <c r="Q2184" i="1"/>
  <c r="P2184" i="1"/>
  <c r="O2184" i="1"/>
  <c r="N2184" i="1"/>
  <c r="S2184" i="1" s="1"/>
  <c r="M2184" i="1"/>
  <c r="R2184" i="1" s="1"/>
  <c r="L2184" i="1"/>
  <c r="W2183" i="1"/>
  <c r="V2183" i="1"/>
  <c r="U2183" i="1"/>
  <c r="T2183" i="1"/>
  <c r="S2183" i="1"/>
  <c r="R2183" i="1"/>
  <c r="Q2183" i="1"/>
  <c r="P2183" i="1"/>
  <c r="N2183" i="1"/>
  <c r="O2183" i="1" s="1"/>
  <c r="M2183" i="1"/>
  <c r="L2183" i="1"/>
  <c r="T2182" i="1"/>
  <c r="R2182" i="1"/>
  <c r="Q2182" i="1"/>
  <c r="P2182" i="1"/>
  <c r="N2182" i="1"/>
  <c r="S2182" i="1" s="1"/>
  <c r="M2182" i="1"/>
  <c r="L2182" i="1"/>
  <c r="W2181" i="1"/>
  <c r="V2181" i="1"/>
  <c r="U2181" i="1"/>
  <c r="T2181" i="1"/>
  <c r="S2181" i="1"/>
  <c r="R2181" i="1"/>
  <c r="N2181" i="1"/>
  <c r="O2181" i="1" s="1"/>
  <c r="M2181" i="1"/>
  <c r="P2181" i="1" s="1"/>
  <c r="L2181" i="1"/>
  <c r="Q2181" i="1" s="1"/>
  <c r="U2180" i="1"/>
  <c r="T2180" i="1"/>
  <c r="Q2180" i="1"/>
  <c r="N2180" i="1"/>
  <c r="M2180" i="1"/>
  <c r="R2180" i="1" s="1"/>
  <c r="L2180" i="1"/>
  <c r="W2180" i="1" s="1"/>
  <c r="W2179" i="1"/>
  <c r="V2179" i="1"/>
  <c r="Q2179" i="1"/>
  <c r="P2179" i="1"/>
  <c r="O2179" i="1"/>
  <c r="N2179" i="1"/>
  <c r="S2179" i="1" s="1"/>
  <c r="M2179" i="1"/>
  <c r="R2179" i="1" s="1"/>
  <c r="L2179" i="1"/>
  <c r="W2178" i="1"/>
  <c r="V2178" i="1"/>
  <c r="U2178" i="1"/>
  <c r="T2178" i="1"/>
  <c r="S2178" i="1"/>
  <c r="R2178" i="1"/>
  <c r="Q2178" i="1"/>
  <c r="P2178" i="1"/>
  <c r="N2178" i="1"/>
  <c r="O2178" i="1" s="1"/>
  <c r="M2178" i="1"/>
  <c r="L2178" i="1"/>
  <c r="U2177" i="1"/>
  <c r="T2177" i="1"/>
  <c r="S2177" i="1"/>
  <c r="R2177" i="1"/>
  <c r="N2177" i="1"/>
  <c r="O2177" i="1" s="1"/>
  <c r="M2177" i="1"/>
  <c r="P2177" i="1" s="1"/>
  <c r="L2177" i="1"/>
  <c r="Q2177" i="1" s="1"/>
  <c r="S2176" i="1"/>
  <c r="R2176" i="1"/>
  <c r="N2176" i="1"/>
  <c r="O2176" i="1" s="1"/>
  <c r="M2176" i="1"/>
  <c r="P2176" i="1" s="1"/>
  <c r="L2176" i="1"/>
  <c r="T2175" i="1"/>
  <c r="S2175" i="1"/>
  <c r="O2175" i="1"/>
  <c r="N2175" i="1"/>
  <c r="M2175" i="1"/>
  <c r="P2175" i="1" s="1"/>
  <c r="L2175" i="1"/>
  <c r="W2174" i="1"/>
  <c r="V2174" i="1"/>
  <c r="T2174" i="1"/>
  <c r="Q2174" i="1"/>
  <c r="P2174" i="1"/>
  <c r="N2174" i="1"/>
  <c r="M2174" i="1"/>
  <c r="R2174" i="1" s="1"/>
  <c r="L2174" i="1"/>
  <c r="U2174" i="1" s="1"/>
  <c r="N2173" i="1"/>
  <c r="O2173" i="1" s="1"/>
  <c r="M2173" i="1"/>
  <c r="L2173" i="1"/>
  <c r="V2172" i="1"/>
  <c r="U2172" i="1"/>
  <c r="T2172" i="1"/>
  <c r="S2172" i="1"/>
  <c r="R2172" i="1"/>
  <c r="P2172" i="1"/>
  <c r="N2172" i="1"/>
  <c r="O2172" i="1" s="1"/>
  <c r="M2172" i="1"/>
  <c r="L2172" i="1"/>
  <c r="W2172" i="1" s="1"/>
  <c r="N2171" i="1"/>
  <c r="M2171" i="1"/>
  <c r="R2171" i="1" s="1"/>
  <c r="L2171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O2169" i="1"/>
  <c r="N2169" i="1"/>
  <c r="S2169" i="1" s="1"/>
  <c r="M2169" i="1"/>
  <c r="L2169" i="1"/>
  <c r="W2168" i="1"/>
  <c r="V2168" i="1"/>
  <c r="U2168" i="1"/>
  <c r="T2168" i="1"/>
  <c r="S2168" i="1"/>
  <c r="R2168" i="1"/>
  <c r="Q2168" i="1"/>
  <c r="P2168" i="1"/>
  <c r="N2168" i="1"/>
  <c r="O2168" i="1" s="1"/>
  <c r="M2168" i="1"/>
  <c r="L2168" i="1"/>
  <c r="U2167" i="1"/>
  <c r="T2167" i="1"/>
  <c r="Q2167" i="1"/>
  <c r="P2167" i="1"/>
  <c r="N2167" i="1"/>
  <c r="M2167" i="1"/>
  <c r="R2167" i="1" s="1"/>
  <c r="L2167" i="1"/>
  <c r="W2167" i="1" s="1"/>
  <c r="S2166" i="1"/>
  <c r="N2166" i="1"/>
  <c r="O2166" i="1" s="1"/>
  <c r="M2166" i="1"/>
  <c r="R2166" i="1" s="1"/>
  <c r="L2166" i="1"/>
  <c r="V2165" i="1"/>
  <c r="U2165" i="1"/>
  <c r="T2165" i="1"/>
  <c r="S2165" i="1"/>
  <c r="R2165" i="1"/>
  <c r="P2165" i="1"/>
  <c r="N2165" i="1"/>
  <c r="O2165" i="1" s="1"/>
  <c r="M2165" i="1"/>
  <c r="L2165" i="1"/>
  <c r="Q2165" i="1" s="1"/>
  <c r="N2164" i="1"/>
  <c r="M2164" i="1"/>
  <c r="L2164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O2162" i="1"/>
  <c r="N2162" i="1"/>
  <c r="S2162" i="1" s="1"/>
  <c r="M2162" i="1"/>
  <c r="L2162" i="1"/>
  <c r="W2161" i="1"/>
  <c r="V2161" i="1"/>
  <c r="U2161" i="1"/>
  <c r="T2161" i="1"/>
  <c r="S2161" i="1"/>
  <c r="R2161" i="1"/>
  <c r="Q2161" i="1"/>
  <c r="P2161" i="1"/>
  <c r="N2161" i="1"/>
  <c r="O2161" i="1" s="1"/>
  <c r="M2161" i="1"/>
  <c r="L2161" i="1"/>
  <c r="U2160" i="1"/>
  <c r="T2160" i="1"/>
  <c r="Q2160" i="1"/>
  <c r="P2160" i="1"/>
  <c r="N2160" i="1"/>
  <c r="M2160" i="1"/>
  <c r="R2160" i="1" s="1"/>
  <c r="L2160" i="1"/>
  <c r="W2160" i="1" s="1"/>
  <c r="O2159" i="1"/>
  <c r="N2159" i="1"/>
  <c r="S2159" i="1" s="1"/>
  <c r="M2159" i="1"/>
  <c r="P2159" i="1" s="1"/>
  <c r="L2159" i="1"/>
  <c r="V2158" i="1"/>
  <c r="U2158" i="1"/>
  <c r="T2158" i="1"/>
  <c r="S2158" i="1"/>
  <c r="R2158" i="1"/>
  <c r="P2158" i="1"/>
  <c r="N2158" i="1"/>
  <c r="O2158" i="1" s="1"/>
  <c r="M2158" i="1"/>
  <c r="L2158" i="1"/>
  <c r="Q2158" i="1" s="1"/>
  <c r="V2157" i="1"/>
  <c r="O2157" i="1"/>
  <c r="N2157" i="1"/>
  <c r="S2157" i="1" s="1"/>
  <c r="M2157" i="1"/>
  <c r="L2157" i="1"/>
  <c r="W2156" i="1"/>
  <c r="V2156" i="1"/>
  <c r="U2156" i="1"/>
  <c r="T2156" i="1"/>
  <c r="Q2156" i="1"/>
  <c r="N2156" i="1"/>
  <c r="M2156" i="1"/>
  <c r="L2156" i="1"/>
  <c r="N2155" i="1"/>
  <c r="S2155" i="1" s="1"/>
  <c r="M2155" i="1"/>
  <c r="R2155" i="1" s="1"/>
  <c r="L2155" i="1"/>
  <c r="W2154" i="1"/>
  <c r="V2154" i="1"/>
  <c r="U2154" i="1"/>
  <c r="T2154" i="1"/>
  <c r="R2154" i="1"/>
  <c r="Q2154" i="1"/>
  <c r="P2154" i="1"/>
  <c r="O2154" i="1"/>
  <c r="N2154" i="1"/>
  <c r="S2154" i="1" s="1"/>
  <c r="M2154" i="1"/>
  <c r="L2154" i="1"/>
  <c r="U2153" i="1"/>
  <c r="T2153" i="1"/>
  <c r="Q2153" i="1"/>
  <c r="N2153" i="1"/>
  <c r="S2153" i="1" s="1"/>
  <c r="M2153" i="1"/>
  <c r="R2153" i="1" s="1"/>
  <c r="L2153" i="1"/>
  <c r="W2153" i="1" s="1"/>
  <c r="T2152" i="1"/>
  <c r="S2152" i="1"/>
  <c r="O2152" i="1"/>
  <c r="N2152" i="1"/>
  <c r="M2152" i="1"/>
  <c r="P2152" i="1" s="1"/>
  <c r="L2152" i="1"/>
  <c r="W2151" i="1"/>
  <c r="V2151" i="1"/>
  <c r="U2151" i="1"/>
  <c r="T2151" i="1"/>
  <c r="S2151" i="1"/>
  <c r="Q2151" i="1"/>
  <c r="N2151" i="1"/>
  <c r="O2151" i="1" s="1"/>
  <c r="M2151" i="1"/>
  <c r="R2151" i="1" s="1"/>
  <c r="L2151" i="1"/>
  <c r="V2150" i="1"/>
  <c r="N2150" i="1"/>
  <c r="M2150" i="1"/>
  <c r="L2150" i="1"/>
  <c r="W2149" i="1"/>
  <c r="V2149" i="1"/>
  <c r="U2149" i="1"/>
  <c r="T2149" i="1"/>
  <c r="R2149" i="1"/>
  <c r="Q2149" i="1"/>
  <c r="P2149" i="1"/>
  <c r="N2149" i="1"/>
  <c r="M2149" i="1"/>
  <c r="L2149" i="1"/>
  <c r="O2148" i="1"/>
  <c r="N2148" i="1"/>
  <c r="S2148" i="1" s="1"/>
  <c r="M2148" i="1"/>
  <c r="L2148" i="1"/>
  <c r="V2147" i="1"/>
  <c r="U2147" i="1"/>
  <c r="T2147" i="1"/>
  <c r="S2147" i="1"/>
  <c r="R2147" i="1"/>
  <c r="Q2147" i="1"/>
  <c r="P2147" i="1"/>
  <c r="O2147" i="1"/>
  <c r="N2147" i="1"/>
  <c r="M2147" i="1"/>
  <c r="L2147" i="1"/>
  <c r="W2147" i="1" s="1"/>
  <c r="U2146" i="1"/>
  <c r="T2146" i="1"/>
  <c r="Q2146" i="1"/>
  <c r="P2146" i="1"/>
  <c r="N2146" i="1"/>
  <c r="M2146" i="1"/>
  <c r="R2146" i="1" s="1"/>
  <c r="L2146" i="1"/>
  <c r="W2146" i="1" s="1"/>
  <c r="N2145" i="1"/>
  <c r="O2145" i="1" s="1"/>
  <c r="M2145" i="1"/>
  <c r="L2145" i="1"/>
  <c r="W2144" i="1"/>
  <c r="V2144" i="1"/>
  <c r="U2144" i="1"/>
  <c r="T2144" i="1"/>
  <c r="S2144" i="1"/>
  <c r="O2144" i="1"/>
  <c r="N2144" i="1"/>
  <c r="M2144" i="1"/>
  <c r="P2144" i="1" s="1"/>
  <c r="L2144" i="1"/>
  <c r="Q2144" i="1" s="1"/>
  <c r="Q2143" i="1"/>
  <c r="P2143" i="1"/>
  <c r="O2143" i="1"/>
  <c r="N2143" i="1"/>
  <c r="S2143" i="1" s="1"/>
  <c r="M2143" i="1"/>
  <c r="R2143" i="1" s="1"/>
  <c r="L2143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U2141" i="1"/>
  <c r="T2141" i="1"/>
  <c r="S2141" i="1"/>
  <c r="Q2141" i="1"/>
  <c r="O2141" i="1"/>
  <c r="N2141" i="1"/>
  <c r="M2141" i="1"/>
  <c r="L2141" i="1"/>
  <c r="W2141" i="1" s="1"/>
  <c r="W2140" i="1"/>
  <c r="U2140" i="1"/>
  <c r="T2140" i="1"/>
  <c r="N2140" i="1"/>
  <c r="O2140" i="1" s="1"/>
  <c r="M2140" i="1"/>
  <c r="L2140" i="1"/>
  <c r="T2139" i="1"/>
  <c r="S2139" i="1"/>
  <c r="R2139" i="1"/>
  <c r="Q2139" i="1"/>
  <c r="O2139" i="1"/>
  <c r="N2139" i="1"/>
  <c r="M2139" i="1"/>
  <c r="P2139" i="1" s="1"/>
  <c r="L2139" i="1"/>
  <c r="W2139" i="1" s="1"/>
  <c r="P2138" i="1"/>
  <c r="O2138" i="1"/>
  <c r="N2138" i="1"/>
  <c r="S2138" i="1" s="1"/>
  <c r="M2138" i="1"/>
  <c r="R2138" i="1" s="1"/>
  <c r="L2138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U2136" i="1"/>
  <c r="T2136" i="1"/>
  <c r="R2136" i="1"/>
  <c r="Q2136" i="1"/>
  <c r="N2136" i="1"/>
  <c r="M2136" i="1"/>
  <c r="P2136" i="1" s="1"/>
  <c r="L2136" i="1"/>
  <c r="W2136" i="1" s="1"/>
  <c r="N2135" i="1"/>
  <c r="O2135" i="1" s="1"/>
  <c r="M2135" i="1"/>
  <c r="L2135" i="1"/>
  <c r="V2134" i="1"/>
  <c r="S2134" i="1"/>
  <c r="O2134" i="1"/>
  <c r="N2134" i="1"/>
  <c r="M2134" i="1"/>
  <c r="P2134" i="1" s="1"/>
  <c r="L2134" i="1"/>
  <c r="Q2133" i="1"/>
  <c r="P2133" i="1"/>
  <c r="O2133" i="1"/>
  <c r="N2133" i="1"/>
  <c r="S2133" i="1" s="1"/>
  <c r="M2133" i="1"/>
  <c r="R2133" i="1" s="1"/>
  <c r="L2133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U2131" i="1"/>
  <c r="T2131" i="1"/>
  <c r="S2131" i="1"/>
  <c r="R2131" i="1"/>
  <c r="Q2131" i="1"/>
  <c r="P2131" i="1"/>
  <c r="N2131" i="1"/>
  <c r="O2131" i="1" s="1"/>
  <c r="M2131" i="1"/>
  <c r="L2131" i="1"/>
  <c r="W2131" i="1" s="1"/>
  <c r="W2130" i="1"/>
  <c r="U2130" i="1"/>
  <c r="T2130" i="1"/>
  <c r="N2130" i="1"/>
  <c r="O2130" i="1" s="1"/>
  <c r="M2130" i="1"/>
  <c r="L2130" i="1"/>
  <c r="Q2130" i="1" s="1"/>
  <c r="V2129" i="1"/>
  <c r="U2129" i="1"/>
  <c r="T2129" i="1"/>
  <c r="S2129" i="1"/>
  <c r="R2129" i="1"/>
  <c r="Q2129" i="1"/>
  <c r="O2129" i="1"/>
  <c r="N2129" i="1"/>
  <c r="M2129" i="1"/>
  <c r="P2129" i="1" s="1"/>
  <c r="L2129" i="1"/>
  <c r="W2129" i="1" s="1"/>
  <c r="O2128" i="1"/>
  <c r="N2128" i="1"/>
  <c r="S2128" i="1" s="1"/>
  <c r="M2128" i="1"/>
  <c r="L2128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U2126" i="1"/>
  <c r="T2126" i="1"/>
  <c r="Q2126" i="1"/>
  <c r="O2126" i="1"/>
  <c r="N2126" i="1"/>
  <c r="S2126" i="1" s="1"/>
  <c r="M2126" i="1"/>
  <c r="L2126" i="1"/>
  <c r="W2126" i="1" s="1"/>
  <c r="N2125" i="1"/>
  <c r="O2125" i="1" s="1"/>
  <c r="M2125" i="1"/>
  <c r="L2125" i="1"/>
  <c r="W2124" i="1"/>
  <c r="V2124" i="1"/>
  <c r="N2124" i="1"/>
  <c r="S2124" i="1" s="1"/>
  <c r="M2124" i="1"/>
  <c r="L2124" i="1"/>
  <c r="U2124" i="1" s="1"/>
  <c r="Q2123" i="1"/>
  <c r="O2123" i="1"/>
  <c r="N2123" i="1"/>
  <c r="S2123" i="1" s="1"/>
  <c r="M2123" i="1"/>
  <c r="L2123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U2121" i="1"/>
  <c r="T2121" i="1"/>
  <c r="S2121" i="1"/>
  <c r="Q2121" i="1"/>
  <c r="O2121" i="1"/>
  <c r="N2121" i="1"/>
  <c r="M2121" i="1"/>
  <c r="R2121" i="1" s="1"/>
  <c r="L2121" i="1"/>
  <c r="W2121" i="1" s="1"/>
  <c r="W2120" i="1"/>
  <c r="V2120" i="1"/>
  <c r="U2120" i="1"/>
  <c r="T2120" i="1"/>
  <c r="N2120" i="1"/>
  <c r="O2120" i="1" s="1"/>
  <c r="M2120" i="1"/>
  <c r="L2120" i="1"/>
  <c r="Q2120" i="1" s="1"/>
  <c r="V2119" i="1"/>
  <c r="U2119" i="1"/>
  <c r="T2119" i="1"/>
  <c r="R2119" i="1"/>
  <c r="N2119" i="1"/>
  <c r="M2119" i="1"/>
  <c r="P2119" i="1" s="1"/>
  <c r="L2119" i="1"/>
  <c r="W2119" i="1" s="1"/>
  <c r="Q2118" i="1"/>
  <c r="P2118" i="1"/>
  <c r="N2118" i="1"/>
  <c r="S2118" i="1" s="1"/>
  <c r="M2118" i="1"/>
  <c r="R2118" i="1" s="1"/>
  <c r="L2118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U2116" i="1"/>
  <c r="T2116" i="1"/>
  <c r="S2116" i="1"/>
  <c r="R2116" i="1"/>
  <c r="Q2116" i="1"/>
  <c r="P2116" i="1"/>
  <c r="O2116" i="1"/>
  <c r="N2116" i="1"/>
  <c r="M2116" i="1"/>
  <c r="L2116" i="1"/>
  <c r="W2115" i="1"/>
  <c r="V2115" i="1"/>
  <c r="U2115" i="1"/>
  <c r="T2115" i="1"/>
  <c r="N2115" i="1"/>
  <c r="O2115" i="1" s="1"/>
  <c r="M2115" i="1"/>
  <c r="L2115" i="1"/>
  <c r="Q2115" i="1" s="1"/>
  <c r="U2114" i="1"/>
  <c r="T2114" i="1"/>
  <c r="S2114" i="1"/>
  <c r="R2114" i="1"/>
  <c r="Q2114" i="1"/>
  <c r="P2114" i="1"/>
  <c r="O2114" i="1"/>
  <c r="N2114" i="1"/>
  <c r="M2114" i="1"/>
  <c r="L2114" i="1"/>
  <c r="W2114" i="1" s="1"/>
  <c r="N2113" i="1"/>
  <c r="S2113" i="1" s="1"/>
  <c r="M2113" i="1"/>
  <c r="L2113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T2111" i="1"/>
  <c r="Q2111" i="1"/>
  <c r="O2111" i="1"/>
  <c r="N2111" i="1"/>
  <c r="S2111" i="1" s="1"/>
  <c r="M2111" i="1"/>
  <c r="L2111" i="1"/>
  <c r="N2110" i="1"/>
  <c r="O2110" i="1" s="1"/>
  <c r="M2110" i="1"/>
  <c r="L2110" i="1"/>
  <c r="P2109" i="1"/>
  <c r="N2109" i="1"/>
  <c r="M2109" i="1"/>
  <c r="R2109" i="1" s="1"/>
  <c r="L2109" i="1"/>
  <c r="N2108" i="1"/>
  <c r="M2108" i="1"/>
  <c r="R2108" i="1" s="1"/>
  <c r="L2108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T2106" i="1"/>
  <c r="O2106" i="1"/>
  <c r="N2106" i="1"/>
  <c r="S2106" i="1" s="1"/>
  <c r="M2106" i="1"/>
  <c r="L2106" i="1"/>
  <c r="W2105" i="1"/>
  <c r="V2105" i="1"/>
  <c r="N2105" i="1"/>
  <c r="O2105" i="1" s="1"/>
  <c r="M2105" i="1"/>
  <c r="L2105" i="1"/>
  <c r="Q2105" i="1" s="1"/>
  <c r="S2104" i="1"/>
  <c r="O2104" i="1"/>
  <c r="N2104" i="1"/>
  <c r="M2104" i="1"/>
  <c r="R2104" i="1" s="1"/>
  <c r="L2104" i="1"/>
  <c r="Q2103" i="1"/>
  <c r="P2103" i="1"/>
  <c r="O2103" i="1"/>
  <c r="N2103" i="1"/>
  <c r="S2103" i="1" s="1"/>
  <c r="M2103" i="1"/>
  <c r="R2103" i="1" s="1"/>
  <c r="L2103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T2101" i="1"/>
  <c r="S2101" i="1"/>
  <c r="R2101" i="1"/>
  <c r="Q2101" i="1"/>
  <c r="P2101" i="1"/>
  <c r="N2101" i="1"/>
  <c r="O2101" i="1" s="1"/>
  <c r="M2101" i="1"/>
  <c r="L2101" i="1"/>
  <c r="U2101" i="1" s="1"/>
  <c r="W2100" i="1"/>
  <c r="V2100" i="1"/>
  <c r="U2100" i="1"/>
  <c r="T2100" i="1"/>
  <c r="N2100" i="1"/>
  <c r="O2100" i="1" s="1"/>
  <c r="M2100" i="1"/>
  <c r="L2100" i="1"/>
  <c r="Q2100" i="1" s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P2098" i="1"/>
  <c r="N2098" i="1"/>
  <c r="M2098" i="1"/>
  <c r="R2098" i="1" s="1"/>
  <c r="L2098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U2096" i="1"/>
  <c r="R2096" i="1"/>
  <c r="Q2096" i="1"/>
  <c r="P2096" i="1"/>
  <c r="N2096" i="1"/>
  <c r="M2096" i="1"/>
  <c r="L2096" i="1"/>
  <c r="N2095" i="1"/>
  <c r="O2095" i="1" s="1"/>
  <c r="M2095" i="1"/>
  <c r="L2095" i="1"/>
  <c r="W2094" i="1"/>
  <c r="T2094" i="1"/>
  <c r="Q2094" i="1"/>
  <c r="O2094" i="1"/>
  <c r="N2094" i="1"/>
  <c r="S2094" i="1" s="1"/>
  <c r="M2094" i="1"/>
  <c r="L2094" i="1"/>
  <c r="V2094" i="1" s="1"/>
  <c r="O2093" i="1"/>
  <c r="N2093" i="1"/>
  <c r="S2093" i="1" s="1"/>
  <c r="M2093" i="1"/>
  <c r="R2093" i="1" s="1"/>
  <c r="L2093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N2091" i="1"/>
  <c r="M2091" i="1"/>
  <c r="L2091" i="1"/>
  <c r="W2090" i="1"/>
  <c r="N2090" i="1"/>
  <c r="O2090" i="1" s="1"/>
  <c r="M2090" i="1"/>
  <c r="L2090" i="1"/>
  <c r="Q2090" i="1" s="1"/>
  <c r="T2089" i="1"/>
  <c r="P2089" i="1"/>
  <c r="O2089" i="1"/>
  <c r="N2089" i="1"/>
  <c r="S2089" i="1" s="1"/>
  <c r="M2089" i="1"/>
  <c r="R2089" i="1" s="1"/>
  <c r="L2089" i="1"/>
  <c r="Q2088" i="1"/>
  <c r="P2088" i="1"/>
  <c r="O2088" i="1"/>
  <c r="N2088" i="1"/>
  <c r="S2088" i="1" s="1"/>
  <c r="M2088" i="1"/>
  <c r="R2088" i="1" s="1"/>
  <c r="L2088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U2086" i="1"/>
  <c r="T2086" i="1"/>
  <c r="S2086" i="1"/>
  <c r="R2086" i="1"/>
  <c r="O2086" i="1"/>
  <c r="N2086" i="1"/>
  <c r="M2086" i="1"/>
  <c r="P2086" i="1" s="1"/>
  <c r="L2086" i="1"/>
  <c r="W2085" i="1"/>
  <c r="V2085" i="1"/>
  <c r="U2085" i="1"/>
  <c r="T2085" i="1"/>
  <c r="N2085" i="1"/>
  <c r="O2085" i="1" s="1"/>
  <c r="M2085" i="1"/>
  <c r="L2085" i="1"/>
  <c r="Q2085" i="1" s="1"/>
  <c r="W2084" i="1"/>
  <c r="V2084" i="1"/>
  <c r="T2084" i="1"/>
  <c r="S2084" i="1"/>
  <c r="R2084" i="1"/>
  <c r="Q2084" i="1"/>
  <c r="P2084" i="1"/>
  <c r="N2084" i="1"/>
  <c r="O2084" i="1" s="1"/>
  <c r="M2084" i="1"/>
  <c r="L2084" i="1"/>
  <c r="U2084" i="1" s="1"/>
  <c r="Q2083" i="1"/>
  <c r="O2083" i="1"/>
  <c r="N2083" i="1"/>
  <c r="S2083" i="1" s="1"/>
  <c r="M2083" i="1"/>
  <c r="L2083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T2081" i="1"/>
  <c r="S2081" i="1"/>
  <c r="R2081" i="1"/>
  <c r="Q2081" i="1"/>
  <c r="P2081" i="1"/>
  <c r="O2081" i="1"/>
  <c r="N2081" i="1"/>
  <c r="M2081" i="1"/>
  <c r="L2081" i="1"/>
  <c r="W2080" i="1"/>
  <c r="N2080" i="1"/>
  <c r="O2080" i="1" s="1"/>
  <c r="M2080" i="1"/>
  <c r="L2080" i="1"/>
  <c r="U2079" i="1"/>
  <c r="R2079" i="1"/>
  <c r="Q2079" i="1"/>
  <c r="P2079" i="1"/>
  <c r="N2079" i="1"/>
  <c r="M2079" i="1"/>
  <c r="L2079" i="1"/>
  <c r="W2079" i="1" s="1"/>
  <c r="O2078" i="1"/>
  <c r="N2078" i="1"/>
  <c r="S2078" i="1" s="1"/>
  <c r="M2078" i="1"/>
  <c r="R2078" i="1" s="1"/>
  <c r="L2078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R2076" i="1"/>
  <c r="O2076" i="1"/>
  <c r="N2076" i="1"/>
  <c r="S2076" i="1" s="1"/>
  <c r="M2076" i="1"/>
  <c r="P2076" i="1" s="1"/>
  <c r="L2076" i="1"/>
  <c r="N2075" i="1"/>
  <c r="M2075" i="1"/>
  <c r="L2075" i="1"/>
  <c r="Q2075" i="1" s="1"/>
  <c r="N2074" i="1"/>
  <c r="M2074" i="1"/>
  <c r="L2074" i="1"/>
  <c r="R2073" i="1"/>
  <c r="O2073" i="1"/>
  <c r="N2073" i="1"/>
  <c r="S2073" i="1" s="1"/>
  <c r="M2073" i="1"/>
  <c r="P2073" i="1" s="1"/>
  <c r="L2073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V2071" i="1"/>
  <c r="U2071" i="1"/>
  <c r="N2071" i="1"/>
  <c r="S2071" i="1" s="1"/>
  <c r="M2071" i="1"/>
  <c r="L2071" i="1"/>
  <c r="W2071" i="1" s="1"/>
  <c r="W2070" i="1"/>
  <c r="N2070" i="1"/>
  <c r="M2070" i="1"/>
  <c r="L2070" i="1"/>
  <c r="Q2070" i="1" s="1"/>
  <c r="W2069" i="1"/>
  <c r="V2069" i="1"/>
  <c r="U2069" i="1"/>
  <c r="N2069" i="1"/>
  <c r="S2069" i="1" s="1"/>
  <c r="M2069" i="1"/>
  <c r="R2069" i="1" s="1"/>
  <c r="L2069" i="1"/>
  <c r="Q2069" i="1" s="1"/>
  <c r="Q2068" i="1"/>
  <c r="O2068" i="1"/>
  <c r="N2068" i="1"/>
  <c r="S2068" i="1" s="1"/>
  <c r="M2068" i="1"/>
  <c r="L2068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O2066" i="1"/>
  <c r="N2066" i="1"/>
  <c r="S2066" i="1" s="1"/>
  <c r="M2066" i="1"/>
  <c r="R2066" i="1" s="1"/>
  <c r="L2066" i="1"/>
  <c r="W2065" i="1"/>
  <c r="V2065" i="1"/>
  <c r="N2065" i="1"/>
  <c r="M2065" i="1"/>
  <c r="L2065" i="1"/>
  <c r="Q2065" i="1" s="1"/>
  <c r="S2064" i="1"/>
  <c r="O2064" i="1"/>
  <c r="N2064" i="1"/>
  <c r="M2064" i="1"/>
  <c r="R2064" i="1" s="1"/>
  <c r="L2064" i="1"/>
  <c r="R2063" i="1"/>
  <c r="Q2063" i="1"/>
  <c r="P2063" i="1"/>
  <c r="O2063" i="1"/>
  <c r="N2063" i="1"/>
  <c r="S2063" i="1" s="1"/>
  <c r="M2063" i="1"/>
  <c r="L2063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V2061" i="1"/>
  <c r="U2061" i="1"/>
  <c r="T2061" i="1"/>
  <c r="S2061" i="1"/>
  <c r="N2061" i="1"/>
  <c r="O2061" i="1" s="1"/>
  <c r="M2061" i="1"/>
  <c r="R2061" i="1" s="1"/>
  <c r="L2061" i="1"/>
  <c r="W2061" i="1" s="1"/>
  <c r="N2060" i="1"/>
  <c r="M2060" i="1"/>
  <c r="L2060" i="1"/>
  <c r="W2059" i="1"/>
  <c r="U2059" i="1"/>
  <c r="T2059" i="1"/>
  <c r="S2059" i="1"/>
  <c r="R2059" i="1"/>
  <c r="O2059" i="1"/>
  <c r="N2059" i="1"/>
  <c r="M2059" i="1"/>
  <c r="P2059" i="1" s="1"/>
  <c r="L2059" i="1"/>
  <c r="Q2059" i="1" s="1"/>
  <c r="R2058" i="1"/>
  <c r="Q2058" i="1"/>
  <c r="P2058" i="1"/>
  <c r="O2058" i="1"/>
  <c r="N2058" i="1"/>
  <c r="S2058" i="1" s="1"/>
  <c r="M2058" i="1"/>
  <c r="L2058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V2056" i="1"/>
  <c r="U2056" i="1"/>
  <c r="T2056" i="1"/>
  <c r="R2056" i="1"/>
  <c r="N2056" i="1"/>
  <c r="M2056" i="1"/>
  <c r="P2056" i="1" s="1"/>
  <c r="L2056" i="1"/>
  <c r="W2056" i="1" s="1"/>
  <c r="W2055" i="1"/>
  <c r="V2055" i="1"/>
  <c r="U2055" i="1"/>
  <c r="T2055" i="1"/>
  <c r="N2055" i="1"/>
  <c r="M2055" i="1"/>
  <c r="L2055" i="1"/>
  <c r="Q2055" i="1" s="1"/>
  <c r="S2054" i="1"/>
  <c r="Q2054" i="1"/>
  <c r="O2054" i="1"/>
  <c r="N2054" i="1"/>
  <c r="M2054" i="1"/>
  <c r="L2054" i="1"/>
  <c r="R2053" i="1"/>
  <c r="Q2053" i="1"/>
  <c r="P2053" i="1"/>
  <c r="N2053" i="1"/>
  <c r="S2053" i="1" s="1"/>
  <c r="M2053" i="1"/>
  <c r="L2053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V2051" i="1"/>
  <c r="T2051" i="1"/>
  <c r="S2051" i="1"/>
  <c r="R2051" i="1"/>
  <c r="Q2051" i="1"/>
  <c r="P2051" i="1"/>
  <c r="N2051" i="1"/>
  <c r="O2051" i="1" s="1"/>
  <c r="M2051" i="1"/>
  <c r="L2051" i="1"/>
  <c r="W2051" i="1" s="1"/>
  <c r="W2050" i="1"/>
  <c r="V2050" i="1"/>
  <c r="U2050" i="1"/>
  <c r="T2050" i="1"/>
  <c r="N2050" i="1"/>
  <c r="M2050" i="1"/>
  <c r="L2050" i="1"/>
  <c r="Q2050" i="1" s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Q2048" i="1"/>
  <c r="O2048" i="1"/>
  <c r="N2048" i="1"/>
  <c r="S2048" i="1" s="1"/>
  <c r="M2048" i="1"/>
  <c r="L2048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S2046" i="1"/>
  <c r="R2046" i="1"/>
  <c r="P2046" i="1"/>
  <c r="N2046" i="1"/>
  <c r="O2046" i="1" s="1"/>
  <c r="M2046" i="1"/>
  <c r="L2046" i="1"/>
  <c r="W2045" i="1"/>
  <c r="V2045" i="1"/>
  <c r="U2045" i="1"/>
  <c r="T2045" i="1"/>
  <c r="N2045" i="1"/>
  <c r="M2045" i="1"/>
  <c r="L2045" i="1"/>
  <c r="Q2045" i="1" s="1"/>
  <c r="V2044" i="1"/>
  <c r="T2044" i="1"/>
  <c r="S2044" i="1"/>
  <c r="R2044" i="1"/>
  <c r="Q2044" i="1"/>
  <c r="P2044" i="1"/>
  <c r="O2044" i="1"/>
  <c r="N2044" i="1"/>
  <c r="M2044" i="1"/>
  <c r="L2044" i="1"/>
  <c r="W2044" i="1" s="1"/>
  <c r="N2043" i="1"/>
  <c r="M2043" i="1"/>
  <c r="P2043" i="1" s="1"/>
  <c r="L2043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U2041" i="1"/>
  <c r="T2041" i="1"/>
  <c r="S2041" i="1"/>
  <c r="R2041" i="1"/>
  <c r="Q2041" i="1"/>
  <c r="P2041" i="1"/>
  <c r="O2041" i="1"/>
  <c r="N2041" i="1"/>
  <c r="M2041" i="1"/>
  <c r="L2041" i="1"/>
  <c r="W2041" i="1" s="1"/>
  <c r="T2040" i="1"/>
  <c r="N2040" i="1"/>
  <c r="M2040" i="1"/>
  <c r="L2040" i="1"/>
  <c r="W2039" i="1"/>
  <c r="V2039" i="1"/>
  <c r="U2039" i="1"/>
  <c r="T2039" i="1"/>
  <c r="R2039" i="1"/>
  <c r="Q2039" i="1"/>
  <c r="P2039" i="1"/>
  <c r="N2039" i="1"/>
  <c r="S2039" i="1" s="1"/>
  <c r="M2039" i="1"/>
  <c r="L2039" i="1"/>
  <c r="N2038" i="1"/>
  <c r="M2038" i="1"/>
  <c r="L2038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U2036" i="1"/>
  <c r="R2036" i="1"/>
  <c r="Q2036" i="1"/>
  <c r="P2036" i="1"/>
  <c r="N2036" i="1"/>
  <c r="M2036" i="1"/>
  <c r="L2036" i="1"/>
  <c r="W2036" i="1" s="1"/>
  <c r="V2035" i="1"/>
  <c r="N2035" i="1"/>
  <c r="M2035" i="1"/>
  <c r="L2035" i="1"/>
  <c r="W2034" i="1"/>
  <c r="T2034" i="1"/>
  <c r="Q2034" i="1"/>
  <c r="P2034" i="1"/>
  <c r="O2034" i="1"/>
  <c r="N2034" i="1"/>
  <c r="S2034" i="1" s="1"/>
  <c r="M2034" i="1"/>
  <c r="R2034" i="1" s="1"/>
  <c r="L2034" i="1"/>
  <c r="V2034" i="1" s="1"/>
  <c r="O2033" i="1"/>
  <c r="N2033" i="1"/>
  <c r="S2033" i="1" s="1"/>
  <c r="M2033" i="1"/>
  <c r="R2033" i="1" s="1"/>
  <c r="L2033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V2031" i="1"/>
  <c r="U2031" i="1"/>
  <c r="T2031" i="1"/>
  <c r="Q2031" i="1"/>
  <c r="O2031" i="1"/>
  <c r="N2031" i="1"/>
  <c r="S2031" i="1" s="1"/>
  <c r="M2031" i="1"/>
  <c r="L2031" i="1"/>
  <c r="W2031" i="1" s="1"/>
  <c r="N2030" i="1"/>
  <c r="M2030" i="1"/>
  <c r="L2030" i="1"/>
  <c r="V2029" i="1"/>
  <c r="R2029" i="1"/>
  <c r="Q2029" i="1"/>
  <c r="O2029" i="1"/>
  <c r="N2029" i="1"/>
  <c r="S2029" i="1" s="1"/>
  <c r="M2029" i="1"/>
  <c r="P2029" i="1" s="1"/>
  <c r="L2029" i="1"/>
  <c r="N2028" i="1"/>
  <c r="M2028" i="1"/>
  <c r="R2028" i="1" s="1"/>
  <c r="L2028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V2026" i="1"/>
  <c r="P2026" i="1"/>
  <c r="N2026" i="1"/>
  <c r="S2026" i="1" s="1"/>
  <c r="M2026" i="1"/>
  <c r="R2026" i="1" s="1"/>
  <c r="L2026" i="1"/>
  <c r="N2025" i="1"/>
  <c r="M2025" i="1"/>
  <c r="L2025" i="1"/>
  <c r="W2024" i="1"/>
  <c r="V2024" i="1"/>
  <c r="U2024" i="1"/>
  <c r="O2024" i="1"/>
  <c r="N2024" i="1"/>
  <c r="S2024" i="1" s="1"/>
  <c r="M2024" i="1"/>
  <c r="R2024" i="1" s="1"/>
  <c r="L2024" i="1"/>
  <c r="T2024" i="1" s="1"/>
  <c r="N2023" i="1"/>
  <c r="M2023" i="1"/>
  <c r="P2023" i="1" s="1"/>
  <c r="L2023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U2021" i="1"/>
  <c r="Q2021" i="1"/>
  <c r="P2021" i="1"/>
  <c r="N2021" i="1"/>
  <c r="M2021" i="1"/>
  <c r="R2021" i="1" s="1"/>
  <c r="L2021" i="1"/>
  <c r="N2020" i="1"/>
  <c r="M2020" i="1"/>
  <c r="L2020" i="1"/>
  <c r="O2019" i="1"/>
  <c r="N2019" i="1"/>
  <c r="S2019" i="1" s="1"/>
  <c r="M2019" i="1"/>
  <c r="R2019" i="1" s="1"/>
  <c r="L2019" i="1"/>
  <c r="R2018" i="1"/>
  <c r="Q2018" i="1"/>
  <c r="P2018" i="1"/>
  <c r="N2018" i="1"/>
  <c r="M2018" i="1"/>
  <c r="L2018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V2016" i="1"/>
  <c r="U2016" i="1"/>
  <c r="T2016" i="1"/>
  <c r="Q2016" i="1"/>
  <c r="N2016" i="1"/>
  <c r="M2016" i="1"/>
  <c r="L2016" i="1"/>
  <c r="W2016" i="1" s="1"/>
  <c r="N2015" i="1"/>
  <c r="M2015" i="1"/>
  <c r="L2015" i="1"/>
  <c r="S2014" i="1"/>
  <c r="N2014" i="1"/>
  <c r="O2014" i="1" s="1"/>
  <c r="M2014" i="1"/>
  <c r="L2014" i="1"/>
  <c r="R2013" i="1"/>
  <c r="P2013" i="1"/>
  <c r="N2013" i="1"/>
  <c r="S2013" i="1" s="1"/>
  <c r="M2013" i="1"/>
  <c r="L2013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V2011" i="1"/>
  <c r="U2011" i="1"/>
  <c r="N2011" i="1"/>
  <c r="S2011" i="1" s="1"/>
  <c r="M2011" i="1"/>
  <c r="R2011" i="1" s="1"/>
  <c r="L2011" i="1"/>
  <c r="W2010" i="1"/>
  <c r="V2010" i="1"/>
  <c r="U2010" i="1"/>
  <c r="T2010" i="1"/>
  <c r="N2010" i="1"/>
  <c r="M2010" i="1"/>
  <c r="L2010" i="1"/>
  <c r="Q2010" i="1" s="1"/>
  <c r="W2009" i="1"/>
  <c r="V2009" i="1"/>
  <c r="U2009" i="1"/>
  <c r="T2009" i="1"/>
  <c r="N2009" i="1"/>
  <c r="M2009" i="1"/>
  <c r="P2009" i="1" s="1"/>
  <c r="L2009" i="1"/>
  <c r="Q2009" i="1" s="1"/>
  <c r="W2008" i="1"/>
  <c r="R2008" i="1"/>
  <c r="Q2008" i="1"/>
  <c r="P2008" i="1"/>
  <c r="O2008" i="1"/>
  <c r="N2008" i="1"/>
  <c r="S2008" i="1" s="1"/>
  <c r="M2008" i="1"/>
  <c r="L2008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U2006" i="1"/>
  <c r="T2006" i="1"/>
  <c r="S2006" i="1"/>
  <c r="N2006" i="1"/>
  <c r="O2006" i="1" s="1"/>
  <c r="M2006" i="1"/>
  <c r="L2006" i="1"/>
  <c r="S2005" i="1"/>
  <c r="N2005" i="1"/>
  <c r="O2005" i="1" s="1"/>
  <c r="M2005" i="1"/>
  <c r="L2005" i="1"/>
  <c r="T2004" i="1"/>
  <c r="P2004" i="1"/>
  <c r="N2004" i="1"/>
  <c r="M2004" i="1"/>
  <c r="R2004" i="1" s="1"/>
  <c r="L2004" i="1"/>
  <c r="O2003" i="1"/>
  <c r="N2003" i="1"/>
  <c r="S2003" i="1" s="1"/>
  <c r="M2003" i="1"/>
  <c r="L2003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P2001" i="1"/>
  <c r="O2001" i="1"/>
  <c r="N2001" i="1"/>
  <c r="S2001" i="1" s="1"/>
  <c r="M2001" i="1"/>
  <c r="R2001" i="1" s="1"/>
  <c r="L2001" i="1"/>
  <c r="W2000" i="1"/>
  <c r="S2000" i="1"/>
  <c r="N2000" i="1"/>
  <c r="O2000" i="1" s="1"/>
  <c r="M2000" i="1"/>
  <c r="L2000" i="1"/>
  <c r="P1999" i="1"/>
  <c r="N1999" i="1"/>
  <c r="M1999" i="1"/>
  <c r="R1999" i="1" s="1"/>
  <c r="L1999" i="1"/>
  <c r="T1998" i="1"/>
  <c r="P1998" i="1"/>
  <c r="N1998" i="1"/>
  <c r="M1998" i="1"/>
  <c r="R1998" i="1" s="1"/>
  <c r="L1998" i="1"/>
  <c r="W1998" i="1" s="1"/>
  <c r="S1997" i="1"/>
  <c r="R1997" i="1"/>
  <c r="P1997" i="1"/>
  <c r="O1997" i="1"/>
  <c r="N1997" i="1"/>
  <c r="M1997" i="1"/>
  <c r="L1997" i="1"/>
  <c r="S1996" i="1"/>
  <c r="Q1996" i="1"/>
  <c r="P1996" i="1"/>
  <c r="N1996" i="1"/>
  <c r="O1996" i="1" s="1"/>
  <c r="M1996" i="1"/>
  <c r="R1996" i="1" s="1"/>
  <c r="L1996" i="1"/>
  <c r="T1995" i="1"/>
  <c r="S1995" i="1"/>
  <c r="P1995" i="1"/>
  <c r="N1995" i="1"/>
  <c r="O1995" i="1" s="1"/>
  <c r="M1995" i="1"/>
  <c r="R1995" i="1" s="1"/>
  <c r="L1995" i="1"/>
  <c r="W1994" i="1"/>
  <c r="T1994" i="1"/>
  <c r="Q1994" i="1"/>
  <c r="O1994" i="1"/>
  <c r="N1994" i="1"/>
  <c r="S1994" i="1" s="1"/>
  <c r="M1994" i="1"/>
  <c r="L1994" i="1"/>
  <c r="V1994" i="1" s="1"/>
  <c r="R1993" i="1"/>
  <c r="P1993" i="1"/>
  <c r="O1993" i="1"/>
  <c r="N1993" i="1"/>
  <c r="S1993" i="1" s="1"/>
  <c r="M1993" i="1"/>
  <c r="L1993" i="1"/>
  <c r="U1992" i="1"/>
  <c r="S1992" i="1"/>
  <c r="R1992" i="1"/>
  <c r="Q1992" i="1"/>
  <c r="P1992" i="1"/>
  <c r="O1992" i="1"/>
  <c r="N1992" i="1"/>
  <c r="M1992" i="1"/>
  <c r="L1992" i="1"/>
  <c r="W1992" i="1" s="1"/>
  <c r="U1991" i="1"/>
  <c r="S1991" i="1"/>
  <c r="R1991" i="1"/>
  <c r="Q1991" i="1"/>
  <c r="P1991" i="1"/>
  <c r="O1991" i="1"/>
  <c r="N1991" i="1"/>
  <c r="M1991" i="1"/>
  <c r="L1991" i="1"/>
  <c r="V1990" i="1"/>
  <c r="U1990" i="1"/>
  <c r="S1990" i="1"/>
  <c r="R1990" i="1"/>
  <c r="N1990" i="1"/>
  <c r="O1990" i="1" s="1"/>
  <c r="M1990" i="1"/>
  <c r="P1990" i="1" s="1"/>
  <c r="L1990" i="1"/>
  <c r="W1990" i="1" s="1"/>
  <c r="V1989" i="1"/>
  <c r="T1989" i="1"/>
  <c r="S1989" i="1"/>
  <c r="O1989" i="1"/>
  <c r="N1989" i="1"/>
  <c r="M1989" i="1"/>
  <c r="L1989" i="1"/>
  <c r="Q1989" i="1" s="1"/>
  <c r="W1988" i="1"/>
  <c r="V1988" i="1"/>
  <c r="U1988" i="1"/>
  <c r="O1988" i="1"/>
  <c r="N1988" i="1"/>
  <c r="S1988" i="1" s="1"/>
  <c r="M1988" i="1"/>
  <c r="L1988" i="1"/>
  <c r="Q1988" i="1" s="1"/>
  <c r="R1987" i="1"/>
  <c r="N1987" i="1"/>
  <c r="S1987" i="1" s="1"/>
  <c r="M1987" i="1"/>
  <c r="P1987" i="1" s="1"/>
  <c r="L1987" i="1"/>
  <c r="V1986" i="1"/>
  <c r="R1986" i="1"/>
  <c r="Q1986" i="1"/>
  <c r="P1986" i="1"/>
  <c r="N1986" i="1"/>
  <c r="S1986" i="1" s="1"/>
  <c r="M1986" i="1"/>
  <c r="L1986" i="1"/>
  <c r="U1985" i="1"/>
  <c r="Q1985" i="1"/>
  <c r="N1985" i="1"/>
  <c r="O1985" i="1" s="1"/>
  <c r="M1985" i="1"/>
  <c r="L1985" i="1"/>
  <c r="W1985" i="1" s="1"/>
  <c r="U1984" i="1"/>
  <c r="T1984" i="1"/>
  <c r="S1984" i="1"/>
  <c r="R1984" i="1"/>
  <c r="Q1984" i="1"/>
  <c r="P1984" i="1"/>
  <c r="O1984" i="1"/>
  <c r="N1984" i="1"/>
  <c r="M1984" i="1"/>
  <c r="L1984" i="1"/>
  <c r="R1983" i="1"/>
  <c r="P1983" i="1"/>
  <c r="N1983" i="1"/>
  <c r="S1983" i="1" s="1"/>
  <c r="M1983" i="1"/>
  <c r="L1983" i="1"/>
  <c r="V1982" i="1"/>
  <c r="U1982" i="1"/>
  <c r="S1982" i="1"/>
  <c r="R1982" i="1"/>
  <c r="O1982" i="1"/>
  <c r="N1982" i="1"/>
  <c r="M1982" i="1"/>
  <c r="P1982" i="1" s="1"/>
  <c r="L1982" i="1"/>
  <c r="V1981" i="1"/>
  <c r="N1981" i="1"/>
  <c r="S1981" i="1" s="1"/>
  <c r="M1981" i="1"/>
  <c r="L1981" i="1"/>
  <c r="N1980" i="1"/>
  <c r="M1980" i="1"/>
  <c r="R1980" i="1" s="1"/>
  <c r="L1980" i="1"/>
  <c r="W1979" i="1"/>
  <c r="V1979" i="1"/>
  <c r="R1979" i="1"/>
  <c r="Q1979" i="1"/>
  <c r="P1979" i="1"/>
  <c r="N1979" i="1"/>
  <c r="S1979" i="1" s="1"/>
  <c r="M1979" i="1"/>
  <c r="L1979" i="1"/>
  <c r="U1978" i="1"/>
  <c r="Q1978" i="1"/>
  <c r="O1978" i="1"/>
  <c r="N1978" i="1"/>
  <c r="S1978" i="1" s="1"/>
  <c r="M1978" i="1"/>
  <c r="L1978" i="1"/>
  <c r="W1978" i="1" s="1"/>
  <c r="U1977" i="1"/>
  <c r="T1977" i="1"/>
  <c r="S1977" i="1"/>
  <c r="R1977" i="1"/>
  <c r="Q1977" i="1"/>
  <c r="P1977" i="1"/>
  <c r="O1977" i="1"/>
  <c r="N1977" i="1"/>
  <c r="M1977" i="1"/>
  <c r="L1977" i="1"/>
  <c r="S1976" i="1"/>
  <c r="R1976" i="1"/>
  <c r="P1976" i="1"/>
  <c r="N1976" i="1"/>
  <c r="O1976" i="1" s="1"/>
  <c r="M1976" i="1"/>
  <c r="L1976" i="1"/>
  <c r="W1975" i="1"/>
  <c r="U1975" i="1"/>
  <c r="S1975" i="1"/>
  <c r="R1975" i="1"/>
  <c r="N1975" i="1"/>
  <c r="O1975" i="1" s="1"/>
  <c r="M1975" i="1"/>
  <c r="P1975" i="1" s="1"/>
  <c r="L1975" i="1"/>
  <c r="N1974" i="1"/>
  <c r="S1974" i="1" s="1"/>
  <c r="M1974" i="1"/>
  <c r="L1974" i="1"/>
  <c r="V1973" i="1"/>
  <c r="U1973" i="1"/>
  <c r="Q1973" i="1"/>
  <c r="N1973" i="1"/>
  <c r="M1973" i="1"/>
  <c r="L1973" i="1"/>
  <c r="T1973" i="1" s="1"/>
  <c r="W1972" i="1"/>
  <c r="V1972" i="1"/>
  <c r="R1972" i="1"/>
  <c r="P1972" i="1"/>
  <c r="N1972" i="1"/>
  <c r="S1972" i="1" s="1"/>
  <c r="M1972" i="1"/>
  <c r="L1972" i="1"/>
  <c r="T1971" i="1"/>
  <c r="Q1971" i="1"/>
  <c r="N1971" i="1"/>
  <c r="S1971" i="1" s="1"/>
  <c r="M1971" i="1"/>
  <c r="R1971" i="1" s="1"/>
  <c r="L1971" i="1"/>
  <c r="W1971" i="1" s="1"/>
  <c r="W1970" i="1"/>
  <c r="V1970" i="1"/>
  <c r="U1970" i="1"/>
  <c r="T1970" i="1"/>
  <c r="S1970" i="1"/>
  <c r="R1970" i="1"/>
  <c r="Q1970" i="1"/>
  <c r="P1970" i="1"/>
  <c r="N1970" i="1"/>
  <c r="O1970" i="1" s="1"/>
  <c r="M1970" i="1"/>
  <c r="L1970" i="1"/>
  <c r="S1969" i="1"/>
  <c r="R1969" i="1"/>
  <c r="Q1969" i="1"/>
  <c r="P1969" i="1"/>
  <c r="N1969" i="1"/>
  <c r="O1969" i="1" s="1"/>
  <c r="M1969" i="1"/>
  <c r="L1969" i="1"/>
  <c r="W1968" i="1"/>
  <c r="V1968" i="1"/>
  <c r="U1968" i="1"/>
  <c r="T1968" i="1"/>
  <c r="R1968" i="1"/>
  <c r="P1968" i="1"/>
  <c r="N1968" i="1"/>
  <c r="M1968" i="1"/>
  <c r="L1968" i="1"/>
  <c r="Q1968" i="1" s="1"/>
  <c r="T1967" i="1"/>
  <c r="N1967" i="1"/>
  <c r="M1967" i="1"/>
  <c r="L1967" i="1"/>
  <c r="V1966" i="1"/>
  <c r="U1966" i="1"/>
  <c r="T1966" i="1"/>
  <c r="Q1966" i="1"/>
  <c r="N1966" i="1"/>
  <c r="S1966" i="1" s="1"/>
  <c r="M1966" i="1"/>
  <c r="L1966" i="1"/>
  <c r="W1966" i="1" s="1"/>
  <c r="N1965" i="1"/>
  <c r="M1965" i="1"/>
  <c r="L1965" i="1"/>
  <c r="W1964" i="1"/>
  <c r="T1964" i="1"/>
  <c r="R1964" i="1"/>
  <c r="Q1964" i="1"/>
  <c r="P1964" i="1"/>
  <c r="O1964" i="1"/>
  <c r="N1964" i="1"/>
  <c r="S1964" i="1" s="1"/>
  <c r="M1964" i="1"/>
  <c r="L1964" i="1"/>
  <c r="V1964" i="1" s="1"/>
  <c r="W1963" i="1"/>
  <c r="V1963" i="1"/>
  <c r="U1963" i="1"/>
  <c r="T1963" i="1"/>
  <c r="R1963" i="1"/>
  <c r="Q1963" i="1"/>
  <c r="P1963" i="1"/>
  <c r="N1963" i="1"/>
  <c r="S1963" i="1" s="1"/>
  <c r="M1963" i="1"/>
  <c r="L1963" i="1"/>
  <c r="S1962" i="1"/>
  <c r="R1962" i="1"/>
  <c r="P1962" i="1"/>
  <c r="N1962" i="1"/>
  <c r="O1962" i="1" s="1"/>
  <c r="M1962" i="1"/>
  <c r="L1962" i="1"/>
  <c r="R1961" i="1"/>
  <c r="P1961" i="1"/>
  <c r="N1961" i="1"/>
  <c r="O1961" i="1" s="1"/>
  <c r="M1961" i="1"/>
  <c r="L1961" i="1"/>
  <c r="W1961" i="1" s="1"/>
  <c r="W1960" i="1"/>
  <c r="V1960" i="1"/>
  <c r="U1960" i="1"/>
  <c r="T1960" i="1"/>
  <c r="N1960" i="1"/>
  <c r="O1960" i="1" s="1"/>
  <c r="M1960" i="1"/>
  <c r="L1960" i="1"/>
  <c r="Q1960" i="1" s="1"/>
  <c r="W1959" i="1"/>
  <c r="V1959" i="1"/>
  <c r="N1959" i="1"/>
  <c r="S1959" i="1" s="1"/>
  <c r="M1959" i="1"/>
  <c r="L1959" i="1"/>
  <c r="U1959" i="1" s="1"/>
  <c r="V1958" i="1"/>
  <c r="P1958" i="1"/>
  <c r="O1958" i="1"/>
  <c r="N1958" i="1"/>
  <c r="S1958" i="1" s="1"/>
  <c r="M1958" i="1"/>
  <c r="R1958" i="1" s="1"/>
  <c r="L1958" i="1"/>
  <c r="W1957" i="1"/>
  <c r="T1957" i="1"/>
  <c r="R1957" i="1"/>
  <c r="Q1957" i="1"/>
  <c r="P1957" i="1"/>
  <c r="N1957" i="1"/>
  <c r="S1957" i="1" s="1"/>
  <c r="M1957" i="1"/>
  <c r="L1957" i="1"/>
  <c r="V1957" i="1" s="1"/>
  <c r="V1956" i="1"/>
  <c r="U1956" i="1"/>
  <c r="T1956" i="1"/>
  <c r="R1956" i="1"/>
  <c r="Q1956" i="1"/>
  <c r="P1956" i="1"/>
  <c r="O1956" i="1"/>
  <c r="N1956" i="1"/>
  <c r="S1956" i="1" s="1"/>
  <c r="M1956" i="1"/>
  <c r="L1956" i="1"/>
  <c r="W1956" i="1" s="1"/>
  <c r="W1955" i="1"/>
  <c r="U1955" i="1"/>
  <c r="T1955" i="1"/>
  <c r="S1955" i="1"/>
  <c r="R1955" i="1"/>
  <c r="Q1955" i="1"/>
  <c r="P1955" i="1"/>
  <c r="N1955" i="1"/>
  <c r="O1955" i="1" s="1"/>
  <c r="M1955" i="1"/>
  <c r="L1955" i="1"/>
  <c r="V1955" i="1" s="1"/>
  <c r="R1954" i="1"/>
  <c r="P1954" i="1"/>
  <c r="N1954" i="1"/>
  <c r="M1954" i="1"/>
  <c r="L1954" i="1"/>
  <c r="W1953" i="1"/>
  <c r="V1953" i="1"/>
  <c r="U1953" i="1"/>
  <c r="T1953" i="1"/>
  <c r="N1953" i="1"/>
  <c r="M1953" i="1"/>
  <c r="P1953" i="1" s="1"/>
  <c r="L1953" i="1"/>
  <c r="Q1953" i="1" s="1"/>
  <c r="Q1952" i="1"/>
  <c r="N1952" i="1"/>
  <c r="M1952" i="1"/>
  <c r="L1952" i="1"/>
  <c r="W1952" i="1" s="1"/>
  <c r="V1951" i="1"/>
  <c r="U1951" i="1"/>
  <c r="Q1951" i="1"/>
  <c r="N1951" i="1"/>
  <c r="M1951" i="1"/>
  <c r="L1951" i="1"/>
  <c r="N1950" i="1"/>
  <c r="M1950" i="1"/>
  <c r="R1950" i="1" s="1"/>
  <c r="L1950" i="1"/>
  <c r="W1949" i="1"/>
  <c r="V1949" i="1"/>
  <c r="U1949" i="1"/>
  <c r="T1949" i="1"/>
  <c r="R1949" i="1"/>
  <c r="Q1949" i="1"/>
  <c r="P1949" i="1"/>
  <c r="N1949" i="1"/>
  <c r="O1949" i="1" s="1"/>
  <c r="M1949" i="1"/>
  <c r="L1949" i="1"/>
  <c r="W1948" i="1"/>
  <c r="U1948" i="1"/>
  <c r="T1948" i="1"/>
  <c r="R1948" i="1"/>
  <c r="Q1948" i="1"/>
  <c r="P1948" i="1"/>
  <c r="O1948" i="1"/>
  <c r="N1948" i="1"/>
  <c r="S1948" i="1" s="1"/>
  <c r="M1948" i="1"/>
  <c r="L1948" i="1"/>
  <c r="V1948" i="1" s="1"/>
  <c r="W1947" i="1"/>
  <c r="V1947" i="1"/>
  <c r="U1947" i="1"/>
  <c r="T1947" i="1"/>
  <c r="R1947" i="1"/>
  <c r="Q1947" i="1"/>
  <c r="P1947" i="1"/>
  <c r="N1947" i="1"/>
  <c r="O1947" i="1" s="1"/>
  <c r="M1947" i="1"/>
  <c r="L1947" i="1"/>
  <c r="N1946" i="1"/>
  <c r="O1946" i="1" s="1"/>
  <c r="M1946" i="1"/>
  <c r="L1946" i="1"/>
  <c r="W1945" i="1"/>
  <c r="V1945" i="1"/>
  <c r="U1945" i="1"/>
  <c r="T1945" i="1"/>
  <c r="Q1945" i="1"/>
  <c r="N1945" i="1"/>
  <c r="M1945" i="1"/>
  <c r="L1945" i="1"/>
  <c r="W1944" i="1"/>
  <c r="V1944" i="1"/>
  <c r="N1944" i="1"/>
  <c r="S1944" i="1" s="1"/>
  <c r="M1944" i="1"/>
  <c r="R1944" i="1" s="1"/>
  <c r="L1944" i="1"/>
  <c r="T1944" i="1" s="1"/>
  <c r="T1943" i="1"/>
  <c r="O1943" i="1"/>
  <c r="N1943" i="1"/>
  <c r="S1943" i="1" s="1"/>
  <c r="M1943" i="1"/>
  <c r="L1943" i="1"/>
  <c r="W1942" i="1"/>
  <c r="V1942" i="1"/>
  <c r="U1942" i="1"/>
  <c r="T1942" i="1"/>
  <c r="S1942" i="1"/>
  <c r="R1942" i="1"/>
  <c r="Q1942" i="1"/>
  <c r="P1942" i="1"/>
  <c r="N1942" i="1"/>
  <c r="O1942" i="1" s="1"/>
  <c r="M1942" i="1"/>
  <c r="L1942" i="1"/>
  <c r="V1941" i="1"/>
  <c r="T1941" i="1"/>
  <c r="S1941" i="1"/>
  <c r="R1941" i="1"/>
  <c r="Q1941" i="1"/>
  <c r="P1941" i="1"/>
  <c r="O1941" i="1"/>
  <c r="N1941" i="1"/>
  <c r="M1941" i="1"/>
  <c r="L1941" i="1"/>
  <c r="W1941" i="1" s="1"/>
  <c r="W1940" i="1"/>
  <c r="V1940" i="1"/>
  <c r="U1940" i="1"/>
  <c r="T1940" i="1"/>
  <c r="S1940" i="1"/>
  <c r="Q1940" i="1"/>
  <c r="N1940" i="1"/>
  <c r="O1940" i="1" s="1"/>
  <c r="M1940" i="1"/>
  <c r="P1940" i="1" s="1"/>
  <c r="L1940" i="1"/>
  <c r="V1939" i="1"/>
  <c r="T1939" i="1"/>
  <c r="N1939" i="1"/>
  <c r="O1939" i="1" s="1"/>
  <c r="M1939" i="1"/>
  <c r="R1939" i="1" s="1"/>
  <c r="L1939" i="1"/>
  <c r="Q1939" i="1" s="1"/>
  <c r="W1938" i="1"/>
  <c r="V1938" i="1"/>
  <c r="U1938" i="1"/>
  <c r="N1938" i="1"/>
  <c r="S1938" i="1" s="1"/>
  <c r="M1938" i="1"/>
  <c r="L1938" i="1"/>
  <c r="T1938" i="1" s="1"/>
  <c r="T1937" i="1"/>
  <c r="Q1937" i="1"/>
  <c r="P1937" i="1"/>
  <c r="N1937" i="1"/>
  <c r="M1937" i="1"/>
  <c r="R1937" i="1" s="1"/>
  <c r="L1937" i="1"/>
  <c r="U1936" i="1"/>
  <c r="S1936" i="1"/>
  <c r="R1936" i="1"/>
  <c r="Q1936" i="1"/>
  <c r="P1936" i="1"/>
  <c r="O1936" i="1"/>
  <c r="N1936" i="1"/>
  <c r="M1936" i="1"/>
  <c r="L1936" i="1"/>
  <c r="W1935" i="1"/>
  <c r="V1935" i="1"/>
  <c r="U1935" i="1"/>
  <c r="T1935" i="1"/>
  <c r="S1935" i="1"/>
  <c r="R1935" i="1"/>
  <c r="Q1935" i="1"/>
  <c r="O1935" i="1"/>
  <c r="N1935" i="1"/>
  <c r="M1935" i="1"/>
  <c r="P1935" i="1" s="1"/>
  <c r="L1935" i="1"/>
  <c r="W1934" i="1"/>
  <c r="V1934" i="1"/>
  <c r="U1934" i="1"/>
  <c r="S1934" i="1"/>
  <c r="N1934" i="1"/>
  <c r="O1934" i="1" s="1"/>
  <c r="M1934" i="1"/>
  <c r="R1934" i="1" s="1"/>
  <c r="L1934" i="1"/>
  <c r="Q1934" i="1" s="1"/>
  <c r="V1933" i="1"/>
  <c r="T1933" i="1"/>
  <c r="Q1933" i="1"/>
  <c r="N1933" i="1"/>
  <c r="M1933" i="1"/>
  <c r="L1933" i="1"/>
  <c r="W1932" i="1"/>
  <c r="V1932" i="1"/>
  <c r="T1932" i="1"/>
  <c r="R1932" i="1"/>
  <c r="P1932" i="1"/>
  <c r="N1932" i="1"/>
  <c r="S1932" i="1" s="1"/>
  <c r="M1932" i="1"/>
  <c r="L1932" i="1"/>
  <c r="U1932" i="1" s="1"/>
  <c r="R1931" i="1"/>
  <c r="P1931" i="1"/>
  <c r="O1931" i="1"/>
  <c r="N1931" i="1"/>
  <c r="S1931" i="1" s="1"/>
  <c r="M1931" i="1"/>
  <c r="L1931" i="1"/>
  <c r="W1930" i="1"/>
  <c r="V1930" i="1"/>
  <c r="U1930" i="1"/>
  <c r="T1930" i="1"/>
  <c r="S1930" i="1"/>
  <c r="Q1930" i="1"/>
  <c r="O1930" i="1"/>
  <c r="N1930" i="1"/>
  <c r="M1930" i="1"/>
  <c r="R1930" i="1" s="1"/>
  <c r="L1930" i="1"/>
  <c r="V1929" i="1"/>
  <c r="T1929" i="1"/>
  <c r="P1929" i="1"/>
  <c r="N1929" i="1"/>
  <c r="O1929" i="1" s="1"/>
  <c r="M1929" i="1"/>
  <c r="R1929" i="1" s="1"/>
  <c r="L1929" i="1"/>
  <c r="Q1929" i="1" s="1"/>
  <c r="W1928" i="1"/>
  <c r="V1928" i="1"/>
  <c r="U1928" i="1"/>
  <c r="N1928" i="1"/>
  <c r="S1928" i="1" s="1"/>
  <c r="M1928" i="1"/>
  <c r="L1928" i="1"/>
  <c r="T1928" i="1" s="1"/>
  <c r="Q1927" i="1"/>
  <c r="N1927" i="1"/>
  <c r="M1927" i="1"/>
  <c r="L1927" i="1"/>
  <c r="U1926" i="1"/>
  <c r="S1926" i="1"/>
  <c r="R1926" i="1"/>
  <c r="Q1926" i="1"/>
  <c r="P1926" i="1"/>
  <c r="O1926" i="1"/>
  <c r="N1926" i="1"/>
  <c r="M1926" i="1"/>
  <c r="L1926" i="1"/>
  <c r="W1925" i="1"/>
  <c r="V1925" i="1"/>
  <c r="U1925" i="1"/>
  <c r="T1925" i="1"/>
  <c r="S1925" i="1"/>
  <c r="Q1925" i="1"/>
  <c r="O1925" i="1"/>
  <c r="N1925" i="1"/>
  <c r="M1925" i="1"/>
  <c r="L1925" i="1"/>
  <c r="W1924" i="1"/>
  <c r="V1924" i="1"/>
  <c r="U1924" i="1"/>
  <c r="S1924" i="1"/>
  <c r="N1924" i="1"/>
  <c r="O1924" i="1" s="1"/>
  <c r="M1924" i="1"/>
  <c r="R1924" i="1" s="1"/>
  <c r="L1924" i="1"/>
  <c r="Q1924" i="1" s="1"/>
  <c r="Q1923" i="1"/>
  <c r="N1923" i="1"/>
  <c r="M1923" i="1"/>
  <c r="L1923" i="1"/>
  <c r="W1922" i="1"/>
  <c r="V1922" i="1"/>
  <c r="T1922" i="1"/>
  <c r="R1922" i="1"/>
  <c r="N1922" i="1"/>
  <c r="S1922" i="1" s="1"/>
  <c r="M1922" i="1"/>
  <c r="P1922" i="1" s="1"/>
  <c r="L1922" i="1"/>
  <c r="U1922" i="1" s="1"/>
  <c r="R1921" i="1"/>
  <c r="P1921" i="1"/>
  <c r="O1921" i="1"/>
  <c r="N1921" i="1"/>
  <c r="S1921" i="1" s="1"/>
  <c r="M1921" i="1"/>
  <c r="L1921" i="1"/>
  <c r="W1920" i="1"/>
  <c r="V1920" i="1"/>
  <c r="U1920" i="1"/>
  <c r="T1920" i="1"/>
  <c r="S1920" i="1"/>
  <c r="Q1920" i="1"/>
  <c r="O1920" i="1"/>
  <c r="N1920" i="1"/>
  <c r="M1920" i="1"/>
  <c r="R1920" i="1" s="1"/>
  <c r="L1920" i="1"/>
  <c r="V1919" i="1"/>
  <c r="T1919" i="1"/>
  <c r="S1919" i="1"/>
  <c r="N1919" i="1"/>
  <c r="O1919" i="1" s="1"/>
  <c r="M1919" i="1"/>
  <c r="L1919" i="1"/>
  <c r="Q1919" i="1" s="1"/>
  <c r="W1918" i="1"/>
  <c r="V1918" i="1"/>
  <c r="U1918" i="1"/>
  <c r="N1918" i="1"/>
  <c r="S1918" i="1" s="1"/>
  <c r="M1918" i="1"/>
  <c r="L1918" i="1"/>
  <c r="T1918" i="1" s="1"/>
  <c r="T1917" i="1"/>
  <c r="Q1917" i="1"/>
  <c r="P1917" i="1"/>
  <c r="N1917" i="1"/>
  <c r="M1917" i="1"/>
  <c r="R1917" i="1" s="1"/>
  <c r="L1917" i="1"/>
  <c r="U1916" i="1"/>
  <c r="S1916" i="1"/>
  <c r="R1916" i="1"/>
  <c r="Q1916" i="1"/>
  <c r="P1916" i="1"/>
  <c r="O1916" i="1"/>
  <c r="N1916" i="1"/>
  <c r="M1916" i="1"/>
  <c r="L1916" i="1"/>
  <c r="W1915" i="1"/>
  <c r="V1915" i="1"/>
  <c r="U1915" i="1"/>
  <c r="T1915" i="1"/>
  <c r="S1915" i="1"/>
  <c r="Q1915" i="1"/>
  <c r="O1915" i="1"/>
  <c r="N1915" i="1"/>
  <c r="M1915" i="1"/>
  <c r="P1915" i="1" s="1"/>
  <c r="L1915" i="1"/>
  <c r="W1914" i="1"/>
  <c r="V1914" i="1"/>
  <c r="U1914" i="1"/>
  <c r="N1914" i="1"/>
  <c r="O1914" i="1" s="1"/>
  <c r="M1914" i="1"/>
  <c r="R1914" i="1" s="1"/>
  <c r="L1914" i="1"/>
  <c r="Q1914" i="1" s="1"/>
  <c r="V1913" i="1"/>
  <c r="N1913" i="1"/>
  <c r="M1913" i="1"/>
  <c r="L1913" i="1"/>
  <c r="T1912" i="1"/>
  <c r="R1912" i="1"/>
  <c r="N1912" i="1"/>
  <c r="S1912" i="1" s="1"/>
  <c r="M1912" i="1"/>
  <c r="P1912" i="1" s="1"/>
  <c r="L1912" i="1"/>
  <c r="U1912" i="1" s="1"/>
  <c r="R1911" i="1"/>
  <c r="P1911" i="1"/>
  <c r="O1911" i="1"/>
  <c r="N1911" i="1"/>
  <c r="S1911" i="1" s="1"/>
  <c r="M1911" i="1"/>
  <c r="L1911" i="1"/>
  <c r="W1910" i="1"/>
  <c r="V1910" i="1"/>
  <c r="U1910" i="1"/>
  <c r="T1910" i="1"/>
  <c r="S1910" i="1"/>
  <c r="Q1910" i="1"/>
  <c r="O1910" i="1"/>
  <c r="N1910" i="1"/>
  <c r="M1910" i="1"/>
  <c r="L1910" i="1"/>
  <c r="V1909" i="1"/>
  <c r="T1909" i="1"/>
  <c r="P1909" i="1"/>
  <c r="N1909" i="1"/>
  <c r="M1909" i="1"/>
  <c r="R1909" i="1" s="1"/>
  <c r="L1909" i="1"/>
  <c r="Q1909" i="1" s="1"/>
  <c r="V1908" i="1"/>
  <c r="N1908" i="1"/>
  <c r="S1908" i="1" s="1"/>
  <c r="M1908" i="1"/>
  <c r="L1908" i="1"/>
  <c r="T1907" i="1"/>
  <c r="Q1907" i="1"/>
  <c r="N1907" i="1"/>
  <c r="M1907" i="1"/>
  <c r="R1907" i="1" s="1"/>
  <c r="L1907" i="1"/>
  <c r="U1906" i="1"/>
  <c r="S1906" i="1"/>
  <c r="R1906" i="1"/>
  <c r="Q1906" i="1"/>
  <c r="P1906" i="1"/>
  <c r="O1906" i="1"/>
  <c r="N1906" i="1"/>
  <c r="M1906" i="1"/>
  <c r="L1906" i="1"/>
  <c r="W1905" i="1"/>
  <c r="V1905" i="1"/>
  <c r="U1905" i="1"/>
  <c r="T1905" i="1"/>
  <c r="S1905" i="1"/>
  <c r="R1905" i="1"/>
  <c r="Q1905" i="1"/>
  <c r="O1905" i="1"/>
  <c r="N1905" i="1"/>
  <c r="M1905" i="1"/>
  <c r="P1905" i="1" s="1"/>
  <c r="L1905" i="1"/>
  <c r="W1904" i="1"/>
  <c r="V1904" i="1"/>
  <c r="U1904" i="1"/>
  <c r="N1904" i="1"/>
  <c r="O1904" i="1" s="1"/>
  <c r="M1904" i="1"/>
  <c r="L1904" i="1"/>
  <c r="Q1904" i="1" s="1"/>
  <c r="V1903" i="1"/>
  <c r="T1903" i="1"/>
  <c r="Q1903" i="1"/>
  <c r="N1903" i="1"/>
  <c r="M1903" i="1"/>
  <c r="L1903" i="1"/>
  <c r="T1902" i="1"/>
  <c r="R1902" i="1"/>
  <c r="N1902" i="1"/>
  <c r="S1902" i="1" s="1"/>
  <c r="M1902" i="1"/>
  <c r="P1902" i="1" s="1"/>
  <c r="L1902" i="1"/>
  <c r="R1901" i="1"/>
  <c r="P1901" i="1"/>
  <c r="O1901" i="1"/>
  <c r="N1901" i="1"/>
  <c r="S1901" i="1" s="1"/>
  <c r="M1901" i="1"/>
  <c r="L1901" i="1"/>
  <c r="W1900" i="1"/>
  <c r="V1900" i="1"/>
  <c r="U1900" i="1"/>
  <c r="T1900" i="1"/>
  <c r="S1900" i="1"/>
  <c r="Q1900" i="1"/>
  <c r="O1900" i="1"/>
  <c r="N1900" i="1"/>
  <c r="M1900" i="1"/>
  <c r="L1900" i="1"/>
  <c r="V1899" i="1"/>
  <c r="T1899" i="1"/>
  <c r="S1899" i="1"/>
  <c r="N1899" i="1"/>
  <c r="O1899" i="1" s="1"/>
  <c r="M1899" i="1"/>
  <c r="R1899" i="1" s="1"/>
  <c r="L1899" i="1"/>
  <c r="Q1899" i="1" s="1"/>
  <c r="N1898" i="1"/>
  <c r="S1898" i="1" s="1"/>
  <c r="M1898" i="1"/>
  <c r="L1898" i="1"/>
  <c r="T1897" i="1"/>
  <c r="Q1897" i="1"/>
  <c r="N1897" i="1"/>
  <c r="M1897" i="1"/>
  <c r="R1897" i="1" s="1"/>
  <c r="L1897" i="1"/>
  <c r="U1896" i="1"/>
  <c r="S1896" i="1"/>
  <c r="R1896" i="1"/>
  <c r="Q1896" i="1"/>
  <c r="P1896" i="1"/>
  <c r="O1896" i="1"/>
  <c r="N1896" i="1"/>
  <c r="M1896" i="1"/>
  <c r="L1896" i="1"/>
  <c r="W1895" i="1"/>
  <c r="V1895" i="1"/>
  <c r="U1895" i="1"/>
  <c r="T1895" i="1"/>
  <c r="S1895" i="1"/>
  <c r="Q1895" i="1"/>
  <c r="O1895" i="1"/>
  <c r="N1895" i="1"/>
  <c r="M1895" i="1"/>
  <c r="P1895" i="1" s="1"/>
  <c r="L1895" i="1"/>
  <c r="W1894" i="1"/>
  <c r="V1894" i="1"/>
  <c r="U1894" i="1"/>
  <c r="N1894" i="1"/>
  <c r="M1894" i="1"/>
  <c r="R1894" i="1" s="1"/>
  <c r="L1894" i="1"/>
  <c r="T1894" i="1" s="1"/>
  <c r="W1893" i="1"/>
  <c r="U1893" i="1"/>
  <c r="T1893" i="1"/>
  <c r="Q1893" i="1"/>
  <c r="N1893" i="1"/>
  <c r="S1893" i="1" s="1"/>
  <c r="M1893" i="1"/>
  <c r="L1893" i="1"/>
  <c r="V1893" i="1" s="1"/>
  <c r="W1892" i="1"/>
  <c r="V1892" i="1"/>
  <c r="U1892" i="1"/>
  <c r="N1892" i="1"/>
  <c r="M1892" i="1"/>
  <c r="R1892" i="1" s="1"/>
  <c r="L1892" i="1"/>
  <c r="T1892" i="1" s="1"/>
  <c r="U1891" i="1"/>
  <c r="R1891" i="1"/>
  <c r="Q1891" i="1"/>
  <c r="O1891" i="1"/>
  <c r="N1891" i="1"/>
  <c r="S1891" i="1" s="1"/>
  <c r="M1891" i="1"/>
  <c r="P1891" i="1" s="1"/>
  <c r="L1891" i="1"/>
  <c r="W1890" i="1"/>
  <c r="V1890" i="1"/>
  <c r="U1890" i="1"/>
  <c r="T1890" i="1"/>
  <c r="S1890" i="1"/>
  <c r="Q1890" i="1"/>
  <c r="O1890" i="1"/>
  <c r="N1890" i="1"/>
  <c r="M1890" i="1"/>
  <c r="R1890" i="1" s="1"/>
  <c r="L1890" i="1"/>
  <c r="W1889" i="1"/>
  <c r="V1889" i="1"/>
  <c r="U1889" i="1"/>
  <c r="T1889" i="1"/>
  <c r="R1889" i="1"/>
  <c r="Q1889" i="1"/>
  <c r="N1889" i="1"/>
  <c r="M1889" i="1"/>
  <c r="P1889" i="1" s="1"/>
  <c r="L1889" i="1"/>
  <c r="T1888" i="1"/>
  <c r="Q1888" i="1"/>
  <c r="N1888" i="1"/>
  <c r="S1888" i="1" s="1"/>
  <c r="M1888" i="1"/>
  <c r="L1888" i="1"/>
  <c r="W1888" i="1" s="1"/>
  <c r="W1887" i="1"/>
  <c r="V1887" i="1"/>
  <c r="U1887" i="1"/>
  <c r="T1887" i="1"/>
  <c r="R1887" i="1"/>
  <c r="Q1887" i="1"/>
  <c r="P1887" i="1"/>
  <c r="N1887" i="1"/>
  <c r="M1887" i="1"/>
  <c r="L1887" i="1"/>
  <c r="R1886" i="1"/>
  <c r="P1886" i="1"/>
  <c r="N1886" i="1"/>
  <c r="M1886" i="1"/>
  <c r="L1886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U1884" i="1"/>
  <c r="R1884" i="1"/>
  <c r="P1884" i="1"/>
  <c r="O1884" i="1"/>
  <c r="N1884" i="1"/>
  <c r="S1884" i="1" s="1"/>
  <c r="M1884" i="1"/>
  <c r="L1884" i="1"/>
  <c r="W1883" i="1"/>
  <c r="V1883" i="1"/>
  <c r="U1883" i="1"/>
  <c r="T1883" i="1"/>
  <c r="Q1883" i="1"/>
  <c r="N1883" i="1"/>
  <c r="S1883" i="1" s="1"/>
  <c r="M1883" i="1"/>
  <c r="L1883" i="1"/>
  <c r="N1882" i="1"/>
  <c r="O1882" i="1" s="1"/>
  <c r="M1882" i="1"/>
  <c r="R1882" i="1" s="1"/>
  <c r="L1882" i="1"/>
  <c r="U1881" i="1"/>
  <c r="S1881" i="1"/>
  <c r="R1881" i="1"/>
  <c r="Q1881" i="1"/>
  <c r="O1881" i="1"/>
  <c r="N1881" i="1"/>
  <c r="M1881" i="1"/>
  <c r="P1881" i="1" s="1"/>
  <c r="L1881" i="1"/>
  <c r="W1880" i="1"/>
  <c r="V1880" i="1"/>
  <c r="U1880" i="1"/>
  <c r="T1880" i="1"/>
  <c r="S1880" i="1"/>
  <c r="Q1880" i="1"/>
  <c r="O1880" i="1"/>
  <c r="N1880" i="1"/>
  <c r="M1880" i="1"/>
  <c r="L1880" i="1"/>
  <c r="V1879" i="1"/>
  <c r="U1879" i="1"/>
  <c r="O1879" i="1"/>
  <c r="N1879" i="1"/>
  <c r="S1879" i="1" s="1"/>
  <c r="M1879" i="1"/>
  <c r="R1879" i="1" s="1"/>
  <c r="L1879" i="1"/>
  <c r="V1878" i="1"/>
  <c r="U1878" i="1"/>
  <c r="T1878" i="1"/>
  <c r="Q1878" i="1"/>
  <c r="N1878" i="1"/>
  <c r="M1878" i="1"/>
  <c r="L1878" i="1"/>
  <c r="W1878" i="1" s="1"/>
  <c r="W1877" i="1"/>
  <c r="V1877" i="1"/>
  <c r="Q1877" i="1"/>
  <c r="N1877" i="1"/>
  <c r="S1877" i="1" s="1"/>
  <c r="M1877" i="1"/>
  <c r="R1877" i="1" s="1"/>
  <c r="L1877" i="1"/>
  <c r="U1877" i="1" s="1"/>
  <c r="S1876" i="1"/>
  <c r="R1876" i="1"/>
  <c r="P1876" i="1"/>
  <c r="O1876" i="1"/>
  <c r="N1876" i="1"/>
  <c r="M1876" i="1"/>
  <c r="L1876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O1873" i="1"/>
  <c r="N1873" i="1"/>
  <c r="S1873" i="1" s="1"/>
  <c r="M1873" i="1"/>
  <c r="L1873" i="1"/>
  <c r="W1872" i="1"/>
  <c r="V1872" i="1"/>
  <c r="U1872" i="1"/>
  <c r="T1872" i="1"/>
  <c r="S1872" i="1"/>
  <c r="R1872" i="1"/>
  <c r="Q1872" i="1"/>
  <c r="P1872" i="1"/>
  <c r="N1872" i="1"/>
  <c r="O1872" i="1" s="1"/>
  <c r="M1872" i="1"/>
  <c r="L1872" i="1"/>
  <c r="P1871" i="1"/>
  <c r="N1871" i="1"/>
  <c r="M1871" i="1"/>
  <c r="R1871" i="1" s="1"/>
  <c r="L1871" i="1"/>
  <c r="W1870" i="1"/>
  <c r="V1870" i="1"/>
  <c r="U1870" i="1"/>
  <c r="T1870" i="1"/>
  <c r="S1870" i="1"/>
  <c r="R1870" i="1"/>
  <c r="Q1870" i="1"/>
  <c r="O1870" i="1"/>
  <c r="N1870" i="1"/>
  <c r="M1870" i="1"/>
  <c r="P1870" i="1" s="1"/>
  <c r="L1870" i="1"/>
  <c r="W1869" i="1"/>
  <c r="T1869" i="1"/>
  <c r="Q1869" i="1"/>
  <c r="N1869" i="1"/>
  <c r="M1869" i="1"/>
  <c r="L1869" i="1"/>
  <c r="V1869" i="1" s="1"/>
  <c r="U1868" i="1"/>
  <c r="N1868" i="1"/>
  <c r="S1868" i="1" s="1"/>
  <c r="M1868" i="1"/>
  <c r="L1868" i="1"/>
  <c r="U1867" i="1"/>
  <c r="S1867" i="1"/>
  <c r="R1867" i="1"/>
  <c r="Q1867" i="1"/>
  <c r="P1867" i="1"/>
  <c r="O1867" i="1"/>
  <c r="N1867" i="1"/>
  <c r="M1867" i="1"/>
  <c r="L1867" i="1"/>
  <c r="W1867" i="1" s="1"/>
  <c r="U1866" i="1"/>
  <c r="S1866" i="1"/>
  <c r="N1866" i="1"/>
  <c r="O1866" i="1" s="1"/>
  <c r="M1866" i="1"/>
  <c r="L1866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P1864" i="1"/>
  <c r="N1864" i="1"/>
  <c r="M1864" i="1"/>
  <c r="R1864" i="1" s="1"/>
  <c r="L1864" i="1"/>
  <c r="W1863" i="1"/>
  <c r="V1863" i="1"/>
  <c r="U1863" i="1"/>
  <c r="Q1863" i="1"/>
  <c r="O1863" i="1"/>
  <c r="N1863" i="1"/>
  <c r="S1863" i="1" s="1"/>
  <c r="M1863" i="1"/>
  <c r="L1863" i="1"/>
  <c r="T1863" i="1" s="1"/>
  <c r="R1862" i="1"/>
  <c r="O1862" i="1"/>
  <c r="N1862" i="1"/>
  <c r="S1862" i="1" s="1"/>
  <c r="M1862" i="1"/>
  <c r="P1862" i="1" s="1"/>
  <c r="L1862" i="1"/>
  <c r="U1861" i="1"/>
  <c r="Q1861" i="1"/>
  <c r="N1861" i="1"/>
  <c r="M1861" i="1"/>
  <c r="P1861" i="1" s="1"/>
  <c r="L1861" i="1"/>
  <c r="W1860" i="1"/>
  <c r="V1860" i="1"/>
  <c r="U1860" i="1"/>
  <c r="T1860" i="1"/>
  <c r="S1860" i="1"/>
  <c r="Q1860" i="1"/>
  <c r="P1860" i="1"/>
  <c r="O1860" i="1"/>
  <c r="N1860" i="1"/>
  <c r="M1860" i="1"/>
  <c r="R1860" i="1" s="1"/>
  <c r="L1860" i="1"/>
  <c r="W1859" i="1"/>
  <c r="V1859" i="1"/>
  <c r="U1859" i="1"/>
  <c r="T1859" i="1"/>
  <c r="S1859" i="1"/>
  <c r="R1859" i="1"/>
  <c r="Q1859" i="1"/>
  <c r="O1859" i="1"/>
  <c r="N1859" i="1"/>
  <c r="M1859" i="1"/>
  <c r="P1859" i="1" s="1"/>
  <c r="L1859" i="1"/>
  <c r="T1858" i="1"/>
  <c r="O1858" i="1"/>
  <c r="N1858" i="1"/>
  <c r="S1858" i="1" s="1"/>
  <c r="M1858" i="1"/>
  <c r="L1858" i="1"/>
  <c r="W1857" i="1"/>
  <c r="V1857" i="1"/>
  <c r="S1857" i="1"/>
  <c r="R1857" i="1"/>
  <c r="N1857" i="1"/>
  <c r="O1857" i="1" s="1"/>
  <c r="M1857" i="1"/>
  <c r="P1857" i="1" s="1"/>
  <c r="L1857" i="1"/>
  <c r="O1856" i="1"/>
  <c r="N1856" i="1"/>
  <c r="S1856" i="1" s="1"/>
  <c r="M1856" i="1"/>
  <c r="L1856" i="1"/>
  <c r="W1855" i="1"/>
  <c r="V1855" i="1"/>
  <c r="U1855" i="1"/>
  <c r="T1855" i="1"/>
  <c r="S1855" i="1"/>
  <c r="Q1855" i="1"/>
  <c r="O1855" i="1"/>
  <c r="N1855" i="1"/>
  <c r="M1855" i="1"/>
  <c r="L1855" i="1"/>
  <c r="S1854" i="1"/>
  <c r="R1854" i="1"/>
  <c r="P1854" i="1"/>
  <c r="O1854" i="1"/>
  <c r="N1854" i="1"/>
  <c r="M1854" i="1"/>
  <c r="L1854" i="1"/>
  <c r="W1853" i="1"/>
  <c r="N1853" i="1"/>
  <c r="M1853" i="1"/>
  <c r="L1853" i="1"/>
  <c r="V1853" i="1" s="1"/>
  <c r="W1852" i="1"/>
  <c r="U1852" i="1"/>
  <c r="T1852" i="1"/>
  <c r="S1852" i="1"/>
  <c r="R1852" i="1"/>
  <c r="N1852" i="1"/>
  <c r="O1852" i="1" s="1"/>
  <c r="M1852" i="1"/>
  <c r="P1852" i="1" s="1"/>
  <c r="L1852" i="1"/>
  <c r="V1852" i="1" s="1"/>
  <c r="O1851" i="1"/>
  <c r="N1851" i="1"/>
  <c r="S1851" i="1" s="1"/>
  <c r="M1851" i="1"/>
  <c r="R1851" i="1" s="1"/>
  <c r="L1851" i="1"/>
  <c r="W1850" i="1"/>
  <c r="V1850" i="1"/>
  <c r="U1850" i="1"/>
  <c r="T1850" i="1"/>
  <c r="S1850" i="1"/>
  <c r="Q1850" i="1"/>
  <c r="O1850" i="1"/>
  <c r="N1850" i="1"/>
  <c r="M1850" i="1"/>
  <c r="L1850" i="1"/>
  <c r="N1849" i="1"/>
  <c r="O1849" i="1" s="1"/>
  <c r="M1849" i="1"/>
  <c r="R1849" i="1" s="1"/>
  <c r="L1849" i="1"/>
  <c r="W1848" i="1"/>
  <c r="V1848" i="1"/>
  <c r="U1848" i="1"/>
  <c r="T1848" i="1"/>
  <c r="Q1848" i="1"/>
  <c r="O1848" i="1"/>
  <c r="N1848" i="1"/>
  <c r="S1848" i="1" s="1"/>
  <c r="M1848" i="1"/>
  <c r="L1848" i="1"/>
  <c r="O1847" i="1"/>
  <c r="N1847" i="1"/>
  <c r="S1847" i="1" s="1"/>
  <c r="M1847" i="1"/>
  <c r="L1847" i="1"/>
  <c r="U1846" i="1"/>
  <c r="S1846" i="1"/>
  <c r="R1846" i="1"/>
  <c r="Q1846" i="1"/>
  <c r="P1846" i="1"/>
  <c r="O1846" i="1"/>
  <c r="N1846" i="1"/>
  <c r="M1846" i="1"/>
  <c r="L1846" i="1"/>
  <c r="W1845" i="1"/>
  <c r="V1845" i="1"/>
  <c r="U1845" i="1"/>
  <c r="T1845" i="1"/>
  <c r="S1845" i="1"/>
  <c r="Q1845" i="1"/>
  <c r="P1845" i="1"/>
  <c r="O1845" i="1"/>
  <c r="N1845" i="1"/>
  <c r="M1845" i="1"/>
  <c r="R1845" i="1" s="1"/>
  <c r="L1845" i="1"/>
  <c r="W1844" i="1"/>
  <c r="V1844" i="1"/>
  <c r="U1844" i="1"/>
  <c r="T1844" i="1"/>
  <c r="S1844" i="1"/>
  <c r="N1844" i="1"/>
  <c r="O1844" i="1" s="1"/>
  <c r="M1844" i="1"/>
  <c r="L1844" i="1"/>
  <c r="Q1844" i="1" s="1"/>
  <c r="V1843" i="1"/>
  <c r="T1843" i="1"/>
  <c r="Q1843" i="1"/>
  <c r="N1843" i="1"/>
  <c r="M1843" i="1"/>
  <c r="L1843" i="1"/>
  <c r="W1842" i="1"/>
  <c r="V1842" i="1"/>
  <c r="U1842" i="1"/>
  <c r="T1842" i="1"/>
  <c r="N1842" i="1"/>
  <c r="M1842" i="1"/>
  <c r="R1842" i="1" s="1"/>
  <c r="L1842" i="1"/>
  <c r="Q1842" i="1" s="1"/>
  <c r="U1841" i="1"/>
  <c r="Q1841" i="1"/>
  <c r="O1841" i="1"/>
  <c r="N1841" i="1"/>
  <c r="S1841" i="1" s="1"/>
  <c r="M1841" i="1"/>
  <c r="L1841" i="1"/>
  <c r="W1840" i="1"/>
  <c r="V1840" i="1"/>
  <c r="U1840" i="1"/>
  <c r="T1840" i="1"/>
  <c r="S1840" i="1"/>
  <c r="Q1840" i="1"/>
  <c r="O1840" i="1"/>
  <c r="N1840" i="1"/>
  <c r="M1840" i="1"/>
  <c r="R1840" i="1" s="1"/>
  <c r="L1840" i="1"/>
  <c r="W1839" i="1"/>
  <c r="V1839" i="1"/>
  <c r="U1839" i="1"/>
  <c r="T1839" i="1"/>
  <c r="Q1839" i="1"/>
  <c r="N1839" i="1"/>
  <c r="O1839" i="1" s="1"/>
  <c r="M1839" i="1"/>
  <c r="L1839" i="1"/>
  <c r="Q1838" i="1"/>
  <c r="N1838" i="1"/>
  <c r="S1838" i="1" s="1"/>
  <c r="M1838" i="1"/>
  <c r="L1838" i="1"/>
  <c r="W1838" i="1" s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Q1836" i="1"/>
  <c r="N1836" i="1"/>
  <c r="M1836" i="1"/>
  <c r="R1836" i="1" s="1"/>
  <c r="L1836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N1834" i="1"/>
  <c r="M1834" i="1"/>
  <c r="R1834" i="1" s="1"/>
  <c r="L1834" i="1"/>
  <c r="W1833" i="1"/>
  <c r="V1833" i="1"/>
  <c r="U1833" i="1"/>
  <c r="T1833" i="1"/>
  <c r="Q1833" i="1"/>
  <c r="N1833" i="1"/>
  <c r="S1833" i="1" s="1"/>
  <c r="M1833" i="1"/>
  <c r="L1833" i="1"/>
  <c r="V1832" i="1"/>
  <c r="S1832" i="1"/>
  <c r="O1832" i="1"/>
  <c r="N1832" i="1"/>
  <c r="M1832" i="1"/>
  <c r="R1832" i="1" s="1"/>
  <c r="L1832" i="1"/>
  <c r="S1831" i="1"/>
  <c r="R1831" i="1"/>
  <c r="N1831" i="1"/>
  <c r="O1831" i="1" s="1"/>
  <c r="M1831" i="1"/>
  <c r="P1831" i="1" s="1"/>
  <c r="L1831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W1829" i="1"/>
  <c r="V1829" i="1"/>
  <c r="N1829" i="1"/>
  <c r="S1829" i="1" s="1"/>
  <c r="M1829" i="1"/>
  <c r="L1829" i="1"/>
  <c r="U1829" i="1" s="1"/>
  <c r="W1828" i="1"/>
  <c r="V1828" i="1"/>
  <c r="U1828" i="1"/>
  <c r="S1828" i="1"/>
  <c r="O1828" i="1"/>
  <c r="N1828" i="1"/>
  <c r="M1828" i="1"/>
  <c r="L1828" i="1"/>
  <c r="R1827" i="1"/>
  <c r="O1827" i="1"/>
  <c r="N1827" i="1"/>
  <c r="S1827" i="1" s="1"/>
  <c r="M1827" i="1"/>
  <c r="P1827" i="1" s="1"/>
  <c r="L1827" i="1"/>
  <c r="W1826" i="1"/>
  <c r="U1826" i="1"/>
  <c r="R1826" i="1"/>
  <c r="Q1826" i="1"/>
  <c r="P1826" i="1"/>
  <c r="N1826" i="1"/>
  <c r="S1826" i="1" s="1"/>
  <c r="M1826" i="1"/>
  <c r="L1826" i="1"/>
  <c r="W1825" i="1"/>
  <c r="V1825" i="1"/>
  <c r="U1825" i="1"/>
  <c r="T1825" i="1"/>
  <c r="S1825" i="1"/>
  <c r="Q1825" i="1"/>
  <c r="O1825" i="1"/>
  <c r="N1825" i="1"/>
  <c r="M1825" i="1"/>
  <c r="L1825" i="1"/>
  <c r="S1824" i="1"/>
  <c r="R1824" i="1"/>
  <c r="N1824" i="1"/>
  <c r="O1824" i="1" s="1"/>
  <c r="M1824" i="1"/>
  <c r="P1824" i="1" s="1"/>
  <c r="L1824" i="1"/>
  <c r="U1823" i="1"/>
  <c r="S1823" i="1"/>
  <c r="Q1823" i="1"/>
  <c r="N1823" i="1"/>
  <c r="O1823" i="1" s="1"/>
  <c r="M1823" i="1"/>
  <c r="L1823" i="1"/>
  <c r="W1822" i="1"/>
  <c r="V1822" i="1"/>
  <c r="U1822" i="1"/>
  <c r="T1822" i="1"/>
  <c r="N1822" i="1"/>
  <c r="M1822" i="1"/>
  <c r="R1822" i="1" s="1"/>
  <c r="L1822" i="1"/>
  <c r="Q1822" i="1" s="1"/>
  <c r="T1821" i="1"/>
  <c r="S1821" i="1"/>
  <c r="R1821" i="1"/>
  <c r="Q1821" i="1"/>
  <c r="P1821" i="1"/>
  <c r="O1821" i="1"/>
  <c r="N1821" i="1"/>
  <c r="M1821" i="1"/>
  <c r="L1821" i="1"/>
  <c r="V1821" i="1" s="1"/>
  <c r="R1820" i="1"/>
  <c r="O1820" i="1"/>
  <c r="N1820" i="1"/>
  <c r="S1820" i="1" s="1"/>
  <c r="M1820" i="1"/>
  <c r="P1820" i="1" s="1"/>
  <c r="L1820" i="1"/>
  <c r="W1819" i="1"/>
  <c r="V1819" i="1"/>
  <c r="U1819" i="1"/>
  <c r="T1819" i="1"/>
  <c r="S1819" i="1"/>
  <c r="R1819" i="1"/>
  <c r="Q1819" i="1"/>
  <c r="P1819" i="1"/>
  <c r="N1819" i="1"/>
  <c r="O1819" i="1" s="1"/>
  <c r="M1819" i="1"/>
  <c r="L1819" i="1"/>
  <c r="S1818" i="1"/>
  <c r="O1818" i="1"/>
  <c r="N1818" i="1"/>
  <c r="M1818" i="1"/>
  <c r="L1818" i="1"/>
  <c r="W1817" i="1"/>
  <c r="V1817" i="1"/>
  <c r="U1817" i="1"/>
  <c r="T1817" i="1"/>
  <c r="N1817" i="1"/>
  <c r="M1817" i="1"/>
  <c r="R1817" i="1" s="1"/>
  <c r="L1817" i="1"/>
  <c r="Q1817" i="1" s="1"/>
  <c r="W1816" i="1"/>
  <c r="U1816" i="1"/>
  <c r="T1816" i="1"/>
  <c r="S1816" i="1"/>
  <c r="O1816" i="1"/>
  <c r="N1816" i="1"/>
  <c r="M1816" i="1"/>
  <c r="L1816" i="1"/>
  <c r="V1816" i="1" s="1"/>
  <c r="R1815" i="1"/>
  <c r="O1815" i="1"/>
  <c r="N1815" i="1"/>
  <c r="S1815" i="1" s="1"/>
  <c r="M1815" i="1"/>
  <c r="P1815" i="1" s="1"/>
  <c r="L1815" i="1"/>
  <c r="W1814" i="1"/>
  <c r="V1814" i="1"/>
  <c r="U1814" i="1"/>
  <c r="T1814" i="1"/>
  <c r="S1814" i="1"/>
  <c r="R1814" i="1"/>
  <c r="Q1814" i="1"/>
  <c r="P1814" i="1"/>
  <c r="N1814" i="1"/>
  <c r="O1814" i="1" s="1"/>
  <c r="M1814" i="1"/>
  <c r="L1814" i="1"/>
  <c r="V1813" i="1"/>
  <c r="Q1813" i="1"/>
  <c r="P1813" i="1"/>
  <c r="O1813" i="1"/>
  <c r="N1813" i="1"/>
  <c r="S1813" i="1" s="1"/>
  <c r="M1813" i="1"/>
  <c r="R1813" i="1" s="1"/>
  <c r="L1813" i="1"/>
  <c r="W1812" i="1"/>
  <c r="V1812" i="1"/>
  <c r="U1812" i="1"/>
  <c r="T1812" i="1"/>
  <c r="N1812" i="1"/>
  <c r="M1812" i="1"/>
  <c r="R1812" i="1" s="1"/>
  <c r="L1812" i="1"/>
  <c r="Q1812" i="1" s="1"/>
  <c r="S1811" i="1"/>
  <c r="R1811" i="1"/>
  <c r="N1811" i="1"/>
  <c r="O1811" i="1" s="1"/>
  <c r="M1811" i="1"/>
  <c r="P1811" i="1" s="1"/>
  <c r="L1811" i="1"/>
  <c r="R1810" i="1"/>
  <c r="O1810" i="1"/>
  <c r="N1810" i="1"/>
  <c r="S1810" i="1" s="1"/>
  <c r="M1810" i="1"/>
  <c r="P1810" i="1" s="1"/>
  <c r="L1810" i="1"/>
  <c r="W1809" i="1"/>
  <c r="V1809" i="1"/>
  <c r="U1809" i="1"/>
  <c r="T1809" i="1"/>
  <c r="S1809" i="1"/>
  <c r="R1809" i="1"/>
  <c r="Q1809" i="1"/>
  <c r="P1809" i="1"/>
  <c r="N1809" i="1"/>
  <c r="O1809" i="1" s="1"/>
  <c r="M1809" i="1"/>
  <c r="L1809" i="1"/>
  <c r="S1808" i="1"/>
  <c r="P1808" i="1"/>
  <c r="O1808" i="1"/>
  <c r="N1808" i="1"/>
  <c r="M1808" i="1"/>
  <c r="R1808" i="1" s="1"/>
  <c r="L1808" i="1"/>
  <c r="V1808" i="1" s="1"/>
  <c r="W1807" i="1"/>
  <c r="V1807" i="1"/>
  <c r="U1807" i="1"/>
  <c r="T1807" i="1"/>
  <c r="N1807" i="1"/>
  <c r="M1807" i="1"/>
  <c r="R1807" i="1" s="1"/>
  <c r="L1807" i="1"/>
  <c r="Q1807" i="1" s="1"/>
  <c r="W1806" i="1"/>
  <c r="U1806" i="1"/>
  <c r="T1806" i="1"/>
  <c r="Q1806" i="1"/>
  <c r="N1806" i="1"/>
  <c r="M1806" i="1"/>
  <c r="L1806" i="1"/>
  <c r="V1806" i="1" s="1"/>
  <c r="O1805" i="1"/>
  <c r="N1805" i="1"/>
  <c r="S1805" i="1" s="1"/>
  <c r="M1805" i="1"/>
  <c r="P1805" i="1" s="1"/>
  <c r="L1805" i="1"/>
  <c r="W1804" i="1"/>
  <c r="V1804" i="1"/>
  <c r="U1804" i="1"/>
  <c r="T1804" i="1"/>
  <c r="S1804" i="1"/>
  <c r="R1804" i="1"/>
  <c r="Q1804" i="1"/>
  <c r="P1804" i="1"/>
  <c r="N1804" i="1"/>
  <c r="O1804" i="1" s="1"/>
  <c r="M1804" i="1"/>
  <c r="L1804" i="1"/>
  <c r="V1803" i="1"/>
  <c r="S1803" i="1"/>
  <c r="Q1803" i="1"/>
  <c r="N1803" i="1"/>
  <c r="O1803" i="1" s="1"/>
  <c r="M1803" i="1"/>
  <c r="R1803" i="1" s="1"/>
  <c r="L1803" i="1"/>
  <c r="W1802" i="1"/>
  <c r="V1802" i="1"/>
  <c r="U1802" i="1"/>
  <c r="T1802" i="1"/>
  <c r="N1802" i="1"/>
  <c r="M1802" i="1"/>
  <c r="R1802" i="1" s="1"/>
  <c r="L1802" i="1"/>
  <c r="Q1802" i="1" s="1"/>
  <c r="U1801" i="1"/>
  <c r="S1801" i="1"/>
  <c r="R1801" i="1"/>
  <c r="P1801" i="1"/>
  <c r="O1801" i="1"/>
  <c r="N1801" i="1"/>
  <c r="M1801" i="1"/>
  <c r="L1801" i="1"/>
  <c r="V1801" i="1" s="1"/>
  <c r="O1800" i="1"/>
  <c r="N1800" i="1"/>
  <c r="S1800" i="1" s="1"/>
  <c r="M1800" i="1"/>
  <c r="P1800" i="1" s="1"/>
  <c r="L1800" i="1"/>
  <c r="W1799" i="1"/>
  <c r="V1799" i="1"/>
  <c r="U1799" i="1"/>
  <c r="T1799" i="1"/>
  <c r="S1799" i="1"/>
  <c r="R1799" i="1"/>
  <c r="Q1799" i="1"/>
  <c r="P1799" i="1"/>
  <c r="N1799" i="1"/>
  <c r="O1799" i="1" s="1"/>
  <c r="M1799" i="1"/>
  <c r="L1799" i="1"/>
  <c r="V1798" i="1"/>
  <c r="P1798" i="1"/>
  <c r="O1798" i="1"/>
  <c r="N1798" i="1"/>
  <c r="S1798" i="1" s="1"/>
  <c r="M1798" i="1"/>
  <c r="R1798" i="1" s="1"/>
  <c r="L1798" i="1"/>
  <c r="W1797" i="1"/>
  <c r="V1797" i="1"/>
  <c r="U1797" i="1"/>
  <c r="T1797" i="1"/>
  <c r="N1797" i="1"/>
  <c r="M1797" i="1"/>
  <c r="R1797" i="1" s="1"/>
  <c r="L1797" i="1"/>
  <c r="Q1797" i="1" s="1"/>
  <c r="W1796" i="1"/>
  <c r="U1796" i="1"/>
  <c r="T1796" i="1"/>
  <c r="R1796" i="1"/>
  <c r="Q1796" i="1"/>
  <c r="N1796" i="1"/>
  <c r="O1796" i="1" s="1"/>
  <c r="M1796" i="1"/>
  <c r="P1796" i="1" s="1"/>
  <c r="L1796" i="1"/>
  <c r="V1796" i="1" s="1"/>
  <c r="O1795" i="1"/>
  <c r="N1795" i="1"/>
  <c r="S1795" i="1" s="1"/>
  <c r="M1795" i="1"/>
  <c r="P1795" i="1" s="1"/>
  <c r="L1795" i="1"/>
  <c r="W1794" i="1"/>
  <c r="V1794" i="1"/>
  <c r="U1794" i="1"/>
  <c r="T1794" i="1"/>
  <c r="S1794" i="1"/>
  <c r="R1794" i="1"/>
  <c r="Q1794" i="1"/>
  <c r="P1794" i="1"/>
  <c r="N1794" i="1"/>
  <c r="O1794" i="1" s="1"/>
  <c r="M1794" i="1"/>
  <c r="L1794" i="1"/>
  <c r="S1793" i="1"/>
  <c r="N1793" i="1"/>
  <c r="O1793" i="1" s="1"/>
  <c r="M1793" i="1"/>
  <c r="L1793" i="1"/>
  <c r="W1792" i="1"/>
  <c r="V1792" i="1"/>
  <c r="U1792" i="1"/>
  <c r="T1792" i="1"/>
  <c r="N1792" i="1"/>
  <c r="M1792" i="1"/>
  <c r="R1792" i="1" s="1"/>
  <c r="L1792" i="1"/>
  <c r="Q1792" i="1" s="1"/>
  <c r="W1791" i="1"/>
  <c r="U1791" i="1"/>
  <c r="T1791" i="1"/>
  <c r="S1791" i="1"/>
  <c r="P1791" i="1"/>
  <c r="O1791" i="1"/>
  <c r="N1791" i="1"/>
  <c r="M1791" i="1"/>
  <c r="R1791" i="1" s="1"/>
  <c r="L1791" i="1"/>
  <c r="V1791" i="1" s="1"/>
  <c r="O1790" i="1"/>
  <c r="N1790" i="1"/>
  <c r="S1790" i="1" s="1"/>
  <c r="M1790" i="1"/>
  <c r="P1790" i="1" s="1"/>
  <c r="L1790" i="1"/>
  <c r="W1789" i="1"/>
  <c r="V1789" i="1"/>
  <c r="U1789" i="1"/>
  <c r="T1789" i="1"/>
  <c r="S1789" i="1"/>
  <c r="R1789" i="1"/>
  <c r="Q1789" i="1"/>
  <c r="P1789" i="1"/>
  <c r="N1789" i="1"/>
  <c r="O1789" i="1" s="1"/>
  <c r="M1789" i="1"/>
  <c r="L1789" i="1"/>
  <c r="O1788" i="1"/>
  <c r="N1788" i="1"/>
  <c r="S1788" i="1" s="1"/>
  <c r="M1788" i="1"/>
  <c r="L1788" i="1"/>
  <c r="W1787" i="1"/>
  <c r="V1787" i="1"/>
  <c r="U1787" i="1"/>
  <c r="T1787" i="1"/>
  <c r="N1787" i="1"/>
  <c r="M1787" i="1"/>
  <c r="R1787" i="1" s="1"/>
  <c r="L1787" i="1"/>
  <c r="Q1787" i="1" s="1"/>
  <c r="W1786" i="1"/>
  <c r="U1786" i="1"/>
  <c r="N1786" i="1"/>
  <c r="S1786" i="1" s="1"/>
  <c r="M1786" i="1"/>
  <c r="L1786" i="1"/>
  <c r="V1786" i="1" s="1"/>
  <c r="R1785" i="1"/>
  <c r="O1785" i="1"/>
  <c r="N1785" i="1"/>
  <c r="S1785" i="1" s="1"/>
  <c r="M1785" i="1"/>
  <c r="P1785" i="1" s="1"/>
  <c r="L1785" i="1"/>
  <c r="W1784" i="1"/>
  <c r="V1784" i="1"/>
  <c r="U1784" i="1"/>
  <c r="T1784" i="1"/>
  <c r="S1784" i="1"/>
  <c r="R1784" i="1"/>
  <c r="Q1784" i="1"/>
  <c r="P1784" i="1"/>
  <c r="N1784" i="1"/>
  <c r="O1784" i="1" s="1"/>
  <c r="M1784" i="1"/>
  <c r="L1784" i="1"/>
  <c r="Q1783" i="1"/>
  <c r="N1783" i="1"/>
  <c r="M1783" i="1"/>
  <c r="L1783" i="1"/>
  <c r="W1782" i="1"/>
  <c r="V1782" i="1"/>
  <c r="U1782" i="1"/>
  <c r="T1782" i="1"/>
  <c r="N1782" i="1"/>
  <c r="M1782" i="1"/>
  <c r="R1782" i="1" s="1"/>
  <c r="L1782" i="1"/>
  <c r="Q1782" i="1" s="1"/>
  <c r="O1781" i="1"/>
  <c r="N1781" i="1"/>
  <c r="S1781" i="1" s="1"/>
  <c r="M1781" i="1"/>
  <c r="L1781" i="1"/>
  <c r="R1780" i="1"/>
  <c r="O1780" i="1"/>
  <c r="N1780" i="1"/>
  <c r="S1780" i="1" s="1"/>
  <c r="M1780" i="1"/>
  <c r="P1780" i="1" s="1"/>
  <c r="L1780" i="1"/>
  <c r="W1779" i="1"/>
  <c r="V1779" i="1"/>
  <c r="U1779" i="1"/>
  <c r="T1779" i="1"/>
  <c r="S1779" i="1"/>
  <c r="R1779" i="1"/>
  <c r="Q1779" i="1"/>
  <c r="P1779" i="1"/>
  <c r="N1779" i="1"/>
  <c r="O1779" i="1" s="1"/>
  <c r="M1779" i="1"/>
  <c r="L1779" i="1"/>
  <c r="V1778" i="1"/>
  <c r="S1778" i="1"/>
  <c r="Q1778" i="1"/>
  <c r="P1778" i="1"/>
  <c r="O1778" i="1"/>
  <c r="N1778" i="1"/>
  <c r="M1778" i="1"/>
  <c r="R1778" i="1" s="1"/>
  <c r="L1778" i="1"/>
  <c r="W1777" i="1"/>
  <c r="V1777" i="1"/>
  <c r="U1777" i="1"/>
  <c r="T1777" i="1"/>
  <c r="N1777" i="1"/>
  <c r="M1777" i="1"/>
  <c r="R1777" i="1" s="1"/>
  <c r="L1777" i="1"/>
  <c r="Q1777" i="1" s="1"/>
  <c r="W1776" i="1"/>
  <c r="Q1776" i="1"/>
  <c r="N1776" i="1"/>
  <c r="S1776" i="1" s="1"/>
  <c r="M1776" i="1"/>
  <c r="L1776" i="1"/>
  <c r="V1776" i="1" s="1"/>
  <c r="R1775" i="1"/>
  <c r="O1775" i="1"/>
  <c r="N1775" i="1"/>
  <c r="S1775" i="1" s="1"/>
  <c r="M1775" i="1"/>
  <c r="P1775" i="1" s="1"/>
  <c r="L1775" i="1"/>
  <c r="W1774" i="1"/>
  <c r="V1774" i="1"/>
  <c r="U1774" i="1"/>
  <c r="T1774" i="1"/>
  <c r="S1774" i="1"/>
  <c r="R1774" i="1"/>
  <c r="Q1774" i="1"/>
  <c r="P1774" i="1"/>
  <c r="N1774" i="1"/>
  <c r="O1774" i="1" s="1"/>
  <c r="M1774" i="1"/>
  <c r="L1774" i="1"/>
  <c r="S1773" i="1"/>
  <c r="O1773" i="1"/>
  <c r="N1773" i="1"/>
  <c r="M1773" i="1"/>
  <c r="L1773" i="1"/>
  <c r="U1772" i="1"/>
  <c r="N1772" i="1"/>
  <c r="M1772" i="1"/>
  <c r="L1772" i="1"/>
  <c r="Q1772" i="1" s="1"/>
  <c r="W1771" i="1"/>
  <c r="U1771" i="1"/>
  <c r="T1771" i="1"/>
  <c r="S1771" i="1"/>
  <c r="N1771" i="1"/>
  <c r="O1771" i="1" s="1"/>
  <c r="M1771" i="1"/>
  <c r="R1771" i="1" s="1"/>
  <c r="L1771" i="1"/>
  <c r="V1771" i="1" s="1"/>
  <c r="R1770" i="1"/>
  <c r="Q1770" i="1"/>
  <c r="O1770" i="1"/>
  <c r="N1770" i="1"/>
  <c r="S1770" i="1" s="1"/>
  <c r="M1770" i="1"/>
  <c r="P1770" i="1" s="1"/>
  <c r="L1770" i="1"/>
  <c r="W1769" i="1"/>
  <c r="V1769" i="1"/>
  <c r="U1769" i="1"/>
  <c r="T1769" i="1"/>
  <c r="S1769" i="1"/>
  <c r="R1769" i="1"/>
  <c r="Q1769" i="1"/>
  <c r="P1769" i="1"/>
  <c r="N1769" i="1"/>
  <c r="O1769" i="1" s="1"/>
  <c r="M1769" i="1"/>
  <c r="L1769" i="1"/>
  <c r="V1768" i="1"/>
  <c r="U1768" i="1"/>
  <c r="T1768" i="1"/>
  <c r="S1768" i="1"/>
  <c r="O1768" i="1"/>
  <c r="N1768" i="1"/>
  <c r="M1768" i="1"/>
  <c r="R1768" i="1" s="1"/>
  <c r="L1768" i="1"/>
  <c r="W1768" i="1" s="1"/>
  <c r="V1767" i="1"/>
  <c r="U1767" i="1"/>
  <c r="T1767" i="1"/>
  <c r="N1767" i="1"/>
  <c r="M1767" i="1"/>
  <c r="L1767" i="1"/>
  <c r="Q1767" i="1" s="1"/>
  <c r="W1766" i="1"/>
  <c r="U1766" i="1"/>
  <c r="T1766" i="1"/>
  <c r="S1766" i="1"/>
  <c r="Q1766" i="1"/>
  <c r="P1766" i="1"/>
  <c r="O1766" i="1"/>
  <c r="N1766" i="1"/>
  <c r="M1766" i="1"/>
  <c r="R1766" i="1" s="1"/>
  <c r="L1766" i="1"/>
  <c r="V1766" i="1" s="1"/>
  <c r="O1765" i="1"/>
  <c r="N1765" i="1"/>
  <c r="S1765" i="1" s="1"/>
  <c r="M1765" i="1"/>
  <c r="L1765" i="1"/>
  <c r="W1764" i="1"/>
  <c r="V1764" i="1"/>
  <c r="U1764" i="1"/>
  <c r="T1764" i="1"/>
  <c r="S1764" i="1"/>
  <c r="R1764" i="1"/>
  <c r="Q1764" i="1"/>
  <c r="P1764" i="1"/>
  <c r="N1764" i="1"/>
  <c r="O1764" i="1" s="1"/>
  <c r="M1764" i="1"/>
  <c r="L1764" i="1"/>
  <c r="V1763" i="1"/>
  <c r="Q1763" i="1"/>
  <c r="O1763" i="1"/>
  <c r="N1763" i="1"/>
  <c r="S1763" i="1" s="1"/>
  <c r="M1763" i="1"/>
  <c r="L1763" i="1"/>
  <c r="W1763" i="1" s="1"/>
  <c r="W1762" i="1"/>
  <c r="N1762" i="1"/>
  <c r="M1762" i="1"/>
  <c r="L1762" i="1"/>
  <c r="P1761" i="1"/>
  <c r="N1761" i="1"/>
  <c r="M1761" i="1"/>
  <c r="R1761" i="1" s="1"/>
  <c r="L1761" i="1"/>
  <c r="N1760" i="1"/>
  <c r="M1760" i="1"/>
  <c r="R1760" i="1" s="1"/>
  <c r="L1760" i="1"/>
  <c r="W1759" i="1"/>
  <c r="V1759" i="1"/>
  <c r="U1759" i="1"/>
  <c r="T1759" i="1"/>
  <c r="S1759" i="1"/>
  <c r="R1759" i="1"/>
  <c r="Q1759" i="1"/>
  <c r="P1759" i="1"/>
  <c r="N1759" i="1"/>
  <c r="O1759" i="1" s="1"/>
  <c r="M1759" i="1"/>
  <c r="L1759" i="1"/>
  <c r="V1758" i="1"/>
  <c r="U1758" i="1"/>
  <c r="T1758" i="1"/>
  <c r="Q1758" i="1"/>
  <c r="N1758" i="1"/>
  <c r="O1758" i="1" s="1"/>
  <c r="M1758" i="1"/>
  <c r="L1758" i="1"/>
  <c r="W1758" i="1" s="1"/>
  <c r="N1757" i="1"/>
  <c r="M1757" i="1"/>
  <c r="L1757" i="1"/>
  <c r="V1756" i="1"/>
  <c r="O1756" i="1"/>
  <c r="N1756" i="1"/>
  <c r="S1756" i="1" s="1"/>
  <c r="M1756" i="1"/>
  <c r="P1756" i="1" s="1"/>
  <c r="L1756" i="1"/>
  <c r="P1755" i="1"/>
  <c r="O1755" i="1"/>
  <c r="N1755" i="1"/>
  <c r="S1755" i="1" s="1"/>
  <c r="M1755" i="1"/>
  <c r="R1755" i="1" s="1"/>
  <c r="L1755" i="1"/>
  <c r="W1754" i="1"/>
  <c r="V1754" i="1"/>
  <c r="U1754" i="1"/>
  <c r="T1754" i="1"/>
  <c r="S1754" i="1"/>
  <c r="R1754" i="1"/>
  <c r="Q1754" i="1"/>
  <c r="P1754" i="1"/>
  <c r="N1754" i="1"/>
  <c r="O1754" i="1" s="1"/>
  <c r="M1754" i="1"/>
  <c r="L1754" i="1"/>
  <c r="V1753" i="1"/>
  <c r="U1753" i="1"/>
  <c r="N1753" i="1"/>
  <c r="S1753" i="1" s="1"/>
  <c r="M1753" i="1"/>
  <c r="L1753" i="1"/>
  <c r="W1753" i="1" s="1"/>
  <c r="P1752" i="1"/>
  <c r="N1752" i="1"/>
  <c r="M1752" i="1"/>
  <c r="R1752" i="1" s="1"/>
  <c r="L1752" i="1"/>
  <c r="V1751" i="1"/>
  <c r="U1751" i="1"/>
  <c r="N1751" i="1"/>
  <c r="S1751" i="1" s="1"/>
  <c r="M1751" i="1"/>
  <c r="L1751" i="1"/>
  <c r="T1751" i="1" s="1"/>
  <c r="Q1750" i="1"/>
  <c r="N1750" i="1"/>
  <c r="M1750" i="1"/>
  <c r="R1750" i="1" s="1"/>
  <c r="L1750" i="1"/>
  <c r="W1750" i="1" s="1"/>
  <c r="W1749" i="1"/>
  <c r="N1749" i="1"/>
  <c r="M1749" i="1"/>
  <c r="R1749" i="1" s="1"/>
  <c r="L1749" i="1"/>
  <c r="V1748" i="1"/>
  <c r="U1748" i="1"/>
  <c r="T1748" i="1"/>
  <c r="Q1748" i="1"/>
  <c r="N1748" i="1"/>
  <c r="O1748" i="1" s="1"/>
  <c r="M1748" i="1"/>
  <c r="L1748" i="1"/>
  <c r="W1748" i="1" s="1"/>
  <c r="N1747" i="1"/>
  <c r="M1747" i="1"/>
  <c r="R1747" i="1" s="1"/>
  <c r="L1747" i="1"/>
  <c r="W1746" i="1"/>
  <c r="U1746" i="1"/>
  <c r="S1746" i="1"/>
  <c r="R1746" i="1"/>
  <c r="P1746" i="1"/>
  <c r="O1746" i="1"/>
  <c r="N1746" i="1"/>
  <c r="M1746" i="1"/>
  <c r="L1746" i="1"/>
  <c r="V1746" i="1" s="1"/>
  <c r="Q1745" i="1"/>
  <c r="N1745" i="1"/>
  <c r="S1745" i="1" s="1"/>
  <c r="M1745" i="1"/>
  <c r="L1745" i="1"/>
  <c r="W1745" i="1" s="1"/>
  <c r="W1744" i="1"/>
  <c r="V1744" i="1"/>
  <c r="U1744" i="1"/>
  <c r="T1744" i="1"/>
  <c r="S1744" i="1"/>
  <c r="R1744" i="1"/>
  <c r="Q1744" i="1"/>
  <c r="N1744" i="1"/>
  <c r="O1744" i="1" s="1"/>
  <c r="M1744" i="1"/>
  <c r="P1744" i="1" s="1"/>
  <c r="L1744" i="1"/>
  <c r="S1743" i="1"/>
  <c r="Q1743" i="1"/>
  <c r="O1743" i="1"/>
  <c r="N1743" i="1"/>
  <c r="M1743" i="1"/>
  <c r="R1743" i="1" s="1"/>
  <c r="L1743" i="1"/>
  <c r="W1743" i="1" s="1"/>
  <c r="W1742" i="1"/>
  <c r="V1742" i="1"/>
  <c r="U1742" i="1"/>
  <c r="T1742" i="1"/>
  <c r="R1742" i="1"/>
  <c r="O1742" i="1"/>
  <c r="N1742" i="1"/>
  <c r="S1742" i="1" s="1"/>
  <c r="M1742" i="1"/>
  <c r="P1742" i="1" s="1"/>
  <c r="L1742" i="1"/>
  <c r="Q1742" i="1" s="1"/>
  <c r="V1741" i="1"/>
  <c r="U1741" i="1"/>
  <c r="T1741" i="1"/>
  <c r="S1741" i="1"/>
  <c r="R1741" i="1"/>
  <c r="P1741" i="1"/>
  <c r="N1741" i="1"/>
  <c r="O1741" i="1" s="1"/>
  <c r="M1741" i="1"/>
  <c r="L1741" i="1"/>
  <c r="W1741" i="1" s="1"/>
  <c r="N1740" i="1"/>
  <c r="M1740" i="1"/>
  <c r="R1740" i="1" s="1"/>
  <c r="L1740" i="1"/>
  <c r="W1739" i="1"/>
  <c r="V1739" i="1"/>
  <c r="U1739" i="1"/>
  <c r="T1739" i="1"/>
  <c r="R1739" i="1"/>
  <c r="Q1739" i="1"/>
  <c r="P1739" i="1"/>
  <c r="N1739" i="1"/>
  <c r="S1739" i="1" s="1"/>
  <c r="M1739" i="1"/>
  <c r="L1739" i="1"/>
  <c r="R1738" i="1"/>
  <c r="P1738" i="1"/>
  <c r="O1738" i="1"/>
  <c r="N1738" i="1"/>
  <c r="S1738" i="1" s="1"/>
  <c r="M1738" i="1"/>
  <c r="L1738" i="1"/>
  <c r="W1737" i="1"/>
  <c r="V1737" i="1"/>
  <c r="U1737" i="1"/>
  <c r="T1737" i="1"/>
  <c r="S1737" i="1"/>
  <c r="R1737" i="1"/>
  <c r="O1737" i="1"/>
  <c r="N1737" i="1"/>
  <c r="M1737" i="1"/>
  <c r="P1737" i="1" s="1"/>
  <c r="L1737" i="1"/>
  <c r="Q1737" i="1" s="1"/>
  <c r="V1736" i="1"/>
  <c r="U1736" i="1"/>
  <c r="T1736" i="1"/>
  <c r="S1736" i="1"/>
  <c r="R1736" i="1"/>
  <c r="N1736" i="1"/>
  <c r="O1736" i="1" s="1"/>
  <c r="M1736" i="1"/>
  <c r="P1736" i="1" s="1"/>
  <c r="L1736" i="1"/>
  <c r="W1736" i="1" s="1"/>
  <c r="W1735" i="1"/>
  <c r="N1735" i="1"/>
  <c r="M1735" i="1"/>
  <c r="R1735" i="1" s="1"/>
  <c r="L1735" i="1"/>
  <c r="W1734" i="1"/>
  <c r="V1734" i="1"/>
  <c r="U1734" i="1"/>
  <c r="T1734" i="1"/>
  <c r="R1734" i="1"/>
  <c r="Q1734" i="1"/>
  <c r="P1734" i="1"/>
  <c r="N1734" i="1"/>
  <c r="S1734" i="1" s="1"/>
  <c r="M1734" i="1"/>
  <c r="L1734" i="1"/>
  <c r="R1733" i="1"/>
  <c r="P1733" i="1"/>
  <c r="N1733" i="1"/>
  <c r="M1733" i="1"/>
  <c r="L1733" i="1"/>
  <c r="W1732" i="1"/>
  <c r="V1732" i="1"/>
  <c r="U1732" i="1"/>
  <c r="T1732" i="1"/>
  <c r="S1732" i="1"/>
  <c r="R1732" i="1"/>
  <c r="O1732" i="1"/>
  <c r="N1732" i="1"/>
  <c r="M1732" i="1"/>
  <c r="P1732" i="1" s="1"/>
  <c r="L1732" i="1"/>
  <c r="Q1732" i="1" s="1"/>
  <c r="V1731" i="1"/>
  <c r="U1731" i="1"/>
  <c r="T1731" i="1"/>
  <c r="S1731" i="1"/>
  <c r="N1731" i="1"/>
  <c r="O1731" i="1" s="1"/>
  <c r="M1731" i="1"/>
  <c r="L1731" i="1"/>
  <c r="W1731" i="1" s="1"/>
  <c r="W1730" i="1"/>
  <c r="V1730" i="1"/>
  <c r="N1730" i="1"/>
  <c r="M1730" i="1"/>
  <c r="L1730" i="1"/>
  <c r="W1729" i="1"/>
  <c r="V1729" i="1"/>
  <c r="U1729" i="1"/>
  <c r="T1729" i="1"/>
  <c r="R1729" i="1"/>
  <c r="Q1729" i="1"/>
  <c r="P1729" i="1"/>
  <c r="O1729" i="1"/>
  <c r="N1729" i="1"/>
  <c r="S1729" i="1" s="1"/>
  <c r="M1729" i="1"/>
  <c r="L1729" i="1"/>
  <c r="R1728" i="1"/>
  <c r="P1728" i="1"/>
  <c r="O1728" i="1"/>
  <c r="N1728" i="1"/>
  <c r="S1728" i="1" s="1"/>
  <c r="M1728" i="1"/>
  <c r="L1728" i="1"/>
  <c r="W1727" i="1"/>
  <c r="V1727" i="1"/>
  <c r="U1727" i="1"/>
  <c r="T1727" i="1"/>
  <c r="S1727" i="1"/>
  <c r="R1727" i="1"/>
  <c r="O1727" i="1"/>
  <c r="N1727" i="1"/>
  <c r="M1727" i="1"/>
  <c r="P1727" i="1" s="1"/>
  <c r="L1727" i="1"/>
  <c r="Q1727" i="1" s="1"/>
  <c r="V1726" i="1"/>
  <c r="U1726" i="1"/>
  <c r="T1726" i="1"/>
  <c r="S1726" i="1"/>
  <c r="P1726" i="1"/>
  <c r="N1726" i="1"/>
  <c r="O1726" i="1" s="1"/>
  <c r="M1726" i="1"/>
  <c r="R1726" i="1" s="1"/>
  <c r="L1726" i="1"/>
  <c r="W1726" i="1" s="1"/>
  <c r="W1725" i="1"/>
  <c r="V1725" i="1"/>
  <c r="N1725" i="1"/>
  <c r="M1725" i="1"/>
  <c r="L1725" i="1"/>
  <c r="W1724" i="1"/>
  <c r="V1724" i="1"/>
  <c r="U1724" i="1"/>
  <c r="T1724" i="1"/>
  <c r="R1724" i="1"/>
  <c r="Q1724" i="1"/>
  <c r="P1724" i="1"/>
  <c r="N1724" i="1"/>
  <c r="S1724" i="1" s="1"/>
  <c r="M1724" i="1"/>
  <c r="L1724" i="1"/>
  <c r="R1723" i="1"/>
  <c r="Q1723" i="1"/>
  <c r="P1723" i="1"/>
  <c r="O1723" i="1"/>
  <c r="N1723" i="1"/>
  <c r="S1723" i="1" s="1"/>
  <c r="M1723" i="1"/>
  <c r="L1723" i="1"/>
  <c r="W1722" i="1"/>
  <c r="V1722" i="1"/>
  <c r="U1722" i="1"/>
  <c r="T1722" i="1"/>
  <c r="S1722" i="1"/>
  <c r="R1722" i="1"/>
  <c r="O1722" i="1"/>
  <c r="N1722" i="1"/>
  <c r="M1722" i="1"/>
  <c r="P1722" i="1" s="1"/>
  <c r="L1722" i="1"/>
  <c r="Q1722" i="1" s="1"/>
  <c r="V1721" i="1"/>
  <c r="U1721" i="1"/>
  <c r="T1721" i="1"/>
  <c r="S1721" i="1"/>
  <c r="R1721" i="1"/>
  <c r="N1721" i="1"/>
  <c r="O1721" i="1" s="1"/>
  <c r="M1721" i="1"/>
  <c r="P1721" i="1" s="1"/>
  <c r="L1721" i="1"/>
  <c r="W1721" i="1" s="1"/>
  <c r="N1720" i="1"/>
  <c r="M1720" i="1"/>
  <c r="L1720" i="1"/>
  <c r="W1719" i="1"/>
  <c r="V1719" i="1"/>
  <c r="U1719" i="1"/>
  <c r="T1719" i="1"/>
  <c r="R1719" i="1"/>
  <c r="Q1719" i="1"/>
  <c r="P1719" i="1"/>
  <c r="O1719" i="1"/>
  <c r="N1719" i="1"/>
  <c r="S1719" i="1" s="1"/>
  <c r="M1719" i="1"/>
  <c r="L1719" i="1"/>
  <c r="R1718" i="1"/>
  <c r="Q1718" i="1"/>
  <c r="P1718" i="1"/>
  <c r="O1718" i="1"/>
  <c r="N1718" i="1"/>
  <c r="S1718" i="1" s="1"/>
  <c r="M1718" i="1"/>
  <c r="L1718" i="1"/>
  <c r="W1717" i="1"/>
  <c r="V1717" i="1"/>
  <c r="U1717" i="1"/>
  <c r="T1717" i="1"/>
  <c r="S1717" i="1"/>
  <c r="R1717" i="1"/>
  <c r="O1717" i="1"/>
  <c r="N1717" i="1"/>
  <c r="M1717" i="1"/>
  <c r="P1717" i="1" s="1"/>
  <c r="L1717" i="1"/>
  <c r="Q1717" i="1" s="1"/>
  <c r="V1716" i="1"/>
  <c r="U1716" i="1"/>
  <c r="T1716" i="1"/>
  <c r="S1716" i="1"/>
  <c r="R1716" i="1"/>
  <c r="P1716" i="1"/>
  <c r="N1716" i="1"/>
  <c r="O1716" i="1" s="1"/>
  <c r="M1716" i="1"/>
  <c r="L1716" i="1"/>
  <c r="W1716" i="1" s="1"/>
  <c r="V1715" i="1"/>
  <c r="N1715" i="1"/>
  <c r="M1715" i="1"/>
  <c r="L1715" i="1"/>
  <c r="W1714" i="1"/>
  <c r="V1714" i="1"/>
  <c r="U1714" i="1"/>
  <c r="T1714" i="1"/>
  <c r="R1714" i="1"/>
  <c r="Q1714" i="1"/>
  <c r="P1714" i="1"/>
  <c r="O1714" i="1"/>
  <c r="N1714" i="1"/>
  <c r="S1714" i="1" s="1"/>
  <c r="M1714" i="1"/>
  <c r="L1714" i="1"/>
  <c r="R1713" i="1"/>
  <c r="Q1713" i="1"/>
  <c r="P1713" i="1"/>
  <c r="N1713" i="1"/>
  <c r="S1713" i="1" s="1"/>
  <c r="M1713" i="1"/>
  <c r="L1713" i="1"/>
  <c r="W1712" i="1"/>
  <c r="V1712" i="1"/>
  <c r="U1712" i="1"/>
  <c r="T1712" i="1"/>
  <c r="S1712" i="1"/>
  <c r="R1712" i="1"/>
  <c r="O1712" i="1"/>
  <c r="N1712" i="1"/>
  <c r="M1712" i="1"/>
  <c r="P1712" i="1" s="1"/>
  <c r="L1712" i="1"/>
  <c r="Q1712" i="1" s="1"/>
  <c r="V1711" i="1"/>
  <c r="U1711" i="1"/>
  <c r="T1711" i="1"/>
  <c r="S1711" i="1"/>
  <c r="R1711" i="1"/>
  <c r="N1711" i="1"/>
  <c r="O1711" i="1" s="1"/>
  <c r="M1711" i="1"/>
  <c r="P1711" i="1" s="1"/>
  <c r="L1711" i="1"/>
  <c r="W1711" i="1" s="1"/>
  <c r="W1710" i="1"/>
  <c r="N1710" i="1"/>
  <c r="M1710" i="1"/>
  <c r="L1710" i="1"/>
  <c r="W1709" i="1"/>
  <c r="V1709" i="1"/>
  <c r="U1709" i="1"/>
  <c r="T1709" i="1"/>
  <c r="R1709" i="1"/>
  <c r="Q1709" i="1"/>
  <c r="P1709" i="1"/>
  <c r="N1709" i="1"/>
  <c r="S1709" i="1" s="1"/>
  <c r="M1709" i="1"/>
  <c r="L1709" i="1"/>
  <c r="R1708" i="1"/>
  <c r="P1708" i="1"/>
  <c r="N1708" i="1"/>
  <c r="S1708" i="1" s="1"/>
  <c r="M1708" i="1"/>
  <c r="L1708" i="1"/>
  <c r="W1707" i="1"/>
  <c r="V1707" i="1"/>
  <c r="U1707" i="1"/>
  <c r="T1707" i="1"/>
  <c r="S1707" i="1"/>
  <c r="R1707" i="1"/>
  <c r="O1707" i="1"/>
  <c r="N1707" i="1"/>
  <c r="M1707" i="1"/>
  <c r="P1707" i="1" s="1"/>
  <c r="L1707" i="1"/>
  <c r="Q1707" i="1" s="1"/>
  <c r="V1706" i="1"/>
  <c r="U1706" i="1"/>
  <c r="T1706" i="1"/>
  <c r="S1706" i="1"/>
  <c r="N1706" i="1"/>
  <c r="O1706" i="1" s="1"/>
  <c r="M1706" i="1"/>
  <c r="R1706" i="1" s="1"/>
  <c r="L1706" i="1"/>
  <c r="W1706" i="1" s="1"/>
  <c r="W1705" i="1"/>
  <c r="V1705" i="1"/>
  <c r="N1705" i="1"/>
  <c r="M1705" i="1"/>
  <c r="L1705" i="1"/>
  <c r="W1704" i="1"/>
  <c r="V1704" i="1"/>
  <c r="U1704" i="1"/>
  <c r="T1704" i="1"/>
  <c r="R1704" i="1"/>
  <c r="Q1704" i="1"/>
  <c r="P1704" i="1"/>
  <c r="N1704" i="1"/>
  <c r="S1704" i="1" s="1"/>
  <c r="M1704" i="1"/>
  <c r="L1704" i="1"/>
  <c r="R1703" i="1"/>
  <c r="P1703" i="1"/>
  <c r="N1703" i="1"/>
  <c r="S1703" i="1" s="1"/>
  <c r="M1703" i="1"/>
  <c r="L1703" i="1"/>
  <c r="W1702" i="1"/>
  <c r="V1702" i="1"/>
  <c r="U1702" i="1"/>
  <c r="T1702" i="1"/>
  <c r="S1702" i="1"/>
  <c r="R1702" i="1"/>
  <c r="O1702" i="1"/>
  <c r="N1702" i="1"/>
  <c r="M1702" i="1"/>
  <c r="P1702" i="1" s="1"/>
  <c r="L1702" i="1"/>
  <c r="Q1702" i="1" s="1"/>
  <c r="V1701" i="1"/>
  <c r="U1701" i="1"/>
  <c r="T1701" i="1"/>
  <c r="S1701" i="1"/>
  <c r="R1701" i="1"/>
  <c r="P1701" i="1"/>
  <c r="N1701" i="1"/>
  <c r="O1701" i="1" s="1"/>
  <c r="M1701" i="1"/>
  <c r="L1701" i="1"/>
  <c r="W1701" i="1" s="1"/>
  <c r="W1700" i="1"/>
  <c r="V1700" i="1"/>
  <c r="N1700" i="1"/>
  <c r="M1700" i="1"/>
  <c r="L1700" i="1"/>
  <c r="W1699" i="1"/>
  <c r="V1699" i="1"/>
  <c r="U1699" i="1"/>
  <c r="T1699" i="1"/>
  <c r="R1699" i="1"/>
  <c r="Q1699" i="1"/>
  <c r="P1699" i="1"/>
  <c r="O1699" i="1"/>
  <c r="N1699" i="1"/>
  <c r="S1699" i="1" s="1"/>
  <c r="M1699" i="1"/>
  <c r="L1699" i="1"/>
  <c r="R1698" i="1"/>
  <c r="Q1698" i="1"/>
  <c r="P1698" i="1"/>
  <c r="O1698" i="1"/>
  <c r="N1698" i="1"/>
  <c r="S1698" i="1" s="1"/>
  <c r="M1698" i="1"/>
  <c r="L1698" i="1"/>
  <c r="W1697" i="1"/>
  <c r="V1697" i="1"/>
  <c r="U1697" i="1"/>
  <c r="T1697" i="1"/>
  <c r="S1697" i="1"/>
  <c r="R1697" i="1"/>
  <c r="O1697" i="1"/>
  <c r="N1697" i="1"/>
  <c r="M1697" i="1"/>
  <c r="P1697" i="1" s="1"/>
  <c r="L1697" i="1"/>
  <c r="Q1697" i="1" s="1"/>
  <c r="V1696" i="1"/>
  <c r="U1696" i="1"/>
  <c r="T1696" i="1"/>
  <c r="S1696" i="1"/>
  <c r="N1696" i="1"/>
  <c r="O1696" i="1" s="1"/>
  <c r="M1696" i="1"/>
  <c r="R1696" i="1" s="1"/>
  <c r="L1696" i="1"/>
  <c r="N1695" i="1"/>
  <c r="M1695" i="1"/>
  <c r="L1695" i="1"/>
  <c r="W1694" i="1"/>
  <c r="V1694" i="1"/>
  <c r="U1694" i="1"/>
  <c r="T1694" i="1"/>
  <c r="R1694" i="1"/>
  <c r="Q1694" i="1"/>
  <c r="P1694" i="1"/>
  <c r="N1694" i="1"/>
  <c r="S1694" i="1" s="1"/>
  <c r="M1694" i="1"/>
  <c r="L1694" i="1"/>
  <c r="R1693" i="1"/>
  <c r="Q1693" i="1"/>
  <c r="P1693" i="1"/>
  <c r="O1693" i="1"/>
  <c r="N1693" i="1"/>
  <c r="S1693" i="1" s="1"/>
  <c r="M1693" i="1"/>
  <c r="L1693" i="1"/>
  <c r="W1692" i="1"/>
  <c r="V1692" i="1"/>
  <c r="U1692" i="1"/>
  <c r="T1692" i="1"/>
  <c r="S1692" i="1"/>
  <c r="R1692" i="1"/>
  <c r="O1692" i="1"/>
  <c r="N1692" i="1"/>
  <c r="M1692" i="1"/>
  <c r="P1692" i="1" s="1"/>
  <c r="L1692" i="1"/>
  <c r="Q1692" i="1" s="1"/>
  <c r="V1691" i="1"/>
  <c r="U1691" i="1"/>
  <c r="T1691" i="1"/>
  <c r="S1691" i="1"/>
  <c r="R1691" i="1"/>
  <c r="P1691" i="1"/>
  <c r="N1691" i="1"/>
  <c r="O1691" i="1" s="1"/>
  <c r="M1691" i="1"/>
  <c r="L1691" i="1"/>
  <c r="N1690" i="1"/>
  <c r="M1690" i="1"/>
  <c r="L1690" i="1"/>
  <c r="W1689" i="1"/>
  <c r="V1689" i="1"/>
  <c r="U1689" i="1"/>
  <c r="T1689" i="1"/>
  <c r="R1689" i="1"/>
  <c r="Q1689" i="1"/>
  <c r="P1689" i="1"/>
  <c r="O1689" i="1"/>
  <c r="N1689" i="1"/>
  <c r="S1689" i="1" s="1"/>
  <c r="M1689" i="1"/>
  <c r="L1689" i="1"/>
  <c r="R1688" i="1"/>
  <c r="P1688" i="1"/>
  <c r="O1688" i="1"/>
  <c r="N1688" i="1"/>
  <c r="S1688" i="1" s="1"/>
  <c r="M1688" i="1"/>
  <c r="L1688" i="1"/>
  <c r="W1687" i="1"/>
  <c r="V1687" i="1"/>
  <c r="U1687" i="1"/>
  <c r="T1687" i="1"/>
  <c r="S1687" i="1"/>
  <c r="R1687" i="1"/>
  <c r="O1687" i="1"/>
  <c r="N1687" i="1"/>
  <c r="M1687" i="1"/>
  <c r="P1687" i="1" s="1"/>
  <c r="L1687" i="1"/>
  <c r="Q1687" i="1" s="1"/>
  <c r="S1686" i="1"/>
  <c r="R1686" i="1"/>
  <c r="P1686" i="1"/>
  <c r="N1686" i="1"/>
  <c r="O1686" i="1" s="1"/>
  <c r="M1686" i="1"/>
  <c r="L1686" i="1"/>
  <c r="N1685" i="1"/>
  <c r="M1685" i="1"/>
  <c r="L1685" i="1"/>
  <c r="W1684" i="1"/>
  <c r="V1684" i="1"/>
  <c r="U1684" i="1"/>
  <c r="T1684" i="1"/>
  <c r="R1684" i="1"/>
  <c r="Q1684" i="1"/>
  <c r="P1684" i="1"/>
  <c r="O1684" i="1"/>
  <c r="N1684" i="1"/>
  <c r="S1684" i="1" s="1"/>
  <c r="M1684" i="1"/>
  <c r="L1684" i="1"/>
  <c r="N1683" i="1"/>
  <c r="S1683" i="1" s="1"/>
  <c r="M1683" i="1"/>
  <c r="L1683" i="1"/>
  <c r="W1682" i="1"/>
  <c r="V1682" i="1"/>
  <c r="U1682" i="1"/>
  <c r="T1682" i="1"/>
  <c r="S1682" i="1"/>
  <c r="R1682" i="1"/>
  <c r="O1682" i="1"/>
  <c r="N1682" i="1"/>
  <c r="M1682" i="1"/>
  <c r="P1682" i="1" s="1"/>
  <c r="L1682" i="1"/>
  <c r="Q1682" i="1" s="1"/>
  <c r="V1681" i="1"/>
  <c r="P1681" i="1"/>
  <c r="N1681" i="1"/>
  <c r="M1681" i="1"/>
  <c r="R1681" i="1" s="1"/>
  <c r="L1681" i="1"/>
  <c r="W1680" i="1"/>
  <c r="V1680" i="1"/>
  <c r="N1680" i="1"/>
  <c r="M1680" i="1"/>
  <c r="L1680" i="1"/>
  <c r="W1679" i="1"/>
  <c r="V1679" i="1"/>
  <c r="U1679" i="1"/>
  <c r="T1679" i="1"/>
  <c r="R1679" i="1"/>
  <c r="Q1679" i="1"/>
  <c r="P1679" i="1"/>
  <c r="N1679" i="1"/>
  <c r="S1679" i="1" s="1"/>
  <c r="M1679" i="1"/>
  <c r="L1679" i="1"/>
  <c r="R1678" i="1"/>
  <c r="Q1678" i="1"/>
  <c r="P1678" i="1"/>
  <c r="O1678" i="1"/>
  <c r="N1678" i="1"/>
  <c r="S1678" i="1" s="1"/>
  <c r="M1678" i="1"/>
  <c r="L1678" i="1"/>
  <c r="W1677" i="1"/>
  <c r="V1677" i="1"/>
  <c r="U1677" i="1"/>
  <c r="T1677" i="1"/>
  <c r="S1677" i="1"/>
  <c r="R1677" i="1"/>
  <c r="O1677" i="1"/>
  <c r="N1677" i="1"/>
  <c r="M1677" i="1"/>
  <c r="P1677" i="1" s="1"/>
  <c r="L1677" i="1"/>
  <c r="Q1677" i="1" s="1"/>
  <c r="R1676" i="1"/>
  <c r="Q1676" i="1"/>
  <c r="P1676" i="1"/>
  <c r="N1676" i="1"/>
  <c r="M1676" i="1"/>
  <c r="L1676" i="1"/>
  <c r="W1676" i="1" s="1"/>
  <c r="N1675" i="1"/>
  <c r="M1675" i="1"/>
  <c r="L1675" i="1"/>
  <c r="W1674" i="1"/>
  <c r="V1674" i="1"/>
  <c r="U1674" i="1"/>
  <c r="T1674" i="1"/>
  <c r="R1674" i="1"/>
  <c r="Q1674" i="1"/>
  <c r="P1674" i="1"/>
  <c r="N1674" i="1"/>
  <c r="M1674" i="1"/>
  <c r="L1674" i="1"/>
  <c r="R1673" i="1"/>
  <c r="Q1673" i="1"/>
  <c r="P1673" i="1"/>
  <c r="O1673" i="1"/>
  <c r="N1673" i="1"/>
  <c r="S1673" i="1" s="1"/>
  <c r="M1673" i="1"/>
  <c r="L1673" i="1"/>
  <c r="W1672" i="1"/>
  <c r="V1672" i="1"/>
  <c r="U1672" i="1"/>
  <c r="T1672" i="1"/>
  <c r="S1672" i="1"/>
  <c r="R1672" i="1"/>
  <c r="O1672" i="1"/>
  <c r="N1672" i="1"/>
  <c r="M1672" i="1"/>
  <c r="P1672" i="1" s="1"/>
  <c r="L1672" i="1"/>
  <c r="Q1672" i="1" s="1"/>
  <c r="V1671" i="1"/>
  <c r="U1671" i="1"/>
  <c r="T1671" i="1"/>
  <c r="S1671" i="1"/>
  <c r="R1671" i="1"/>
  <c r="Q1671" i="1"/>
  <c r="N1671" i="1"/>
  <c r="O1671" i="1" s="1"/>
  <c r="M1671" i="1"/>
  <c r="P1671" i="1" s="1"/>
  <c r="L1671" i="1"/>
  <c r="W1671" i="1" s="1"/>
  <c r="W1670" i="1"/>
  <c r="V1670" i="1"/>
  <c r="N1670" i="1"/>
  <c r="M1670" i="1"/>
  <c r="L1670" i="1"/>
  <c r="W1669" i="1"/>
  <c r="V1669" i="1"/>
  <c r="U1669" i="1"/>
  <c r="T1669" i="1"/>
  <c r="R1669" i="1"/>
  <c r="Q1669" i="1"/>
  <c r="P1669" i="1"/>
  <c r="N1669" i="1"/>
  <c r="S1669" i="1" s="1"/>
  <c r="M1669" i="1"/>
  <c r="L1669" i="1"/>
  <c r="N1668" i="1"/>
  <c r="S1668" i="1" s="1"/>
  <c r="M1668" i="1"/>
  <c r="L1668" i="1"/>
  <c r="W1667" i="1"/>
  <c r="V1667" i="1"/>
  <c r="U1667" i="1"/>
  <c r="T1667" i="1"/>
  <c r="S1667" i="1"/>
  <c r="R1667" i="1"/>
  <c r="O1667" i="1"/>
  <c r="N1667" i="1"/>
  <c r="M1667" i="1"/>
  <c r="P1667" i="1" s="1"/>
  <c r="L1667" i="1"/>
  <c r="Q1667" i="1" s="1"/>
  <c r="Q1666" i="1"/>
  <c r="N1666" i="1"/>
  <c r="O1666" i="1" s="1"/>
  <c r="M1666" i="1"/>
  <c r="L1666" i="1"/>
  <c r="N1665" i="1"/>
  <c r="O1665" i="1" s="1"/>
  <c r="M1665" i="1"/>
  <c r="L1665" i="1"/>
  <c r="W1664" i="1"/>
  <c r="V1664" i="1"/>
  <c r="U1664" i="1"/>
  <c r="T1664" i="1"/>
  <c r="R1664" i="1"/>
  <c r="Q1664" i="1"/>
  <c r="P1664" i="1"/>
  <c r="N1664" i="1"/>
  <c r="S1664" i="1" s="1"/>
  <c r="M1664" i="1"/>
  <c r="L1664" i="1"/>
  <c r="W1663" i="1"/>
  <c r="R1663" i="1"/>
  <c r="Q1663" i="1"/>
  <c r="P1663" i="1"/>
  <c r="N1663" i="1"/>
  <c r="S1663" i="1" s="1"/>
  <c r="M1663" i="1"/>
  <c r="L1663" i="1"/>
  <c r="W1662" i="1"/>
  <c r="V1662" i="1"/>
  <c r="U1662" i="1"/>
  <c r="T1662" i="1"/>
  <c r="S1662" i="1"/>
  <c r="R1662" i="1"/>
  <c r="O1662" i="1"/>
  <c r="N1662" i="1"/>
  <c r="M1662" i="1"/>
  <c r="P1662" i="1" s="1"/>
  <c r="L1662" i="1"/>
  <c r="Q1662" i="1" s="1"/>
  <c r="V1661" i="1"/>
  <c r="U1661" i="1"/>
  <c r="T1661" i="1"/>
  <c r="S1661" i="1"/>
  <c r="R1661" i="1"/>
  <c r="Q1661" i="1"/>
  <c r="N1661" i="1"/>
  <c r="O1661" i="1" s="1"/>
  <c r="M1661" i="1"/>
  <c r="P1661" i="1" s="1"/>
  <c r="L1661" i="1"/>
  <c r="W1661" i="1" s="1"/>
  <c r="W1660" i="1"/>
  <c r="V1660" i="1"/>
  <c r="N1660" i="1"/>
  <c r="M1660" i="1"/>
  <c r="L1660" i="1"/>
  <c r="W1659" i="1"/>
  <c r="V1659" i="1"/>
  <c r="U1659" i="1"/>
  <c r="T1659" i="1"/>
  <c r="R1659" i="1"/>
  <c r="Q1659" i="1"/>
  <c r="P1659" i="1"/>
  <c r="O1659" i="1"/>
  <c r="N1659" i="1"/>
  <c r="S1659" i="1" s="1"/>
  <c r="M1659" i="1"/>
  <c r="L1659" i="1"/>
  <c r="P1658" i="1"/>
  <c r="O1658" i="1"/>
  <c r="N1658" i="1"/>
  <c r="S1658" i="1" s="1"/>
  <c r="M1658" i="1"/>
  <c r="R1658" i="1" s="1"/>
  <c r="L1658" i="1"/>
  <c r="W1657" i="1"/>
  <c r="V1657" i="1"/>
  <c r="U1657" i="1"/>
  <c r="T1657" i="1"/>
  <c r="S1657" i="1"/>
  <c r="R1657" i="1"/>
  <c r="O1657" i="1"/>
  <c r="N1657" i="1"/>
  <c r="M1657" i="1"/>
  <c r="P1657" i="1" s="1"/>
  <c r="L1657" i="1"/>
  <c r="Q1657" i="1" s="1"/>
  <c r="Q1656" i="1"/>
  <c r="N1656" i="1"/>
  <c r="M1656" i="1"/>
  <c r="R1656" i="1" s="1"/>
  <c r="L1656" i="1"/>
  <c r="N1655" i="1"/>
  <c r="O1655" i="1" s="1"/>
  <c r="M1655" i="1"/>
  <c r="L1655" i="1"/>
  <c r="W1654" i="1"/>
  <c r="V1654" i="1"/>
  <c r="U1654" i="1"/>
  <c r="T1654" i="1"/>
  <c r="R1654" i="1"/>
  <c r="Q1654" i="1"/>
  <c r="P1654" i="1"/>
  <c r="N1654" i="1"/>
  <c r="S1654" i="1" s="1"/>
  <c r="M1654" i="1"/>
  <c r="L1654" i="1"/>
  <c r="R1653" i="1"/>
  <c r="P1653" i="1"/>
  <c r="O1653" i="1"/>
  <c r="N1653" i="1"/>
  <c r="S1653" i="1" s="1"/>
  <c r="M1653" i="1"/>
  <c r="L1653" i="1"/>
  <c r="W1652" i="1"/>
  <c r="V1652" i="1"/>
  <c r="U1652" i="1"/>
  <c r="T1652" i="1"/>
  <c r="S1652" i="1"/>
  <c r="R1652" i="1"/>
  <c r="O1652" i="1"/>
  <c r="N1652" i="1"/>
  <c r="M1652" i="1"/>
  <c r="P1652" i="1" s="1"/>
  <c r="L1652" i="1"/>
  <c r="Q1652" i="1" s="1"/>
  <c r="S1651" i="1"/>
  <c r="R1651" i="1"/>
  <c r="N1651" i="1"/>
  <c r="O1651" i="1" s="1"/>
  <c r="M1651" i="1"/>
  <c r="P1651" i="1" s="1"/>
  <c r="L1651" i="1"/>
  <c r="W1650" i="1"/>
  <c r="V1650" i="1"/>
  <c r="S1650" i="1"/>
  <c r="N1650" i="1"/>
  <c r="O1650" i="1" s="1"/>
  <c r="M1650" i="1"/>
  <c r="L1650" i="1"/>
  <c r="W1649" i="1"/>
  <c r="V1649" i="1"/>
  <c r="U1649" i="1"/>
  <c r="T1649" i="1"/>
  <c r="R1649" i="1"/>
  <c r="Q1649" i="1"/>
  <c r="P1649" i="1"/>
  <c r="N1649" i="1"/>
  <c r="S1649" i="1" s="1"/>
  <c r="M1649" i="1"/>
  <c r="L1649" i="1"/>
  <c r="N1648" i="1"/>
  <c r="M1648" i="1"/>
  <c r="L1648" i="1"/>
  <c r="W1647" i="1"/>
  <c r="V1647" i="1"/>
  <c r="U1647" i="1"/>
  <c r="T1647" i="1"/>
  <c r="S1647" i="1"/>
  <c r="R1647" i="1"/>
  <c r="O1647" i="1"/>
  <c r="N1647" i="1"/>
  <c r="M1647" i="1"/>
  <c r="P1647" i="1" s="1"/>
  <c r="L1647" i="1"/>
  <c r="Q1647" i="1" s="1"/>
  <c r="Q1646" i="1"/>
  <c r="N1646" i="1"/>
  <c r="M1646" i="1"/>
  <c r="P1646" i="1" s="1"/>
  <c r="L1646" i="1"/>
  <c r="S1645" i="1"/>
  <c r="N1645" i="1"/>
  <c r="O1645" i="1" s="1"/>
  <c r="M1645" i="1"/>
  <c r="L1645" i="1"/>
  <c r="W1644" i="1"/>
  <c r="V1644" i="1"/>
  <c r="U1644" i="1"/>
  <c r="T1644" i="1"/>
  <c r="R1644" i="1"/>
  <c r="Q1644" i="1"/>
  <c r="P1644" i="1"/>
  <c r="N1644" i="1"/>
  <c r="M1644" i="1"/>
  <c r="L1644" i="1"/>
  <c r="W1643" i="1"/>
  <c r="R1643" i="1"/>
  <c r="Q1643" i="1"/>
  <c r="P1643" i="1"/>
  <c r="N1643" i="1"/>
  <c r="S1643" i="1" s="1"/>
  <c r="M1643" i="1"/>
  <c r="L1643" i="1"/>
  <c r="W1642" i="1"/>
  <c r="V1642" i="1"/>
  <c r="U1642" i="1"/>
  <c r="T1642" i="1"/>
  <c r="S1642" i="1"/>
  <c r="R1642" i="1"/>
  <c r="O1642" i="1"/>
  <c r="N1642" i="1"/>
  <c r="M1642" i="1"/>
  <c r="P1642" i="1" s="1"/>
  <c r="L1642" i="1"/>
  <c r="Q1642" i="1" s="1"/>
  <c r="V1641" i="1"/>
  <c r="U1641" i="1"/>
  <c r="T1641" i="1"/>
  <c r="S1641" i="1"/>
  <c r="R1641" i="1"/>
  <c r="Q1641" i="1"/>
  <c r="N1641" i="1"/>
  <c r="O1641" i="1" s="1"/>
  <c r="M1641" i="1"/>
  <c r="P1641" i="1" s="1"/>
  <c r="L1641" i="1"/>
  <c r="W1641" i="1" s="1"/>
  <c r="V1640" i="1"/>
  <c r="N1640" i="1"/>
  <c r="O1640" i="1" s="1"/>
  <c r="M1640" i="1"/>
  <c r="L1640" i="1"/>
  <c r="W1639" i="1"/>
  <c r="V1639" i="1"/>
  <c r="U1639" i="1"/>
  <c r="T1639" i="1"/>
  <c r="R1639" i="1"/>
  <c r="Q1639" i="1"/>
  <c r="P1639" i="1"/>
  <c r="N1639" i="1"/>
  <c r="S1639" i="1" s="1"/>
  <c r="M1639" i="1"/>
  <c r="L1639" i="1"/>
  <c r="N1638" i="1"/>
  <c r="S1638" i="1" s="1"/>
  <c r="M1638" i="1"/>
  <c r="R1638" i="1" s="1"/>
  <c r="L1638" i="1"/>
  <c r="W1637" i="1"/>
  <c r="V1637" i="1"/>
  <c r="U1637" i="1"/>
  <c r="T1637" i="1"/>
  <c r="S1637" i="1"/>
  <c r="R1637" i="1"/>
  <c r="O1637" i="1"/>
  <c r="N1637" i="1"/>
  <c r="M1637" i="1"/>
  <c r="P1637" i="1" s="1"/>
  <c r="L1637" i="1"/>
  <c r="Q1637" i="1" s="1"/>
  <c r="N1636" i="1"/>
  <c r="M1636" i="1"/>
  <c r="R1636" i="1" s="1"/>
  <c r="L1636" i="1"/>
  <c r="N1635" i="1"/>
  <c r="M1635" i="1"/>
  <c r="L1635" i="1"/>
  <c r="W1634" i="1"/>
  <c r="V1634" i="1"/>
  <c r="U1634" i="1"/>
  <c r="T1634" i="1"/>
  <c r="R1634" i="1"/>
  <c r="Q1634" i="1"/>
  <c r="P1634" i="1"/>
  <c r="N1634" i="1"/>
  <c r="S1634" i="1" s="1"/>
  <c r="M1634" i="1"/>
  <c r="L1634" i="1"/>
  <c r="O1633" i="1"/>
  <c r="N1633" i="1"/>
  <c r="S1633" i="1" s="1"/>
  <c r="M1633" i="1"/>
  <c r="R1633" i="1" s="1"/>
  <c r="L1633" i="1"/>
  <c r="W1632" i="1"/>
  <c r="V1632" i="1"/>
  <c r="U1632" i="1"/>
  <c r="T1632" i="1"/>
  <c r="S1632" i="1"/>
  <c r="R1632" i="1"/>
  <c r="O1632" i="1"/>
  <c r="N1632" i="1"/>
  <c r="M1632" i="1"/>
  <c r="P1632" i="1" s="1"/>
  <c r="L1632" i="1"/>
  <c r="Q1632" i="1" s="1"/>
  <c r="S1631" i="1"/>
  <c r="N1631" i="1"/>
  <c r="O1631" i="1" s="1"/>
  <c r="M1631" i="1"/>
  <c r="P1631" i="1" s="1"/>
  <c r="L1631" i="1"/>
  <c r="W1631" i="1" s="1"/>
  <c r="W1630" i="1"/>
  <c r="V1630" i="1"/>
  <c r="N1630" i="1"/>
  <c r="M1630" i="1"/>
  <c r="L1630" i="1"/>
  <c r="W1629" i="1"/>
  <c r="V1629" i="1"/>
  <c r="U1629" i="1"/>
  <c r="T1629" i="1"/>
  <c r="R1629" i="1"/>
  <c r="Q1629" i="1"/>
  <c r="P1629" i="1"/>
  <c r="O1629" i="1"/>
  <c r="N1629" i="1"/>
  <c r="S1629" i="1" s="1"/>
  <c r="M1629" i="1"/>
  <c r="L1629" i="1"/>
  <c r="N1628" i="1"/>
  <c r="S1628" i="1" s="1"/>
  <c r="M1628" i="1"/>
  <c r="R1628" i="1" s="1"/>
  <c r="L1628" i="1"/>
  <c r="W1627" i="1"/>
  <c r="V1627" i="1"/>
  <c r="U1627" i="1"/>
  <c r="T1627" i="1"/>
  <c r="S1627" i="1"/>
  <c r="R1627" i="1"/>
  <c r="O1627" i="1"/>
  <c r="N1627" i="1"/>
  <c r="M1627" i="1"/>
  <c r="P1627" i="1" s="1"/>
  <c r="L1627" i="1"/>
  <c r="Q1627" i="1" s="1"/>
  <c r="P1626" i="1"/>
  <c r="N1626" i="1"/>
  <c r="O1626" i="1" s="1"/>
  <c r="M1626" i="1"/>
  <c r="R1626" i="1" s="1"/>
  <c r="L1626" i="1"/>
  <c r="N1625" i="1"/>
  <c r="O1625" i="1" s="1"/>
  <c r="M1625" i="1"/>
  <c r="L1625" i="1"/>
  <c r="W1624" i="1"/>
  <c r="V1624" i="1"/>
  <c r="U1624" i="1"/>
  <c r="T1624" i="1"/>
  <c r="R1624" i="1"/>
  <c r="Q1624" i="1"/>
  <c r="P1624" i="1"/>
  <c r="N1624" i="1"/>
  <c r="S1624" i="1" s="1"/>
  <c r="M1624" i="1"/>
  <c r="L1624" i="1"/>
  <c r="W1623" i="1"/>
  <c r="R1623" i="1"/>
  <c r="Q1623" i="1"/>
  <c r="P1623" i="1"/>
  <c r="N1623" i="1"/>
  <c r="S1623" i="1" s="1"/>
  <c r="M1623" i="1"/>
  <c r="L1623" i="1"/>
  <c r="W1622" i="1"/>
  <c r="V1622" i="1"/>
  <c r="U1622" i="1"/>
  <c r="T1622" i="1"/>
  <c r="S1622" i="1"/>
  <c r="R1622" i="1"/>
  <c r="O1622" i="1"/>
  <c r="N1622" i="1"/>
  <c r="M1622" i="1"/>
  <c r="P1622" i="1" s="1"/>
  <c r="L1622" i="1"/>
  <c r="Q1622" i="1" s="1"/>
  <c r="V1621" i="1"/>
  <c r="U1621" i="1"/>
  <c r="T1621" i="1"/>
  <c r="S1621" i="1"/>
  <c r="R1621" i="1"/>
  <c r="Q1621" i="1"/>
  <c r="N1621" i="1"/>
  <c r="O1621" i="1" s="1"/>
  <c r="M1621" i="1"/>
  <c r="P1621" i="1" s="1"/>
  <c r="L1621" i="1"/>
  <c r="W1621" i="1" s="1"/>
  <c r="V1620" i="1"/>
  <c r="S1620" i="1"/>
  <c r="N1620" i="1"/>
  <c r="O1620" i="1" s="1"/>
  <c r="M1620" i="1"/>
  <c r="L1620" i="1"/>
  <c r="W1619" i="1"/>
  <c r="V1619" i="1"/>
  <c r="U1619" i="1"/>
  <c r="T1619" i="1"/>
  <c r="R1619" i="1"/>
  <c r="Q1619" i="1"/>
  <c r="P1619" i="1"/>
  <c r="N1619" i="1"/>
  <c r="S1619" i="1" s="1"/>
  <c r="M1619" i="1"/>
  <c r="L1619" i="1"/>
  <c r="N1618" i="1"/>
  <c r="S1618" i="1" s="1"/>
  <c r="M1618" i="1"/>
  <c r="R1618" i="1" s="1"/>
  <c r="L1618" i="1"/>
  <c r="W1617" i="1"/>
  <c r="V1617" i="1"/>
  <c r="U1617" i="1"/>
  <c r="T1617" i="1"/>
  <c r="S1617" i="1"/>
  <c r="R1617" i="1"/>
  <c r="O1617" i="1"/>
  <c r="N1617" i="1"/>
  <c r="M1617" i="1"/>
  <c r="P1617" i="1" s="1"/>
  <c r="L1617" i="1"/>
  <c r="Q1617" i="1" s="1"/>
  <c r="N1616" i="1"/>
  <c r="M1616" i="1"/>
  <c r="R1616" i="1" s="1"/>
  <c r="L1616" i="1"/>
  <c r="N1615" i="1"/>
  <c r="M1615" i="1"/>
  <c r="L1615" i="1"/>
  <c r="W1614" i="1"/>
  <c r="V1614" i="1"/>
  <c r="U1614" i="1"/>
  <c r="T1614" i="1"/>
  <c r="R1614" i="1"/>
  <c r="Q1614" i="1"/>
  <c r="P1614" i="1"/>
  <c r="N1614" i="1"/>
  <c r="S1614" i="1" s="1"/>
  <c r="M1614" i="1"/>
  <c r="L1614" i="1"/>
  <c r="O1613" i="1"/>
  <c r="N1613" i="1"/>
  <c r="S1613" i="1" s="1"/>
  <c r="M1613" i="1"/>
  <c r="R1613" i="1" s="1"/>
  <c r="L1613" i="1"/>
  <c r="W1612" i="1"/>
  <c r="V1612" i="1"/>
  <c r="U1612" i="1"/>
  <c r="T1612" i="1"/>
  <c r="S1612" i="1"/>
  <c r="R1612" i="1"/>
  <c r="O1612" i="1"/>
  <c r="N1612" i="1"/>
  <c r="M1612" i="1"/>
  <c r="P1612" i="1" s="1"/>
  <c r="L1612" i="1"/>
  <c r="Q1612" i="1" s="1"/>
  <c r="S1611" i="1"/>
  <c r="N1611" i="1"/>
  <c r="O1611" i="1" s="1"/>
  <c r="M1611" i="1"/>
  <c r="P1611" i="1" s="1"/>
  <c r="L1611" i="1"/>
  <c r="W1611" i="1" s="1"/>
  <c r="W1610" i="1"/>
  <c r="V1610" i="1"/>
  <c r="N1610" i="1"/>
  <c r="M1610" i="1"/>
  <c r="L1610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W1608" i="1"/>
  <c r="Q1608" i="1"/>
  <c r="N1608" i="1"/>
  <c r="M1608" i="1"/>
  <c r="L1608" i="1"/>
  <c r="W1607" i="1"/>
  <c r="V1607" i="1"/>
  <c r="U1607" i="1"/>
  <c r="T1607" i="1"/>
  <c r="S1607" i="1"/>
  <c r="R1607" i="1"/>
  <c r="O1607" i="1"/>
  <c r="N1607" i="1"/>
  <c r="M1607" i="1"/>
  <c r="P1607" i="1" s="1"/>
  <c r="L1607" i="1"/>
  <c r="Q1607" i="1" s="1"/>
  <c r="V1606" i="1"/>
  <c r="U1606" i="1"/>
  <c r="T1606" i="1"/>
  <c r="R1606" i="1"/>
  <c r="Q1606" i="1"/>
  <c r="P1606" i="1"/>
  <c r="O1606" i="1"/>
  <c r="N1606" i="1"/>
  <c r="S1606" i="1" s="1"/>
  <c r="M1606" i="1"/>
  <c r="L1606" i="1"/>
  <c r="W1606" i="1" s="1"/>
  <c r="N1605" i="1"/>
  <c r="M1605" i="1"/>
  <c r="L1605" i="1"/>
  <c r="W1604" i="1"/>
  <c r="V1604" i="1"/>
  <c r="U1604" i="1"/>
  <c r="T1604" i="1"/>
  <c r="R1604" i="1"/>
  <c r="Q1604" i="1"/>
  <c r="P1604" i="1"/>
  <c r="N1604" i="1"/>
  <c r="S1604" i="1" s="1"/>
  <c r="M1604" i="1"/>
  <c r="L1604" i="1"/>
  <c r="N1603" i="1"/>
  <c r="M1603" i="1"/>
  <c r="L1603" i="1"/>
  <c r="W1602" i="1"/>
  <c r="V1602" i="1"/>
  <c r="U1602" i="1"/>
  <c r="T1602" i="1"/>
  <c r="S1602" i="1"/>
  <c r="R1602" i="1"/>
  <c r="O1602" i="1"/>
  <c r="N1602" i="1"/>
  <c r="M1602" i="1"/>
  <c r="P1602" i="1" s="1"/>
  <c r="L1602" i="1"/>
  <c r="Q1602" i="1" s="1"/>
  <c r="O1601" i="1"/>
  <c r="N1601" i="1"/>
  <c r="S1601" i="1" s="1"/>
  <c r="M1601" i="1"/>
  <c r="L1601" i="1"/>
  <c r="S1600" i="1"/>
  <c r="N1600" i="1"/>
  <c r="O1600" i="1" s="1"/>
  <c r="M1600" i="1"/>
  <c r="L1600" i="1"/>
  <c r="W1599" i="1"/>
  <c r="V1599" i="1"/>
  <c r="U1599" i="1"/>
  <c r="T1599" i="1"/>
  <c r="S1599" i="1"/>
  <c r="R1599" i="1"/>
  <c r="Q1599" i="1"/>
  <c r="P1599" i="1"/>
  <c r="N1599" i="1"/>
  <c r="O1599" i="1" s="1"/>
  <c r="M1599" i="1"/>
  <c r="L1599" i="1"/>
  <c r="O1598" i="1"/>
  <c r="N1598" i="1"/>
  <c r="S1598" i="1" s="1"/>
  <c r="M1598" i="1"/>
  <c r="L1598" i="1"/>
  <c r="W1597" i="1"/>
  <c r="V1597" i="1"/>
  <c r="U1597" i="1"/>
  <c r="T1597" i="1"/>
  <c r="S1597" i="1"/>
  <c r="R1597" i="1"/>
  <c r="P1597" i="1"/>
  <c r="O1597" i="1"/>
  <c r="N1597" i="1"/>
  <c r="M1597" i="1"/>
  <c r="L1597" i="1"/>
  <c r="Q1597" i="1" s="1"/>
  <c r="N1596" i="1"/>
  <c r="S1596" i="1" s="1"/>
  <c r="M1596" i="1"/>
  <c r="L1596" i="1"/>
  <c r="W1595" i="1"/>
  <c r="V1595" i="1"/>
  <c r="S1595" i="1"/>
  <c r="N1595" i="1"/>
  <c r="O1595" i="1" s="1"/>
  <c r="M1595" i="1"/>
  <c r="L1595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W1593" i="1"/>
  <c r="R1593" i="1"/>
  <c r="Q1593" i="1"/>
  <c r="P1593" i="1"/>
  <c r="O1593" i="1"/>
  <c r="N1593" i="1"/>
  <c r="S1593" i="1" s="1"/>
  <c r="M1593" i="1"/>
  <c r="L1593" i="1"/>
  <c r="W1592" i="1"/>
  <c r="V1592" i="1"/>
  <c r="U1592" i="1"/>
  <c r="T1592" i="1"/>
  <c r="S1592" i="1"/>
  <c r="R1592" i="1"/>
  <c r="P1592" i="1"/>
  <c r="O1592" i="1"/>
  <c r="N1592" i="1"/>
  <c r="M1592" i="1"/>
  <c r="L1592" i="1"/>
  <c r="Q1592" i="1" s="1"/>
  <c r="V1591" i="1"/>
  <c r="U1591" i="1"/>
  <c r="T1591" i="1"/>
  <c r="S1591" i="1"/>
  <c r="R1591" i="1"/>
  <c r="Q1591" i="1"/>
  <c r="P1591" i="1"/>
  <c r="N1591" i="1"/>
  <c r="O1591" i="1" s="1"/>
  <c r="M1591" i="1"/>
  <c r="L1591" i="1"/>
  <c r="W1591" i="1" s="1"/>
  <c r="N1590" i="1"/>
  <c r="O1590" i="1" s="1"/>
  <c r="M1590" i="1"/>
  <c r="L1590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Q1588" i="1"/>
  <c r="N1588" i="1"/>
  <c r="S1588" i="1" s="1"/>
  <c r="M1588" i="1"/>
  <c r="R1588" i="1" s="1"/>
  <c r="L1588" i="1"/>
  <c r="W1587" i="1"/>
  <c r="V1587" i="1"/>
  <c r="U1587" i="1"/>
  <c r="T1587" i="1"/>
  <c r="S1587" i="1"/>
  <c r="R1587" i="1"/>
  <c r="P1587" i="1"/>
  <c r="O1587" i="1"/>
  <c r="N1587" i="1"/>
  <c r="M1587" i="1"/>
  <c r="L1587" i="1"/>
  <c r="Q1587" i="1" s="1"/>
  <c r="S1586" i="1"/>
  <c r="R1586" i="1"/>
  <c r="Q1586" i="1"/>
  <c r="P1586" i="1"/>
  <c r="N1586" i="1"/>
  <c r="O1586" i="1" s="1"/>
  <c r="M1586" i="1"/>
  <c r="L1586" i="1"/>
  <c r="W1586" i="1" s="1"/>
  <c r="N1585" i="1"/>
  <c r="O1585" i="1" s="1"/>
  <c r="M1585" i="1"/>
  <c r="L1585" i="1"/>
  <c r="W1584" i="1"/>
  <c r="V1584" i="1"/>
  <c r="U1584" i="1"/>
  <c r="T1584" i="1"/>
  <c r="R1584" i="1"/>
  <c r="Q1584" i="1"/>
  <c r="P1584" i="1"/>
  <c r="N1584" i="1"/>
  <c r="M1584" i="1"/>
  <c r="L1584" i="1"/>
  <c r="O1583" i="1"/>
  <c r="N1583" i="1"/>
  <c r="S1583" i="1" s="1"/>
  <c r="M1583" i="1"/>
  <c r="R1583" i="1" s="1"/>
  <c r="L1583" i="1"/>
  <c r="W1582" i="1"/>
  <c r="V1582" i="1"/>
  <c r="U1582" i="1"/>
  <c r="T1582" i="1"/>
  <c r="S1582" i="1"/>
  <c r="R1582" i="1"/>
  <c r="P1582" i="1"/>
  <c r="O1582" i="1"/>
  <c r="N1582" i="1"/>
  <c r="M1582" i="1"/>
  <c r="L1582" i="1"/>
  <c r="Q1582" i="1" s="1"/>
  <c r="V1581" i="1"/>
  <c r="U1581" i="1"/>
  <c r="T1581" i="1"/>
  <c r="Q1581" i="1"/>
  <c r="O1581" i="1"/>
  <c r="N1581" i="1"/>
  <c r="S1581" i="1" s="1"/>
  <c r="M1581" i="1"/>
  <c r="R1581" i="1" s="1"/>
  <c r="L1581" i="1"/>
  <c r="W1581" i="1" s="1"/>
  <c r="N1580" i="1"/>
  <c r="O1580" i="1" s="1"/>
  <c r="M1580" i="1"/>
  <c r="L1580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R1578" i="1"/>
  <c r="N1578" i="1"/>
  <c r="S1578" i="1" s="1"/>
  <c r="M1578" i="1"/>
  <c r="P1578" i="1" s="1"/>
  <c r="L1578" i="1"/>
  <c r="W1577" i="1"/>
  <c r="V1577" i="1"/>
  <c r="U1577" i="1"/>
  <c r="T1577" i="1"/>
  <c r="S1577" i="1"/>
  <c r="R1577" i="1"/>
  <c r="P1577" i="1"/>
  <c r="O1577" i="1"/>
  <c r="N1577" i="1"/>
  <c r="M1577" i="1"/>
  <c r="L1577" i="1"/>
  <c r="Q1577" i="1" s="1"/>
  <c r="O1576" i="1"/>
  <c r="N1576" i="1"/>
  <c r="S1576" i="1" s="1"/>
  <c r="M1576" i="1"/>
  <c r="L1576" i="1"/>
  <c r="N1575" i="1"/>
  <c r="M1575" i="1"/>
  <c r="L1575" i="1"/>
  <c r="W1574" i="1"/>
  <c r="V1574" i="1"/>
  <c r="U1574" i="1"/>
  <c r="T1574" i="1"/>
  <c r="S1574" i="1"/>
  <c r="R1574" i="1"/>
  <c r="Q1574" i="1"/>
  <c r="P1574" i="1"/>
  <c r="N1574" i="1"/>
  <c r="O1574" i="1" s="1"/>
  <c r="M1574" i="1"/>
  <c r="L1574" i="1"/>
  <c r="N1573" i="1"/>
  <c r="S1573" i="1" s="1"/>
  <c r="M1573" i="1"/>
  <c r="L1573" i="1"/>
  <c r="W1572" i="1"/>
  <c r="V1572" i="1"/>
  <c r="U1572" i="1"/>
  <c r="T1572" i="1"/>
  <c r="S1572" i="1"/>
  <c r="R1572" i="1"/>
  <c r="P1572" i="1"/>
  <c r="O1572" i="1"/>
  <c r="N1572" i="1"/>
  <c r="M1572" i="1"/>
  <c r="L1572" i="1"/>
  <c r="Q1572" i="1" s="1"/>
  <c r="O1571" i="1"/>
  <c r="N1571" i="1"/>
  <c r="S1571" i="1" s="1"/>
  <c r="M1571" i="1"/>
  <c r="L1571" i="1"/>
  <c r="W1570" i="1"/>
  <c r="V1570" i="1"/>
  <c r="T1570" i="1"/>
  <c r="S1570" i="1"/>
  <c r="N1570" i="1"/>
  <c r="O1570" i="1" s="1"/>
  <c r="M1570" i="1"/>
  <c r="R1570" i="1" s="1"/>
  <c r="L1570" i="1"/>
  <c r="N1569" i="1"/>
  <c r="M1569" i="1"/>
  <c r="L1569" i="1"/>
  <c r="W1568" i="1"/>
  <c r="U1568" i="1"/>
  <c r="T1568" i="1"/>
  <c r="R1568" i="1"/>
  <c r="N1568" i="1"/>
  <c r="S1568" i="1" s="1"/>
  <c r="M1568" i="1"/>
  <c r="P1568" i="1" s="1"/>
  <c r="L1568" i="1"/>
  <c r="N1567" i="1"/>
  <c r="S1567" i="1" s="1"/>
  <c r="M1567" i="1"/>
  <c r="L1567" i="1"/>
  <c r="V1566" i="1"/>
  <c r="U1566" i="1"/>
  <c r="N1566" i="1"/>
  <c r="M1566" i="1"/>
  <c r="L1566" i="1"/>
  <c r="Q1565" i="1"/>
  <c r="N1565" i="1"/>
  <c r="O1565" i="1" s="1"/>
  <c r="M1565" i="1"/>
  <c r="R1565" i="1" s="1"/>
  <c r="L1565" i="1"/>
  <c r="W1565" i="1" s="1"/>
  <c r="S1564" i="1"/>
  <c r="O1564" i="1"/>
  <c r="N1564" i="1"/>
  <c r="M1564" i="1"/>
  <c r="R1564" i="1" s="1"/>
  <c r="L1564" i="1"/>
  <c r="W1563" i="1"/>
  <c r="V1563" i="1"/>
  <c r="U1563" i="1"/>
  <c r="T1563" i="1"/>
  <c r="R1563" i="1"/>
  <c r="Q1563" i="1"/>
  <c r="P1563" i="1"/>
  <c r="O1563" i="1"/>
  <c r="N1563" i="1"/>
  <c r="S1563" i="1" s="1"/>
  <c r="M1563" i="1"/>
  <c r="L1563" i="1"/>
  <c r="V1562" i="1"/>
  <c r="U1562" i="1"/>
  <c r="T1562" i="1"/>
  <c r="R1562" i="1"/>
  <c r="Q1562" i="1"/>
  <c r="P1562" i="1"/>
  <c r="N1562" i="1"/>
  <c r="M1562" i="1"/>
  <c r="L1562" i="1"/>
  <c r="W1562" i="1" s="1"/>
  <c r="S1561" i="1"/>
  <c r="N1561" i="1"/>
  <c r="O1561" i="1" s="1"/>
  <c r="M1561" i="1"/>
  <c r="P1561" i="1" s="1"/>
  <c r="L1561" i="1"/>
  <c r="W1560" i="1"/>
  <c r="V1560" i="1"/>
  <c r="U1560" i="1"/>
  <c r="T1560" i="1"/>
  <c r="S1560" i="1"/>
  <c r="R1560" i="1"/>
  <c r="Q1560" i="1"/>
  <c r="N1560" i="1"/>
  <c r="O1560" i="1" s="1"/>
  <c r="M1560" i="1"/>
  <c r="P1560" i="1" s="1"/>
  <c r="L1560" i="1"/>
  <c r="N1559" i="1"/>
  <c r="S1559" i="1" s="1"/>
  <c r="M1559" i="1"/>
  <c r="R1559" i="1" s="1"/>
  <c r="L1559" i="1"/>
  <c r="T1558" i="1"/>
  <c r="O1558" i="1"/>
  <c r="N1558" i="1"/>
  <c r="S1558" i="1" s="1"/>
  <c r="M1558" i="1"/>
  <c r="R1558" i="1" s="1"/>
  <c r="L1558" i="1"/>
  <c r="N1557" i="1"/>
  <c r="S1557" i="1" s="1"/>
  <c r="M1557" i="1"/>
  <c r="R1557" i="1" s="1"/>
  <c r="L1557" i="1"/>
  <c r="V1556" i="1"/>
  <c r="U1556" i="1"/>
  <c r="T1556" i="1"/>
  <c r="S1556" i="1"/>
  <c r="R1556" i="1"/>
  <c r="Q1556" i="1"/>
  <c r="P1556" i="1"/>
  <c r="O1556" i="1"/>
  <c r="N1556" i="1"/>
  <c r="M1556" i="1"/>
  <c r="L1556" i="1"/>
  <c r="W1556" i="1" s="1"/>
  <c r="V1555" i="1"/>
  <c r="N1555" i="1"/>
  <c r="O1555" i="1" s="1"/>
  <c r="M1555" i="1"/>
  <c r="R1555" i="1" s="1"/>
  <c r="L1555" i="1"/>
  <c r="W1555" i="1" s="1"/>
  <c r="T1554" i="1"/>
  <c r="S1554" i="1"/>
  <c r="R1554" i="1"/>
  <c r="N1554" i="1"/>
  <c r="O1554" i="1" s="1"/>
  <c r="M1554" i="1"/>
  <c r="P1554" i="1" s="1"/>
  <c r="L1554" i="1"/>
  <c r="Q1554" i="1" s="1"/>
  <c r="W1553" i="1"/>
  <c r="V1553" i="1"/>
  <c r="N1553" i="1"/>
  <c r="S1553" i="1" s="1"/>
  <c r="M1553" i="1"/>
  <c r="R1553" i="1" s="1"/>
  <c r="L1553" i="1"/>
  <c r="U1553" i="1" s="1"/>
  <c r="N1552" i="1"/>
  <c r="S1552" i="1" s="1"/>
  <c r="M1552" i="1"/>
  <c r="L1552" i="1"/>
  <c r="V1551" i="1"/>
  <c r="U1551" i="1"/>
  <c r="T1551" i="1"/>
  <c r="N1551" i="1"/>
  <c r="S1551" i="1" s="1"/>
  <c r="M1551" i="1"/>
  <c r="R1551" i="1" s="1"/>
  <c r="L1551" i="1"/>
  <c r="W1551" i="1" s="1"/>
  <c r="N1550" i="1"/>
  <c r="M1550" i="1"/>
  <c r="L1550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N1548" i="1"/>
  <c r="M1548" i="1"/>
  <c r="R1548" i="1" s="1"/>
  <c r="L1548" i="1"/>
  <c r="W1547" i="1"/>
  <c r="V1547" i="1"/>
  <c r="U1547" i="1"/>
  <c r="S1547" i="1"/>
  <c r="N1547" i="1"/>
  <c r="O1547" i="1" s="1"/>
  <c r="M1547" i="1"/>
  <c r="P1547" i="1" s="1"/>
  <c r="L1547" i="1"/>
  <c r="Q1547" i="1" s="1"/>
  <c r="O1546" i="1"/>
  <c r="N1546" i="1"/>
  <c r="S1546" i="1" s="1"/>
  <c r="M1546" i="1"/>
  <c r="R1546" i="1" s="1"/>
  <c r="L1546" i="1"/>
  <c r="W1545" i="1"/>
  <c r="V1545" i="1"/>
  <c r="U1545" i="1"/>
  <c r="P1545" i="1"/>
  <c r="N1545" i="1"/>
  <c r="M1545" i="1"/>
  <c r="R1545" i="1" s="1"/>
  <c r="L1545" i="1"/>
  <c r="N1544" i="1"/>
  <c r="S1544" i="1" s="1"/>
  <c r="M1544" i="1"/>
  <c r="L1544" i="1"/>
  <c r="R1543" i="1"/>
  <c r="Q1543" i="1"/>
  <c r="P1543" i="1"/>
  <c r="O1543" i="1"/>
  <c r="N1543" i="1"/>
  <c r="S1543" i="1" s="1"/>
  <c r="M1543" i="1"/>
  <c r="L1543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U1541" i="1"/>
  <c r="T1541" i="1"/>
  <c r="S1541" i="1"/>
  <c r="R1541" i="1"/>
  <c r="Q1541" i="1"/>
  <c r="P1541" i="1"/>
  <c r="O1541" i="1"/>
  <c r="N1541" i="1"/>
  <c r="M1541" i="1"/>
  <c r="L1541" i="1"/>
  <c r="S1540" i="1"/>
  <c r="R1540" i="1"/>
  <c r="N1540" i="1"/>
  <c r="O1540" i="1" s="1"/>
  <c r="M1540" i="1"/>
  <c r="P1540" i="1" s="1"/>
  <c r="L1540" i="1"/>
  <c r="W1539" i="1"/>
  <c r="V1539" i="1"/>
  <c r="U1539" i="1"/>
  <c r="T1539" i="1"/>
  <c r="S1539" i="1"/>
  <c r="R1539" i="1"/>
  <c r="O1539" i="1"/>
  <c r="N1539" i="1"/>
  <c r="M1539" i="1"/>
  <c r="P1539" i="1" s="1"/>
  <c r="L1539" i="1"/>
  <c r="Q1539" i="1" s="1"/>
  <c r="N1538" i="1"/>
  <c r="S1538" i="1" s="1"/>
  <c r="M1538" i="1"/>
  <c r="L1538" i="1"/>
  <c r="W1537" i="1"/>
  <c r="V1537" i="1"/>
  <c r="U1537" i="1"/>
  <c r="T1537" i="1"/>
  <c r="S1537" i="1"/>
  <c r="R1537" i="1"/>
  <c r="Q1537" i="1"/>
  <c r="P1537" i="1"/>
  <c r="N1537" i="1"/>
  <c r="O1537" i="1" s="1"/>
  <c r="M1537" i="1"/>
  <c r="L1537" i="1"/>
  <c r="P1536" i="1"/>
  <c r="O1536" i="1"/>
  <c r="N1536" i="1"/>
  <c r="S1536" i="1" s="1"/>
  <c r="M1536" i="1"/>
  <c r="R1536" i="1" s="1"/>
  <c r="L1536" i="1"/>
  <c r="W1535" i="1"/>
  <c r="V1535" i="1"/>
  <c r="U1535" i="1"/>
  <c r="T1535" i="1"/>
  <c r="S1535" i="1"/>
  <c r="R1535" i="1"/>
  <c r="Q1535" i="1"/>
  <c r="P1535" i="1"/>
  <c r="N1535" i="1"/>
  <c r="O1535" i="1" s="1"/>
  <c r="M1535" i="1"/>
  <c r="L1535" i="1"/>
  <c r="N1534" i="1"/>
  <c r="S1534" i="1" s="1"/>
  <c r="M1534" i="1"/>
  <c r="R1534" i="1" s="1"/>
  <c r="L1534" i="1"/>
  <c r="W1533" i="1"/>
  <c r="V1533" i="1"/>
  <c r="U1533" i="1"/>
  <c r="T1533" i="1"/>
  <c r="R1533" i="1"/>
  <c r="Q1533" i="1"/>
  <c r="N1533" i="1"/>
  <c r="S1533" i="1" s="1"/>
  <c r="M1533" i="1"/>
  <c r="P1533" i="1" s="1"/>
  <c r="L1533" i="1"/>
  <c r="N1532" i="1"/>
  <c r="S1532" i="1" s="1"/>
  <c r="M1532" i="1"/>
  <c r="L1532" i="1"/>
  <c r="V1531" i="1"/>
  <c r="U1531" i="1"/>
  <c r="T1531" i="1"/>
  <c r="N1531" i="1"/>
  <c r="S1531" i="1" s="1"/>
  <c r="M1531" i="1"/>
  <c r="L1531" i="1"/>
  <c r="Q1530" i="1"/>
  <c r="N1530" i="1"/>
  <c r="O1530" i="1" s="1"/>
  <c r="M1530" i="1"/>
  <c r="R1530" i="1" s="1"/>
  <c r="L1530" i="1"/>
  <c r="W1530" i="1" s="1"/>
  <c r="W1529" i="1"/>
  <c r="R1529" i="1"/>
  <c r="P1529" i="1"/>
  <c r="N1529" i="1"/>
  <c r="S1529" i="1" s="1"/>
  <c r="M1529" i="1"/>
  <c r="L1529" i="1"/>
  <c r="W1528" i="1"/>
  <c r="V1528" i="1"/>
  <c r="U1528" i="1"/>
  <c r="T1528" i="1"/>
  <c r="R1528" i="1"/>
  <c r="Q1528" i="1"/>
  <c r="P1528" i="1"/>
  <c r="O1528" i="1"/>
  <c r="N1528" i="1"/>
  <c r="S1528" i="1" s="1"/>
  <c r="M1528" i="1"/>
  <c r="L1528" i="1"/>
  <c r="U1527" i="1"/>
  <c r="T1527" i="1"/>
  <c r="S1527" i="1"/>
  <c r="Q1527" i="1"/>
  <c r="N1527" i="1"/>
  <c r="O1527" i="1" s="1"/>
  <c r="M1527" i="1"/>
  <c r="R1527" i="1" s="1"/>
  <c r="L1527" i="1"/>
  <c r="S1526" i="1"/>
  <c r="R1526" i="1"/>
  <c r="N1526" i="1"/>
  <c r="O1526" i="1" s="1"/>
  <c r="M1526" i="1"/>
  <c r="P1526" i="1" s="1"/>
  <c r="L1526" i="1"/>
  <c r="W1526" i="1" s="1"/>
  <c r="W1525" i="1"/>
  <c r="V1525" i="1"/>
  <c r="U1525" i="1"/>
  <c r="T1525" i="1"/>
  <c r="S1525" i="1"/>
  <c r="R1525" i="1"/>
  <c r="Q1525" i="1"/>
  <c r="P1525" i="1"/>
  <c r="N1525" i="1"/>
  <c r="O1525" i="1" s="1"/>
  <c r="M1525" i="1"/>
  <c r="L1525" i="1"/>
  <c r="N1524" i="1"/>
  <c r="S1524" i="1" s="1"/>
  <c r="M1524" i="1"/>
  <c r="L1524" i="1"/>
  <c r="Q1524" i="1" s="1"/>
  <c r="N1523" i="1"/>
  <c r="S1523" i="1" s="1"/>
  <c r="M1523" i="1"/>
  <c r="P1523" i="1" s="1"/>
  <c r="L1523" i="1"/>
  <c r="N1522" i="1"/>
  <c r="S1522" i="1" s="1"/>
  <c r="M1522" i="1"/>
  <c r="R1522" i="1" s="1"/>
  <c r="L1522" i="1"/>
  <c r="V1521" i="1"/>
  <c r="U1521" i="1"/>
  <c r="T1521" i="1"/>
  <c r="R1521" i="1"/>
  <c r="Q1521" i="1"/>
  <c r="P1521" i="1"/>
  <c r="N1521" i="1"/>
  <c r="S1521" i="1" s="1"/>
  <c r="M1521" i="1"/>
  <c r="L1521" i="1"/>
  <c r="W1521" i="1" s="1"/>
  <c r="U1520" i="1"/>
  <c r="N1520" i="1"/>
  <c r="O1520" i="1" s="1"/>
  <c r="M1520" i="1"/>
  <c r="R1520" i="1" s="1"/>
  <c r="L1520" i="1"/>
  <c r="S1519" i="1"/>
  <c r="R1519" i="1"/>
  <c r="N1519" i="1"/>
  <c r="O1519" i="1" s="1"/>
  <c r="M1519" i="1"/>
  <c r="P1519" i="1" s="1"/>
  <c r="L1519" i="1"/>
  <c r="W1518" i="1"/>
  <c r="V1518" i="1"/>
  <c r="N1518" i="1"/>
  <c r="S1518" i="1" s="1"/>
  <c r="M1518" i="1"/>
  <c r="R1518" i="1" s="1"/>
  <c r="L1518" i="1"/>
  <c r="U1518" i="1" s="1"/>
  <c r="N1517" i="1"/>
  <c r="S1517" i="1" s="1"/>
  <c r="M1517" i="1"/>
  <c r="L1517" i="1"/>
  <c r="V1516" i="1"/>
  <c r="U1516" i="1"/>
  <c r="T1516" i="1"/>
  <c r="N1516" i="1"/>
  <c r="S1516" i="1" s="1"/>
  <c r="M1516" i="1"/>
  <c r="R1516" i="1" s="1"/>
  <c r="L1516" i="1"/>
  <c r="W1516" i="1" s="1"/>
  <c r="N1515" i="1"/>
  <c r="M1515" i="1"/>
  <c r="L1515" i="1"/>
  <c r="W1514" i="1"/>
  <c r="V1514" i="1"/>
  <c r="U1514" i="1"/>
  <c r="T1514" i="1"/>
  <c r="S1514" i="1"/>
  <c r="R1514" i="1"/>
  <c r="Q1514" i="1"/>
  <c r="P1514" i="1"/>
  <c r="N1514" i="1"/>
  <c r="O1514" i="1" s="1"/>
  <c r="M1514" i="1"/>
  <c r="L1514" i="1"/>
  <c r="O1513" i="1"/>
  <c r="N1513" i="1"/>
  <c r="S1513" i="1" s="1"/>
  <c r="M1513" i="1"/>
  <c r="L1513" i="1"/>
  <c r="W1512" i="1"/>
  <c r="V1512" i="1"/>
  <c r="U1512" i="1"/>
  <c r="T1512" i="1"/>
  <c r="S1512" i="1"/>
  <c r="R1512" i="1"/>
  <c r="N1512" i="1"/>
  <c r="O1512" i="1" s="1"/>
  <c r="M1512" i="1"/>
  <c r="P1512" i="1" s="1"/>
  <c r="L1512" i="1"/>
  <c r="Q1512" i="1" s="1"/>
  <c r="P1511" i="1"/>
  <c r="O1511" i="1"/>
  <c r="N1511" i="1"/>
  <c r="S1511" i="1" s="1"/>
  <c r="M1511" i="1"/>
  <c r="R1511" i="1" s="1"/>
  <c r="L1511" i="1"/>
  <c r="W1510" i="1"/>
  <c r="V1510" i="1"/>
  <c r="U1510" i="1"/>
  <c r="T1510" i="1"/>
  <c r="N1510" i="1"/>
  <c r="M1510" i="1"/>
  <c r="L1510" i="1"/>
  <c r="Q1510" i="1" s="1"/>
  <c r="O1509" i="1"/>
  <c r="N1509" i="1"/>
  <c r="S1509" i="1" s="1"/>
  <c r="M1509" i="1"/>
  <c r="L1509" i="1"/>
  <c r="W1508" i="1"/>
  <c r="Q1508" i="1"/>
  <c r="P1508" i="1"/>
  <c r="O1508" i="1"/>
  <c r="N1508" i="1"/>
  <c r="S1508" i="1" s="1"/>
  <c r="M1508" i="1"/>
  <c r="R1508" i="1" s="1"/>
  <c r="L1508" i="1"/>
  <c r="W1507" i="1"/>
  <c r="V1507" i="1"/>
  <c r="U1507" i="1"/>
  <c r="T1507" i="1"/>
  <c r="R1507" i="1"/>
  <c r="Q1507" i="1"/>
  <c r="P1507" i="1"/>
  <c r="N1507" i="1"/>
  <c r="M1507" i="1"/>
  <c r="L1507" i="1"/>
  <c r="T1506" i="1"/>
  <c r="S1506" i="1"/>
  <c r="R1506" i="1"/>
  <c r="Q1506" i="1"/>
  <c r="P1506" i="1"/>
  <c r="O1506" i="1"/>
  <c r="N1506" i="1"/>
  <c r="M1506" i="1"/>
  <c r="L1506" i="1"/>
  <c r="W1505" i="1"/>
  <c r="V1505" i="1"/>
  <c r="U1505" i="1"/>
  <c r="T1505" i="1"/>
  <c r="S1505" i="1"/>
  <c r="R1505" i="1"/>
  <c r="Q1505" i="1"/>
  <c r="N1505" i="1"/>
  <c r="O1505" i="1" s="1"/>
  <c r="M1505" i="1"/>
  <c r="P1505" i="1" s="1"/>
  <c r="L1505" i="1"/>
  <c r="W1504" i="1"/>
  <c r="V1504" i="1"/>
  <c r="U1504" i="1"/>
  <c r="T1504" i="1"/>
  <c r="S1504" i="1"/>
  <c r="R1504" i="1"/>
  <c r="O1504" i="1"/>
  <c r="N1504" i="1"/>
  <c r="M1504" i="1"/>
  <c r="P1504" i="1" s="1"/>
  <c r="L1504" i="1"/>
  <c r="Q1504" i="1" s="1"/>
  <c r="N1503" i="1"/>
  <c r="S1503" i="1" s="1"/>
  <c r="M1503" i="1"/>
  <c r="L1503" i="1"/>
  <c r="W1502" i="1"/>
  <c r="V1502" i="1"/>
  <c r="U1502" i="1"/>
  <c r="T1502" i="1"/>
  <c r="S1502" i="1"/>
  <c r="R1502" i="1"/>
  <c r="O1502" i="1"/>
  <c r="N1502" i="1"/>
  <c r="M1502" i="1"/>
  <c r="P1502" i="1" s="1"/>
  <c r="L1502" i="1"/>
  <c r="Q1502" i="1" s="1"/>
  <c r="N1501" i="1"/>
  <c r="S1501" i="1" s="1"/>
  <c r="M1501" i="1"/>
  <c r="L1501" i="1"/>
  <c r="W1500" i="1"/>
  <c r="V1500" i="1"/>
  <c r="U1500" i="1"/>
  <c r="T1500" i="1"/>
  <c r="S1500" i="1"/>
  <c r="R1500" i="1"/>
  <c r="Q1500" i="1"/>
  <c r="P1500" i="1"/>
  <c r="N1500" i="1"/>
  <c r="O1500" i="1" s="1"/>
  <c r="M1500" i="1"/>
  <c r="L1500" i="1"/>
  <c r="N1499" i="1"/>
  <c r="S1499" i="1" s="1"/>
  <c r="M1499" i="1"/>
  <c r="L1499" i="1"/>
  <c r="W1498" i="1"/>
  <c r="V1498" i="1"/>
  <c r="U1498" i="1"/>
  <c r="N1498" i="1"/>
  <c r="S1498" i="1" s="1"/>
  <c r="M1498" i="1"/>
  <c r="L1498" i="1"/>
  <c r="Q1498" i="1" s="1"/>
  <c r="P1497" i="1"/>
  <c r="O1497" i="1"/>
  <c r="N1497" i="1"/>
  <c r="S1497" i="1" s="1"/>
  <c r="M1497" i="1"/>
  <c r="R1497" i="1" s="1"/>
  <c r="L1497" i="1"/>
  <c r="S1496" i="1"/>
  <c r="R1496" i="1"/>
  <c r="Q1496" i="1"/>
  <c r="P1496" i="1"/>
  <c r="N1496" i="1"/>
  <c r="O1496" i="1" s="1"/>
  <c r="M1496" i="1"/>
  <c r="L1496" i="1"/>
  <c r="W1495" i="1"/>
  <c r="V1495" i="1"/>
  <c r="U1495" i="1"/>
  <c r="T1495" i="1"/>
  <c r="S1495" i="1"/>
  <c r="R1495" i="1"/>
  <c r="Q1495" i="1"/>
  <c r="P1495" i="1"/>
  <c r="N1495" i="1"/>
  <c r="O1495" i="1" s="1"/>
  <c r="M1495" i="1"/>
  <c r="L1495" i="1"/>
  <c r="W1494" i="1"/>
  <c r="V1494" i="1"/>
  <c r="U1494" i="1"/>
  <c r="T1494" i="1"/>
  <c r="N1494" i="1"/>
  <c r="S1494" i="1" s="1"/>
  <c r="M1494" i="1"/>
  <c r="R1494" i="1" s="1"/>
  <c r="L1494" i="1"/>
  <c r="Q1494" i="1" s="1"/>
  <c r="N1493" i="1"/>
  <c r="S1493" i="1" s="1"/>
  <c r="M1493" i="1"/>
  <c r="L1493" i="1"/>
  <c r="W1492" i="1"/>
  <c r="V1492" i="1"/>
  <c r="U1492" i="1"/>
  <c r="T1492" i="1"/>
  <c r="N1492" i="1"/>
  <c r="S1492" i="1" s="1"/>
  <c r="M1492" i="1"/>
  <c r="R1492" i="1" s="1"/>
  <c r="L1492" i="1"/>
  <c r="Q1492" i="1" s="1"/>
  <c r="O1491" i="1"/>
  <c r="N1491" i="1"/>
  <c r="S1491" i="1" s="1"/>
  <c r="M1491" i="1"/>
  <c r="L1491" i="1"/>
  <c r="W1490" i="1"/>
  <c r="V1490" i="1"/>
  <c r="U1490" i="1"/>
  <c r="T1490" i="1"/>
  <c r="S1490" i="1"/>
  <c r="R1490" i="1"/>
  <c r="Q1490" i="1"/>
  <c r="P1490" i="1"/>
  <c r="N1490" i="1"/>
  <c r="O1490" i="1" s="1"/>
  <c r="M1490" i="1"/>
  <c r="L1490" i="1"/>
  <c r="R1489" i="1"/>
  <c r="Q1489" i="1"/>
  <c r="P1489" i="1"/>
  <c r="O1489" i="1"/>
  <c r="N1489" i="1"/>
  <c r="S1489" i="1" s="1"/>
  <c r="M1489" i="1"/>
  <c r="L1489" i="1"/>
  <c r="W1488" i="1"/>
  <c r="N1488" i="1"/>
  <c r="S1488" i="1" s="1"/>
  <c r="M1488" i="1"/>
  <c r="L1488" i="1"/>
  <c r="Q1488" i="1" s="1"/>
  <c r="R1487" i="1"/>
  <c r="N1487" i="1"/>
  <c r="S1487" i="1" s="1"/>
  <c r="M1487" i="1"/>
  <c r="P1487" i="1" s="1"/>
  <c r="L1487" i="1"/>
  <c r="S1486" i="1"/>
  <c r="N1486" i="1"/>
  <c r="O1486" i="1" s="1"/>
  <c r="M1486" i="1"/>
  <c r="R1486" i="1" s="1"/>
  <c r="L1486" i="1"/>
  <c r="W1485" i="1"/>
  <c r="V1485" i="1"/>
  <c r="U1485" i="1"/>
  <c r="T1485" i="1"/>
  <c r="S1485" i="1"/>
  <c r="R1485" i="1"/>
  <c r="Q1485" i="1"/>
  <c r="P1485" i="1"/>
  <c r="N1485" i="1"/>
  <c r="O1485" i="1" s="1"/>
  <c r="M1485" i="1"/>
  <c r="L1485" i="1"/>
  <c r="W1484" i="1"/>
  <c r="V1484" i="1"/>
  <c r="N1484" i="1"/>
  <c r="S1484" i="1" s="1"/>
  <c r="M1484" i="1"/>
  <c r="R1484" i="1" s="1"/>
  <c r="L1484" i="1"/>
  <c r="U1484" i="1" s="1"/>
  <c r="O1483" i="1"/>
  <c r="N1483" i="1"/>
  <c r="S1483" i="1" s="1"/>
  <c r="M1483" i="1"/>
  <c r="L1483" i="1"/>
  <c r="W1482" i="1"/>
  <c r="V1482" i="1"/>
  <c r="N1482" i="1"/>
  <c r="S1482" i="1" s="1"/>
  <c r="M1482" i="1"/>
  <c r="R1482" i="1" s="1"/>
  <c r="L1482" i="1"/>
  <c r="U1482" i="1" s="1"/>
  <c r="Q1481" i="1"/>
  <c r="P1481" i="1"/>
  <c r="O1481" i="1"/>
  <c r="N1481" i="1"/>
  <c r="S1481" i="1" s="1"/>
  <c r="M1481" i="1"/>
  <c r="R1481" i="1" s="1"/>
  <c r="L1481" i="1"/>
  <c r="W1480" i="1"/>
  <c r="V1480" i="1"/>
  <c r="U1480" i="1"/>
  <c r="T1480" i="1"/>
  <c r="S1480" i="1"/>
  <c r="R1480" i="1"/>
  <c r="Q1480" i="1"/>
  <c r="P1480" i="1"/>
  <c r="N1480" i="1"/>
  <c r="O1480" i="1" s="1"/>
  <c r="M1480" i="1"/>
  <c r="L1480" i="1"/>
  <c r="W1479" i="1"/>
  <c r="V1479" i="1"/>
  <c r="U1479" i="1"/>
  <c r="T1479" i="1"/>
  <c r="S1479" i="1"/>
  <c r="Q1479" i="1"/>
  <c r="N1479" i="1"/>
  <c r="O1479" i="1" s="1"/>
  <c r="M1479" i="1"/>
  <c r="P1479" i="1" s="1"/>
  <c r="L1479" i="1"/>
  <c r="N1478" i="1"/>
  <c r="S1478" i="1" s="1"/>
  <c r="M1478" i="1"/>
  <c r="L1478" i="1"/>
  <c r="Q1478" i="1" s="1"/>
  <c r="W1477" i="1"/>
  <c r="V1477" i="1"/>
  <c r="U1477" i="1"/>
  <c r="T1477" i="1"/>
  <c r="Q1477" i="1"/>
  <c r="O1477" i="1"/>
  <c r="N1477" i="1"/>
  <c r="S1477" i="1" s="1"/>
  <c r="M1477" i="1"/>
  <c r="L1477" i="1"/>
  <c r="N1476" i="1"/>
  <c r="S1476" i="1" s="1"/>
  <c r="M1476" i="1"/>
  <c r="R1476" i="1" s="1"/>
  <c r="L1476" i="1"/>
  <c r="W1475" i="1"/>
  <c r="V1475" i="1"/>
  <c r="U1475" i="1"/>
  <c r="T1475" i="1"/>
  <c r="S1475" i="1"/>
  <c r="R1475" i="1"/>
  <c r="Q1475" i="1"/>
  <c r="P1475" i="1"/>
  <c r="N1475" i="1"/>
  <c r="O1475" i="1" s="1"/>
  <c r="M1475" i="1"/>
  <c r="L1475" i="1"/>
  <c r="P1474" i="1"/>
  <c r="O1474" i="1"/>
  <c r="N1474" i="1"/>
  <c r="S1474" i="1" s="1"/>
  <c r="M1474" i="1"/>
  <c r="R1474" i="1" s="1"/>
  <c r="L1474" i="1"/>
  <c r="W1474" i="1" s="1"/>
  <c r="O1473" i="1"/>
  <c r="N1473" i="1"/>
  <c r="S1473" i="1" s="1"/>
  <c r="M1473" i="1"/>
  <c r="L1473" i="1"/>
  <c r="Q1473" i="1" s="1"/>
  <c r="P1472" i="1"/>
  <c r="O1472" i="1"/>
  <c r="N1472" i="1"/>
  <c r="S1472" i="1" s="1"/>
  <c r="M1472" i="1"/>
  <c r="R1472" i="1" s="1"/>
  <c r="L1472" i="1"/>
  <c r="W1472" i="1" s="1"/>
  <c r="O1471" i="1"/>
  <c r="N1471" i="1"/>
  <c r="S1471" i="1" s="1"/>
  <c r="M1471" i="1"/>
  <c r="L1471" i="1"/>
  <c r="W1470" i="1"/>
  <c r="V1470" i="1"/>
  <c r="U1470" i="1"/>
  <c r="T1470" i="1"/>
  <c r="S1470" i="1"/>
  <c r="R1470" i="1"/>
  <c r="Q1470" i="1"/>
  <c r="P1470" i="1"/>
  <c r="N1470" i="1"/>
  <c r="O1470" i="1" s="1"/>
  <c r="M1470" i="1"/>
  <c r="L1470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O1468" i="1"/>
  <c r="N1468" i="1"/>
  <c r="S1468" i="1" s="1"/>
  <c r="M1468" i="1"/>
  <c r="L1468" i="1"/>
  <c r="Q1468" i="1" s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O1466" i="1"/>
  <c r="N1466" i="1"/>
  <c r="S1466" i="1" s="1"/>
  <c r="M1466" i="1"/>
  <c r="R1466" i="1" s="1"/>
  <c r="L1466" i="1"/>
  <c r="W1465" i="1"/>
  <c r="V1465" i="1"/>
  <c r="U1465" i="1"/>
  <c r="T1465" i="1"/>
  <c r="S1465" i="1"/>
  <c r="R1465" i="1"/>
  <c r="Q1465" i="1"/>
  <c r="P1465" i="1"/>
  <c r="N1465" i="1"/>
  <c r="O1465" i="1" s="1"/>
  <c r="M1465" i="1"/>
  <c r="L1465" i="1"/>
  <c r="N1464" i="1"/>
  <c r="S1464" i="1" s="1"/>
  <c r="M1464" i="1"/>
  <c r="P1464" i="1" s="1"/>
  <c r="L1464" i="1"/>
  <c r="W1463" i="1"/>
  <c r="V1463" i="1"/>
  <c r="U1463" i="1"/>
  <c r="T1463" i="1"/>
  <c r="N1463" i="1"/>
  <c r="M1463" i="1"/>
  <c r="L1463" i="1"/>
  <c r="Q1463" i="1" s="1"/>
  <c r="N1462" i="1"/>
  <c r="S1462" i="1" s="1"/>
  <c r="M1462" i="1"/>
  <c r="P1462" i="1" s="1"/>
  <c r="L1462" i="1"/>
  <c r="S1461" i="1"/>
  <c r="R1461" i="1"/>
  <c r="Q1461" i="1"/>
  <c r="P1461" i="1"/>
  <c r="O1461" i="1"/>
  <c r="N1461" i="1"/>
  <c r="M1461" i="1"/>
  <c r="L1461" i="1"/>
  <c r="W1460" i="1"/>
  <c r="V1460" i="1"/>
  <c r="U1460" i="1"/>
  <c r="T1460" i="1"/>
  <c r="S1460" i="1"/>
  <c r="R1460" i="1"/>
  <c r="Q1460" i="1"/>
  <c r="P1460" i="1"/>
  <c r="N1460" i="1"/>
  <c r="O1460" i="1" s="1"/>
  <c r="M1460" i="1"/>
  <c r="L1460" i="1"/>
  <c r="W1459" i="1"/>
  <c r="V1459" i="1"/>
  <c r="U1459" i="1"/>
  <c r="T1459" i="1"/>
  <c r="S1459" i="1"/>
  <c r="R1459" i="1"/>
  <c r="Q1459" i="1"/>
  <c r="P1459" i="1"/>
  <c r="N1459" i="1"/>
  <c r="O1459" i="1" s="1"/>
  <c r="M1459" i="1"/>
  <c r="L1459" i="1"/>
  <c r="N1458" i="1"/>
  <c r="S1458" i="1" s="1"/>
  <c r="M1458" i="1"/>
  <c r="L1458" i="1"/>
  <c r="W1457" i="1"/>
  <c r="V1457" i="1"/>
  <c r="U1457" i="1"/>
  <c r="T1457" i="1"/>
  <c r="S1457" i="1"/>
  <c r="R1457" i="1"/>
  <c r="Q1457" i="1"/>
  <c r="P1457" i="1"/>
  <c r="N1457" i="1"/>
  <c r="O1457" i="1" s="1"/>
  <c r="M1457" i="1"/>
  <c r="L1457" i="1"/>
  <c r="N1456" i="1"/>
  <c r="S1456" i="1" s="1"/>
  <c r="M1456" i="1"/>
  <c r="R1456" i="1" s="1"/>
  <c r="L1456" i="1"/>
  <c r="W1455" i="1"/>
  <c r="V1455" i="1"/>
  <c r="U1455" i="1"/>
  <c r="T1455" i="1"/>
  <c r="S1455" i="1"/>
  <c r="R1455" i="1"/>
  <c r="Q1455" i="1"/>
  <c r="P1455" i="1"/>
  <c r="N1455" i="1"/>
  <c r="O1455" i="1" s="1"/>
  <c r="M1455" i="1"/>
  <c r="L1455" i="1"/>
  <c r="T1454" i="1"/>
  <c r="O1454" i="1"/>
  <c r="N1454" i="1"/>
  <c r="S1454" i="1" s="1"/>
  <c r="M1454" i="1"/>
  <c r="L1454" i="1"/>
  <c r="W1453" i="1"/>
  <c r="V1453" i="1"/>
  <c r="U1453" i="1"/>
  <c r="T1453" i="1"/>
  <c r="O1453" i="1"/>
  <c r="N1453" i="1"/>
  <c r="S1453" i="1" s="1"/>
  <c r="M1453" i="1"/>
  <c r="L1453" i="1"/>
  <c r="Q1453" i="1" s="1"/>
  <c r="T1452" i="1"/>
  <c r="O1452" i="1"/>
  <c r="N1452" i="1"/>
  <c r="S1452" i="1" s="1"/>
  <c r="M1452" i="1"/>
  <c r="L1452" i="1"/>
  <c r="S1451" i="1"/>
  <c r="R1451" i="1"/>
  <c r="Q1451" i="1"/>
  <c r="P1451" i="1"/>
  <c r="O1451" i="1"/>
  <c r="N1451" i="1"/>
  <c r="M1451" i="1"/>
  <c r="L1451" i="1"/>
  <c r="W1450" i="1"/>
  <c r="V1450" i="1"/>
  <c r="U1450" i="1"/>
  <c r="T1450" i="1"/>
  <c r="S1450" i="1"/>
  <c r="R1450" i="1"/>
  <c r="Q1450" i="1"/>
  <c r="P1450" i="1"/>
  <c r="N1450" i="1"/>
  <c r="O1450" i="1" s="1"/>
  <c r="M1450" i="1"/>
  <c r="L1450" i="1"/>
  <c r="W1449" i="1"/>
  <c r="V1449" i="1"/>
  <c r="U1449" i="1"/>
  <c r="T1449" i="1"/>
  <c r="S1449" i="1"/>
  <c r="N1449" i="1"/>
  <c r="O1449" i="1" s="1"/>
  <c r="M1449" i="1"/>
  <c r="R1449" i="1" s="1"/>
  <c r="L1449" i="1"/>
  <c r="Q1449" i="1" s="1"/>
  <c r="N1448" i="1"/>
  <c r="M1448" i="1"/>
  <c r="L1448" i="1"/>
  <c r="W1447" i="1"/>
  <c r="V1447" i="1"/>
  <c r="U1447" i="1"/>
  <c r="T1447" i="1"/>
  <c r="S1447" i="1"/>
  <c r="N1447" i="1"/>
  <c r="O1447" i="1" s="1"/>
  <c r="M1447" i="1"/>
  <c r="R1447" i="1" s="1"/>
  <c r="L1447" i="1"/>
  <c r="Q1447" i="1" s="1"/>
  <c r="S1446" i="1"/>
  <c r="N1446" i="1"/>
  <c r="O1446" i="1" s="1"/>
  <c r="M1446" i="1"/>
  <c r="L1446" i="1"/>
  <c r="W1445" i="1"/>
  <c r="V1445" i="1"/>
  <c r="U1445" i="1"/>
  <c r="T1445" i="1"/>
  <c r="S1445" i="1"/>
  <c r="R1445" i="1"/>
  <c r="Q1445" i="1"/>
  <c r="P1445" i="1"/>
  <c r="N1445" i="1"/>
  <c r="O1445" i="1" s="1"/>
  <c r="M1445" i="1"/>
  <c r="L1445" i="1"/>
  <c r="Q1444" i="1"/>
  <c r="N1444" i="1"/>
  <c r="S1444" i="1" s="1"/>
  <c r="M1444" i="1"/>
  <c r="R1444" i="1" s="1"/>
  <c r="L1444" i="1"/>
  <c r="W1443" i="1"/>
  <c r="V1443" i="1"/>
  <c r="O1443" i="1"/>
  <c r="N1443" i="1"/>
  <c r="S1443" i="1" s="1"/>
  <c r="M1443" i="1"/>
  <c r="L1443" i="1"/>
  <c r="Q1443" i="1" s="1"/>
  <c r="Q1442" i="1"/>
  <c r="P1442" i="1"/>
  <c r="O1442" i="1"/>
  <c r="N1442" i="1"/>
  <c r="S1442" i="1" s="1"/>
  <c r="M1442" i="1"/>
  <c r="R1442" i="1" s="1"/>
  <c r="L1442" i="1"/>
  <c r="S1441" i="1"/>
  <c r="R1441" i="1"/>
  <c r="O1441" i="1"/>
  <c r="N1441" i="1"/>
  <c r="M1441" i="1"/>
  <c r="P1441" i="1" s="1"/>
  <c r="L1441" i="1"/>
  <c r="W1440" i="1"/>
  <c r="V1440" i="1"/>
  <c r="U1440" i="1"/>
  <c r="T1440" i="1"/>
  <c r="S1440" i="1"/>
  <c r="R1440" i="1"/>
  <c r="Q1440" i="1"/>
  <c r="P1440" i="1"/>
  <c r="N1440" i="1"/>
  <c r="O1440" i="1" s="1"/>
  <c r="M1440" i="1"/>
  <c r="L1440" i="1"/>
  <c r="W1439" i="1"/>
  <c r="V1439" i="1"/>
  <c r="U1439" i="1"/>
  <c r="N1439" i="1"/>
  <c r="S1439" i="1" s="1"/>
  <c r="M1439" i="1"/>
  <c r="L1439" i="1"/>
  <c r="T1439" i="1" s="1"/>
  <c r="N1438" i="1"/>
  <c r="S1438" i="1" s="1"/>
  <c r="M1438" i="1"/>
  <c r="L1438" i="1"/>
  <c r="W1437" i="1"/>
  <c r="V1437" i="1"/>
  <c r="U1437" i="1"/>
  <c r="N1437" i="1"/>
  <c r="S1437" i="1" s="1"/>
  <c r="M1437" i="1"/>
  <c r="L1437" i="1"/>
  <c r="T1437" i="1" s="1"/>
  <c r="P1436" i="1"/>
  <c r="N1436" i="1"/>
  <c r="M1436" i="1"/>
  <c r="R1436" i="1" s="1"/>
  <c r="L1436" i="1"/>
  <c r="W1435" i="1"/>
  <c r="V1435" i="1"/>
  <c r="U1435" i="1"/>
  <c r="T1435" i="1"/>
  <c r="S1435" i="1"/>
  <c r="R1435" i="1"/>
  <c r="Q1435" i="1"/>
  <c r="P1435" i="1"/>
  <c r="N1435" i="1"/>
  <c r="O1435" i="1" s="1"/>
  <c r="M1435" i="1"/>
  <c r="L1435" i="1"/>
  <c r="O1434" i="1"/>
  <c r="N1434" i="1"/>
  <c r="S1434" i="1" s="1"/>
  <c r="M1434" i="1"/>
  <c r="L1434" i="1"/>
  <c r="N1433" i="1"/>
  <c r="S1433" i="1" s="1"/>
  <c r="M1433" i="1"/>
  <c r="L1433" i="1"/>
  <c r="S1432" i="1"/>
  <c r="O1432" i="1"/>
  <c r="N1432" i="1"/>
  <c r="M1432" i="1"/>
  <c r="L1432" i="1"/>
  <c r="N1431" i="1"/>
  <c r="S1431" i="1" s="1"/>
  <c r="M1431" i="1"/>
  <c r="R1431" i="1" s="1"/>
  <c r="L1431" i="1"/>
  <c r="W1430" i="1"/>
  <c r="V1430" i="1"/>
  <c r="U1430" i="1"/>
  <c r="T1430" i="1"/>
  <c r="S1430" i="1"/>
  <c r="R1430" i="1"/>
  <c r="Q1430" i="1"/>
  <c r="P1430" i="1"/>
  <c r="N1430" i="1"/>
  <c r="O1430" i="1" s="1"/>
  <c r="M1430" i="1"/>
  <c r="L1430" i="1"/>
  <c r="W1429" i="1"/>
  <c r="O1429" i="1"/>
  <c r="N1429" i="1"/>
  <c r="S1429" i="1" s="1"/>
  <c r="M1429" i="1"/>
  <c r="R1429" i="1" s="1"/>
  <c r="L1429" i="1"/>
  <c r="V1429" i="1" s="1"/>
  <c r="V1428" i="1"/>
  <c r="N1428" i="1"/>
  <c r="S1428" i="1" s="1"/>
  <c r="M1428" i="1"/>
  <c r="L1428" i="1"/>
  <c r="W1427" i="1"/>
  <c r="O1427" i="1"/>
  <c r="N1427" i="1"/>
  <c r="S1427" i="1" s="1"/>
  <c r="M1427" i="1"/>
  <c r="R1427" i="1" s="1"/>
  <c r="L1427" i="1"/>
  <c r="V1427" i="1" s="1"/>
  <c r="Q1426" i="1"/>
  <c r="N1426" i="1"/>
  <c r="S1426" i="1" s="1"/>
  <c r="M1426" i="1"/>
  <c r="R1426" i="1" s="1"/>
  <c r="L1426" i="1"/>
  <c r="W1425" i="1"/>
  <c r="V1425" i="1"/>
  <c r="U1425" i="1"/>
  <c r="T1425" i="1"/>
  <c r="S1425" i="1"/>
  <c r="R1425" i="1"/>
  <c r="Q1425" i="1"/>
  <c r="P1425" i="1"/>
  <c r="N1425" i="1"/>
  <c r="O1425" i="1" s="1"/>
  <c r="M1425" i="1"/>
  <c r="L1425" i="1"/>
  <c r="W1424" i="1"/>
  <c r="V1424" i="1"/>
  <c r="U1424" i="1"/>
  <c r="T1424" i="1"/>
  <c r="R1424" i="1"/>
  <c r="Q1424" i="1"/>
  <c r="P1424" i="1"/>
  <c r="N1424" i="1"/>
  <c r="M1424" i="1"/>
  <c r="L1424" i="1"/>
  <c r="Q1423" i="1"/>
  <c r="N1423" i="1"/>
  <c r="S1423" i="1" s="1"/>
  <c r="M1423" i="1"/>
  <c r="L1423" i="1"/>
  <c r="W1422" i="1"/>
  <c r="V1422" i="1"/>
  <c r="U1422" i="1"/>
  <c r="T1422" i="1"/>
  <c r="S1422" i="1"/>
  <c r="R1422" i="1"/>
  <c r="Q1422" i="1"/>
  <c r="P1422" i="1"/>
  <c r="N1422" i="1"/>
  <c r="O1422" i="1" s="1"/>
  <c r="M1422" i="1"/>
  <c r="L1422" i="1"/>
  <c r="T1421" i="1"/>
  <c r="P1421" i="1"/>
  <c r="N1421" i="1"/>
  <c r="M1421" i="1"/>
  <c r="R1421" i="1" s="1"/>
  <c r="L1421" i="1"/>
  <c r="W1420" i="1"/>
  <c r="V1420" i="1"/>
  <c r="U1420" i="1"/>
  <c r="T1420" i="1"/>
  <c r="N1420" i="1"/>
  <c r="O1420" i="1" s="1"/>
  <c r="M1420" i="1"/>
  <c r="R1420" i="1" s="1"/>
  <c r="L1420" i="1"/>
  <c r="Q1420" i="1" s="1"/>
  <c r="Q1419" i="1"/>
  <c r="N1419" i="1"/>
  <c r="S1419" i="1" s="1"/>
  <c r="M1419" i="1"/>
  <c r="R1419" i="1" s="1"/>
  <c r="L1419" i="1"/>
  <c r="W1418" i="1"/>
  <c r="N1418" i="1"/>
  <c r="M1418" i="1"/>
  <c r="R1418" i="1" s="1"/>
  <c r="L1418" i="1"/>
  <c r="V1418" i="1" s="1"/>
  <c r="W1417" i="1"/>
  <c r="V1417" i="1"/>
  <c r="U1417" i="1"/>
  <c r="T1417" i="1"/>
  <c r="S1417" i="1"/>
  <c r="R1417" i="1"/>
  <c r="Q1417" i="1"/>
  <c r="P1417" i="1"/>
  <c r="N1417" i="1"/>
  <c r="O1417" i="1" s="1"/>
  <c r="M1417" i="1"/>
  <c r="L1417" i="1"/>
  <c r="N1416" i="1"/>
  <c r="S1416" i="1" s="1"/>
  <c r="M1416" i="1"/>
  <c r="L1416" i="1"/>
  <c r="W1415" i="1"/>
  <c r="V1415" i="1"/>
  <c r="U1415" i="1"/>
  <c r="T1415" i="1"/>
  <c r="S1415" i="1"/>
  <c r="R1415" i="1"/>
  <c r="Q1415" i="1"/>
  <c r="P1415" i="1"/>
  <c r="N1415" i="1"/>
  <c r="O1415" i="1" s="1"/>
  <c r="M1415" i="1"/>
  <c r="L1415" i="1"/>
  <c r="N1414" i="1"/>
  <c r="M1414" i="1"/>
  <c r="R1414" i="1" s="1"/>
  <c r="L1414" i="1"/>
  <c r="W1413" i="1"/>
  <c r="V1413" i="1"/>
  <c r="U1413" i="1"/>
  <c r="T1413" i="1"/>
  <c r="N1413" i="1"/>
  <c r="S1413" i="1" s="1"/>
  <c r="M1413" i="1"/>
  <c r="R1413" i="1" s="1"/>
  <c r="L1413" i="1"/>
  <c r="Q1413" i="1" s="1"/>
  <c r="Q1412" i="1"/>
  <c r="P1412" i="1"/>
  <c r="O1412" i="1"/>
  <c r="N1412" i="1"/>
  <c r="S1412" i="1" s="1"/>
  <c r="M1412" i="1"/>
  <c r="R1412" i="1" s="1"/>
  <c r="L1412" i="1"/>
  <c r="V1411" i="1"/>
  <c r="N1411" i="1"/>
  <c r="M1411" i="1"/>
  <c r="R1411" i="1" s="1"/>
  <c r="L1411" i="1"/>
  <c r="W1411" i="1" s="1"/>
  <c r="W1410" i="1"/>
  <c r="V1410" i="1"/>
  <c r="U1410" i="1"/>
  <c r="T1410" i="1"/>
  <c r="S1410" i="1"/>
  <c r="R1410" i="1"/>
  <c r="Q1410" i="1"/>
  <c r="N1410" i="1"/>
  <c r="O1410" i="1" s="1"/>
  <c r="M1410" i="1"/>
  <c r="P1410" i="1" s="1"/>
  <c r="L1410" i="1"/>
  <c r="Q1409" i="1"/>
  <c r="N1409" i="1"/>
  <c r="S1409" i="1" s="1"/>
  <c r="M1409" i="1"/>
  <c r="L1409" i="1"/>
  <c r="W1408" i="1"/>
  <c r="V1408" i="1"/>
  <c r="U1408" i="1"/>
  <c r="T1408" i="1"/>
  <c r="R1408" i="1"/>
  <c r="Q1408" i="1"/>
  <c r="P1408" i="1"/>
  <c r="O1408" i="1"/>
  <c r="N1408" i="1"/>
  <c r="S1408" i="1" s="1"/>
  <c r="M1408" i="1"/>
  <c r="L1408" i="1"/>
  <c r="O1407" i="1"/>
  <c r="N1407" i="1"/>
  <c r="S1407" i="1" s="1"/>
  <c r="M1407" i="1"/>
  <c r="R1407" i="1" s="1"/>
  <c r="L1407" i="1"/>
  <c r="V1406" i="1"/>
  <c r="U1406" i="1"/>
  <c r="T1406" i="1"/>
  <c r="S1406" i="1"/>
  <c r="N1406" i="1"/>
  <c r="O1406" i="1" s="1"/>
  <c r="M1406" i="1"/>
  <c r="R1406" i="1" s="1"/>
  <c r="L1406" i="1"/>
  <c r="W1406" i="1" s="1"/>
  <c r="W1405" i="1"/>
  <c r="R1405" i="1"/>
  <c r="Q1405" i="1"/>
  <c r="P1405" i="1"/>
  <c r="N1405" i="1"/>
  <c r="M1405" i="1"/>
  <c r="L1405" i="1"/>
  <c r="W1404" i="1"/>
  <c r="V1404" i="1"/>
  <c r="N1404" i="1"/>
  <c r="M1404" i="1"/>
  <c r="R1404" i="1" s="1"/>
  <c r="L1404" i="1"/>
  <c r="U1404" i="1" s="1"/>
  <c r="W1403" i="1"/>
  <c r="V1403" i="1"/>
  <c r="U1403" i="1"/>
  <c r="T1403" i="1"/>
  <c r="Q1403" i="1"/>
  <c r="N1403" i="1"/>
  <c r="S1403" i="1" s="1"/>
  <c r="M1403" i="1"/>
  <c r="L1403" i="1"/>
  <c r="Q1402" i="1"/>
  <c r="N1402" i="1"/>
  <c r="S1402" i="1" s="1"/>
  <c r="M1402" i="1"/>
  <c r="L1402" i="1"/>
  <c r="V1401" i="1"/>
  <c r="U1401" i="1"/>
  <c r="T1401" i="1"/>
  <c r="S1401" i="1"/>
  <c r="R1401" i="1"/>
  <c r="Q1401" i="1"/>
  <c r="P1401" i="1"/>
  <c r="O1401" i="1"/>
  <c r="N1401" i="1"/>
  <c r="M1401" i="1"/>
  <c r="L1401" i="1"/>
  <c r="W1401" i="1" s="1"/>
  <c r="N1400" i="1"/>
  <c r="M1400" i="1"/>
  <c r="L1400" i="1"/>
  <c r="W1399" i="1"/>
  <c r="V1399" i="1"/>
  <c r="U1399" i="1"/>
  <c r="T1399" i="1"/>
  <c r="S1399" i="1"/>
  <c r="N1399" i="1"/>
  <c r="O1399" i="1" s="1"/>
  <c r="M1399" i="1"/>
  <c r="R1399" i="1" s="1"/>
  <c r="L1399" i="1"/>
  <c r="Q1399" i="1" s="1"/>
  <c r="R1398" i="1"/>
  <c r="N1398" i="1"/>
  <c r="S1398" i="1" s="1"/>
  <c r="M1398" i="1"/>
  <c r="P1398" i="1" s="1"/>
  <c r="L1398" i="1"/>
  <c r="W1397" i="1"/>
  <c r="V1397" i="1"/>
  <c r="N1397" i="1"/>
  <c r="M1397" i="1"/>
  <c r="R1397" i="1" s="1"/>
  <c r="L1397" i="1"/>
  <c r="U1397" i="1" s="1"/>
  <c r="V1396" i="1"/>
  <c r="U1396" i="1"/>
  <c r="T1396" i="1"/>
  <c r="Q1396" i="1"/>
  <c r="P1396" i="1"/>
  <c r="N1396" i="1"/>
  <c r="M1396" i="1"/>
  <c r="R1396" i="1" s="1"/>
  <c r="L1396" i="1"/>
  <c r="W1396" i="1" s="1"/>
  <c r="N1395" i="1"/>
  <c r="O1395" i="1" s="1"/>
  <c r="M1395" i="1"/>
  <c r="L1395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R1393" i="1"/>
  <c r="P1393" i="1"/>
  <c r="O1393" i="1"/>
  <c r="N1393" i="1"/>
  <c r="S1393" i="1" s="1"/>
  <c r="M1393" i="1"/>
  <c r="L1393" i="1"/>
  <c r="W1392" i="1"/>
  <c r="V1392" i="1"/>
  <c r="U1392" i="1"/>
  <c r="T1392" i="1"/>
  <c r="S1392" i="1"/>
  <c r="N1392" i="1"/>
  <c r="O1392" i="1" s="1"/>
  <c r="M1392" i="1"/>
  <c r="R1392" i="1" s="1"/>
  <c r="L1392" i="1"/>
  <c r="Q1392" i="1" s="1"/>
  <c r="Q1391" i="1"/>
  <c r="P1391" i="1"/>
  <c r="O1391" i="1"/>
  <c r="N1391" i="1"/>
  <c r="S1391" i="1" s="1"/>
  <c r="M1391" i="1"/>
  <c r="R1391" i="1" s="1"/>
  <c r="L1391" i="1"/>
  <c r="N1390" i="1"/>
  <c r="O1390" i="1" s="1"/>
  <c r="M1390" i="1"/>
  <c r="L1390" i="1"/>
  <c r="W1389" i="1"/>
  <c r="V1389" i="1"/>
  <c r="U1389" i="1"/>
  <c r="T1389" i="1"/>
  <c r="Q1389" i="1"/>
  <c r="N1389" i="1"/>
  <c r="S1389" i="1" s="1"/>
  <c r="M1389" i="1"/>
  <c r="R1389" i="1" s="1"/>
  <c r="L1389" i="1"/>
  <c r="P1388" i="1"/>
  <c r="O1388" i="1"/>
  <c r="N1388" i="1"/>
  <c r="S1388" i="1" s="1"/>
  <c r="M1388" i="1"/>
  <c r="R1388" i="1" s="1"/>
  <c r="L1388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S1386" i="1"/>
  <c r="R1386" i="1"/>
  <c r="P1386" i="1"/>
  <c r="N1386" i="1"/>
  <c r="O1386" i="1" s="1"/>
  <c r="M1386" i="1"/>
  <c r="L1386" i="1"/>
  <c r="W1385" i="1"/>
  <c r="V1385" i="1"/>
  <c r="U1385" i="1"/>
  <c r="T1385" i="1"/>
  <c r="S1385" i="1"/>
  <c r="N1385" i="1"/>
  <c r="O1385" i="1" s="1"/>
  <c r="M1385" i="1"/>
  <c r="R1385" i="1" s="1"/>
  <c r="L1385" i="1"/>
  <c r="Q1385" i="1" s="1"/>
  <c r="P1384" i="1"/>
  <c r="N1384" i="1"/>
  <c r="M1384" i="1"/>
  <c r="R1384" i="1" s="1"/>
  <c r="L1384" i="1"/>
  <c r="N1383" i="1"/>
  <c r="S1383" i="1" s="1"/>
  <c r="M1383" i="1"/>
  <c r="L1383" i="1"/>
  <c r="W1382" i="1"/>
  <c r="V1382" i="1"/>
  <c r="U1382" i="1"/>
  <c r="T1382" i="1"/>
  <c r="S1382" i="1"/>
  <c r="Q1382" i="1"/>
  <c r="O1382" i="1"/>
  <c r="N1382" i="1"/>
  <c r="M1382" i="1"/>
  <c r="L1382" i="1"/>
  <c r="P1381" i="1"/>
  <c r="O1381" i="1"/>
  <c r="N1381" i="1"/>
  <c r="S1381" i="1" s="1"/>
  <c r="M1381" i="1"/>
  <c r="R1381" i="1" s="1"/>
  <c r="L1381" i="1"/>
  <c r="W1380" i="1"/>
  <c r="V1380" i="1"/>
  <c r="U1380" i="1"/>
  <c r="T1380" i="1"/>
  <c r="S1380" i="1"/>
  <c r="R1380" i="1"/>
  <c r="Q1380" i="1"/>
  <c r="P1380" i="1"/>
  <c r="N1380" i="1"/>
  <c r="O1380" i="1" s="1"/>
  <c r="M1380" i="1"/>
  <c r="L1380" i="1"/>
  <c r="P1379" i="1"/>
  <c r="N1379" i="1"/>
  <c r="M1379" i="1"/>
  <c r="R1379" i="1" s="1"/>
  <c r="L1379" i="1"/>
  <c r="W1378" i="1"/>
  <c r="V1378" i="1"/>
  <c r="U1378" i="1"/>
  <c r="T1378" i="1"/>
  <c r="R1378" i="1"/>
  <c r="N1378" i="1"/>
  <c r="S1378" i="1" s="1"/>
  <c r="M1378" i="1"/>
  <c r="P1378" i="1" s="1"/>
  <c r="L1378" i="1"/>
  <c r="Q1378" i="1" s="1"/>
  <c r="N1377" i="1"/>
  <c r="M1377" i="1"/>
  <c r="R1377" i="1" s="1"/>
  <c r="L1377" i="1"/>
  <c r="N1376" i="1"/>
  <c r="S1376" i="1" s="1"/>
  <c r="M1376" i="1"/>
  <c r="L1376" i="1"/>
  <c r="V1375" i="1"/>
  <c r="U1375" i="1"/>
  <c r="T1375" i="1"/>
  <c r="S1375" i="1"/>
  <c r="R1375" i="1"/>
  <c r="Q1375" i="1"/>
  <c r="P1375" i="1"/>
  <c r="N1375" i="1"/>
  <c r="O1375" i="1" s="1"/>
  <c r="M1375" i="1"/>
  <c r="L1375" i="1"/>
  <c r="W1375" i="1" s="1"/>
  <c r="N1374" i="1"/>
  <c r="M1374" i="1"/>
  <c r="R1374" i="1" s="1"/>
  <c r="L1374" i="1"/>
  <c r="W1373" i="1"/>
  <c r="V1373" i="1"/>
  <c r="U1373" i="1"/>
  <c r="T1373" i="1"/>
  <c r="R1373" i="1"/>
  <c r="Q1373" i="1"/>
  <c r="P1373" i="1"/>
  <c r="O1373" i="1"/>
  <c r="N1373" i="1"/>
  <c r="S1373" i="1" s="1"/>
  <c r="M1373" i="1"/>
  <c r="L1373" i="1"/>
  <c r="S1372" i="1"/>
  <c r="O1372" i="1"/>
  <c r="N1372" i="1"/>
  <c r="M1372" i="1"/>
  <c r="L1372" i="1"/>
  <c r="V1371" i="1"/>
  <c r="U1371" i="1"/>
  <c r="T1371" i="1"/>
  <c r="S1371" i="1"/>
  <c r="R1371" i="1"/>
  <c r="N1371" i="1"/>
  <c r="O1371" i="1" s="1"/>
  <c r="M1371" i="1"/>
  <c r="P1371" i="1" s="1"/>
  <c r="L1371" i="1"/>
  <c r="W1371" i="1" s="1"/>
  <c r="V1370" i="1"/>
  <c r="U1370" i="1"/>
  <c r="T1370" i="1"/>
  <c r="S1370" i="1"/>
  <c r="R1370" i="1"/>
  <c r="Q1370" i="1"/>
  <c r="N1370" i="1"/>
  <c r="O1370" i="1" s="1"/>
  <c r="M1370" i="1"/>
  <c r="P1370" i="1" s="1"/>
  <c r="L1370" i="1"/>
  <c r="W1370" i="1" s="1"/>
  <c r="W1369" i="1"/>
  <c r="V1369" i="1"/>
  <c r="U1369" i="1"/>
  <c r="N1369" i="1"/>
  <c r="S1369" i="1" s="1"/>
  <c r="M1369" i="1"/>
  <c r="L1369" i="1"/>
  <c r="W1368" i="1"/>
  <c r="V1368" i="1"/>
  <c r="U1368" i="1"/>
  <c r="T1368" i="1"/>
  <c r="R1368" i="1"/>
  <c r="Q1368" i="1"/>
  <c r="P1368" i="1"/>
  <c r="N1368" i="1"/>
  <c r="S1368" i="1" s="1"/>
  <c r="M1368" i="1"/>
  <c r="L1368" i="1"/>
  <c r="O1367" i="1"/>
  <c r="N1367" i="1"/>
  <c r="S1367" i="1" s="1"/>
  <c r="M1367" i="1"/>
  <c r="L1367" i="1"/>
  <c r="V1366" i="1"/>
  <c r="U1366" i="1"/>
  <c r="T1366" i="1"/>
  <c r="S1366" i="1"/>
  <c r="R1366" i="1"/>
  <c r="Q1366" i="1"/>
  <c r="P1366" i="1"/>
  <c r="O1366" i="1"/>
  <c r="N1366" i="1"/>
  <c r="M1366" i="1"/>
  <c r="L1366" i="1"/>
  <c r="W1366" i="1" s="1"/>
  <c r="S1365" i="1"/>
  <c r="R1365" i="1"/>
  <c r="Q1365" i="1"/>
  <c r="N1365" i="1"/>
  <c r="O1365" i="1" s="1"/>
  <c r="M1365" i="1"/>
  <c r="P1365" i="1" s="1"/>
  <c r="L1365" i="1"/>
  <c r="W1364" i="1"/>
  <c r="V1364" i="1"/>
  <c r="U1364" i="1"/>
  <c r="T1364" i="1"/>
  <c r="S1364" i="1"/>
  <c r="R1364" i="1"/>
  <c r="N1364" i="1"/>
  <c r="O1364" i="1" s="1"/>
  <c r="M1364" i="1"/>
  <c r="P1364" i="1" s="1"/>
  <c r="L1364" i="1"/>
  <c r="Q1364" i="1" s="1"/>
  <c r="V1363" i="1"/>
  <c r="U1363" i="1"/>
  <c r="T1363" i="1"/>
  <c r="R1363" i="1"/>
  <c r="Q1363" i="1"/>
  <c r="P1363" i="1"/>
  <c r="O1363" i="1"/>
  <c r="N1363" i="1"/>
  <c r="S1363" i="1" s="1"/>
  <c r="M1363" i="1"/>
  <c r="L1363" i="1"/>
  <c r="W1363" i="1" s="1"/>
  <c r="V1362" i="1"/>
  <c r="N1362" i="1"/>
  <c r="S1362" i="1" s="1"/>
  <c r="M1362" i="1"/>
  <c r="L1362" i="1"/>
  <c r="U1361" i="1"/>
  <c r="T1361" i="1"/>
  <c r="Q1361" i="1"/>
  <c r="N1361" i="1"/>
  <c r="S1361" i="1" s="1"/>
  <c r="M1361" i="1"/>
  <c r="R1361" i="1" s="1"/>
  <c r="L1361" i="1"/>
  <c r="W1361" i="1" s="1"/>
  <c r="N1360" i="1"/>
  <c r="M1360" i="1"/>
  <c r="R1360" i="1" s="1"/>
  <c r="L1360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R1358" i="1"/>
  <c r="Q1358" i="1"/>
  <c r="P1358" i="1"/>
  <c r="O1358" i="1"/>
  <c r="N1358" i="1"/>
  <c r="S1358" i="1" s="1"/>
  <c r="M1358" i="1"/>
  <c r="L1358" i="1"/>
  <c r="W1357" i="1"/>
  <c r="V1357" i="1"/>
  <c r="U1357" i="1"/>
  <c r="T1357" i="1"/>
  <c r="S1357" i="1"/>
  <c r="R1357" i="1"/>
  <c r="N1357" i="1"/>
  <c r="O1357" i="1" s="1"/>
  <c r="M1357" i="1"/>
  <c r="P1357" i="1" s="1"/>
  <c r="L1357" i="1"/>
  <c r="Q1357" i="1" s="1"/>
  <c r="U1356" i="1"/>
  <c r="T1356" i="1"/>
  <c r="S1356" i="1"/>
  <c r="R1356" i="1"/>
  <c r="Q1356" i="1"/>
  <c r="P1356" i="1"/>
  <c r="O1356" i="1"/>
  <c r="N1356" i="1"/>
  <c r="M1356" i="1"/>
  <c r="L1356" i="1"/>
  <c r="U1355" i="1"/>
  <c r="N1355" i="1"/>
  <c r="O1355" i="1" s="1"/>
  <c r="M1355" i="1"/>
  <c r="R1355" i="1" s="1"/>
  <c r="L1355" i="1"/>
  <c r="W1354" i="1"/>
  <c r="U1354" i="1"/>
  <c r="T1354" i="1"/>
  <c r="S1354" i="1"/>
  <c r="R1354" i="1"/>
  <c r="Q1354" i="1"/>
  <c r="P1354" i="1"/>
  <c r="N1354" i="1"/>
  <c r="O1354" i="1" s="1"/>
  <c r="M1354" i="1"/>
  <c r="L1354" i="1"/>
  <c r="V1354" i="1" s="1"/>
  <c r="O1353" i="1"/>
  <c r="N1353" i="1"/>
  <c r="S1353" i="1" s="1"/>
  <c r="M1353" i="1"/>
  <c r="L1353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R1351" i="1"/>
  <c r="Q1351" i="1"/>
  <c r="P1351" i="1"/>
  <c r="O1351" i="1"/>
  <c r="N1351" i="1"/>
  <c r="S1351" i="1" s="1"/>
  <c r="M1351" i="1"/>
  <c r="L1351" i="1"/>
  <c r="W1350" i="1"/>
  <c r="V1350" i="1"/>
  <c r="U1350" i="1"/>
  <c r="T1350" i="1"/>
  <c r="S1350" i="1"/>
  <c r="R1350" i="1"/>
  <c r="N1350" i="1"/>
  <c r="O1350" i="1" s="1"/>
  <c r="M1350" i="1"/>
  <c r="P1350" i="1" s="1"/>
  <c r="L1350" i="1"/>
  <c r="Q1350" i="1" s="1"/>
  <c r="U1349" i="1"/>
  <c r="T1349" i="1"/>
  <c r="S1349" i="1"/>
  <c r="R1349" i="1"/>
  <c r="Q1349" i="1"/>
  <c r="P1349" i="1"/>
  <c r="O1349" i="1"/>
  <c r="N1349" i="1"/>
  <c r="M1349" i="1"/>
  <c r="L1349" i="1"/>
  <c r="N1348" i="1"/>
  <c r="S1348" i="1" s="1"/>
  <c r="M1348" i="1"/>
  <c r="R1348" i="1" s="1"/>
  <c r="L1348" i="1"/>
  <c r="W1347" i="1"/>
  <c r="U1347" i="1"/>
  <c r="T1347" i="1"/>
  <c r="Q1347" i="1"/>
  <c r="N1347" i="1"/>
  <c r="O1347" i="1" s="1"/>
  <c r="M1347" i="1"/>
  <c r="P1347" i="1" s="1"/>
  <c r="L1347" i="1"/>
  <c r="V1347" i="1" s="1"/>
  <c r="O1346" i="1"/>
  <c r="N1346" i="1"/>
  <c r="S1346" i="1" s="1"/>
  <c r="M1346" i="1"/>
  <c r="L1346" i="1"/>
  <c r="W1345" i="1"/>
  <c r="V1345" i="1"/>
  <c r="U1345" i="1"/>
  <c r="T1345" i="1"/>
  <c r="R1345" i="1"/>
  <c r="Q1345" i="1"/>
  <c r="P1345" i="1"/>
  <c r="N1345" i="1"/>
  <c r="M1345" i="1"/>
  <c r="L1345" i="1"/>
  <c r="R1344" i="1"/>
  <c r="Q1344" i="1"/>
  <c r="P1344" i="1"/>
  <c r="O1344" i="1"/>
  <c r="N1344" i="1"/>
  <c r="S1344" i="1" s="1"/>
  <c r="M1344" i="1"/>
  <c r="L1344" i="1"/>
  <c r="W1343" i="1"/>
  <c r="V1343" i="1"/>
  <c r="U1343" i="1"/>
  <c r="T1343" i="1"/>
  <c r="R1343" i="1"/>
  <c r="Q1343" i="1"/>
  <c r="N1343" i="1"/>
  <c r="S1343" i="1" s="1"/>
  <c r="M1343" i="1"/>
  <c r="P1343" i="1" s="1"/>
  <c r="L1343" i="1"/>
  <c r="U1342" i="1"/>
  <c r="T1342" i="1"/>
  <c r="S1342" i="1"/>
  <c r="R1342" i="1"/>
  <c r="Q1342" i="1"/>
  <c r="P1342" i="1"/>
  <c r="N1342" i="1"/>
  <c r="O1342" i="1" s="1"/>
  <c r="M1342" i="1"/>
  <c r="L1342" i="1"/>
  <c r="N1341" i="1"/>
  <c r="S1341" i="1" s="1"/>
  <c r="M1341" i="1"/>
  <c r="R1341" i="1" s="1"/>
  <c r="L1341" i="1"/>
  <c r="N1340" i="1"/>
  <c r="O1340" i="1" s="1"/>
  <c r="M1340" i="1"/>
  <c r="L1340" i="1"/>
  <c r="W1339" i="1"/>
  <c r="O1339" i="1"/>
  <c r="N1339" i="1"/>
  <c r="S1339" i="1" s="1"/>
  <c r="M1339" i="1"/>
  <c r="L1339" i="1"/>
  <c r="W1338" i="1"/>
  <c r="V1338" i="1"/>
  <c r="U1338" i="1"/>
  <c r="T1338" i="1"/>
  <c r="R1338" i="1"/>
  <c r="Q1338" i="1"/>
  <c r="P1338" i="1"/>
  <c r="N1338" i="1"/>
  <c r="M1338" i="1"/>
  <c r="L1338" i="1"/>
  <c r="R1337" i="1"/>
  <c r="Q1337" i="1"/>
  <c r="P1337" i="1"/>
  <c r="O1337" i="1"/>
  <c r="N1337" i="1"/>
  <c r="S1337" i="1" s="1"/>
  <c r="M1337" i="1"/>
  <c r="L1337" i="1"/>
  <c r="V1336" i="1"/>
  <c r="U1336" i="1"/>
  <c r="T1336" i="1"/>
  <c r="S1336" i="1"/>
  <c r="R1336" i="1"/>
  <c r="Q1336" i="1"/>
  <c r="O1336" i="1"/>
  <c r="N1336" i="1"/>
  <c r="M1336" i="1"/>
  <c r="P1336" i="1" s="1"/>
  <c r="L1336" i="1"/>
  <c r="W1336" i="1" s="1"/>
  <c r="U1335" i="1"/>
  <c r="T1335" i="1"/>
  <c r="Q1335" i="1"/>
  <c r="N1335" i="1"/>
  <c r="M1335" i="1"/>
  <c r="L1335" i="1"/>
  <c r="N1334" i="1"/>
  <c r="S1334" i="1" s="1"/>
  <c r="M1334" i="1"/>
  <c r="R1334" i="1" s="1"/>
  <c r="L1334" i="1"/>
  <c r="W1333" i="1"/>
  <c r="V1333" i="1"/>
  <c r="O1333" i="1"/>
  <c r="N1333" i="1"/>
  <c r="S1333" i="1" s="1"/>
  <c r="M1333" i="1"/>
  <c r="R1333" i="1" s="1"/>
  <c r="L1333" i="1"/>
  <c r="W1332" i="1"/>
  <c r="O1332" i="1"/>
  <c r="N1332" i="1"/>
  <c r="S1332" i="1" s="1"/>
  <c r="M1332" i="1"/>
  <c r="L1332" i="1"/>
  <c r="V1331" i="1"/>
  <c r="U1331" i="1"/>
  <c r="T1331" i="1"/>
  <c r="R1331" i="1"/>
  <c r="Q1331" i="1"/>
  <c r="P1331" i="1"/>
  <c r="N1331" i="1"/>
  <c r="M1331" i="1"/>
  <c r="L1331" i="1"/>
  <c r="W1331" i="1" s="1"/>
  <c r="Q1330" i="1"/>
  <c r="N1330" i="1"/>
  <c r="M1330" i="1"/>
  <c r="R1330" i="1" s="1"/>
  <c r="L1330" i="1"/>
  <c r="W1329" i="1"/>
  <c r="V1329" i="1"/>
  <c r="U1329" i="1"/>
  <c r="T1329" i="1"/>
  <c r="S1329" i="1"/>
  <c r="R1329" i="1"/>
  <c r="Q1329" i="1"/>
  <c r="O1329" i="1"/>
  <c r="N1329" i="1"/>
  <c r="M1329" i="1"/>
  <c r="P1329" i="1" s="1"/>
  <c r="L1329" i="1"/>
  <c r="U1328" i="1"/>
  <c r="T1328" i="1"/>
  <c r="Q1328" i="1"/>
  <c r="N1328" i="1"/>
  <c r="S1328" i="1" s="1"/>
  <c r="M1328" i="1"/>
  <c r="R1328" i="1" s="1"/>
  <c r="L1328" i="1"/>
  <c r="N1327" i="1"/>
  <c r="S1327" i="1" s="1"/>
  <c r="M1327" i="1"/>
  <c r="R1327" i="1" s="1"/>
  <c r="L1327" i="1"/>
  <c r="U1326" i="1"/>
  <c r="R1326" i="1"/>
  <c r="Q1326" i="1"/>
  <c r="N1326" i="1"/>
  <c r="S1326" i="1" s="1"/>
  <c r="M1326" i="1"/>
  <c r="P1326" i="1" s="1"/>
  <c r="L1326" i="1"/>
  <c r="W1325" i="1"/>
  <c r="N1325" i="1"/>
  <c r="M1325" i="1"/>
  <c r="L1325" i="1"/>
  <c r="W1324" i="1"/>
  <c r="V1324" i="1"/>
  <c r="U1324" i="1"/>
  <c r="T1324" i="1"/>
  <c r="R1324" i="1"/>
  <c r="Q1324" i="1"/>
  <c r="P1324" i="1"/>
  <c r="N1324" i="1"/>
  <c r="M1324" i="1"/>
  <c r="L1324" i="1"/>
  <c r="Q1323" i="1"/>
  <c r="N1323" i="1"/>
  <c r="M1323" i="1"/>
  <c r="L1323" i="1"/>
  <c r="W1322" i="1"/>
  <c r="V1322" i="1"/>
  <c r="U1322" i="1"/>
  <c r="T1322" i="1"/>
  <c r="S1322" i="1"/>
  <c r="R1322" i="1"/>
  <c r="Q1322" i="1"/>
  <c r="O1322" i="1"/>
  <c r="N1322" i="1"/>
  <c r="M1322" i="1"/>
  <c r="P1322" i="1" s="1"/>
  <c r="L1322" i="1"/>
  <c r="T1321" i="1"/>
  <c r="S1321" i="1"/>
  <c r="Q1321" i="1"/>
  <c r="N1321" i="1"/>
  <c r="O1321" i="1" s="1"/>
  <c r="M1321" i="1"/>
  <c r="P1321" i="1" s="1"/>
  <c r="L1321" i="1"/>
  <c r="N1320" i="1"/>
  <c r="S1320" i="1" s="1"/>
  <c r="M1320" i="1"/>
  <c r="R1320" i="1" s="1"/>
  <c r="L1320" i="1"/>
  <c r="N1319" i="1"/>
  <c r="S1319" i="1" s="1"/>
  <c r="M1319" i="1"/>
  <c r="L1319" i="1"/>
  <c r="P1318" i="1"/>
  <c r="N1318" i="1"/>
  <c r="S1318" i="1" s="1"/>
  <c r="M1318" i="1"/>
  <c r="R1318" i="1" s="1"/>
  <c r="L1318" i="1"/>
  <c r="W1317" i="1"/>
  <c r="V1317" i="1"/>
  <c r="U1317" i="1"/>
  <c r="T1317" i="1"/>
  <c r="S1317" i="1"/>
  <c r="R1317" i="1"/>
  <c r="Q1317" i="1"/>
  <c r="P1317" i="1"/>
  <c r="N1317" i="1"/>
  <c r="O1317" i="1" s="1"/>
  <c r="M1317" i="1"/>
  <c r="L1317" i="1"/>
  <c r="T1316" i="1"/>
  <c r="S1316" i="1"/>
  <c r="R1316" i="1"/>
  <c r="Q1316" i="1"/>
  <c r="P1316" i="1"/>
  <c r="N1316" i="1"/>
  <c r="O1316" i="1" s="1"/>
  <c r="M1316" i="1"/>
  <c r="L1316" i="1"/>
  <c r="W1315" i="1"/>
  <c r="V1315" i="1"/>
  <c r="U1315" i="1"/>
  <c r="T1315" i="1"/>
  <c r="N1315" i="1"/>
  <c r="S1315" i="1" s="1"/>
  <c r="M1315" i="1"/>
  <c r="R1315" i="1" s="1"/>
  <c r="L1315" i="1"/>
  <c r="Q1315" i="1" s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O1313" i="1"/>
  <c r="N1313" i="1"/>
  <c r="S1313" i="1" s="1"/>
  <c r="M1313" i="1"/>
  <c r="L1313" i="1"/>
  <c r="W1312" i="1"/>
  <c r="V1312" i="1"/>
  <c r="U1312" i="1"/>
  <c r="T1312" i="1"/>
  <c r="S1312" i="1"/>
  <c r="R1312" i="1"/>
  <c r="Q1312" i="1"/>
  <c r="P1312" i="1"/>
  <c r="N1312" i="1"/>
  <c r="O1312" i="1" s="1"/>
  <c r="M1312" i="1"/>
  <c r="L1312" i="1"/>
  <c r="O1311" i="1"/>
  <c r="N1311" i="1"/>
  <c r="S1311" i="1" s="1"/>
  <c r="M1311" i="1"/>
  <c r="L1311" i="1"/>
  <c r="N1310" i="1"/>
  <c r="S1310" i="1" s="1"/>
  <c r="M1310" i="1"/>
  <c r="R1310" i="1" s="1"/>
  <c r="L1310" i="1"/>
  <c r="N1309" i="1"/>
  <c r="M1309" i="1"/>
  <c r="R1309" i="1" s="1"/>
  <c r="L1309" i="1"/>
  <c r="Q1309" i="1" s="1"/>
  <c r="P1308" i="1"/>
  <c r="O1308" i="1"/>
  <c r="N1308" i="1"/>
  <c r="S1308" i="1" s="1"/>
  <c r="M1308" i="1"/>
  <c r="R1308" i="1" s="1"/>
  <c r="L1308" i="1"/>
  <c r="W1307" i="1"/>
  <c r="V1307" i="1"/>
  <c r="U1307" i="1"/>
  <c r="T1307" i="1"/>
  <c r="S1307" i="1"/>
  <c r="R1307" i="1"/>
  <c r="Q1307" i="1"/>
  <c r="P1307" i="1"/>
  <c r="N1307" i="1"/>
  <c r="O1307" i="1" s="1"/>
  <c r="M1307" i="1"/>
  <c r="L1307" i="1"/>
  <c r="S1306" i="1"/>
  <c r="R1306" i="1"/>
  <c r="P1306" i="1"/>
  <c r="O1306" i="1"/>
  <c r="N1306" i="1"/>
  <c r="M1306" i="1"/>
  <c r="L1306" i="1"/>
  <c r="W1305" i="1"/>
  <c r="V1305" i="1"/>
  <c r="U1305" i="1"/>
  <c r="T1305" i="1"/>
  <c r="N1305" i="1"/>
  <c r="S1305" i="1" s="1"/>
  <c r="M1305" i="1"/>
  <c r="R1305" i="1" s="1"/>
  <c r="L1305" i="1"/>
  <c r="Q1305" i="1" s="1"/>
  <c r="R1304" i="1"/>
  <c r="Q1304" i="1"/>
  <c r="P1304" i="1"/>
  <c r="O1304" i="1"/>
  <c r="N1304" i="1"/>
  <c r="S1304" i="1" s="1"/>
  <c r="M1304" i="1"/>
  <c r="L1304" i="1"/>
  <c r="W1304" i="1" s="1"/>
  <c r="O1303" i="1"/>
  <c r="N1303" i="1"/>
  <c r="S1303" i="1" s="1"/>
  <c r="M1303" i="1"/>
  <c r="R1303" i="1" s="1"/>
  <c r="L1303" i="1"/>
  <c r="W1302" i="1"/>
  <c r="V1302" i="1"/>
  <c r="U1302" i="1"/>
  <c r="T1302" i="1"/>
  <c r="S1302" i="1"/>
  <c r="R1302" i="1"/>
  <c r="Q1302" i="1"/>
  <c r="P1302" i="1"/>
  <c r="N1302" i="1"/>
  <c r="O1302" i="1" s="1"/>
  <c r="M1302" i="1"/>
  <c r="L1302" i="1"/>
  <c r="N1301" i="1"/>
  <c r="S1301" i="1" s="1"/>
  <c r="M1301" i="1"/>
  <c r="R1301" i="1" s="1"/>
  <c r="L1301" i="1"/>
  <c r="W1300" i="1"/>
  <c r="V1300" i="1"/>
  <c r="U1300" i="1"/>
  <c r="T1300" i="1"/>
  <c r="N1300" i="1"/>
  <c r="S1300" i="1" s="1"/>
  <c r="M1300" i="1"/>
  <c r="R1300" i="1" s="1"/>
  <c r="L1300" i="1"/>
  <c r="Q1300" i="1" s="1"/>
  <c r="V1299" i="1"/>
  <c r="T1299" i="1"/>
  <c r="S1299" i="1"/>
  <c r="R1299" i="1"/>
  <c r="O1299" i="1"/>
  <c r="N1299" i="1"/>
  <c r="M1299" i="1"/>
  <c r="P1299" i="1" s="1"/>
  <c r="L1299" i="1"/>
  <c r="N1298" i="1"/>
  <c r="S1298" i="1" s="1"/>
  <c r="M1298" i="1"/>
  <c r="R1298" i="1" s="1"/>
  <c r="L1298" i="1"/>
  <c r="W1297" i="1"/>
  <c r="V1297" i="1"/>
  <c r="U1297" i="1"/>
  <c r="T1297" i="1"/>
  <c r="S1297" i="1"/>
  <c r="R1297" i="1"/>
  <c r="Q1297" i="1"/>
  <c r="P1297" i="1"/>
  <c r="N1297" i="1"/>
  <c r="O1297" i="1" s="1"/>
  <c r="M1297" i="1"/>
  <c r="L1297" i="1"/>
  <c r="T1296" i="1"/>
  <c r="Q1296" i="1"/>
  <c r="N1296" i="1"/>
  <c r="S1296" i="1" s="1"/>
  <c r="M1296" i="1"/>
  <c r="R1296" i="1" s="1"/>
  <c r="L1296" i="1"/>
  <c r="N1295" i="1"/>
  <c r="S1295" i="1" s="1"/>
  <c r="M1295" i="1"/>
  <c r="R1295" i="1" s="1"/>
  <c r="L1295" i="1"/>
  <c r="W1294" i="1"/>
  <c r="V1294" i="1"/>
  <c r="Q1294" i="1"/>
  <c r="N1294" i="1"/>
  <c r="O1294" i="1" s="1"/>
  <c r="M1294" i="1"/>
  <c r="L1294" i="1"/>
  <c r="P1293" i="1"/>
  <c r="N1293" i="1"/>
  <c r="S1293" i="1" s="1"/>
  <c r="M1293" i="1"/>
  <c r="R1293" i="1" s="1"/>
  <c r="L1293" i="1"/>
  <c r="W1292" i="1"/>
  <c r="V1292" i="1"/>
  <c r="U1292" i="1"/>
  <c r="T1292" i="1"/>
  <c r="S1292" i="1"/>
  <c r="R1292" i="1"/>
  <c r="Q1292" i="1"/>
  <c r="P1292" i="1"/>
  <c r="N1292" i="1"/>
  <c r="O1292" i="1" s="1"/>
  <c r="M1292" i="1"/>
  <c r="L1292" i="1"/>
  <c r="T1291" i="1"/>
  <c r="S1291" i="1"/>
  <c r="R1291" i="1"/>
  <c r="Q1291" i="1"/>
  <c r="P1291" i="1"/>
  <c r="N1291" i="1"/>
  <c r="O1291" i="1" s="1"/>
  <c r="M1291" i="1"/>
  <c r="L1291" i="1"/>
  <c r="W1290" i="1"/>
  <c r="V1290" i="1"/>
  <c r="U1290" i="1"/>
  <c r="T1290" i="1"/>
  <c r="N1290" i="1"/>
  <c r="S1290" i="1" s="1"/>
  <c r="M1290" i="1"/>
  <c r="R1290" i="1" s="1"/>
  <c r="L1290" i="1"/>
  <c r="Q1290" i="1" s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O1288" i="1"/>
  <c r="N1288" i="1"/>
  <c r="S1288" i="1" s="1"/>
  <c r="M1288" i="1"/>
  <c r="L1288" i="1"/>
  <c r="W1287" i="1"/>
  <c r="V1287" i="1"/>
  <c r="U1287" i="1"/>
  <c r="T1287" i="1"/>
  <c r="S1287" i="1"/>
  <c r="R1287" i="1"/>
  <c r="Q1287" i="1"/>
  <c r="P1287" i="1"/>
  <c r="N1287" i="1"/>
  <c r="O1287" i="1" s="1"/>
  <c r="M1287" i="1"/>
  <c r="L1287" i="1"/>
  <c r="O1286" i="1"/>
  <c r="N1286" i="1"/>
  <c r="S1286" i="1" s="1"/>
  <c r="M1286" i="1"/>
  <c r="L1286" i="1"/>
  <c r="N1285" i="1"/>
  <c r="S1285" i="1" s="1"/>
  <c r="M1285" i="1"/>
  <c r="R1285" i="1" s="1"/>
  <c r="L1285" i="1"/>
  <c r="N1284" i="1"/>
  <c r="M1284" i="1"/>
  <c r="R1284" i="1" s="1"/>
  <c r="L1284" i="1"/>
  <c r="P1283" i="1"/>
  <c r="O1283" i="1"/>
  <c r="N1283" i="1"/>
  <c r="S1283" i="1" s="1"/>
  <c r="M1283" i="1"/>
  <c r="R1283" i="1" s="1"/>
  <c r="L1283" i="1"/>
  <c r="W1282" i="1"/>
  <c r="V1282" i="1"/>
  <c r="U1282" i="1"/>
  <c r="T1282" i="1"/>
  <c r="S1282" i="1"/>
  <c r="R1282" i="1"/>
  <c r="Q1282" i="1"/>
  <c r="P1282" i="1"/>
  <c r="N1282" i="1"/>
  <c r="O1282" i="1" s="1"/>
  <c r="M1282" i="1"/>
  <c r="L1282" i="1"/>
  <c r="S1281" i="1"/>
  <c r="R1281" i="1"/>
  <c r="Q1281" i="1"/>
  <c r="P1281" i="1"/>
  <c r="O1281" i="1"/>
  <c r="N1281" i="1"/>
  <c r="M1281" i="1"/>
  <c r="L1281" i="1"/>
  <c r="W1280" i="1"/>
  <c r="V1280" i="1"/>
  <c r="T1280" i="1"/>
  <c r="N1280" i="1"/>
  <c r="S1280" i="1" s="1"/>
  <c r="M1280" i="1"/>
  <c r="R1280" i="1" s="1"/>
  <c r="L1280" i="1"/>
  <c r="Q1280" i="1" s="1"/>
  <c r="R1279" i="1"/>
  <c r="Q1279" i="1"/>
  <c r="P1279" i="1"/>
  <c r="N1279" i="1"/>
  <c r="S1279" i="1" s="1"/>
  <c r="M1279" i="1"/>
  <c r="L1279" i="1"/>
  <c r="W1279" i="1" s="1"/>
  <c r="P1278" i="1"/>
  <c r="N1278" i="1"/>
  <c r="S1278" i="1" s="1"/>
  <c r="M1278" i="1"/>
  <c r="R1278" i="1" s="1"/>
  <c r="L1278" i="1"/>
  <c r="W1277" i="1"/>
  <c r="V1277" i="1"/>
  <c r="U1277" i="1"/>
  <c r="T1277" i="1"/>
  <c r="S1277" i="1"/>
  <c r="R1277" i="1"/>
  <c r="Q1277" i="1"/>
  <c r="P1277" i="1"/>
  <c r="N1277" i="1"/>
  <c r="O1277" i="1" s="1"/>
  <c r="M1277" i="1"/>
  <c r="L1277" i="1"/>
  <c r="N1276" i="1"/>
  <c r="M1276" i="1"/>
  <c r="L1276" i="1"/>
  <c r="W1275" i="1"/>
  <c r="V1275" i="1"/>
  <c r="U1275" i="1"/>
  <c r="T1275" i="1"/>
  <c r="N1275" i="1"/>
  <c r="S1275" i="1" s="1"/>
  <c r="M1275" i="1"/>
  <c r="R1275" i="1" s="1"/>
  <c r="L1275" i="1"/>
  <c r="Q1275" i="1" s="1"/>
  <c r="N1274" i="1"/>
  <c r="S1274" i="1" s="1"/>
  <c r="M1274" i="1"/>
  <c r="P1274" i="1" s="1"/>
  <c r="L1274" i="1"/>
  <c r="N1273" i="1"/>
  <c r="S1273" i="1" s="1"/>
  <c r="M1273" i="1"/>
  <c r="L1273" i="1"/>
  <c r="W1272" i="1"/>
  <c r="V1272" i="1"/>
  <c r="U1272" i="1"/>
  <c r="T1272" i="1"/>
  <c r="S1272" i="1"/>
  <c r="R1272" i="1"/>
  <c r="Q1272" i="1"/>
  <c r="P1272" i="1"/>
  <c r="N1272" i="1"/>
  <c r="O1272" i="1" s="1"/>
  <c r="M1272" i="1"/>
  <c r="L1272" i="1"/>
  <c r="T1271" i="1"/>
  <c r="Q1271" i="1"/>
  <c r="N1271" i="1"/>
  <c r="S1271" i="1" s="1"/>
  <c r="M1271" i="1"/>
  <c r="L1271" i="1"/>
  <c r="N1270" i="1"/>
  <c r="S1270" i="1" s="1"/>
  <c r="M1270" i="1"/>
  <c r="R1270" i="1" s="1"/>
  <c r="L1270" i="1"/>
  <c r="W1269" i="1"/>
  <c r="N1269" i="1"/>
  <c r="S1269" i="1" s="1"/>
  <c r="M1269" i="1"/>
  <c r="R1269" i="1" s="1"/>
  <c r="L1269" i="1"/>
  <c r="P1268" i="1"/>
  <c r="N1268" i="1"/>
  <c r="S1268" i="1" s="1"/>
  <c r="M1268" i="1"/>
  <c r="R1268" i="1" s="1"/>
  <c r="L1268" i="1"/>
  <c r="W1267" i="1"/>
  <c r="V1267" i="1"/>
  <c r="U1267" i="1"/>
  <c r="T1267" i="1"/>
  <c r="S1267" i="1"/>
  <c r="R1267" i="1"/>
  <c r="Q1267" i="1"/>
  <c r="P1267" i="1"/>
  <c r="N1267" i="1"/>
  <c r="O1267" i="1" s="1"/>
  <c r="M1267" i="1"/>
  <c r="L1267" i="1"/>
  <c r="T1266" i="1"/>
  <c r="S1266" i="1"/>
  <c r="R1266" i="1"/>
  <c r="Q1266" i="1"/>
  <c r="P1266" i="1"/>
  <c r="N1266" i="1"/>
  <c r="O1266" i="1" s="1"/>
  <c r="M1266" i="1"/>
  <c r="L1266" i="1"/>
  <c r="W1265" i="1"/>
  <c r="V1265" i="1"/>
  <c r="U1265" i="1"/>
  <c r="T1265" i="1"/>
  <c r="N1265" i="1"/>
  <c r="S1265" i="1" s="1"/>
  <c r="M1265" i="1"/>
  <c r="R1265" i="1" s="1"/>
  <c r="L1265" i="1"/>
  <c r="Q1265" i="1" s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N1263" i="1"/>
  <c r="S1263" i="1" s="1"/>
  <c r="M1263" i="1"/>
  <c r="L1263" i="1"/>
  <c r="W1262" i="1"/>
  <c r="V1262" i="1"/>
  <c r="U1262" i="1"/>
  <c r="T1262" i="1"/>
  <c r="S1262" i="1"/>
  <c r="R1262" i="1"/>
  <c r="Q1262" i="1"/>
  <c r="P1262" i="1"/>
  <c r="N1262" i="1"/>
  <c r="O1262" i="1" s="1"/>
  <c r="M1262" i="1"/>
  <c r="L1262" i="1"/>
  <c r="R1261" i="1"/>
  <c r="Q1261" i="1"/>
  <c r="P1261" i="1"/>
  <c r="N1261" i="1"/>
  <c r="S1261" i="1" s="1"/>
  <c r="M1261" i="1"/>
  <c r="L1261" i="1"/>
  <c r="W1261" i="1" s="1"/>
  <c r="W1260" i="1"/>
  <c r="V1260" i="1"/>
  <c r="U1260" i="1"/>
  <c r="T1260" i="1"/>
  <c r="N1260" i="1"/>
  <c r="M1260" i="1"/>
  <c r="L1260" i="1"/>
  <c r="Q1260" i="1" s="1"/>
  <c r="W1259" i="1"/>
  <c r="V1259" i="1"/>
  <c r="T1259" i="1"/>
  <c r="Q1259" i="1"/>
  <c r="O1259" i="1"/>
  <c r="N1259" i="1"/>
  <c r="S1259" i="1" s="1"/>
  <c r="M1259" i="1"/>
  <c r="R1259" i="1" s="1"/>
  <c r="L1259" i="1"/>
  <c r="U1259" i="1" s="1"/>
  <c r="N1258" i="1"/>
  <c r="S1258" i="1" s="1"/>
  <c r="M1258" i="1"/>
  <c r="L1258" i="1"/>
  <c r="W1257" i="1"/>
  <c r="V1257" i="1"/>
  <c r="U1257" i="1"/>
  <c r="T1257" i="1"/>
  <c r="S1257" i="1"/>
  <c r="R1257" i="1"/>
  <c r="Q1257" i="1"/>
  <c r="P1257" i="1"/>
  <c r="N1257" i="1"/>
  <c r="O1257" i="1" s="1"/>
  <c r="M1257" i="1"/>
  <c r="L1257" i="1"/>
  <c r="O1256" i="1"/>
  <c r="N1256" i="1"/>
  <c r="S1256" i="1" s="1"/>
  <c r="M1256" i="1"/>
  <c r="L1256" i="1"/>
  <c r="Q1255" i="1"/>
  <c r="N1255" i="1"/>
  <c r="M1255" i="1"/>
  <c r="L1255" i="1"/>
  <c r="W1254" i="1"/>
  <c r="V1254" i="1"/>
  <c r="U1254" i="1"/>
  <c r="T1254" i="1"/>
  <c r="R1254" i="1"/>
  <c r="Q1254" i="1"/>
  <c r="P1254" i="1"/>
  <c r="N1254" i="1"/>
  <c r="S1254" i="1" s="1"/>
  <c r="M1254" i="1"/>
  <c r="L1254" i="1"/>
  <c r="R1253" i="1"/>
  <c r="Q1253" i="1"/>
  <c r="P1253" i="1"/>
  <c r="N1253" i="1"/>
  <c r="S1253" i="1" s="1"/>
  <c r="M1253" i="1"/>
  <c r="L1253" i="1"/>
  <c r="W1253" i="1" s="1"/>
  <c r="W1252" i="1"/>
  <c r="V1252" i="1"/>
  <c r="U1252" i="1"/>
  <c r="T1252" i="1"/>
  <c r="S1252" i="1"/>
  <c r="R1252" i="1"/>
  <c r="Q1252" i="1"/>
  <c r="P1252" i="1"/>
  <c r="N1252" i="1"/>
  <c r="O1252" i="1" s="1"/>
  <c r="M1252" i="1"/>
  <c r="L1252" i="1"/>
  <c r="S1251" i="1"/>
  <c r="R1251" i="1"/>
  <c r="P1251" i="1"/>
  <c r="N1251" i="1"/>
  <c r="O1251" i="1" s="1"/>
  <c r="M1251" i="1"/>
  <c r="L1251" i="1"/>
  <c r="W1250" i="1"/>
  <c r="V1250" i="1"/>
  <c r="U1250" i="1"/>
  <c r="T1250" i="1"/>
  <c r="R1250" i="1"/>
  <c r="Q1250" i="1"/>
  <c r="P1250" i="1"/>
  <c r="N1250" i="1"/>
  <c r="M1250" i="1"/>
  <c r="L1250" i="1"/>
  <c r="U1249" i="1"/>
  <c r="T1249" i="1"/>
  <c r="S1249" i="1"/>
  <c r="R1249" i="1"/>
  <c r="O1249" i="1"/>
  <c r="N1249" i="1"/>
  <c r="M1249" i="1"/>
  <c r="P1249" i="1" s="1"/>
  <c r="L1249" i="1"/>
  <c r="V1248" i="1"/>
  <c r="U1248" i="1"/>
  <c r="R1248" i="1"/>
  <c r="P1248" i="1"/>
  <c r="O1248" i="1"/>
  <c r="N1248" i="1"/>
  <c r="S1248" i="1" s="1"/>
  <c r="M1248" i="1"/>
  <c r="L1248" i="1"/>
  <c r="P1247" i="1"/>
  <c r="N1247" i="1"/>
  <c r="M1247" i="1"/>
  <c r="R1247" i="1" s="1"/>
  <c r="L1247" i="1"/>
  <c r="W1247" i="1" s="1"/>
  <c r="V1246" i="1"/>
  <c r="U1246" i="1"/>
  <c r="T1246" i="1"/>
  <c r="N1246" i="1"/>
  <c r="M1246" i="1"/>
  <c r="L1246" i="1"/>
  <c r="N1245" i="1"/>
  <c r="M1245" i="1"/>
  <c r="R1245" i="1" s="1"/>
  <c r="L1245" i="1"/>
  <c r="W1244" i="1"/>
  <c r="V1244" i="1"/>
  <c r="P1244" i="1"/>
  <c r="N1244" i="1"/>
  <c r="M1244" i="1"/>
  <c r="R1244" i="1" s="1"/>
  <c r="L1244" i="1"/>
  <c r="T1243" i="1"/>
  <c r="R1243" i="1"/>
  <c r="Q1243" i="1"/>
  <c r="O1243" i="1"/>
  <c r="N1243" i="1"/>
  <c r="S1243" i="1" s="1"/>
  <c r="M1243" i="1"/>
  <c r="P1243" i="1" s="1"/>
  <c r="L1243" i="1"/>
  <c r="W1242" i="1"/>
  <c r="U1242" i="1"/>
  <c r="T1242" i="1"/>
  <c r="Q1242" i="1"/>
  <c r="N1242" i="1"/>
  <c r="M1242" i="1"/>
  <c r="L1242" i="1"/>
  <c r="V1242" i="1" s="1"/>
  <c r="V1241" i="1"/>
  <c r="U1241" i="1"/>
  <c r="T1241" i="1"/>
  <c r="S1241" i="1"/>
  <c r="R1241" i="1"/>
  <c r="Q1241" i="1"/>
  <c r="P1241" i="1"/>
  <c r="O1241" i="1"/>
  <c r="N1241" i="1"/>
  <c r="M1241" i="1"/>
  <c r="L1241" i="1"/>
  <c r="W1241" i="1" s="1"/>
  <c r="T1240" i="1"/>
  <c r="R1240" i="1"/>
  <c r="Q1240" i="1"/>
  <c r="P1240" i="1"/>
  <c r="N1240" i="1"/>
  <c r="M1240" i="1"/>
  <c r="L1240" i="1"/>
  <c r="W1240" i="1" s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N1238" i="1"/>
  <c r="M1238" i="1"/>
  <c r="R1238" i="1" s="1"/>
  <c r="L1238" i="1"/>
  <c r="W1237" i="1"/>
  <c r="V1237" i="1"/>
  <c r="U1237" i="1"/>
  <c r="T1237" i="1"/>
  <c r="S1237" i="1"/>
  <c r="R1237" i="1"/>
  <c r="Q1237" i="1"/>
  <c r="N1237" i="1"/>
  <c r="O1237" i="1" s="1"/>
  <c r="M1237" i="1"/>
  <c r="P1237" i="1" s="1"/>
  <c r="L1237" i="1"/>
  <c r="N1236" i="1"/>
  <c r="S1236" i="1" s="1"/>
  <c r="M1236" i="1"/>
  <c r="R1236" i="1" s="1"/>
  <c r="L1236" i="1"/>
  <c r="W1235" i="1"/>
  <c r="V1235" i="1"/>
  <c r="U1235" i="1"/>
  <c r="T1235" i="1"/>
  <c r="R1235" i="1"/>
  <c r="P1235" i="1"/>
  <c r="N1235" i="1"/>
  <c r="M1235" i="1"/>
  <c r="L1235" i="1"/>
  <c r="Q1235" i="1" s="1"/>
  <c r="N1234" i="1"/>
  <c r="S1234" i="1" s="1"/>
  <c r="M1234" i="1"/>
  <c r="R1234" i="1" s="1"/>
  <c r="L1234" i="1"/>
  <c r="W1234" i="1" s="1"/>
  <c r="V1233" i="1"/>
  <c r="U1233" i="1"/>
  <c r="T1233" i="1"/>
  <c r="N1233" i="1"/>
  <c r="M1233" i="1"/>
  <c r="L1233" i="1"/>
  <c r="W1232" i="1"/>
  <c r="V1232" i="1"/>
  <c r="S1232" i="1"/>
  <c r="N1232" i="1"/>
  <c r="O1232" i="1" s="1"/>
  <c r="M1232" i="1"/>
  <c r="R1232" i="1" s="1"/>
  <c r="L1232" i="1"/>
  <c r="U1232" i="1" s="1"/>
  <c r="N1231" i="1"/>
  <c r="M1231" i="1"/>
  <c r="L1231" i="1"/>
  <c r="V1230" i="1"/>
  <c r="U1230" i="1"/>
  <c r="T1230" i="1"/>
  <c r="R1230" i="1"/>
  <c r="Q1230" i="1"/>
  <c r="N1230" i="1"/>
  <c r="M1230" i="1"/>
  <c r="P1230" i="1" s="1"/>
  <c r="L1230" i="1"/>
  <c r="W1230" i="1" s="1"/>
  <c r="R1229" i="1"/>
  <c r="P1229" i="1"/>
  <c r="N1229" i="1"/>
  <c r="S1229" i="1" s="1"/>
  <c r="M1229" i="1"/>
  <c r="L1229" i="1"/>
  <c r="V1228" i="1"/>
  <c r="U1228" i="1"/>
  <c r="T1228" i="1"/>
  <c r="R1228" i="1"/>
  <c r="Q1228" i="1"/>
  <c r="P1228" i="1"/>
  <c r="O1228" i="1"/>
  <c r="N1228" i="1"/>
  <c r="S1228" i="1" s="1"/>
  <c r="M1228" i="1"/>
  <c r="L1228" i="1"/>
  <c r="W1228" i="1" s="1"/>
  <c r="S1227" i="1"/>
  <c r="N1227" i="1"/>
  <c r="O1227" i="1" s="1"/>
  <c r="M1227" i="1"/>
  <c r="R1227" i="1" s="1"/>
  <c r="L1227" i="1"/>
  <c r="V1226" i="1"/>
  <c r="U1226" i="1"/>
  <c r="T1226" i="1"/>
  <c r="S1226" i="1"/>
  <c r="R1226" i="1"/>
  <c r="Q1226" i="1"/>
  <c r="P1226" i="1"/>
  <c r="O1226" i="1"/>
  <c r="N1226" i="1"/>
  <c r="M1226" i="1"/>
  <c r="L1226" i="1"/>
  <c r="W1226" i="1" s="1"/>
  <c r="N1225" i="1"/>
  <c r="M1225" i="1"/>
  <c r="P1225" i="1" s="1"/>
  <c r="L1225" i="1"/>
  <c r="W1225" i="1" s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O1223" i="1"/>
  <c r="N1223" i="1"/>
  <c r="S1223" i="1" s="1"/>
  <c r="M1223" i="1"/>
  <c r="R1223" i="1" s="1"/>
  <c r="L1223" i="1"/>
  <c r="W1222" i="1"/>
  <c r="V1222" i="1"/>
  <c r="U1222" i="1"/>
  <c r="T1222" i="1"/>
  <c r="S1222" i="1"/>
  <c r="N1222" i="1"/>
  <c r="O1222" i="1" s="1"/>
  <c r="M1222" i="1"/>
  <c r="L1222" i="1"/>
  <c r="Q1222" i="1" s="1"/>
  <c r="V1221" i="1"/>
  <c r="U1221" i="1"/>
  <c r="N1221" i="1"/>
  <c r="S1221" i="1" s="1"/>
  <c r="M1221" i="1"/>
  <c r="R1221" i="1" s="1"/>
  <c r="L1221" i="1"/>
  <c r="W1221" i="1" s="1"/>
  <c r="N1220" i="1"/>
  <c r="M1220" i="1"/>
  <c r="L1220" i="1"/>
  <c r="W1219" i="1"/>
  <c r="V1219" i="1"/>
  <c r="T1219" i="1"/>
  <c r="S1219" i="1"/>
  <c r="R1219" i="1"/>
  <c r="Q1219" i="1"/>
  <c r="O1219" i="1"/>
  <c r="N1219" i="1"/>
  <c r="M1219" i="1"/>
  <c r="P1219" i="1" s="1"/>
  <c r="L1219" i="1"/>
  <c r="U1219" i="1" s="1"/>
  <c r="N1218" i="1"/>
  <c r="S1218" i="1" s="1"/>
  <c r="M1218" i="1"/>
  <c r="R1218" i="1" s="1"/>
  <c r="L1218" i="1"/>
  <c r="V1217" i="1"/>
  <c r="U1217" i="1"/>
  <c r="T1217" i="1"/>
  <c r="Q1217" i="1"/>
  <c r="N1217" i="1"/>
  <c r="M1217" i="1"/>
  <c r="L1217" i="1"/>
  <c r="W1217" i="1" s="1"/>
  <c r="R1216" i="1"/>
  <c r="P1216" i="1"/>
  <c r="N1216" i="1"/>
  <c r="S1216" i="1" s="1"/>
  <c r="M1216" i="1"/>
  <c r="L1216" i="1"/>
  <c r="W1215" i="1"/>
  <c r="V1215" i="1"/>
  <c r="U1215" i="1"/>
  <c r="T1215" i="1"/>
  <c r="R1215" i="1"/>
  <c r="Q1215" i="1"/>
  <c r="P1215" i="1"/>
  <c r="N1215" i="1"/>
  <c r="M1215" i="1"/>
  <c r="L1215" i="1"/>
  <c r="T1214" i="1"/>
  <c r="S1214" i="1"/>
  <c r="Q1214" i="1"/>
  <c r="N1214" i="1"/>
  <c r="O1214" i="1" s="1"/>
  <c r="M1214" i="1"/>
  <c r="R1214" i="1" s="1"/>
  <c r="L1214" i="1"/>
  <c r="V1213" i="1"/>
  <c r="U1213" i="1"/>
  <c r="T1213" i="1"/>
  <c r="R1213" i="1"/>
  <c r="Q1213" i="1"/>
  <c r="P1213" i="1"/>
  <c r="O1213" i="1"/>
  <c r="N1213" i="1"/>
  <c r="S1213" i="1" s="1"/>
  <c r="M1213" i="1"/>
  <c r="L1213" i="1"/>
  <c r="W1213" i="1" s="1"/>
  <c r="V1212" i="1"/>
  <c r="U1212" i="1"/>
  <c r="T1212" i="1"/>
  <c r="S1212" i="1"/>
  <c r="P1212" i="1"/>
  <c r="N1212" i="1"/>
  <c r="O1212" i="1" s="1"/>
  <c r="M1212" i="1"/>
  <c r="R1212" i="1" s="1"/>
  <c r="L1212" i="1"/>
  <c r="S1211" i="1"/>
  <c r="R1211" i="1"/>
  <c r="P1211" i="1"/>
  <c r="O1211" i="1"/>
  <c r="N1211" i="1"/>
  <c r="M1211" i="1"/>
  <c r="L1211" i="1"/>
  <c r="W1211" i="1" s="1"/>
  <c r="W1210" i="1"/>
  <c r="V1210" i="1"/>
  <c r="U1210" i="1"/>
  <c r="T1210" i="1"/>
  <c r="P1210" i="1"/>
  <c r="N1210" i="1"/>
  <c r="M1210" i="1"/>
  <c r="R1210" i="1" s="1"/>
  <c r="L1210" i="1"/>
  <c r="Q1210" i="1" s="1"/>
  <c r="S1209" i="1"/>
  <c r="N1209" i="1"/>
  <c r="O1209" i="1" s="1"/>
  <c r="M1209" i="1"/>
  <c r="L1209" i="1"/>
  <c r="V1208" i="1"/>
  <c r="U1208" i="1"/>
  <c r="R1208" i="1"/>
  <c r="Q1208" i="1"/>
  <c r="P1208" i="1"/>
  <c r="N1208" i="1"/>
  <c r="M1208" i="1"/>
  <c r="L1208" i="1"/>
  <c r="N1207" i="1"/>
  <c r="S1207" i="1" s="1"/>
  <c r="M1207" i="1"/>
  <c r="R1207" i="1" s="1"/>
  <c r="L1207" i="1"/>
  <c r="W1206" i="1"/>
  <c r="V1206" i="1"/>
  <c r="U1206" i="1"/>
  <c r="T1206" i="1"/>
  <c r="R1206" i="1"/>
  <c r="Q1206" i="1"/>
  <c r="P1206" i="1"/>
  <c r="N1206" i="1"/>
  <c r="S1206" i="1" s="1"/>
  <c r="M1206" i="1"/>
  <c r="L1206" i="1"/>
  <c r="N1205" i="1"/>
  <c r="O1205" i="1" s="1"/>
  <c r="M1205" i="1"/>
  <c r="R1205" i="1" s="1"/>
  <c r="L1205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O1203" i="1"/>
  <c r="N1203" i="1"/>
  <c r="S1203" i="1" s="1"/>
  <c r="M1203" i="1"/>
  <c r="L1203" i="1"/>
  <c r="W1202" i="1"/>
  <c r="V1202" i="1"/>
  <c r="U1202" i="1"/>
  <c r="N1202" i="1"/>
  <c r="M1202" i="1"/>
  <c r="L1202" i="1"/>
  <c r="W1201" i="1"/>
  <c r="V1201" i="1"/>
  <c r="U1201" i="1"/>
  <c r="T1201" i="1"/>
  <c r="Q1201" i="1"/>
  <c r="N1201" i="1"/>
  <c r="S1201" i="1" s="1"/>
  <c r="M1201" i="1"/>
  <c r="L1201" i="1"/>
  <c r="T1200" i="1"/>
  <c r="S1200" i="1"/>
  <c r="Q1200" i="1"/>
  <c r="N1200" i="1"/>
  <c r="O1200" i="1" s="1"/>
  <c r="M1200" i="1"/>
  <c r="P1200" i="1" s="1"/>
  <c r="L1200" i="1"/>
  <c r="S1199" i="1"/>
  <c r="R1199" i="1"/>
  <c r="P1199" i="1"/>
  <c r="O1199" i="1"/>
  <c r="N1199" i="1"/>
  <c r="M1199" i="1"/>
  <c r="L1199" i="1"/>
  <c r="W1198" i="1"/>
  <c r="V1198" i="1"/>
  <c r="U1198" i="1"/>
  <c r="T1198" i="1"/>
  <c r="R1198" i="1"/>
  <c r="Q1198" i="1"/>
  <c r="P1198" i="1"/>
  <c r="N1198" i="1"/>
  <c r="S1198" i="1" s="1"/>
  <c r="M1198" i="1"/>
  <c r="L1198" i="1"/>
  <c r="N1197" i="1"/>
  <c r="M1197" i="1"/>
  <c r="L1197" i="1"/>
  <c r="W1196" i="1"/>
  <c r="V1196" i="1"/>
  <c r="U1196" i="1"/>
  <c r="T1196" i="1"/>
  <c r="S1196" i="1"/>
  <c r="R1196" i="1"/>
  <c r="Q1196" i="1"/>
  <c r="P1196" i="1"/>
  <c r="N1196" i="1"/>
  <c r="O1196" i="1" s="1"/>
  <c r="M1196" i="1"/>
  <c r="L1196" i="1"/>
  <c r="N1195" i="1"/>
  <c r="M1195" i="1"/>
  <c r="L1195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O1193" i="1"/>
  <c r="N1193" i="1"/>
  <c r="S1193" i="1" s="1"/>
  <c r="M1193" i="1"/>
  <c r="R1193" i="1" s="1"/>
  <c r="L1193" i="1"/>
  <c r="W1192" i="1"/>
  <c r="V1192" i="1"/>
  <c r="U1192" i="1"/>
  <c r="P1192" i="1"/>
  <c r="O1192" i="1"/>
  <c r="N1192" i="1"/>
  <c r="S1192" i="1" s="1"/>
  <c r="M1192" i="1"/>
  <c r="R1192" i="1" s="1"/>
  <c r="L1192" i="1"/>
  <c r="W1191" i="1"/>
  <c r="V1191" i="1"/>
  <c r="U1191" i="1"/>
  <c r="T1191" i="1"/>
  <c r="Q1191" i="1"/>
  <c r="O1191" i="1"/>
  <c r="N1191" i="1"/>
  <c r="S1191" i="1" s="1"/>
  <c r="M1191" i="1"/>
  <c r="R1191" i="1" s="1"/>
  <c r="L1191" i="1"/>
  <c r="T1190" i="1"/>
  <c r="S1190" i="1"/>
  <c r="R1190" i="1"/>
  <c r="Q1190" i="1"/>
  <c r="P1190" i="1"/>
  <c r="N1190" i="1"/>
  <c r="O1190" i="1" s="1"/>
  <c r="M1190" i="1"/>
  <c r="L1190" i="1"/>
  <c r="S1189" i="1"/>
  <c r="R1189" i="1"/>
  <c r="Q1189" i="1"/>
  <c r="P1189" i="1"/>
  <c r="O1189" i="1"/>
  <c r="N1189" i="1"/>
  <c r="M1189" i="1"/>
  <c r="L1189" i="1"/>
  <c r="W1188" i="1"/>
  <c r="V1188" i="1"/>
  <c r="U1188" i="1"/>
  <c r="T1188" i="1"/>
  <c r="R1188" i="1"/>
  <c r="P1188" i="1"/>
  <c r="N1188" i="1"/>
  <c r="S1188" i="1" s="1"/>
  <c r="M1188" i="1"/>
  <c r="L1188" i="1"/>
  <c r="Q1188" i="1" s="1"/>
  <c r="O1187" i="1"/>
  <c r="N1187" i="1"/>
  <c r="S1187" i="1" s="1"/>
  <c r="M1187" i="1"/>
  <c r="R1187" i="1" s="1"/>
  <c r="L1187" i="1"/>
  <c r="W1186" i="1"/>
  <c r="V1186" i="1"/>
  <c r="U1186" i="1"/>
  <c r="T1186" i="1"/>
  <c r="S1186" i="1"/>
  <c r="R1186" i="1"/>
  <c r="Q1186" i="1"/>
  <c r="P1186" i="1"/>
  <c r="N1186" i="1"/>
  <c r="O1186" i="1" s="1"/>
  <c r="M1186" i="1"/>
  <c r="L1186" i="1"/>
  <c r="N1185" i="1"/>
  <c r="M1185" i="1"/>
  <c r="L1185" i="1"/>
  <c r="W1184" i="1"/>
  <c r="V1184" i="1"/>
  <c r="U1184" i="1"/>
  <c r="T1184" i="1"/>
  <c r="S1184" i="1"/>
  <c r="R1184" i="1"/>
  <c r="P1184" i="1"/>
  <c r="O1184" i="1"/>
  <c r="N1184" i="1"/>
  <c r="M1184" i="1"/>
  <c r="L1184" i="1"/>
  <c r="Q1184" i="1" s="1"/>
  <c r="T1183" i="1"/>
  <c r="Q1183" i="1"/>
  <c r="N1183" i="1"/>
  <c r="S1183" i="1" s="1"/>
  <c r="M1183" i="1"/>
  <c r="L1183" i="1"/>
  <c r="W1183" i="1" s="1"/>
  <c r="W1182" i="1"/>
  <c r="V1182" i="1"/>
  <c r="U1182" i="1"/>
  <c r="O1182" i="1"/>
  <c r="N1182" i="1"/>
  <c r="S1182" i="1" s="1"/>
  <c r="M1182" i="1"/>
  <c r="R1182" i="1" s="1"/>
  <c r="L1182" i="1"/>
  <c r="W1181" i="1"/>
  <c r="V1181" i="1"/>
  <c r="U1181" i="1"/>
  <c r="T1181" i="1"/>
  <c r="Q1181" i="1"/>
  <c r="O1181" i="1"/>
  <c r="N1181" i="1"/>
  <c r="S1181" i="1" s="1"/>
  <c r="M1181" i="1"/>
  <c r="R1181" i="1" s="1"/>
  <c r="L1181" i="1"/>
  <c r="T1180" i="1"/>
  <c r="S1180" i="1"/>
  <c r="R1180" i="1"/>
  <c r="P1180" i="1"/>
  <c r="N1180" i="1"/>
  <c r="O1180" i="1" s="1"/>
  <c r="M1180" i="1"/>
  <c r="L1180" i="1"/>
  <c r="S1179" i="1"/>
  <c r="R1179" i="1"/>
  <c r="Q1179" i="1"/>
  <c r="P1179" i="1"/>
  <c r="O1179" i="1"/>
  <c r="N1179" i="1"/>
  <c r="M1179" i="1"/>
  <c r="L1179" i="1"/>
  <c r="W1179" i="1" s="1"/>
  <c r="W1178" i="1"/>
  <c r="V1178" i="1"/>
  <c r="U1178" i="1"/>
  <c r="R1178" i="1"/>
  <c r="N1178" i="1"/>
  <c r="S1178" i="1" s="1"/>
  <c r="M1178" i="1"/>
  <c r="P1178" i="1" s="1"/>
  <c r="L1178" i="1"/>
  <c r="T1178" i="1" s="1"/>
  <c r="O1177" i="1"/>
  <c r="N1177" i="1"/>
  <c r="S1177" i="1" s="1"/>
  <c r="M1177" i="1"/>
  <c r="L1177" i="1"/>
  <c r="W1176" i="1"/>
  <c r="V1176" i="1"/>
  <c r="U1176" i="1"/>
  <c r="T1176" i="1"/>
  <c r="R1176" i="1"/>
  <c r="Q1176" i="1"/>
  <c r="N1176" i="1"/>
  <c r="S1176" i="1" s="1"/>
  <c r="M1176" i="1"/>
  <c r="P1176" i="1" s="1"/>
  <c r="L1176" i="1"/>
  <c r="S1175" i="1"/>
  <c r="R1175" i="1"/>
  <c r="Q1175" i="1"/>
  <c r="P1175" i="1"/>
  <c r="N1175" i="1"/>
  <c r="O1175" i="1" s="1"/>
  <c r="M1175" i="1"/>
  <c r="L1175" i="1"/>
  <c r="W1174" i="1"/>
  <c r="V1174" i="1"/>
  <c r="U1174" i="1"/>
  <c r="T1174" i="1"/>
  <c r="S1174" i="1"/>
  <c r="R1174" i="1"/>
  <c r="P1174" i="1"/>
  <c r="O1174" i="1"/>
  <c r="N1174" i="1"/>
  <c r="M1174" i="1"/>
  <c r="L1174" i="1"/>
  <c r="Q1174" i="1" s="1"/>
  <c r="T1173" i="1"/>
  <c r="R1173" i="1"/>
  <c r="Q1173" i="1"/>
  <c r="O1173" i="1"/>
  <c r="N1173" i="1"/>
  <c r="S1173" i="1" s="1"/>
  <c r="M1173" i="1"/>
  <c r="P1173" i="1" s="1"/>
  <c r="L1173" i="1"/>
  <c r="W1173" i="1" s="1"/>
  <c r="W1172" i="1"/>
  <c r="U1172" i="1"/>
  <c r="N1172" i="1"/>
  <c r="S1172" i="1" s="1"/>
  <c r="M1172" i="1"/>
  <c r="R1172" i="1" s="1"/>
  <c r="L1172" i="1"/>
  <c r="W1171" i="1"/>
  <c r="V1171" i="1"/>
  <c r="U1171" i="1"/>
  <c r="T1171" i="1"/>
  <c r="Q1171" i="1"/>
  <c r="N1171" i="1"/>
  <c r="M1171" i="1"/>
  <c r="L1171" i="1"/>
  <c r="P1170" i="1"/>
  <c r="N1170" i="1"/>
  <c r="O1170" i="1" s="1"/>
  <c r="M1170" i="1"/>
  <c r="R1170" i="1" s="1"/>
  <c r="L1170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N1168" i="1"/>
  <c r="M1168" i="1"/>
  <c r="L1168" i="1"/>
  <c r="W1167" i="1"/>
  <c r="V1167" i="1"/>
  <c r="U1167" i="1"/>
  <c r="N1167" i="1"/>
  <c r="M1167" i="1"/>
  <c r="R1167" i="1" s="1"/>
  <c r="L1167" i="1"/>
  <c r="W1166" i="1"/>
  <c r="V1166" i="1"/>
  <c r="U1166" i="1"/>
  <c r="T1166" i="1"/>
  <c r="Q1166" i="1"/>
  <c r="N1166" i="1"/>
  <c r="S1166" i="1" s="1"/>
  <c r="M1166" i="1"/>
  <c r="L1166" i="1"/>
  <c r="W1165" i="1"/>
  <c r="T1165" i="1"/>
  <c r="S1165" i="1"/>
  <c r="R1165" i="1"/>
  <c r="Q1165" i="1"/>
  <c r="P1165" i="1"/>
  <c r="N1165" i="1"/>
  <c r="O1165" i="1" s="1"/>
  <c r="M1165" i="1"/>
  <c r="L1165" i="1"/>
  <c r="S1164" i="1"/>
  <c r="R1164" i="1"/>
  <c r="P1164" i="1"/>
  <c r="O1164" i="1"/>
  <c r="N1164" i="1"/>
  <c r="M1164" i="1"/>
  <c r="L1164" i="1"/>
  <c r="W1163" i="1"/>
  <c r="V1163" i="1"/>
  <c r="U1163" i="1"/>
  <c r="T1163" i="1"/>
  <c r="R1163" i="1"/>
  <c r="Q1163" i="1"/>
  <c r="O1163" i="1"/>
  <c r="N1163" i="1"/>
  <c r="S1163" i="1" s="1"/>
  <c r="M1163" i="1"/>
  <c r="P1163" i="1" s="1"/>
  <c r="L1163" i="1"/>
  <c r="N1162" i="1"/>
  <c r="M1162" i="1"/>
  <c r="L1162" i="1"/>
  <c r="W1161" i="1"/>
  <c r="V1161" i="1"/>
  <c r="U1161" i="1"/>
  <c r="T1161" i="1"/>
  <c r="S1161" i="1"/>
  <c r="R1161" i="1"/>
  <c r="Q1161" i="1"/>
  <c r="P1161" i="1"/>
  <c r="N1161" i="1"/>
  <c r="O1161" i="1" s="1"/>
  <c r="M1161" i="1"/>
  <c r="L1161" i="1"/>
  <c r="R1160" i="1"/>
  <c r="Q1160" i="1"/>
  <c r="P1160" i="1"/>
  <c r="N1160" i="1"/>
  <c r="M1160" i="1"/>
  <c r="L1160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R1158" i="1"/>
  <c r="P1158" i="1"/>
  <c r="O1158" i="1"/>
  <c r="N1158" i="1"/>
  <c r="S1158" i="1" s="1"/>
  <c r="M1158" i="1"/>
  <c r="L1158" i="1"/>
  <c r="W1157" i="1"/>
  <c r="V1157" i="1"/>
  <c r="S1157" i="1"/>
  <c r="O1157" i="1"/>
  <c r="N1157" i="1"/>
  <c r="M1157" i="1"/>
  <c r="R1157" i="1" s="1"/>
  <c r="L1157" i="1"/>
  <c r="W1156" i="1"/>
  <c r="V1156" i="1"/>
  <c r="U1156" i="1"/>
  <c r="T1156" i="1"/>
  <c r="S1156" i="1"/>
  <c r="R1156" i="1"/>
  <c r="Q1156" i="1"/>
  <c r="P1156" i="1"/>
  <c r="N1156" i="1"/>
  <c r="O1156" i="1" s="1"/>
  <c r="M1156" i="1"/>
  <c r="L1156" i="1"/>
  <c r="W1155" i="1"/>
  <c r="N1155" i="1"/>
  <c r="O1155" i="1" s="1"/>
  <c r="M1155" i="1"/>
  <c r="R1155" i="1" s="1"/>
  <c r="L1155" i="1"/>
  <c r="S1154" i="1"/>
  <c r="R1154" i="1"/>
  <c r="P1154" i="1"/>
  <c r="O1154" i="1"/>
  <c r="N1154" i="1"/>
  <c r="M1154" i="1"/>
  <c r="L1154" i="1"/>
  <c r="W1154" i="1" s="1"/>
  <c r="N1153" i="1"/>
  <c r="S1153" i="1" s="1"/>
  <c r="M1153" i="1"/>
  <c r="L1153" i="1"/>
  <c r="W1152" i="1"/>
  <c r="V1152" i="1"/>
  <c r="U1152" i="1"/>
  <c r="S1152" i="1"/>
  <c r="N1152" i="1"/>
  <c r="O1152" i="1" s="1"/>
  <c r="M1152" i="1"/>
  <c r="R1152" i="1" s="1"/>
  <c r="L1152" i="1"/>
  <c r="W1151" i="1"/>
  <c r="V1151" i="1"/>
  <c r="U1151" i="1"/>
  <c r="T1151" i="1"/>
  <c r="Q1151" i="1"/>
  <c r="N1151" i="1"/>
  <c r="M1151" i="1"/>
  <c r="L1151" i="1"/>
  <c r="W1150" i="1"/>
  <c r="T1150" i="1"/>
  <c r="R1150" i="1"/>
  <c r="Q1150" i="1"/>
  <c r="P1150" i="1"/>
  <c r="N1150" i="1"/>
  <c r="M1150" i="1"/>
  <c r="L1150" i="1"/>
  <c r="S1149" i="1"/>
  <c r="R1149" i="1"/>
  <c r="P1149" i="1"/>
  <c r="O1149" i="1"/>
  <c r="N1149" i="1"/>
  <c r="M1149" i="1"/>
  <c r="L1149" i="1"/>
  <c r="W1148" i="1"/>
  <c r="V1148" i="1"/>
  <c r="U1148" i="1"/>
  <c r="T1148" i="1"/>
  <c r="R1148" i="1"/>
  <c r="Q1148" i="1"/>
  <c r="P1148" i="1"/>
  <c r="N1148" i="1"/>
  <c r="S1148" i="1" s="1"/>
  <c r="M1148" i="1"/>
  <c r="L1148" i="1"/>
  <c r="O1147" i="1"/>
  <c r="N1147" i="1"/>
  <c r="S1147" i="1" s="1"/>
  <c r="M1147" i="1"/>
  <c r="L1147" i="1"/>
  <c r="W1146" i="1"/>
  <c r="V1146" i="1"/>
  <c r="U1146" i="1"/>
  <c r="T1146" i="1"/>
  <c r="S1146" i="1"/>
  <c r="R1146" i="1"/>
  <c r="Q1146" i="1"/>
  <c r="O1146" i="1"/>
  <c r="N1146" i="1"/>
  <c r="M1146" i="1"/>
  <c r="P1146" i="1" s="1"/>
  <c r="L1146" i="1"/>
  <c r="N1145" i="1"/>
  <c r="M1145" i="1"/>
  <c r="L1145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U1143" i="1"/>
  <c r="T1143" i="1"/>
  <c r="Q1143" i="1"/>
  <c r="N1143" i="1"/>
  <c r="M1143" i="1"/>
  <c r="L1143" i="1"/>
  <c r="W1142" i="1"/>
  <c r="V1142" i="1"/>
  <c r="N1142" i="1"/>
  <c r="S1142" i="1" s="1"/>
  <c r="M1142" i="1"/>
  <c r="R1142" i="1" s="1"/>
  <c r="L1142" i="1"/>
  <c r="W1141" i="1"/>
  <c r="V1141" i="1"/>
  <c r="U1141" i="1"/>
  <c r="T1141" i="1"/>
  <c r="S1141" i="1"/>
  <c r="R1141" i="1"/>
  <c r="Q1141" i="1"/>
  <c r="P1141" i="1"/>
  <c r="N1141" i="1"/>
  <c r="O1141" i="1" s="1"/>
  <c r="M1141" i="1"/>
  <c r="L1141" i="1"/>
  <c r="P1140" i="1"/>
  <c r="N1140" i="1"/>
  <c r="O1140" i="1" s="1"/>
  <c r="M1140" i="1"/>
  <c r="R1140" i="1" s="1"/>
  <c r="L1140" i="1"/>
  <c r="W1139" i="1"/>
  <c r="V1139" i="1"/>
  <c r="U1139" i="1"/>
  <c r="T1139" i="1"/>
  <c r="R1139" i="1"/>
  <c r="Q1139" i="1"/>
  <c r="P1139" i="1"/>
  <c r="N1139" i="1"/>
  <c r="M1139" i="1"/>
  <c r="L1139" i="1"/>
  <c r="N1138" i="1"/>
  <c r="S1138" i="1" s="1"/>
  <c r="M1138" i="1"/>
  <c r="L1138" i="1"/>
  <c r="W1137" i="1"/>
  <c r="V1137" i="1"/>
  <c r="U1137" i="1"/>
  <c r="S1137" i="1"/>
  <c r="R1137" i="1"/>
  <c r="P1137" i="1"/>
  <c r="O1137" i="1"/>
  <c r="N1137" i="1"/>
  <c r="M1137" i="1"/>
  <c r="L1137" i="1"/>
  <c r="V1136" i="1"/>
  <c r="U1136" i="1"/>
  <c r="T1136" i="1"/>
  <c r="Q1136" i="1"/>
  <c r="O1136" i="1"/>
  <c r="N1136" i="1"/>
  <c r="S1136" i="1" s="1"/>
  <c r="M1136" i="1"/>
  <c r="R1136" i="1" s="1"/>
  <c r="L1136" i="1"/>
  <c r="W1136" i="1" s="1"/>
  <c r="W1135" i="1"/>
  <c r="V1135" i="1"/>
  <c r="T1135" i="1"/>
  <c r="S1135" i="1"/>
  <c r="R1135" i="1"/>
  <c r="Q1135" i="1"/>
  <c r="N1135" i="1"/>
  <c r="O1135" i="1" s="1"/>
  <c r="M1135" i="1"/>
  <c r="P1135" i="1" s="1"/>
  <c r="L1135" i="1"/>
  <c r="U1135" i="1" s="1"/>
  <c r="R1134" i="1"/>
  <c r="P1134" i="1"/>
  <c r="N1134" i="1"/>
  <c r="S1134" i="1" s="1"/>
  <c r="M1134" i="1"/>
  <c r="L1134" i="1"/>
  <c r="W1133" i="1"/>
  <c r="V1133" i="1"/>
  <c r="U1133" i="1"/>
  <c r="T1133" i="1"/>
  <c r="Q1133" i="1"/>
  <c r="O1133" i="1"/>
  <c r="N1133" i="1"/>
  <c r="S1133" i="1" s="1"/>
  <c r="M1133" i="1"/>
  <c r="R1133" i="1" s="1"/>
  <c r="L1133" i="1"/>
  <c r="O1132" i="1"/>
  <c r="N1132" i="1"/>
  <c r="S1132" i="1" s="1"/>
  <c r="M1132" i="1"/>
  <c r="L1132" i="1"/>
  <c r="W1131" i="1"/>
  <c r="V1131" i="1"/>
  <c r="P1131" i="1"/>
  <c r="O1131" i="1"/>
  <c r="N1131" i="1"/>
  <c r="S1131" i="1" s="1"/>
  <c r="M1131" i="1"/>
  <c r="R1131" i="1" s="1"/>
  <c r="L1131" i="1"/>
  <c r="W1130" i="1"/>
  <c r="V1130" i="1"/>
  <c r="T1130" i="1"/>
  <c r="Q1130" i="1"/>
  <c r="O1130" i="1"/>
  <c r="N1130" i="1"/>
  <c r="S1130" i="1" s="1"/>
  <c r="M1130" i="1"/>
  <c r="R1130" i="1" s="1"/>
  <c r="L1130" i="1"/>
  <c r="U1130" i="1" s="1"/>
  <c r="R1129" i="1"/>
  <c r="P1129" i="1"/>
  <c r="O1129" i="1"/>
  <c r="N1129" i="1"/>
  <c r="S1129" i="1" s="1"/>
  <c r="M1129" i="1"/>
  <c r="L1129" i="1"/>
  <c r="W1128" i="1"/>
  <c r="V1128" i="1"/>
  <c r="U1128" i="1"/>
  <c r="T1128" i="1"/>
  <c r="S1128" i="1"/>
  <c r="R1128" i="1"/>
  <c r="Q1128" i="1"/>
  <c r="O1128" i="1"/>
  <c r="N1128" i="1"/>
  <c r="M1128" i="1"/>
  <c r="P1128" i="1" s="1"/>
  <c r="L1128" i="1"/>
  <c r="N1127" i="1"/>
  <c r="S1127" i="1" s="1"/>
  <c r="M1127" i="1"/>
  <c r="L1127" i="1"/>
  <c r="W1126" i="1"/>
  <c r="V1126" i="1"/>
  <c r="U1126" i="1"/>
  <c r="T1126" i="1"/>
  <c r="R1126" i="1"/>
  <c r="N1126" i="1"/>
  <c r="S1126" i="1" s="1"/>
  <c r="M1126" i="1"/>
  <c r="P1126" i="1" s="1"/>
  <c r="L1126" i="1"/>
  <c r="Q1126" i="1" s="1"/>
  <c r="N1125" i="1"/>
  <c r="M1125" i="1"/>
  <c r="L1125" i="1"/>
  <c r="N1124" i="1"/>
  <c r="M1124" i="1"/>
  <c r="L1124" i="1"/>
  <c r="W1123" i="1"/>
  <c r="V1123" i="1"/>
  <c r="U1123" i="1"/>
  <c r="T1123" i="1"/>
  <c r="S1123" i="1"/>
  <c r="R1123" i="1"/>
  <c r="Q1123" i="1"/>
  <c r="P1123" i="1"/>
  <c r="N1123" i="1"/>
  <c r="O1123" i="1" s="1"/>
  <c r="M1123" i="1"/>
  <c r="L1123" i="1"/>
  <c r="O1122" i="1"/>
  <c r="N1122" i="1"/>
  <c r="S1122" i="1" s="1"/>
  <c r="M1122" i="1"/>
  <c r="L1122" i="1"/>
  <c r="W1121" i="1"/>
  <c r="V1121" i="1"/>
  <c r="U1121" i="1"/>
  <c r="T1121" i="1"/>
  <c r="R1121" i="1"/>
  <c r="N1121" i="1"/>
  <c r="S1121" i="1" s="1"/>
  <c r="M1121" i="1"/>
  <c r="P1121" i="1" s="1"/>
  <c r="L1121" i="1"/>
  <c r="Q1121" i="1" s="1"/>
  <c r="N1120" i="1"/>
  <c r="M1120" i="1"/>
  <c r="L1120" i="1"/>
  <c r="N1119" i="1"/>
  <c r="M1119" i="1"/>
  <c r="L1119" i="1"/>
  <c r="W1118" i="1"/>
  <c r="V1118" i="1"/>
  <c r="U1118" i="1"/>
  <c r="T1118" i="1"/>
  <c r="S1118" i="1"/>
  <c r="R1118" i="1"/>
  <c r="Q1118" i="1"/>
  <c r="P1118" i="1"/>
  <c r="N1118" i="1"/>
  <c r="O1118" i="1" s="1"/>
  <c r="M1118" i="1"/>
  <c r="L1118" i="1"/>
  <c r="O1117" i="1"/>
  <c r="N1117" i="1"/>
  <c r="S1117" i="1" s="1"/>
  <c r="M1117" i="1"/>
  <c r="L1117" i="1"/>
  <c r="W1116" i="1"/>
  <c r="V1116" i="1"/>
  <c r="U1116" i="1"/>
  <c r="T1116" i="1"/>
  <c r="R1116" i="1"/>
  <c r="N1116" i="1"/>
  <c r="S1116" i="1" s="1"/>
  <c r="M1116" i="1"/>
  <c r="P1116" i="1" s="1"/>
  <c r="L1116" i="1"/>
  <c r="Q1116" i="1" s="1"/>
  <c r="N1115" i="1"/>
  <c r="M1115" i="1"/>
  <c r="L1115" i="1"/>
  <c r="V1114" i="1"/>
  <c r="R1114" i="1"/>
  <c r="N1114" i="1"/>
  <c r="M1114" i="1"/>
  <c r="P1114" i="1" s="1"/>
  <c r="L1114" i="1"/>
  <c r="W1113" i="1"/>
  <c r="V1113" i="1"/>
  <c r="U1113" i="1"/>
  <c r="T1113" i="1"/>
  <c r="R1113" i="1"/>
  <c r="Q1113" i="1"/>
  <c r="P1113" i="1"/>
  <c r="N1113" i="1"/>
  <c r="O1113" i="1" s="1"/>
  <c r="M1113" i="1"/>
  <c r="L1113" i="1"/>
  <c r="R1112" i="1"/>
  <c r="Q1112" i="1"/>
  <c r="P1112" i="1"/>
  <c r="N1112" i="1"/>
  <c r="M1112" i="1"/>
  <c r="L1112" i="1"/>
  <c r="W1111" i="1"/>
  <c r="V1111" i="1"/>
  <c r="U1111" i="1"/>
  <c r="T1111" i="1"/>
  <c r="R1111" i="1"/>
  <c r="N1111" i="1"/>
  <c r="M1111" i="1"/>
  <c r="P1111" i="1" s="1"/>
  <c r="L1111" i="1"/>
  <c r="Q1111" i="1" s="1"/>
  <c r="Q1110" i="1"/>
  <c r="P1110" i="1"/>
  <c r="O1110" i="1"/>
  <c r="N1110" i="1"/>
  <c r="S1110" i="1" s="1"/>
  <c r="M1110" i="1"/>
  <c r="R1110" i="1" s="1"/>
  <c r="L1110" i="1"/>
  <c r="W1110" i="1" s="1"/>
  <c r="N1109" i="1"/>
  <c r="M1109" i="1"/>
  <c r="L1109" i="1"/>
  <c r="W1108" i="1"/>
  <c r="V1108" i="1"/>
  <c r="U1108" i="1"/>
  <c r="T1108" i="1"/>
  <c r="R1108" i="1"/>
  <c r="Q1108" i="1"/>
  <c r="P1108" i="1"/>
  <c r="N1108" i="1"/>
  <c r="O1108" i="1" s="1"/>
  <c r="M1108" i="1"/>
  <c r="L1108" i="1"/>
  <c r="V1107" i="1"/>
  <c r="R1107" i="1"/>
  <c r="Q1107" i="1"/>
  <c r="P1107" i="1"/>
  <c r="O1107" i="1"/>
  <c r="N1107" i="1"/>
  <c r="S1107" i="1" s="1"/>
  <c r="M1107" i="1"/>
  <c r="L1107" i="1"/>
  <c r="W1106" i="1"/>
  <c r="V1106" i="1"/>
  <c r="U1106" i="1"/>
  <c r="T1106" i="1"/>
  <c r="R1106" i="1"/>
  <c r="N1106" i="1"/>
  <c r="M1106" i="1"/>
  <c r="P1106" i="1" s="1"/>
  <c r="L1106" i="1"/>
  <c r="Q1106" i="1" s="1"/>
  <c r="T1105" i="1"/>
  <c r="S1105" i="1"/>
  <c r="R1105" i="1"/>
  <c r="Q1105" i="1"/>
  <c r="P1105" i="1"/>
  <c r="N1105" i="1"/>
  <c r="O1105" i="1" s="1"/>
  <c r="M1105" i="1"/>
  <c r="L1105" i="1"/>
  <c r="W1105" i="1" s="1"/>
  <c r="V1104" i="1"/>
  <c r="R1104" i="1"/>
  <c r="N1104" i="1"/>
  <c r="M1104" i="1"/>
  <c r="P1104" i="1" s="1"/>
  <c r="L1104" i="1"/>
  <c r="W1103" i="1"/>
  <c r="V1103" i="1"/>
  <c r="U1103" i="1"/>
  <c r="T1103" i="1"/>
  <c r="R1103" i="1"/>
  <c r="Q1103" i="1"/>
  <c r="P1103" i="1"/>
  <c r="N1103" i="1"/>
  <c r="M1103" i="1"/>
  <c r="L1103" i="1"/>
  <c r="V1102" i="1"/>
  <c r="R1102" i="1"/>
  <c r="Q1102" i="1"/>
  <c r="P1102" i="1"/>
  <c r="O1102" i="1"/>
  <c r="N1102" i="1"/>
  <c r="S1102" i="1" s="1"/>
  <c r="M1102" i="1"/>
  <c r="L1102" i="1"/>
  <c r="W1101" i="1"/>
  <c r="V1101" i="1"/>
  <c r="U1101" i="1"/>
  <c r="T1101" i="1"/>
  <c r="R1101" i="1"/>
  <c r="N1101" i="1"/>
  <c r="M1101" i="1"/>
  <c r="P1101" i="1" s="1"/>
  <c r="L1101" i="1"/>
  <c r="Q1101" i="1" s="1"/>
  <c r="V1100" i="1"/>
  <c r="U1100" i="1"/>
  <c r="T1100" i="1"/>
  <c r="Q1100" i="1"/>
  <c r="N1100" i="1"/>
  <c r="O1100" i="1" s="1"/>
  <c r="M1100" i="1"/>
  <c r="L1100" i="1"/>
  <c r="W1100" i="1" s="1"/>
  <c r="R1099" i="1"/>
  <c r="N1099" i="1"/>
  <c r="M1099" i="1"/>
  <c r="P1099" i="1" s="1"/>
  <c r="L1099" i="1"/>
  <c r="W1098" i="1"/>
  <c r="V1098" i="1"/>
  <c r="U1098" i="1"/>
  <c r="T1098" i="1"/>
  <c r="S1098" i="1"/>
  <c r="R1098" i="1"/>
  <c r="Q1098" i="1"/>
  <c r="P1098" i="1"/>
  <c r="N1098" i="1"/>
  <c r="O1098" i="1" s="1"/>
  <c r="M1098" i="1"/>
  <c r="L1098" i="1"/>
  <c r="U1097" i="1"/>
  <c r="R1097" i="1"/>
  <c r="O1097" i="1"/>
  <c r="N1097" i="1"/>
  <c r="S1097" i="1" s="1"/>
  <c r="M1097" i="1"/>
  <c r="P1097" i="1" s="1"/>
  <c r="L1097" i="1"/>
  <c r="V1097" i="1" s="1"/>
  <c r="W1096" i="1"/>
  <c r="V1096" i="1"/>
  <c r="U1096" i="1"/>
  <c r="T1096" i="1"/>
  <c r="R1096" i="1"/>
  <c r="N1096" i="1"/>
  <c r="M1096" i="1"/>
  <c r="P1096" i="1" s="1"/>
  <c r="L1096" i="1"/>
  <c r="Q1096" i="1" s="1"/>
  <c r="V1095" i="1"/>
  <c r="U1095" i="1"/>
  <c r="T1095" i="1"/>
  <c r="S1095" i="1"/>
  <c r="R1095" i="1"/>
  <c r="Q1095" i="1"/>
  <c r="P1095" i="1"/>
  <c r="N1095" i="1"/>
  <c r="O1095" i="1" s="1"/>
  <c r="M1095" i="1"/>
  <c r="L1095" i="1"/>
  <c r="W1095" i="1" s="1"/>
  <c r="N1094" i="1"/>
  <c r="M1094" i="1"/>
  <c r="L1094" i="1"/>
  <c r="W1093" i="1"/>
  <c r="V1093" i="1"/>
  <c r="U1093" i="1"/>
  <c r="T1093" i="1"/>
  <c r="R1093" i="1"/>
  <c r="Q1093" i="1"/>
  <c r="P1093" i="1"/>
  <c r="N1093" i="1"/>
  <c r="M1093" i="1"/>
  <c r="L1093" i="1"/>
  <c r="O1092" i="1"/>
  <c r="N1092" i="1"/>
  <c r="S1092" i="1" s="1"/>
  <c r="M1092" i="1"/>
  <c r="L1092" i="1"/>
  <c r="W1091" i="1"/>
  <c r="V1091" i="1"/>
  <c r="U1091" i="1"/>
  <c r="T1091" i="1"/>
  <c r="R1091" i="1"/>
  <c r="N1091" i="1"/>
  <c r="M1091" i="1"/>
  <c r="P1091" i="1" s="1"/>
  <c r="L1091" i="1"/>
  <c r="Q1091" i="1" s="1"/>
  <c r="P1090" i="1"/>
  <c r="N1090" i="1"/>
  <c r="S1090" i="1" s="1"/>
  <c r="M1090" i="1"/>
  <c r="R1090" i="1" s="1"/>
  <c r="L1090" i="1"/>
  <c r="V1089" i="1"/>
  <c r="R1089" i="1"/>
  <c r="N1089" i="1"/>
  <c r="M1089" i="1"/>
  <c r="P1089" i="1" s="1"/>
  <c r="L1089" i="1"/>
  <c r="W1088" i="1"/>
  <c r="V1088" i="1"/>
  <c r="U1088" i="1"/>
  <c r="T1088" i="1"/>
  <c r="S1088" i="1"/>
  <c r="R1088" i="1"/>
  <c r="Q1088" i="1"/>
  <c r="P1088" i="1"/>
  <c r="N1088" i="1"/>
  <c r="O1088" i="1" s="1"/>
  <c r="M1088" i="1"/>
  <c r="L1088" i="1"/>
  <c r="R1087" i="1"/>
  <c r="Q1087" i="1"/>
  <c r="P1087" i="1"/>
  <c r="N1087" i="1"/>
  <c r="M1087" i="1"/>
  <c r="L1087" i="1"/>
  <c r="W1086" i="1"/>
  <c r="V1086" i="1"/>
  <c r="U1086" i="1"/>
  <c r="T1086" i="1"/>
  <c r="N1086" i="1"/>
  <c r="M1086" i="1"/>
  <c r="P1086" i="1" s="1"/>
  <c r="L1086" i="1"/>
  <c r="Q1086" i="1" s="1"/>
  <c r="Q1085" i="1"/>
  <c r="P1085" i="1"/>
  <c r="O1085" i="1"/>
  <c r="N1085" i="1"/>
  <c r="S1085" i="1" s="1"/>
  <c r="M1085" i="1"/>
  <c r="R1085" i="1" s="1"/>
  <c r="L1085" i="1"/>
  <c r="W1085" i="1" s="1"/>
  <c r="V1084" i="1"/>
  <c r="R1084" i="1"/>
  <c r="Q1084" i="1"/>
  <c r="P1084" i="1"/>
  <c r="N1084" i="1"/>
  <c r="M1084" i="1"/>
  <c r="L1084" i="1"/>
  <c r="W1083" i="1"/>
  <c r="V1083" i="1"/>
  <c r="U1083" i="1"/>
  <c r="T1083" i="1"/>
  <c r="R1083" i="1"/>
  <c r="Q1083" i="1"/>
  <c r="P1083" i="1"/>
  <c r="N1083" i="1"/>
  <c r="M1083" i="1"/>
  <c r="L1083" i="1"/>
  <c r="V1082" i="1"/>
  <c r="U1082" i="1"/>
  <c r="T1082" i="1"/>
  <c r="R1082" i="1"/>
  <c r="Q1082" i="1"/>
  <c r="P1082" i="1"/>
  <c r="O1082" i="1"/>
  <c r="N1082" i="1"/>
  <c r="S1082" i="1" s="1"/>
  <c r="M1082" i="1"/>
  <c r="L1082" i="1"/>
  <c r="W1082" i="1" s="1"/>
  <c r="N1081" i="1"/>
  <c r="M1081" i="1"/>
  <c r="L1081" i="1"/>
  <c r="V1080" i="1"/>
  <c r="U1080" i="1"/>
  <c r="T1080" i="1"/>
  <c r="R1080" i="1"/>
  <c r="Q1080" i="1"/>
  <c r="P1080" i="1"/>
  <c r="N1080" i="1"/>
  <c r="S1080" i="1" s="1"/>
  <c r="M1080" i="1"/>
  <c r="L1080" i="1"/>
  <c r="W1080" i="1" s="1"/>
  <c r="P1079" i="1"/>
  <c r="N1079" i="1"/>
  <c r="M1079" i="1"/>
  <c r="R1079" i="1" s="1"/>
  <c r="L1079" i="1"/>
  <c r="W1078" i="1"/>
  <c r="V1078" i="1"/>
  <c r="U1078" i="1"/>
  <c r="T1078" i="1"/>
  <c r="S1078" i="1"/>
  <c r="R1078" i="1"/>
  <c r="Q1078" i="1"/>
  <c r="P1078" i="1"/>
  <c r="N1078" i="1"/>
  <c r="O1078" i="1" s="1"/>
  <c r="M1078" i="1"/>
  <c r="L1078" i="1"/>
  <c r="P1077" i="1"/>
  <c r="N1077" i="1"/>
  <c r="S1077" i="1" s="1"/>
  <c r="M1077" i="1"/>
  <c r="R1077" i="1" s="1"/>
  <c r="L1077" i="1"/>
  <c r="W1076" i="1"/>
  <c r="V1076" i="1"/>
  <c r="U1076" i="1"/>
  <c r="T1076" i="1"/>
  <c r="R1076" i="1"/>
  <c r="N1076" i="1"/>
  <c r="M1076" i="1"/>
  <c r="P1076" i="1" s="1"/>
  <c r="L1076" i="1"/>
  <c r="Q1076" i="1" s="1"/>
  <c r="V1075" i="1"/>
  <c r="U1075" i="1"/>
  <c r="O1075" i="1"/>
  <c r="N1075" i="1"/>
  <c r="S1075" i="1" s="1"/>
  <c r="M1075" i="1"/>
  <c r="R1075" i="1" s="1"/>
  <c r="L1075" i="1"/>
  <c r="W1075" i="1" s="1"/>
  <c r="V1074" i="1"/>
  <c r="R1074" i="1"/>
  <c r="Q1074" i="1"/>
  <c r="N1074" i="1"/>
  <c r="M1074" i="1"/>
  <c r="P1074" i="1" s="1"/>
  <c r="L1074" i="1"/>
  <c r="W1073" i="1"/>
  <c r="V1073" i="1"/>
  <c r="U1073" i="1"/>
  <c r="T1073" i="1"/>
  <c r="R1073" i="1"/>
  <c r="Q1073" i="1"/>
  <c r="P1073" i="1"/>
  <c r="N1073" i="1"/>
  <c r="O1073" i="1" s="1"/>
  <c r="M1073" i="1"/>
  <c r="L1073" i="1"/>
  <c r="T1072" i="1"/>
  <c r="R1072" i="1"/>
  <c r="Q1072" i="1"/>
  <c r="O1072" i="1"/>
  <c r="N1072" i="1"/>
  <c r="S1072" i="1" s="1"/>
  <c r="M1072" i="1"/>
  <c r="P1072" i="1" s="1"/>
  <c r="L1072" i="1"/>
  <c r="W1072" i="1" s="1"/>
  <c r="W1071" i="1"/>
  <c r="V1071" i="1"/>
  <c r="U1071" i="1"/>
  <c r="N1071" i="1"/>
  <c r="M1071" i="1"/>
  <c r="P1071" i="1" s="1"/>
  <c r="L1071" i="1"/>
  <c r="Q1071" i="1" s="1"/>
  <c r="R1070" i="1"/>
  <c r="Q1070" i="1"/>
  <c r="P1070" i="1"/>
  <c r="N1070" i="1"/>
  <c r="M1070" i="1"/>
  <c r="L1070" i="1"/>
  <c r="W1070" i="1" s="1"/>
  <c r="V1069" i="1"/>
  <c r="R1069" i="1"/>
  <c r="Q1069" i="1"/>
  <c r="P1069" i="1"/>
  <c r="N1069" i="1"/>
  <c r="M1069" i="1"/>
  <c r="L1069" i="1"/>
  <c r="W1068" i="1"/>
  <c r="V1068" i="1"/>
  <c r="U1068" i="1"/>
  <c r="T1068" i="1"/>
  <c r="R1068" i="1"/>
  <c r="Q1068" i="1"/>
  <c r="P1068" i="1"/>
  <c r="N1068" i="1"/>
  <c r="M1068" i="1"/>
  <c r="L1068" i="1"/>
  <c r="V1067" i="1"/>
  <c r="U1067" i="1"/>
  <c r="T1067" i="1"/>
  <c r="R1067" i="1"/>
  <c r="Q1067" i="1"/>
  <c r="P1067" i="1"/>
  <c r="O1067" i="1"/>
  <c r="N1067" i="1"/>
  <c r="S1067" i="1" s="1"/>
  <c r="M1067" i="1"/>
  <c r="L1067" i="1"/>
  <c r="W1067" i="1" s="1"/>
  <c r="N1066" i="1"/>
  <c r="M1066" i="1"/>
  <c r="L1066" i="1"/>
  <c r="V1065" i="1"/>
  <c r="U1065" i="1"/>
  <c r="T1065" i="1"/>
  <c r="S1065" i="1"/>
  <c r="R1065" i="1"/>
  <c r="Q1065" i="1"/>
  <c r="P1065" i="1"/>
  <c r="O1065" i="1"/>
  <c r="N1065" i="1"/>
  <c r="M1065" i="1"/>
  <c r="L1065" i="1"/>
  <c r="W1065" i="1" s="1"/>
  <c r="N1064" i="1"/>
  <c r="M1064" i="1"/>
  <c r="R1064" i="1" s="1"/>
  <c r="L1064" i="1"/>
  <c r="W1063" i="1"/>
  <c r="V1063" i="1"/>
  <c r="U1063" i="1"/>
  <c r="T1063" i="1"/>
  <c r="R1063" i="1"/>
  <c r="Q1063" i="1"/>
  <c r="P1063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O1059" i="1"/>
  <c r="N1059" i="1"/>
  <c r="S1059" i="1" s="1"/>
  <c r="M1059" i="1"/>
  <c r="P1059" i="1" s="1"/>
  <c r="L1059" i="1"/>
  <c r="W1058" i="1"/>
  <c r="V1058" i="1"/>
  <c r="U1058" i="1"/>
  <c r="T1058" i="1"/>
  <c r="R1058" i="1"/>
  <c r="Q1058" i="1"/>
  <c r="P1058" i="1"/>
  <c r="N1058" i="1"/>
  <c r="O1058" i="1" s="1"/>
  <c r="M1058" i="1"/>
  <c r="L1058" i="1"/>
  <c r="V1057" i="1"/>
  <c r="U1057" i="1"/>
  <c r="T1057" i="1"/>
  <c r="R1057" i="1"/>
  <c r="Q1057" i="1"/>
  <c r="P1057" i="1"/>
  <c r="N1057" i="1"/>
  <c r="S1057" i="1" s="1"/>
  <c r="M1057" i="1"/>
  <c r="L1057" i="1"/>
  <c r="W1057" i="1" s="1"/>
  <c r="N1056" i="1"/>
  <c r="M1056" i="1"/>
  <c r="P1056" i="1" s="1"/>
  <c r="L1056" i="1"/>
  <c r="W1055" i="1"/>
  <c r="V1055" i="1"/>
  <c r="U1055" i="1"/>
  <c r="T1055" i="1"/>
  <c r="R1055" i="1"/>
  <c r="Q1055" i="1"/>
  <c r="P1055" i="1"/>
  <c r="N1055" i="1"/>
  <c r="M1055" i="1"/>
  <c r="L1055" i="1"/>
  <c r="P1054" i="1"/>
  <c r="N1054" i="1"/>
  <c r="S1054" i="1" s="1"/>
  <c r="M1054" i="1"/>
  <c r="R1054" i="1" s="1"/>
  <c r="L1054" i="1"/>
  <c r="W1053" i="1"/>
  <c r="V1053" i="1"/>
  <c r="U1053" i="1"/>
  <c r="T1053" i="1"/>
  <c r="R1053" i="1"/>
  <c r="Q1053" i="1"/>
  <c r="P1053" i="1"/>
  <c r="N1053" i="1"/>
  <c r="M1053" i="1"/>
  <c r="L1053" i="1"/>
  <c r="N1052" i="1"/>
  <c r="M1052" i="1"/>
  <c r="L1052" i="1"/>
  <c r="V1051" i="1"/>
  <c r="N1051" i="1"/>
  <c r="M1051" i="1"/>
  <c r="L1051" i="1"/>
  <c r="N1050" i="1"/>
  <c r="M1050" i="1"/>
  <c r="L1050" i="1"/>
  <c r="R1049" i="1"/>
  <c r="O1049" i="1"/>
  <c r="N1049" i="1"/>
  <c r="S1049" i="1" s="1"/>
  <c r="M1049" i="1"/>
  <c r="P1049" i="1" s="1"/>
  <c r="L1049" i="1"/>
  <c r="W1048" i="1"/>
  <c r="V1048" i="1"/>
  <c r="U1048" i="1"/>
  <c r="T1048" i="1"/>
  <c r="R1048" i="1"/>
  <c r="Q1048" i="1"/>
  <c r="P1048" i="1"/>
  <c r="N1048" i="1"/>
  <c r="O1048" i="1" s="1"/>
  <c r="M1048" i="1"/>
  <c r="L1048" i="1"/>
  <c r="V1047" i="1"/>
  <c r="U1047" i="1"/>
  <c r="T1047" i="1"/>
  <c r="R1047" i="1"/>
  <c r="Q1047" i="1"/>
  <c r="P1047" i="1"/>
  <c r="N1047" i="1"/>
  <c r="S1047" i="1" s="1"/>
  <c r="M1047" i="1"/>
  <c r="L1047" i="1"/>
  <c r="W1047" i="1" s="1"/>
  <c r="N1046" i="1"/>
  <c r="M1046" i="1"/>
  <c r="P1046" i="1" s="1"/>
  <c r="L1046" i="1"/>
  <c r="W1045" i="1"/>
  <c r="V1045" i="1"/>
  <c r="U1045" i="1"/>
  <c r="T1045" i="1"/>
  <c r="R1045" i="1"/>
  <c r="Q1045" i="1"/>
  <c r="P1045" i="1"/>
  <c r="O1045" i="1"/>
  <c r="N1045" i="1"/>
  <c r="S1045" i="1" s="1"/>
  <c r="M1045" i="1"/>
  <c r="L1045" i="1"/>
  <c r="P1044" i="1"/>
  <c r="N1044" i="1"/>
  <c r="S1044" i="1" s="1"/>
  <c r="M1044" i="1"/>
  <c r="R1044" i="1" s="1"/>
  <c r="L1044" i="1"/>
  <c r="W1043" i="1"/>
  <c r="V1043" i="1"/>
  <c r="U1043" i="1"/>
  <c r="T1043" i="1"/>
  <c r="R1043" i="1"/>
  <c r="Q1043" i="1"/>
  <c r="P1043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O1039" i="1"/>
  <c r="N1039" i="1"/>
  <c r="S1039" i="1" s="1"/>
  <c r="M1039" i="1"/>
  <c r="P1039" i="1" s="1"/>
  <c r="L1039" i="1"/>
  <c r="W1038" i="1"/>
  <c r="V1038" i="1"/>
  <c r="U1038" i="1"/>
  <c r="T1038" i="1"/>
  <c r="R1038" i="1"/>
  <c r="Q1038" i="1"/>
  <c r="P1038" i="1"/>
  <c r="N1038" i="1"/>
  <c r="O1038" i="1" s="1"/>
  <c r="M1038" i="1"/>
  <c r="L1038" i="1"/>
  <c r="V1037" i="1"/>
  <c r="U1037" i="1"/>
  <c r="T1037" i="1"/>
  <c r="R1037" i="1"/>
  <c r="Q1037" i="1"/>
  <c r="P1037" i="1"/>
  <c r="N1037" i="1"/>
  <c r="S1037" i="1" s="1"/>
  <c r="M1037" i="1"/>
  <c r="L1037" i="1"/>
  <c r="W1037" i="1" s="1"/>
  <c r="N1036" i="1"/>
  <c r="M1036" i="1"/>
  <c r="L1036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N1034" i="1"/>
  <c r="M1034" i="1"/>
  <c r="L1034" i="1"/>
  <c r="W1033" i="1"/>
  <c r="V1033" i="1"/>
  <c r="U1033" i="1"/>
  <c r="T1033" i="1"/>
  <c r="S1033" i="1"/>
  <c r="R1033" i="1"/>
  <c r="Q1033" i="1"/>
  <c r="P1033" i="1"/>
  <c r="N1033" i="1"/>
  <c r="O1033" i="1" s="1"/>
  <c r="M1033" i="1"/>
  <c r="L1033" i="1"/>
  <c r="P1032" i="1"/>
  <c r="N1032" i="1"/>
  <c r="S1032" i="1" s="1"/>
  <c r="M1032" i="1"/>
  <c r="R1032" i="1" s="1"/>
  <c r="L1032" i="1"/>
  <c r="W1031" i="1"/>
  <c r="V1031" i="1"/>
  <c r="U1031" i="1"/>
  <c r="T1031" i="1"/>
  <c r="R1031" i="1"/>
  <c r="Q1031" i="1"/>
  <c r="P1031" i="1"/>
  <c r="N1031" i="1"/>
  <c r="M1031" i="1"/>
  <c r="L1031" i="1"/>
  <c r="R1030" i="1"/>
  <c r="Q1030" i="1"/>
  <c r="P1030" i="1"/>
  <c r="N1030" i="1"/>
  <c r="M1030" i="1"/>
  <c r="L1030" i="1"/>
  <c r="W1030" i="1" s="1"/>
  <c r="V1029" i="1"/>
  <c r="U1029" i="1"/>
  <c r="T1029" i="1"/>
  <c r="R1029" i="1"/>
  <c r="N1029" i="1"/>
  <c r="S1029" i="1" s="1"/>
  <c r="M1029" i="1"/>
  <c r="P1029" i="1" s="1"/>
  <c r="L1029" i="1"/>
  <c r="W1029" i="1" s="1"/>
  <c r="T1028" i="1"/>
  <c r="S1028" i="1"/>
  <c r="R1028" i="1"/>
  <c r="P1028" i="1"/>
  <c r="N1028" i="1"/>
  <c r="O1028" i="1" s="1"/>
  <c r="M1028" i="1"/>
  <c r="L1028" i="1"/>
  <c r="W1028" i="1" s="1"/>
  <c r="V1027" i="1"/>
  <c r="U1027" i="1"/>
  <c r="T1027" i="1"/>
  <c r="N1027" i="1"/>
  <c r="S1027" i="1" s="1"/>
  <c r="M1027" i="1"/>
  <c r="R1027" i="1" s="1"/>
  <c r="L1027" i="1"/>
  <c r="W1027" i="1" s="1"/>
  <c r="V1026" i="1"/>
  <c r="U1026" i="1"/>
  <c r="T1026" i="1"/>
  <c r="Q1026" i="1"/>
  <c r="N1026" i="1"/>
  <c r="M1026" i="1"/>
  <c r="R1026" i="1" s="1"/>
  <c r="L1026" i="1"/>
  <c r="W1026" i="1" s="1"/>
  <c r="P1025" i="1"/>
  <c r="N1025" i="1"/>
  <c r="S1025" i="1" s="1"/>
  <c r="M1025" i="1"/>
  <c r="R1025" i="1" s="1"/>
  <c r="L1025" i="1"/>
  <c r="R1024" i="1"/>
  <c r="O1024" i="1"/>
  <c r="N1024" i="1"/>
  <c r="S1024" i="1" s="1"/>
  <c r="M1024" i="1"/>
  <c r="P1024" i="1" s="1"/>
  <c r="L1024" i="1"/>
  <c r="N1023" i="1"/>
  <c r="O1023" i="1" s="1"/>
  <c r="M1023" i="1"/>
  <c r="L1023" i="1"/>
  <c r="V1022" i="1"/>
  <c r="U1022" i="1"/>
  <c r="T1022" i="1"/>
  <c r="R1022" i="1"/>
  <c r="Q1022" i="1"/>
  <c r="P1022" i="1"/>
  <c r="N1022" i="1"/>
  <c r="S1022" i="1" s="1"/>
  <c r="M1022" i="1"/>
  <c r="L1022" i="1"/>
  <c r="W1022" i="1" s="1"/>
  <c r="N1021" i="1"/>
  <c r="M1021" i="1"/>
  <c r="L1021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P1019" i="1"/>
  <c r="N1019" i="1"/>
  <c r="S1019" i="1" s="1"/>
  <c r="M1019" i="1"/>
  <c r="R1019" i="1" s="1"/>
  <c r="L1019" i="1"/>
  <c r="W1018" i="1"/>
  <c r="V1018" i="1"/>
  <c r="U1018" i="1"/>
  <c r="T1018" i="1"/>
  <c r="S1018" i="1"/>
  <c r="R1018" i="1"/>
  <c r="Q1018" i="1"/>
  <c r="N1018" i="1"/>
  <c r="O1018" i="1" s="1"/>
  <c r="M1018" i="1"/>
  <c r="P1018" i="1" s="1"/>
  <c r="L1018" i="1"/>
  <c r="R1017" i="1"/>
  <c r="Q1017" i="1"/>
  <c r="P1017" i="1"/>
  <c r="N1017" i="1"/>
  <c r="M1017" i="1"/>
  <c r="L1017" i="1"/>
  <c r="W1017" i="1" s="1"/>
  <c r="W1016" i="1"/>
  <c r="V1016" i="1"/>
  <c r="U1016" i="1"/>
  <c r="T1016" i="1"/>
  <c r="R1016" i="1"/>
  <c r="P1016" i="1"/>
  <c r="N1016" i="1"/>
  <c r="M1016" i="1"/>
  <c r="L1016" i="1"/>
  <c r="Q1016" i="1" s="1"/>
  <c r="T1015" i="1"/>
  <c r="S1015" i="1"/>
  <c r="R1015" i="1"/>
  <c r="Q1015" i="1"/>
  <c r="P1015" i="1"/>
  <c r="N1015" i="1"/>
  <c r="O1015" i="1" s="1"/>
  <c r="M1015" i="1"/>
  <c r="L1015" i="1"/>
  <c r="W1015" i="1" s="1"/>
  <c r="V1014" i="1"/>
  <c r="U1014" i="1"/>
  <c r="P1014" i="1"/>
  <c r="N1014" i="1"/>
  <c r="S1014" i="1" s="1"/>
  <c r="M1014" i="1"/>
  <c r="R1014" i="1" s="1"/>
  <c r="L1014" i="1"/>
  <c r="W1014" i="1" s="1"/>
  <c r="R1013" i="1"/>
  <c r="P1013" i="1"/>
  <c r="N1013" i="1"/>
  <c r="O1013" i="1" s="1"/>
  <c r="M1013" i="1"/>
  <c r="L1013" i="1"/>
  <c r="P1012" i="1"/>
  <c r="N1012" i="1"/>
  <c r="S1012" i="1" s="1"/>
  <c r="M1012" i="1"/>
  <c r="R1012" i="1" s="1"/>
  <c r="L1012" i="1"/>
  <c r="N1011" i="1"/>
  <c r="M1011" i="1"/>
  <c r="L1011" i="1"/>
  <c r="N1010" i="1"/>
  <c r="M1010" i="1"/>
  <c r="L1010" i="1"/>
  <c r="V1009" i="1"/>
  <c r="U1009" i="1"/>
  <c r="T1009" i="1"/>
  <c r="R1009" i="1"/>
  <c r="Q1009" i="1"/>
  <c r="P1009" i="1"/>
  <c r="N1009" i="1"/>
  <c r="S1009" i="1" s="1"/>
  <c r="M1009" i="1"/>
  <c r="L1009" i="1"/>
  <c r="W1009" i="1" s="1"/>
  <c r="P1008" i="1"/>
  <c r="N1008" i="1"/>
  <c r="M1008" i="1"/>
  <c r="R1008" i="1" s="1"/>
  <c r="L1008" i="1"/>
  <c r="W1008" i="1" s="1"/>
  <c r="V1007" i="1"/>
  <c r="U1007" i="1"/>
  <c r="T1007" i="1"/>
  <c r="S1007" i="1"/>
  <c r="R1007" i="1"/>
  <c r="Q1007" i="1"/>
  <c r="P1007" i="1"/>
  <c r="O1007" i="1"/>
  <c r="N1007" i="1"/>
  <c r="M1007" i="1"/>
  <c r="L1007" i="1"/>
  <c r="W1007" i="1" s="1"/>
  <c r="P1006" i="1"/>
  <c r="N1006" i="1"/>
  <c r="M1006" i="1"/>
  <c r="R1006" i="1" s="1"/>
  <c r="L1006" i="1"/>
  <c r="W1005" i="1"/>
  <c r="V1005" i="1"/>
  <c r="U1005" i="1"/>
  <c r="T1005" i="1"/>
  <c r="S1005" i="1"/>
  <c r="R1005" i="1"/>
  <c r="N1005" i="1"/>
  <c r="O1005" i="1" s="1"/>
  <c r="M1005" i="1"/>
  <c r="P1005" i="1" s="1"/>
  <c r="L1005" i="1"/>
  <c r="Q1005" i="1" s="1"/>
  <c r="R1004" i="1"/>
  <c r="Q1004" i="1"/>
  <c r="P1004" i="1"/>
  <c r="N1004" i="1"/>
  <c r="M1004" i="1"/>
  <c r="L1004" i="1"/>
  <c r="W1004" i="1" s="1"/>
  <c r="W1003" i="1"/>
  <c r="V1003" i="1"/>
  <c r="U1003" i="1"/>
  <c r="T1003" i="1"/>
  <c r="S1003" i="1"/>
  <c r="N1003" i="1"/>
  <c r="O1003" i="1" s="1"/>
  <c r="M1003" i="1"/>
  <c r="R1003" i="1" s="1"/>
  <c r="L1003" i="1"/>
  <c r="Q1003" i="1" s="1"/>
  <c r="T1002" i="1"/>
  <c r="S1002" i="1"/>
  <c r="R1002" i="1"/>
  <c r="Q1002" i="1"/>
  <c r="P1002" i="1"/>
  <c r="N1002" i="1"/>
  <c r="O1002" i="1" s="1"/>
  <c r="M1002" i="1"/>
  <c r="L1002" i="1"/>
  <c r="W1002" i="1" s="1"/>
  <c r="W1001" i="1"/>
  <c r="V1001" i="1"/>
  <c r="N1001" i="1"/>
  <c r="M1001" i="1"/>
  <c r="R1001" i="1" s="1"/>
  <c r="L1001" i="1"/>
  <c r="U1001" i="1" s="1"/>
  <c r="V1000" i="1"/>
  <c r="U1000" i="1"/>
  <c r="T1000" i="1"/>
  <c r="S1000" i="1"/>
  <c r="R1000" i="1"/>
  <c r="O1000" i="1"/>
  <c r="N1000" i="1"/>
  <c r="M1000" i="1"/>
  <c r="P1000" i="1" s="1"/>
  <c r="L1000" i="1"/>
  <c r="P999" i="1"/>
  <c r="N999" i="1"/>
  <c r="S999" i="1" s="1"/>
  <c r="M999" i="1"/>
  <c r="R999" i="1" s="1"/>
  <c r="L999" i="1"/>
  <c r="W998" i="1"/>
  <c r="V998" i="1"/>
  <c r="U998" i="1"/>
  <c r="T998" i="1"/>
  <c r="Q998" i="1"/>
  <c r="N998" i="1"/>
  <c r="M998" i="1"/>
  <c r="L998" i="1"/>
  <c r="N997" i="1"/>
  <c r="M997" i="1"/>
  <c r="L997" i="1"/>
  <c r="W996" i="1"/>
  <c r="V996" i="1"/>
  <c r="U996" i="1"/>
  <c r="T996" i="1"/>
  <c r="R996" i="1"/>
  <c r="Q996" i="1"/>
  <c r="P996" i="1"/>
  <c r="N996" i="1"/>
  <c r="M996" i="1"/>
  <c r="L996" i="1"/>
  <c r="P995" i="1"/>
  <c r="O995" i="1"/>
  <c r="N995" i="1"/>
  <c r="S995" i="1" s="1"/>
  <c r="M995" i="1"/>
  <c r="R995" i="1" s="1"/>
  <c r="L995" i="1"/>
  <c r="V994" i="1"/>
  <c r="U994" i="1"/>
  <c r="T994" i="1"/>
  <c r="R994" i="1"/>
  <c r="Q994" i="1"/>
  <c r="P994" i="1"/>
  <c r="O994" i="1"/>
  <c r="N994" i="1"/>
  <c r="S994" i="1" s="1"/>
  <c r="M994" i="1"/>
  <c r="L994" i="1"/>
  <c r="W994" i="1" s="1"/>
  <c r="Q993" i="1"/>
  <c r="N993" i="1"/>
  <c r="O993" i="1" s="1"/>
  <c r="M993" i="1"/>
  <c r="R993" i="1" s="1"/>
  <c r="L993" i="1"/>
  <c r="W993" i="1" s="1"/>
  <c r="V992" i="1"/>
  <c r="U992" i="1"/>
  <c r="T992" i="1"/>
  <c r="S992" i="1"/>
  <c r="R992" i="1"/>
  <c r="N992" i="1"/>
  <c r="O992" i="1" s="1"/>
  <c r="M992" i="1"/>
  <c r="P992" i="1" s="1"/>
  <c r="L992" i="1"/>
  <c r="W992" i="1" s="1"/>
  <c r="T991" i="1"/>
  <c r="R991" i="1"/>
  <c r="Q991" i="1"/>
  <c r="P991" i="1"/>
  <c r="N991" i="1"/>
  <c r="M991" i="1"/>
  <c r="L991" i="1"/>
  <c r="W991" i="1" s="1"/>
  <c r="W990" i="1"/>
  <c r="V990" i="1"/>
  <c r="U990" i="1"/>
  <c r="T990" i="1"/>
  <c r="N990" i="1"/>
  <c r="S990" i="1" s="1"/>
  <c r="M990" i="1"/>
  <c r="R990" i="1" s="1"/>
  <c r="L990" i="1"/>
  <c r="Q990" i="1" s="1"/>
  <c r="U989" i="1"/>
  <c r="T989" i="1"/>
  <c r="R989" i="1"/>
  <c r="Q989" i="1"/>
  <c r="P989" i="1"/>
  <c r="N989" i="1"/>
  <c r="S989" i="1" s="1"/>
  <c r="M989" i="1"/>
  <c r="L989" i="1"/>
  <c r="W989" i="1" s="1"/>
  <c r="W988" i="1"/>
  <c r="V988" i="1"/>
  <c r="N988" i="1"/>
  <c r="O988" i="1" s="1"/>
  <c r="M988" i="1"/>
  <c r="R988" i="1" s="1"/>
  <c r="L988" i="1"/>
  <c r="U988" i="1" s="1"/>
  <c r="T987" i="1"/>
  <c r="S987" i="1"/>
  <c r="O987" i="1"/>
  <c r="N987" i="1"/>
  <c r="M987" i="1"/>
  <c r="P987" i="1" s="1"/>
  <c r="L987" i="1"/>
  <c r="N986" i="1"/>
  <c r="M986" i="1"/>
  <c r="R986" i="1" s="1"/>
  <c r="L986" i="1"/>
  <c r="W985" i="1"/>
  <c r="V985" i="1"/>
  <c r="U985" i="1"/>
  <c r="T985" i="1"/>
  <c r="R985" i="1"/>
  <c r="Q985" i="1"/>
  <c r="P985" i="1"/>
  <c r="N985" i="1"/>
  <c r="S985" i="1" s="1"/>
  <c r="M985" i="1"/>
  <c r="L985" i="1"/>
  <c r="N984" i="1"/>
  <c r="M984" i="1"/>
  <c r="L984" i="1"/>
  <c r="W983" i="1"/>
  <c r="V983" i="1"/>
  <c r="U983" i="1"/>
  <c r="T983" i="1"/>
  <c r="S983" i="1"/>
  <c r="R983" i="1"/>
  <c r="Q983" i="1"/>
  <c r="P983" i="1"/>
  <c r="N983" i="1"/>
  <c r="O983" i="1" s="1"/>
  <c r="M983" i="1"/>
  <c r="L983" i="1"/>
  <c r="P982" i="1"/>
  <c r="O982" i="1"/>
  <c r="N982" i="1"/>
  <c r="S982" i="1" s="1"/>
  <c r="M982" i="1"/>
  <c r="R982" i="1" s="1"/>
  <c r="L982" i="1"/>
  <c r="W981" i="1"/>
  <c r="V981" i="1"/>
  <c r="U981" i="1"/>
  <c r="T981" i="1"/>
  <c r="R981" i="1"/>
  <c r="Q981" i="1"/>
  <c r="P981" i="1"/>
  <c r="N981" i="1"/>
  <c r="M981" i="1"/>
  <c r="L981" i="1"/>
  <c r="R980" i="1"/>
  <c r="Q980" i="1"/>
  <c r="P980" i="1"/>
  <c r="N980" i="1"/>
  <c r="M980" i="1"/>
  <c r="L980" i="1"/>
  <c r="W980" i="1" s="1"/>
  <c r="V979" i="1"/>
  <c r="U979" i="1"/>
  <c r="T979" i="1"/>
  <c r="R979" i="1"/>
  <c r="P979" i="1"/>
  <c r="N979" i="1"/>
  <c r="S979" i="1" s="1"/>
  <c r="M979" i="1"/>
  <c r="L979" i="1"/>
  <c r="W979" i="1" s="1"/>
  <c r="T978" i="1"/>
  <c r="S978" i="1"/>
  <c r="R978" i="1"/>
  <c r="P978" i="1"/>
  <c r="N978" i="1"/>
  <c r="O978" i="1" s="1"/>
  <c r="M978" i="1"/>
  <c r="L978" i="1"/>
  <c r="W978" i="1" s="1"/>
  <c r="V977" i="1"/>
  <c r="U977" i="1"/>
  <c r="T977" i="1"/>
  <c r="N977" i="1"/>
  <c r="S977" i="1" s="1"/>
  <c r="M977" i="1"/>
  <c r="R977" i="1" s="1"/>
  <c r="L977" i="1"/>
  <c r="W977" i="1" s="1"/>
  <c r="V976" i="1"/>
  <c r="U976" i="1"/>
  <c r="T976" i="1"/>
  <c r="Q976" i="1"/>
  <c r="N976" i="1"/>
  <c r="M976" i="1"/>
  <c r="R976" i="1" s="1"/>
  <c r="L976" i="1"/>
  <c r="W976" i="1" s="1"/>
  <c r="W975" i="1"/>
  <c r="P975" i="1"/>
  <c r="N975" i="1"/>
  <c r="S975" i="1" s="1"/>
  <c r="M975" i="1"/>
  <c r="R975" i="1" s="1"/>
  <c r="L975" i="1"/>
  <c r="V974" i="1"/>
  <c r="U974" i="1"/>
  <c r="R974" i="1"/>
  <c r="O974" i="1"/>
  <c r="N974" i="1"/>
  <c r="S974" i="1" s="1"/>
  <c r="M974" i="1"/>
  <c r="P974" i="1" s="1"/>
  <c r="L974" i="1"/>
  <c r="N973" i="1"/>
  <c r="O973" i="1" s="1"/>
  <c r="M973" i="1"/>
  <c r="L973" i="1"/>
  <c r="V972" i="1"/>
  <c r="U972" i="1"/>
  <c r="T972" i="1"/>
  <c r="R972" i="1"/>
  <c r="Q972" i="1"/>
  <c r="P972" i="1"/>
  <c r="N972" i="1"/>
  <c r="S972" i="1" s="1"/>
  <c r="M972" i="1"/>
  <c r="L972" i="1"/>
  <c r="W972" i="1" s="1"/>
  <c r="N971" i="1"/>
  <c r="M971" i="1"/>
  <c r="L971" i="1"/>
  <c r="W970" i="1"/>
  <c r="V970" i="1"/>
  <c r="U970" i="1"/>
  <c r="T970" i="1"/>
  <c r="S970" i="1"/>
  <c r="R970" i="1"/>
  <c r="Q970" i="1"/>
  <c r="P970" i="1"/>
  <c r="N970" i="1"/>
  <c r="O970" i="1" s="1"/>
  <c r="M970" i="1"/>
  <c r="L970" i="1"/>
  <c r="P969" i="1"/>
  <c r="O969" i="1"/>
  <c r="N969" i="1"/>
  <c r="S969" i="1" s="1"/>
  <c r="M969" i="1"/>
  <c r="R969" i="1" s="1"/>
  <c r="L969" i="1"/>
  <c r="W968" i="1"/>
  <c r="V968" i="1"/>
  <c r="U968" i="1"/>
  <c r="T968" i="1"/>
  <c r="S968" i="1"/>
  <c r="R968" i="1"/>
  <c r="Q968" i="1"/>
  <c r="N968" i="1"/>
  <c r="O968" i="1" s="1"/>
  <c r="M968" i="1"/>
  <c r="P968" i="1" s="1"/>
  <c r="L968" i="1"/>
  <c r="R967" i="1"/>
  <c r="Q967" i="1"/>
  <c r="P967" i="1"/>
  <c r="N967" i="1"/>
  <c r="M967" i="1"/>
  <c r="L967" i="1"/>
  <c r="W967" i="1" s="1"/>
  <c r="W966" i="1"/>
  <c r="V966" i="1"/>
  <c r="U966" i="1"/>
  <c r="T966" i="1"/>
  <c r="R966" i="1"/>
  <c r="P966" i="1"/>
  <c r="N966" i="1"/>
  <c r="M966" i="1"/>
  <c r="L966" i="1"/>
  <c r="Q966" i="1" s="1"/>
  <c r="T965" i="1"/>
  <c r="N965" i="1"/>
  <c r="O965" i="1" s="1"/>
  <c r="M965" i="1"/>
  <c r="R965" i="1" s="1"/>
  <c r="L965" i="1"/>
  <c r="W965" i="1" s="1"/>
  <c r="V964" i="1"/>
  <c r="U964" i="1"/>
  <c r="N964" i="1"/>
  <c r="S964" i="1" s="1"/>
  <c r="M964" i="1"/>
  <c r="R964" i="1" s="1"/>
  <c r="L964" i="1"/>
  <c r="W964" i="1" s="1"/>
  <c r="V963" i="1"/>
  <c r="U963" i="1"/>
  <c r="T963" i="1"/>
  <c r="R963" i="1"/>
  <c r="P963" i="1"/>
  <c r="N963" i="1"/>
  <c r="M963" i="1"/>
  <c r="L963" i="1"/>
  <c r="P962" i="1"/>
  <c r="N962" i="1"/>
  <c r="S962" i="1" s="1"/>
  <c r="M962" i="1"/>
  <c r="R962" i="1" s="1"/>
  <c r="L962" i="1"/>
  <c r="V961" i="1"/>
  <c r="Q961" i="1"/>
  <c r="P961" i="1"/>
  <c r="N961" i="1"/>
  <c r="M961" i="1"/>
  <c r="R961" i="1" s="1"/>
  <c r="L961" i="1"/>
  <c r="U961" i="1" s="1"/>
  <c r="N960" i="1"/>
  <c r="M960" i="1"/>
  <c r="L960" i="1"/>
  <c r="V959" i="1"/>
  <c r="U959" i="1"/>
  <c r="T959" i="1"/>
  <c r="R959" i="1"/>
  <c r="Q959" i="1"/>
  <c r="P959" i="1"/>
  <c r="O959" i="1"/>
  <c r="N959" i="1"/>
  <c r="S959" i="1" s="1"/>
  <c r="M959" i="1"/>
  <c r="L959" i="1"/>
  <c r="W959" i="1" s="1"/>
  <c r="P958" i="1"/>
  <c r="N958" i="1"/>
  <c r="M958" i="1"/>
  <c r="R958" i="1" s="1"/>
  <c r="L958" i="1"/>
  <c r="W958" i="1" s="1"/>
  <c r="V957" i="1"/>
  <c r="U957" i="1"/>
  <c r="T957" i="1"/>
  <c r="S957" i="1"/>
  <c r="R957" i="1"/>
  <c r="Q957" i="1"/>
  <c r="P957" i="1"/>
  <c r="N957" i="1"/>
  <c r="O957" i="1" s="1"/>
  <c r="M957" i="1"/>
  <c r="L957" i="1"/>
  <c r="W957" i="1" s="1"/>
  <c r="P956" i="1"/>
  <c r="N956" i="1"/>
  <c r="M956" i="1"/>
  <c r="R956" i="1" s="1"/>
  <c r="L956" i="1"/>
  <c r="W955" i="1"/>
  <c r="V955" i="1"/>
  <c r="U955" i="1"/>
  <c r="T955" i="1"/>
  <c r="S955" i="1"/>
  <c r="R955" i="1"/>
  <c r="P955" i="1"/>
  <c r="N955" i="1"/>
  <c r="O955" i="1" s="1"/>
  <c r="M955" i="1"/>
  <c r="L955" i="1"/>
  <c r="Q955" i="1" s="1"/>
  <c r="R954" i="1"/>
  <c r="Q954" i="1"/>
  <c r="P954" i="1"/>
  <c r="O954" i="1"/>
  <c r="N954" i="1"/>
  <c r="S954" i="1" s="1"/>
  <c r="M954" i="1"/>
  <c r="L954" i="1"/>
  <c r="W953" i="1"/>
  <c r="V953" i="1"/>
  <c r="U953" i="1"/>
  <c r="T953" i="1"/>
  <c r="S953" i="1"/>
  <c r="N953" i="1"/>
  <c r="O953" i="1" s="1"/>
  <c r="M953" i="1"/>
  <c r="R953" i="1" s="1"/>
  <c r="L953" i="1"/>
  <c r="Q953" i="1" s="1"/>
  <c r="N952" i="1"/>
  <c r="S952" i="1" s="1"/>
  <c r="M952" i="1"/>
  <c r="L952" i="1"/>
  <c r="W951" i="1"/>
  <c r="V951" i="1"/>
  <c r="N951" i="1"/>
  <c r="M951" i="1"/>
  <c r="R951" i="1" s="1"/>
  <c r="L951" i="1"/>
  <c r="U951" i="1" s="1"/>
  <c r="Q950" i="1"/>
  <c r="P950" i="1"/>
  <c r="N950" i="1"/>
  <c r="S950" i="1" s="1"/>
  <c r="M950" i="1"/>
  <c r="R950" i="1" s="1"/>
  <c r="L950" i="1"/>
  <c r="W950" i="1" s="1"/>
  <c r="P949" i="1"/>
  <c r="N949" i="1"/>
  <c r="S949" i="1" s="1"/>
  <c r="M949" i="1"/>
  <c r="R949" i="1" s="1"/>
  <c r="L949" i="1"/>
  <c r="W948" i="1"/>
  <c r="V948" i="1"/>
  <c r="U948" i="1"/>
  <c r="T948" i="1"/>
  <c r="Q948" i="1"/>
  <c r="P948" i="1"/>
  <c r="N948" i="1"/>
  <c r="O948" i="1" s="1"/>
  <c r="M948" i="1"/>
  <c r="R948" i="1" s="1"/>
  <c r="L948" i="1"/>
  <c r="N947" i="1"/>
  <c r="M947" i="1"/>
  <c r="L947" i="1"/>
  <c r="W946" i="1"/>
  <c r="V946" i="1"/>
  <c r="U946" i="1"/>
  <c r="T946" i="1"/>
  <c r="R946" i="1"/>
  <c r="Q946" i="1"/>
  <c r="P946" i="1"/>
  <c r="N946" i="1"/>
  <c r="M946" i="1"/>
  <c r="L946" i="1"/>
  <c r="N945" i="1"/>
  <c r="S945" i="1" s="1"/>
  <c r="M945" i="1"/>
  <c r="R945" i="1" s="1"/>
  <c r="L945" i="1"/>
  <c r="V944" i="1"/>
  <c r="U944" i="1"/>
  <c r="T944" i="1"/>
  <c r="R944" i="1"/>
  <c r="Q944" i="1"/>
  <c r="P944" i="1"/>
  <c r="N944" i="1"/>
  <c r="S944" i="1" s="1"/>
  <c r="M944" i="1"/>
  <c r="L944" i="1"/>
  <c r="W944" i="1" s="1"/>
  <c r="R943" i="1"/>
  <c r="Q943" i="1"/>
  <c r="P943" i="1"/>
  <c r="N943" i="1"/>
  <c r="M943" i="1"/>
  <c r="L943" i="1"/>
  <c r="V942" i="1"/>
  <c r="U942" i="1"/>
  <c r="T942" i="1"/>
  <c r="S942" i="1"/>
  <c r="R942" i="1"/>
  <c r="P942" i="1"/>
  <c r="N942" i="1"/>
  <c r="O942" i="1" s="1"/>
  <c r="M942" i="1"/>
  <c r="L942" i="1"/>
  <c r="W942" i="1" s="1"/>
  <c r="N941" i="1"/>
  <c r="M941" i="1"/>
  <c r="L941" i="1"/>
  <c r="W940" i="1"/>
  <c r="V940" i="1"/>
  <c r="U940" i="1"/>
  <c r="T940" i="1"/>
  <c r="R940" i="1"/>
  <c r="P940" i="1"/>
  <c r="N940" i="1"/>
  <c r="S940" i="1" s="1"/>
  <c r="M940" i="1"/>
  <c r="L940" i="1"/>
  <c r="Q940" i="1" s="1"/>
  <c r="T939" i="1"/>
  <c r="R939" i="1"/>
  <c r="N939" i="1"/>
  <c r="S939" i="1" s="1"/>
  <c r="M939" i="1"/>
  <c r="P939" i="1" s="1"/>
  <c r="L939" i="1"/>
  <c r="W938" i="1"/>
  <c r="V938" i="1"/>
  <c r="N938" i="1"/>
  <c r="O938" i="1" s="1"/>
  <c r="M938" i="1"/>
  <c r="R938" i="1" s="1"/>
  <c r="L938" i="1"/>
  <c r="U938" i="1" s="1"/>
  <c r="R937" i="1"/>
  <c r="P937" i="1"/>
  <c r="O937" i="1"/>
  <c r="N937" i="1"/>
  <c r="S937" i="1" s="1"/>
  <c r="M937" i="1"/>
  <c r="L937" i="1"/>
  <c r="W937" i="1" s="1"/>
  <c r="N936" i="1"/>
  <c r="M936" i="1"/>
  <c r="R936" i="1" s="1"/>
  <c r="L936" i="1"/>
  <c r="W935" i="1"/>
  <c r="V935" i="1"/>
  <c r="U935" i="1"/>
  <c r="T935" i="1"/>
  <c r="R935" i="1"/>
  <c r="Q935" i="1"/>
  <c r="P935" i="1"/>
  <c r="N935" i="1"/>
  <c r="S935" i="1" s="1"/>
  <c r="M935" i="1"/>
  <c r="L935" i="1"/>
  <c r="N934" i="1"/>
  <c r="M934" i="1"/>
  <c r="L934" i="1"/>
  <c r="W933" i="1"/>
  <c r="V933" i="1"/>
  <c r="U933" i="1"/>
  <c r="T933" i="1"/>
  <c r="S933" i="1"/>
  <c r="R933" i="1"/>
  <c r="Q933" i="1"/>
  <c r="P933" i="1"/>
  <c r="N933" i="1"/>
  <c r="O933" i="1" s="1"/>
  <c r="M933" i="1"/>
  <c r="L933" i="1"/>
  <c r="N932" i="1"/>
  <c r="S932" i="1" s="1"/>
  <c r="M932" i="1"/>
  <c r="R932" i="1" s="1"/>
  <c r="L932" i="1"/>
  <c r="W931" i="1"/>
  <c r="V931" i="1"/>
  <c r="U931" i="1"/>
  <c r="T931" i="1"/>
  <c r="R931" i="1"/>
  <c r="Q931" i="1"/>
  <c r="P931" i="1"/>
  <c r="N931" i="1"/>
  <c r="M931" i="1"/>
  <c r="L931" i="1"/>
  <c r="R930" i="1"/>
  <c r="Q930" i="1"/>
  <c r="O930" i="1"/>
  <c r="N930" i="1"/>
  <c r="S930" i="1" s="1"/>
  <c r="M930" i="1"/>
  <c r="P930" i="1" s="1"/>
  <c r="L930" i="1"/>
  <c r="V929" i="1"/>
  <c r="U929" i="1"/>
  <c r="T929" i="1"/>
  <c r="R929" i="1"/>
  <c r="P929" i="1"/>
  <c r="N929" i="1"/>
  <c r="S929" i="1" s="1"/>
  <c r="M929" i="1"/>
  <c r="L929" i="1"/>
  <c r="W929" i="1" s="1"/>
  <c r="T928" i="1"/>
  <c r="Q928" i="1"/>
  <c r="N928" i="1"/>
  <c r="M928" i="1"/>
  <c r="L928" i="1"/>
  <c r="V927" i="1"/>
  <c r="U927" i="1"/>
  <c r="T927" i="1"/>
  <c r="R927" i="1"/>
  <c r="P927" i="1"/>
  <c r="N927" i="1"/>
  <c r="S927" i="1" s="1"/>
  <c r="M927" i="1"/>
  <c r="L927" i="1"/>
  <c r="W927" i="1" s="1"/>
  <c r="U926" i="1"/>
  <c r="T926" i="1"/>
  <c r="N926" i="1"/>
  <c r="M926" i="1"/>
  <c r="R926" i="1" s="1"/>
  <c r="L926" i="1"/>
  <c r="W926" i="1" s="1"/>
  <c r="W925" i="1"/>
  <c r="V925" i="1"/>
  <c r="P925" i="1"/>
  <c r="N925" i="1"/>
  <c r="S925" i="1" s="1"/>
  <c r="M925" i="1"/>
  <c r="R925" i="1" s="1"/>
  <c r="L925" i="1"/>
  <c r="R924" i="1"/>
  <c r="P924" i="1"/>
  <c r="O924" i="1"/>
  <c r="N924" i="1"/>
  <c r="S924" i="1" s="1"/>
  <c r="M924" i="1"/>
  <c r="L924" i="1"/>
  <c r="W924" i="1" s="1"/>
  <c r="N923" i="1"/>
  <c r="O923" i="1" s="1"/>
  <c r="M923" i="1"/>
  <c r="L923" i="1"/>
  <c r="V922" i="1"/>
  <c r="U922" i="1"/>
  <c r="T922" i="1"/>
  <c r="R922" i="1"/>
  <c r="Q922" i="1"/>
  <c r="P922" i="1"/>
  <c r="N922" i="1"/>
  <c r="S922" i="1" s="1"/>
  <c r="M922" i="1"/>
  <c r="L922" i="1"/>
  <c r="W922" i="1" s="1"/>
  <c r="N921" i="1"/>
  <c r="M921" i="1"/>
  <c r="L921" i="1"/>
  <c r="W920" i="1"/>
  <c r="V920" i="1"/>
  <c r="U920" i="1"/>
  <c r="T920" i="1"/>
  <c r="S920" i="1"/>
  <c r="R920" i="1"/>
  <c r="Q920" i="1"/>
  <c r="P920" i="1"/>
  <c r="N920" i="1"/>
  <c r="O920" i="1" s="1"/>
  <c r="M920" i="1"/>
  <c r="L920" i="1"/>
  <c r="O919" i="1"/>
  <c r="N919" i="1"/>
  <c r="S919" i="1" s="1"/>
  <c r="M919" i="1"/>
  <c r="R919" i="1" s="1"/>
  <c r="L919" i="1"/>
  <c r="W918" i="1"/>
  <c r="V918" i="1"/>
  <c r="U918" i="1"/>
  <c r="T918" i="1"/>
  <c r="S918" i="1"/>
  <c r="R918" i="1"/>
  <c r="Q918" i="1"/>
  <c r="P918" i="1"/>
  <c r="N918" i="1"/>
  <c r="O918" i="1" s="1"/>
  <c r="M918" i="1"/>
  <c r="L918" i="1"/>
  <c r="R917" i="1"/>
  <c r="Q917" i="1"/>
  <c r="O917" i="1"/>
  <c r="N917" i="1"/>
  <c r="S917" i="1" s="1"/>
  <c r="M917" i="1"/>
  <c r="P917" i="1" s="1"/>
  <c r="L917" i="1"/>
  <c r="W916" i="1"/>
  <c r="V916" i="1"/>
  <c r="U916" i="1"/>
  <c r="T916" i="1"/>
  <c r="R916" i="1"/>
  <c r="P916" i="1"/>
  <c r="N916" i="1"/>
  <c r="M916" i="1"/>
  <c r="L916" i="1"/>
  <c r="Q916" i="1" s="1"/>
  <c r="T915" i="1"/>
  <c r="S915" i="1"/>
  <c r="R915" i="1"/>
  <c r="Q915" i="1"/>
  <c r="P915" i="1"/>
  <c r="O915" i="1"/>
  <c r="N915" i="1"/>
  <c r="M915" i="1"/>
  <c r="L915" i="1"/>
  <c r="V914" i="1"/>
  <c r="U914" i="1"/>
  <c r="R914" i="1"/>
  <c r="P914" i="1"/>
  <c r="N914" i="1"/>
  <c r="S914" i="1" s="1"/>
  <c r="M914" i="1"/>
  <c r="L914" i="1"/>
  <c r="W914" i="1" s="1"/>
  <c r="V913" i="1"/>
  <c r="U913" i="1"/>
  <c r="T913" i="1"/>
  <c r="Q913" i="1"/>
  <c r="N913" i="1"/>
  <c r="M913" i="1"/>
  <c r="L913" i="1"/>
  <c r="W913" i="1" s="1"/>
  <c r="N912" i="1"/>
  <c r="M912" i="1"/>
  <c r="L912" i="1"/>
  <c r="W911" i="1"/>
  <c r="V911" i="1"/>
  <c r="U911" i="1"/>
  <c r="T911" i="1"/>
  <c r="S911" i="1"/>
  <c r="R911" i="1"/>
  <c r="Q911" i="1"/>
  <c r="P911" i="1"/>
  <c r="N911" i="1"/>
  <c r="O911" i="1" s="1"/>
  <c r="M911" i="1"/>
  <c r="L911" i="1"/>
  <c r="R910" i="1"/>
  <c r="Q910" i="1"/>
  <c r="P910" i="1"/>
  <c r="O910" i="1"/>
  <c r="N910" i="1"/>
  <c r="S910" i="1" s="1"/>
  <c r="M910" i="1"/>
  <c r="L910" i="1"/>
  <c r="W909" i="1"/>
  <c r="V909" i="1"/>
  <c r="U909" i="1"/>
  <c r="T909" i="1"/>
  <c r="R909" i="1"/>
  <c r="P909" i="1"/>
  <c r="N909" i="1"/>
  <c r="S909" i="1" s="1"/>
  <c r="M909" i="1"/>
  <c r="L909" i="1"/>
  <c r="Q909" i="1" s="1"/>
  <c r="V908" i="1"/>
  <c r="U908" i="1"/>
  <c r="T908" i="1"/>
  <c r="R908" i="1"/>
  <c r="Q908" i="1"/>
  <c r="P908" i="1"/>
  <c r="O908" i="1"/>
  <c r="N908" i="1"/>
  <c r="S908" i="1" s="1"/>
  <c r="M908" i="1"/>
  <c r="L908" i="1"/>
  <c r="W908" i="1" s="1"/>
  <c r="N907" i="1"/>
  <c r="M907" i="1"/>
  <c r="L907" i="1"/>
  <c r="W906" i="1"/>
  <c r="V906" i="1"/>
  <c r="U906" i="1"/>
  <c r="T906" i="1"/>
  <c r="S906" i="1"/>
  <c r="R906" i="1"/>
  <c r="Q906" i="1"/>
  <c r="P906" i="1"/>
  <c r="N906" i="1"/>
  <c r="O906" i="1" s="1"/>
  <c r="M906" i="1"/>
  <c r="L906" i="1"/>
  <c r="R905" i="1"/>
  <c r="Q905" i="1"/>
  <c r="P905" i="1"/>
  <c r="O905" i="1"/>
  <c r="N905" i="1"/>
  <c r="S905" i="1" s="1"/>
  <c r="M905" i="1"/>
  <c r="L905" i="1"/>
  <c r="W904" i="1"/>
  <c r="V904" i="1"/>
  <c r="U904" i="1"/>
  <c r="T904" i="1"/>
  <c r="R904" i="1"/>
  <c r="P904" i="1"/>
  <c r="N904" i="1"/>
  <c r="S904" i="1" s="1"/>
  <c r="M904" i="1"/>
  <c r="L904" i="1"/>
  <c r="Q904" i="1" s="1"/>
  <c r="V903" i="1"/>
  <c r="U903" i="1"/>
  <c r="T903" i="1"/>
  <c r="S903" i="1"/>
  <c r="R903" i="1"/>
  <c r="Q903" i="1"/>
  <c r="P903" i="1"/>
  <c r="O903" i="1"/>
  <c r="N903" i="1"/>
  <c r="M903" i="1"/>
  <c r="L903" i="1"/>
  <c r="W903" i="1" s="1"/>
  <c r="N902" i="1"/>
  <c r="M902" i="1"/>
  <c r="L902" i="1"/>
  <c r="W901" i="1"/>
  <c r="V901" i="1"/>
  <c r="U901" i="1"/>
  <c r="T901" i="1"/>
  <c r="S901" i="1"/>
  <c r="R901" i="1"/>
  <c r="Q901" i="1"/>
  <c r="P901" i="1"/>
  <c r="N901" i="1"/>
  <c r="O901" i="1" s="1"/>
  <c r="M901" i="1"/>
  <c r="L901" i="1"/>
  <c r="R900" i="1"/>
  <c r="Q900" i="1"/>
  <c r="P900" i="1"/>
  <c r="N900" i="1"/>
  <c r="S900" i="1" s="1"/>
  <c r="M900" i="1"/>
  <c r="L900" i="1"/>
  <c r="W899" i="1"/>
  <c r="V899" i="1"/>
  <c r="U899" i="1"/>
  <c r="T899" i="1"/>
  <c r="R899" i="1"/>
  <c r="P899" i="1"/>
  <c r="N899" i="1"/>
  <c r="S899" i="1" s="1"/>
  <c r="M899" i="1"/>
  <c r="L899" i="1"/>
  <c r="Q899" i="1" s="1"/>
  <c r="V898" i="1"/>
  <c r="U898" i="1"/>
  <c r="T898" i="1"/>
  <c r="S898" i="1"/>
  <c r="R898" i="1"/>
  <c r="Q898" i="1"/>
  <c r="P898" i="1"/>
  <c r="N898" i="1"/>
  <c r="O898" i="1" s="1"/>
  <c r="M898" i="1"/>
  <c r="L898" i="1"/>
  <c r="W898" i="1" s="1"/>
  <c r="N897" i="1"/>
  <c r="M897" i="1"/>
  <c r="L897" i="1"/>
  <c r="W896" i="1"/>
  <c r="V896" i="1"/>
  <c r="U896" i="1"/>
  <c r="T896" i="1"/>
  <c r="S896" i="1"/>
  <c r="R896" i="1"/>
  <c r="Q896" i="1"/>
  <c r="P896" i="1"/>
  <c r="N896" i="1"/>
  <c r="O896" i="1" s="1"/>
  <c r="M896" i="1"/>
  <c r="L896" i="1"/>
  <c r="T895" i="1"/>
  <c r="R895" i="1"/>
  <c r="P895" i="1"/>
  <c r="N895" i="1"/>
  <c r="S895" i="1" s="1"/>
  <c r="M895" i="1"/>
  <c r="L895" i="1"/>
  <c r="R894" i="1"/>
  <c r="P894" i="1"/>
  <c r="N894" i="1"/>
  <c r="S894" i="1" s="1"/>
  <c r="M894" i="1"/>
  <c r="L894" i="1"/>
  <c r="Q894" i="1" s="1"/>
  <c r="V893" i="1"/>
  <c r="U893" i="1"/>
  <c r="T893" i="1"/>
  <c r="S893" i="1"/>
  <c r="R893" i="1"/>
  <c r="P893" i="1"/>
  <c r="N893" i="1"/>
  <c r="O893" i="1" s="1"/>
  <c r="M893" i="1"/>
  <c r="L893" i="1"/>
  <c r="W893" i="1" s="1"/>
  <c r="N892" i="1"/>
  <c r="M892" i="1"/>
  <c r="R892" i="1" s="1"/>
  <c r="L892" i="1"/>
  <c r="W891" i="1"/>
  <c r="V891" i="1"/>
  <c r="U891" i="1"/>
  <c r="T891" i="1"/>
  <c r="S891" i="1"/>
  <c r="R891" i="1"/>
  <c r="Q891" i="1"/>
  <c r="P891" i="1"/>
  <c r="N891" i="1"/>
  <c r="O891" i="1" s="1"/>
  <c r="M891" i="1"/>
  <c r="L891" i="1"/>
  <c r="N890" i="1"/>
  <c r="S890" i="1" s="1"/>
  <c r="M890" i="1"/>
  <c r="R890" i="1" s="1"/>
  <c r="L890" i="1"/>
  <c r="V889" i="1"/>
  <c r="U889" i="1"/>
  <c r="R889" i="1"/>
  <c r="P889" i="1"/>
  <c r="N889" i="1"/>
  <c r="S889" i="1" s="1"/>
  <c r="M889" i="1"/>
  <c r="L889" i="1"/>
  <c r="Q889" i="1" s="1"/>
  <c r="V888" i="1"/>
  <c r="U888" i="1"/>
  <c r="N888" i="1"/>
  <c r="S888" i="1" s="1"/>
  <c r="M888" i="1"/>
  <c r="R888" i="1" s="1"/>
  <c r="L888" i="1"/>
  <c r="W888" i="1" s="1"/>
  <c r="N887" i="1"/>
  <c r="M887" i="1"/>
  <c r="L887" i="1"/>
  <c r="W886" i="1"/>
  <c r="V886" i="1"/>
  <c r="U886" i="1"/>
  <c r="T886" i="1"/>
  <c r="S886" i="1"/>
  <c r="R886" i="1"/>
  <c r="Q886" i="1"/>
  <c r="P886" i="1"/>
  <c r="N886" i="1"/>
  <c r="O886" i="1" s="1"/>
  <c r="M886" i="1"/>
  <c r="L886" i="1"/>
  <c r="O885" i="1"/>
  <c r="N885" i="1"/>
  <c r="S885" i="1" s="1"/>
  <c r="M885" i="1"/>
  <c r="L885" i="1"/>
  <c r="W884" i="1"/>
  <c r="V884" i="1"/>
  <c r="U884" i="1"/>
  <c r="T884" i="1"/>
  <c r="R884" i="1"/>
  <c r="P884" i="1"/>
  <c r="N884" i="1"/>
  <c r="S884" i="1" s="1"/>
  <c r="M884" i="1"/>
  <c r="L884" i="1"/>
  <c r="Q884" i="1" s="1"/>
  <c r="N883" i="1"/>
  <c r="S883" i="1" s="1"/>
  <c r="M883" i="1"/>
  <c r="L883" i="1"/>
  <c r="N882" i="1"/>
  <c r="M882" i="1"/>
  <c r="R882" i="1" s="1"/>
  <c r="L882" i="1"/>
  <c r="W881" i="1"/>
  <c r="V881" i="1"/>
  <c r="U881" i="1"/>
  <c r="T881" i="1"/>
  <c r="S881" i="1"/>
  <c r="R881" i="1"/>
  <c r="Q881" i="1"/>
  <c r="P881" i="1"/>
  <c r="N881" i="1"/>
  <c r="O881" i="1" s="1"/>
  <c r="M881" i="1"/>
  <c r="L881" i="1"/>
  <c r="P880" i="1"/>
  <c r="O880" i="1"/>
  <c r="N880" i="1"/>
  <c r="S880" i="1" s="1"/>
  <c r="M880" i="1"/>
  <c r="R880" i="1" s="1"/>
  <c r="L880" i="1"/>
  <c r="W879" i="1"/>
  <c r="V879" i="1"/>
  <c r="U879" i="1"/>
  <c r="T879" i="1"/>
  <c r="N879" i="1"/>
  <c r="S879" i="1" s="1"/>
  <c r="M879" i="1"/>
  <c r="R879" i="1" s="1"/>
  <c r="L879" i="1"/>
  <c r="Q879" i="1" s="1"/>
  <c r="Q878" i="1"/>
  <c r="N878" i="1"/>
  <c r="M878" i="1"/>
  <c r="L878" i="1"/>
  <c r="W878" i="1" s="1"/>
  <c r="N877" i="1"/>
  <c r="M877" i="1"/>
  <c r="R877" i="1" s="1"/>
  <c r="L877" i="1"/>
  <c r="W876" i="1"/>
  <c r="V876" i="1"/>
  <c r="U876" i="1"/>
  <c r="T876" i="1"/>
  <c r="S876" i="1"/>
  <c r="R876" i="1"/>
  <c r="Q876" i="1"/>
  <c r="P876" i="1"/>
  <c r="N876" i="1"/>
  <c r="O876" i="1" s="1"/>
  <c r="M876" i="1"/>
  <c r="L876" i="1"/>
  <c r="Q875" i="1"/>
  <c r="P875" i="1"/>
  <c r="O875" i="1"/>
  <c r="N875" i="1"/>
  <c r="S875" i="1" s="1"/>
  <c r="M875" i="1"/>
  <c r="R875" i="1" s="1"/>
  <c r="L875" i="1"/>
  <c r="W874" i="1"/>
  <c r="V874" i="1"/>
  <c r="U874" i="1"/>
  <c r="T874" i="1"/>
  <c r="N874" i="1"/>
  <c r="S874" i="1" s="1"/>
  <c r="M874" i="1"/>
  <c r="R874" i="1" s="1"/>
  <c r="L874" i="1"/>
  <c r="Q874" i="1" s="1"/>
  <c r="N873" i="1"/>
  <c r="S873" i="1" s="1"/>
  <c r="M873" i="1"/>
  <c r="R873" i="1" s="1"/>
  <c r="L873" i="1"/>
  <c r="W873" i="1" s="1"/>
  <c r="P872" i="1"/>
  <c r="N872" i="1"/>
  <c r="M872" i="1"/>
  <c r="R872" i="1" s="1"/>
  <c r="L872" i="1"/>
  <c r="W871" i="1"/>
  <c r="V871" i="1"/>
  <c r="U871" i="1"/>
  <c r="T871" i="1"/>
  <c r="S871" i="1"/>
  <c r="R871" i="1"/>
  <c r="Q871" i="1"/>
  <c r="P871" i="1"/>
  <c r="N871" i="1"/>
  <c r="O871" i="1" s="1"/>
  <c r="M871" i="1"/>
  <c r="L871" i="1"/>
  <c r="R870" i="1"/>
  <c r="Q870" i="1"/>
  <c r="N870" i="1"/>
  <c r="S870" i="1" s="1"/>
  <c r="M870" i="1"/>
  <c r="P870" i="1" s="1"/>
  <c r="L870" i="1"/>
  <c r="W869" i="1"/>
  <c r="V869" i="1"/>
  <c r="U869" i="1"/>
  <c r="N869" i="1"/>
  <c r="S869" i="1" s="1"/>
  <c r="M869" i="1"/>
  <c r="R869" i="1" s="1"/>
  <c r="L869" i="1"/>
  <c r="Q869" i="1" s="1"/>
  <c r="P868" i="1"/>
  <c r="O868" i="1"/>
  <c r="N868" i="1"/>
  <c r="S868" i="1" s="1"/>
  <c r="M868" i="1"/>
  <c r="R868" i="1" s="1"/>
  <c r="L868" i="1"/>
  <c r="W868" i="1" s="1"/>
  <c r="P867" i="1"/>
  <c r="N867" i="1"/>
  <c r="M867" i="1"/>
  <c r="R867" i="1" s="1"/>
  <c r="L867" i="1"/>
  <c r="W866" i="1"/>
  <c r="V866" i="1"/>
  <c r="U866" i="1"/>
  <c r="T866" i="1"/>
  <c r="S866" i="1"/>
  <c r="R866" i="1"/>
  <c r="Q866" i="1"/>
  <c r="P866" i="1"/>
  <c r="N866" i="1"/>
  <c r="O866" i="1" s="1"/>
  <c r="M866" i="1"/>
  <c r="L866" i="1"/>
  <c r="P865" i="1"/>
  <c r="O865" i="1"/>
  <c r="N865" i="1"/>
  <c r="S865" i="1" s="1"/>
  <c r="M865" i="1"/>
  <c r="R865" i="1" s="1"/>
  <c r="L865" i="1"/>
  <c r="W864" i="1"/>
  <c r="N864" i="1"/>
  <c r="M864" i="1"/>
  <c r="R864" i="1" s="1"/>
  <c r="L864" i="1"/>
  <c r="Q864" i="1" s="1"/>
  <c r="R863" i="1"/>
  <c r="Q863" i="1"/>
  <c r="N863" i="1"/>
  <c r="S863" i="1" s="1"/>
  <c r="M863" i="1"/>
  <c r="P863" i="1" s="1"/>
  <c r="L863" i="1"/>
  <c r="W863" i="1" s="1"/>
  <c r="R862" i="1"/>
  <c r="P862" i="1"/>
  <c r="N862" i="1"/>
  <c r="M862" i="1"/>
  <c r="L862" i="1"/>
  <c r="W861" i="1"/>
  <c r="V861" i="1"/>
  <c r="U861" i="1"/>
  <c r="T861" i="1"/>
  <c r="S861" i="1"/>
  <c r="R861" i="1"/>
  <c r="Q861" i="1"/>
  <c r="P861" i="1"/>
  <c r="N861" i="1"/>
  <c r="O861" i="1" s="1"/>
  <c r="M861" i="1"/>
  <c r="L861" i="1"/>
  <c r="V860" i="1"/>
  <c r="T860" i="1"/>
  <c r="R860" i="1"/>
  <c r="Q860" i="1"/>
  <c r="P860" i="1"/>
  <c r="O860" i="1"/>
  <c r="N860" i="1"/>
  <c r="S860" i="1" s="1"/>
  <c r="M860" i="1"/>
  <c r="L860" i="1"/>
  <c r="N859" i="1"/>
  <c r="M859" i="1"/>
  <c r="R859" i="1" s="1"/>
  <c r="L859" i="1"/>
  <c r="Q859" i="1" s="1"/>
  <c r="O858" i="1"/>
  <c r="N858" i="1"/>
  <c r="S858" i="1" s="1"/>
  <c r="M858" i="1"/>
  <c r="L858" i="1"/>
  <c r="N857" i="1"/>
  <c r="M857" i="1"/>
  <c r="R857" i="1" s="1"/>
  <c r="L857" i="1"/>
  <c r="W856" i="1"/>
  <c r="V856" i="1"/>
  <c r="U856" i="1"/>
  <c r="T856" i="1"/>
  <c r="S856" i="1"/>
  <c r="R856" i="1"/>
  <c r="Q856" i="1"/>
  <c r="P856" i="1"/>
  <c r="N856" i="1"/>
  <c r="O856" i="1" s="1"/>
  <c r="M856" i="1"/>
  <c r="L856" i="1"/>
  <c r="V855" i="1"/>
  <c r="T855" i="1"/>
  <c r="R855" i="1"/>
  <c r="Q855" i="1"/>
  <c r="O855" i="1"/>
  <c r="N855" i="1"/>
  <c r="S855" i="1" s="1"/>
  <c r="M855" i="1"/>
  <c r="P855" i="1" s="1"/>
  <c r="L855" i="1"/>
  <c r="N854" i="1"/>
  <c r="M854" i="1"/>
  <c r="R854" i="1" s="1"/>
  <c r="L854" i="1"/>
  <c r="V853" i="1"/>
  <c r="U853" i="1"/>
  <c r="T853" i="1"/>
  <c r="S853" i="1"/>
  <c r="R853" i="1"/>
  <c r="Q853" i="1"/>
  <c r="P853" i="1"/>
  <c r="O853" i="1"/>
  <c r="N853" i="1"/>
  <c r="M853" i="1"/>
  <c r="L853" i="1"/>
  <c r="W853" i="1" s="1"/>
  <c r="N852" i="1"/>
  <c r="M852" i="1"/>
  <c r="R852" i="1" s="1"/>
  <c r="L852" i="1"/>
  <c r="W851" i="1"/>
  <c r="V851" i="1"/>
  <c r="U851" i="1"/>
  <c r="T851" i="1"/>
  <c r="S851" i="1"/>
  <c r="R851" i="1"/>
  <c r="Q851" i="1"/>
  <c r="P851" i="1"/>
  <c r="N851" i="1"/>
  <c r="O851" i="1" s="1"/>
  <c r="M851" i="1"/>
  <c r="L851" i="1"/>
  <c r="V850" i="1"/>
  <c r="N850" i="1"/>
  <c r="S850" i="1" s="1"/>
  <c r="M850" i="1"/>
  <c r="R850" i="1" s="1"/>
  <c r="L850" i="1"/>
  <c r="U849" i="1"/>
  <c r="T849" i="1"/>
  <c r="N849" i="1"/>
  <c r="M849" i="1"/>
  <c r="R849" i="1" s="1"/>
  <c r="L849" i="1"/>
  <c r="Q849" i="1" s="1"/>
  <c r="V848" i="1"/>
  <c r="U848" i="1"/>
  <c r="T848" i="1"/>
  <c r="S848" i="1"/>
  <c r="R848" i="1"/>
  <c r="P848" i="1"/>
  <c r="N848" i="1"/>
  <c r="O848" i="1" s="1"/>
  <c r="M848" i="1"/>
  <c r="L848" i="1"/>
  <c r="W848" i="1" s="1"/>
  <c r="P847" i="1"/>
  <c r="N847" i="1"/>
  <c r="M847" i="1"/>
  <c r="R847" i="1" s="1"/>
  <c r="L847" i="1"/>
  <c r="W846" i="1"/>
  <c r="V846" i="1"/>
  <c r="U846" i="1"/>
  <c r="T846" i="1"/>
  <c r="S846" i="1"/>
  <c r="R846" i="1"/>
  <c r="Q846" i="1"/>
  <c r="P846" i="1"/>
  <c r="N846" i="1"/>
  <c r="O846" i="1" s="1"/>
  <c r="M846" i="1"/>
  <c r="L846" i="1"/>
  <c r="O845" i="1"/>
  <c r="N845" i="1"/>
  <c r="S845" i="1" s="1"/>
  <c r="M845" i="1"/>
  <c r="R845" i="1" s="1"/>
  <c r="L845" i="1"/>
  <c r="W844" i="1"/>
  <c r="T844" i="1"/>
  <c r="N844" i="1"/>
  <c r="M844" i="1"/>
  <c r="R844" i="1" s="1"/>
  <c r="L844" i="1"/>
  <c r="Q844" i="1" s="1"/>
  <c r="V843" i="1"/>
  <c r="U843" i="1"/>
  <c r="N843" i="1"/>
  <c r="S843" i="1" s="1"/>
  <c r="M843" i="1"/>
  <c r="R843" i="1" s="1"/>
  <c r="L843" i="1"/>
  <c r="W843" i="1" s="1"/>
  <c r="P842" i="1"/>
  <c r="N842" i="1"/>
  <c r="M842" i="1"/>
  <c r="R842" i="1" s="1"/>
  <c r="L842" i="1"/>
  <c r="W841" i="1"/>
  <c r="V841" i="1"/>
  <c r="U841" i="1"/>
  <c r="T841" i="1"/>
  <c r="S841" i="1"/>
  <c r="R841" i="1"/>
  <c r="Q841" i="1"/>
  <c r="P841" i="1"/>
  <c r="N841" i="1"/>
  <c r="O841" i="1" s="1"/>
  <c r="M841" i="1"/>
  <c r="L841" i="1"/>
  <c r="N840" i="1"/>
  <c r="S840" i="1" s="1"/>
  <c r="M840" i="1"/>
  <c r="R840" i="1" s="1"/>
  <c r="L840" i="1"/>
  <c r="W839" i="1"/>
  <c r="V839" i="1"/>
  <c r="U839" i="1"/>
  <c r="T839" i="1"/>
  <c r="R839" i="1"/>
  <c r="N839" i="1"/>
  <c r="M839" i="1"/>
  <c r="P839" i="1" s="1"/>
  <c r="L839" i="1"/>
  <c r="Q839" i="1" s="1"/>
  <c r="N838" i="1"/>
  <c r="M838" i="1"/>
  <c r="L838" i="1"/>
  <c r="W838" i="1" s="1"/>
  <c r="N837" i="1"/>
  <c r="M837" i="1"/>
  <c r="R837" i="1" s="1"/>
  <c r="L837" i="1"/>
  <c r="W836" i="1"/>
  <c r="V836" i="1"/>
  <c r="U836" i="1"/>
  <c r="T836" i="1"/>
  <c r="S836" i="1"/>
  <c r="R836" i="1"/>
  <c r="Q836" i="1"/>
  <c r="P836" i="1"/>
  <c r="N836" i="1"/>
  <c r="O836" i="1" s="1"/>
  <c r="M836" i="1"/>
  <c r="L836" i="1"/>
  <c r="T835" i="1"/>
  <c r="R835" i="1"/>
  <c r="O835" i="1"/>
  <c r="N835" i="1"/>
  <c r="S835" i="1" s="1"/>
  <c r="M835" i="1"/>
  <c r="P835" i="1" s="1"/>
  <c r="L835" i="1"/>
  <c r="W834" i="1"/>
  <c r="V834" i="1"/>
  <c r="T834" i="1"/>
  <c r="N834" i="1"/>
  <c r="M834" i="1"/>
  <c r="R834" i="1" s="1"/>
  <c r="L834" i="1"/>
  <c r="Q834" i="1" s="1"/>
  <c r="Q833" i="1"/>
  <c r="P833" i="1"/>
  <c r="O833" i="1"/>
  <c r="N833" i="1"/>
  <c r="S833" i="1" s="1"/>
  <c r="M833" i="1"/>
  <c r="R833" i="1" s="1"/>
  <c r="L833" i="1"/>
  <c r="W833" i="1" s="1"/>
  <c r="N832" i="1"/>
  <c r="M832" i="1"/>
  <c r="L832" i="1"/>
  <c r="W831" i="1"/>
  <c r="V831" i="1"/>
  <c r="U831" i="1"/>
  <c r="T831" i="1"/>
  <c r="S831" i="1"/>
  <c r="R831" i="1"/>
  <c r="Q831" i="1"/>
  <c r="P831" i="1"/>
  <c r="N831" i="1"/>
  <c r="O831" i="1" s="1"/>
  <c r="M831" i="1"/>
  <c r="L831" i="1"/>
  <c r="V830" i="1"/>
  <c r="T830" i="1"/>
  <c r="Q830" i="1"/>
  <c r="N830" i="1"/>
  <c r="M830" i="1"/>
  <c r="L830" i="1"/>
  <c r="N829" i="1"/>
  <c r="M829" i="1"/>
  <c r="R829" i="1" s="1"/>
  <c r="L829" i="1"/>
  <c r="Q829" i="1" s="1"/>
  <c r="T828" i="1"/>
  <c r="S828" i="1"/>
  <c r="P828" i="1"/>
  <c r="O828" i="1"/>
  <c r="N828" i="1"/>
  <c r="M828" i="1"/>
  <c r="R828" i="1" s="1"/>
  <c r="L828" i="1"/>
  <c r="R827" i="1"/>
  <c r="N827" i="1"/>
  <c r="M827" i="1"/>
  <c r="P827" i="1" s="1"/>
  <c r="L827" i="1"/>
  <c r="W826" i="1"/>
  <c r="V826" i="1"/>
  <c r="U826" i="1"/>
  <c r="T826" i="1"/>
  <c r="S826" i="1"/>
  <c r="R826" i="1"/>
  <c r="Q826" i="1"/>
  <c r="P826" i="1"/>
  <c r="N826" i="1"/>
  <c r="O826" i="1" s="1"/>
  <c r="M826" i="1"/>
  <c r="L826" i="1"/>
  <c r="V825" i="1"/>
  <c r="T825" i="1"/>
  <c r="R825" i="1"/>
  <c r="Q825" i="1"/>
  <c r="P825" i="1"/>
  <c r="N825" i="1"/>
  <c r="S825" i="1" s="1"/>
  <c r="M825" i="1"/>
  <c r="L825" i="1"/>
  <c r="R824" i="1"/>
  <c r="P824" i="1"/>
  <c r="N824" i="1"/>
  <c r="M824" i="1"/>
  <c r="L824" i="1"/>
  <c r="W824" i="1" s="1"/>
  <c r="V823" i="1"/>
  <c r="U823" i="1"/>
  <c r="T823" i="1"/>
  <c r="S823" i="1"/>
  <c r="R823" i="1"/>
  <c r="Q823" i="1"/>
  <c r="O823" i="1"/>
  <c r="N823" i="1"/>
  <c r="M823" i="1"/>
  <c r="P823" i="1" s="1"/>
  <c r="L823" i="1"/>
  <c r="W823" i="1" s="1"/>
  <c r="P822" i="1"/>
  <c r="N822" i="1"/>
  <c r="M822" i="1"/>
  <c r="R822" i="1" s="1"/>
  <c r="L822" i="1"/>
  <c r="W822" i="1" s="1"/>
  <c r="W821" i="1"/>
  <c r="V821" i="1"/>
  <c r="U821" i="1"/>
  <c r="T821" i="1"/>
  <c r="S821" i="1"/>
  <c r="R821" i="1"/>
  <c r="N821" i="1"/>
  <c r="O821" i="1" s="1"/>
  <c r="M821" i="1"/>
  <c r="P821" i="1" s="1"/>
  <c r="L821" i="1"/>
  <c r="Q821" i="1" s="1"/>
  <c r="P820" i="1"/>
  <c r="O820" i="1"/>
  <c r="N820" i="1"/>
  <c r="S820" i="1" s="1"/>
  <c r="M820" i="1"/>
  <c r="R820" i="1" s="1"/>
  <c r="L820" i="1"/>
  <c r="W820" i="1" s="1"/>
  <c r="W819" i="1"/>
  <c r="V819" i="1"/>
  <c r="U819" i="1"/>
  <c r="T819" i="1"/>
  <c r="R819" i="1"/>
  <c r="N819" i="1"/>
  <c r="M819" i="1"/>
  <c r="P819" i="1" s="1"/>
  <c r="L819" i="1"/>
  <c r="Q819" i="1" s="1"/>
  <c r="Q818" i="1"/>
  <c r="P818" i="1"/>
  <c r="O818" i="1"/>
  <c r="N818" i="1"/>
  <c r="S818" i="1" s="1"/>
  <c r="M818" i="1"/>
  <c r="R818" i="1" s="1"/>
  <c r="L818" i="1"/>
  <c r="W818" i="1" s="1"/>
  <c r="V817" i="1"/>
  <c r="U817" i="1"/>
  <c r="T817" i="1"/>
  <c r="R817" i="1"/>
  <c r="N817" i="1"/>
  <c r="M817" i="1"/>
  <c r="P817" i="1" s="1"/>
  <c r="L817" i="1"/>
  <c r="W817" i="1" s="1"/>
  <c r="R816" i="1"/>
  <c r="Q816" i="1"/>
  <c r="N816" i="1"/>
  <c r="O816" i="1" s="1"/>
  <c r="M816" i="1"/>
  <c r="P816" i="1" s="1"/>
  <c r="L816" i="1"/>
  <c r="W816" i="1" s="1"/>
  <c r="V815" i="1"/>
  <c r="U815" i="1"/>
  <c r="T815" i="1"/>
  <c r="R815" i="1"/>
  <c r="P815" i="1"/>
  <c r="N815" i="1"/>
  <c r="S815" i="1" s="1"/>
  <c r="M815" i="1"/>
  <c r="L815" i="1"/>
  <c r="W815" i="1" s="1"/>
  <c r="R814" i="1"/>
  <c r="Q814" i="1"/>
  <c r="N814" i="1"/>
  <c r="M814" i="1"/>
  <c r="P814" i="1" s="1"/>
  <c r="L814" i="1"/>
  <c r="W814" i="1" s="1"/>
  <c r="V813" i="1"/>
  <c r="U813" i="1"/>
  <c r="T813" i="1"/>
  <c r="S813" i="1"/>
  <c r="O813" i="1"/>
  <c r="N813" i="1"/>
  <c r="M813" i="1"/>
  <c r="R813" i="1" s="1"/>
  <c r="L813" i="1"/>
  <c r="W813" i="1" s="1"/>
  <c r="R812" i="1"/>
  <c r="Q812" i="1"/>
  <c r="N812" i="1"/>
  <c r="M812" i="1"/>
  <c r="P812" i="1" s="1"/>
  <c r="L812" i="1"/>
  <c r="W812" i="1" s="1"/>
  <c r="W811" i="1"/>
  <c r="V811" i="1"/>
  <c r="U811" i="1"/>
  <c r="T811" i="1"/>
  <c r="N811" i="1"/>
  <c r="O811" i="1" s="1"/>
  <c r="M811" i="1"/>
  <c r="R811" i="1" s="1"/>
  <c r="L811" i="1"/>
  <c r="Q811" i="1" s="1"/>
  <c r="R810" i="1"/>
  <c r="Q810" i="1"/>
  <c r="N810" i="1"/>
  <c r="S810" i="1" s="1"/>
  <c r="M810" i="1"/>
  <c r="P810" i="1" s="1"/>
  <c r="L810" i="1"/>
  <c r="W810" i="1" s="1"/>
  <c r="W809" i="1"/>
  <c r="V809" i="1"/>
  <c r="U809" i="1"/>
  <c r="N809" i="1"/>
  <c r="M809" i="1"/>
  <c r="R809" i="1" s="1"/>
  <c r="L809" i="1"/>
  <c r="T809" i="1" s="1"/>
  <c r="S808" i="1"/>
  <c r="R808" i="1"/>
  <c r="N808" i="1"/>
  <c r="O808" i="1" s="1"/>
  <c r="M808" i="1"/>
  <c r="P808" i="1" s="1"/>
  <c r="L808" i="1"/>
  <c r="W808" i="1" s="1"/>
  <c r="V807" i="1"/>
  <c r="U807" i="1"/>
  <c r="N807" i="1"/>
  <c r="M807" i="1"/>
  <c r="R807" i="1" s="1"/>
  <c r="L807" i="1"/>
  <c r="W807" i="1" s="1"/>
  <c r="T806" i="1"/>
  <c r="S806" i="1"/>
  <c r="N806" i="1"/>
  <c r="O806" i="1" s="1"/>
  <c r="M806" i="1"/>
  <c r="R806" i="1" s="1"/>
  <c r="L806" i="1"/>
  <c r="W806" i="1" s="1"/>
  <c r="V805" i="1"/>
  <c r="U805" i="1"/>
  <c r="N805" i="1"/>
  <c r="S805" i="1" s="1"/>
  <c r="M805" i="1"/>
  <c r="R805" i="1" s="1"/>
  <c r="L805" i="1"/>
  <c r="W805" i="1" s="1"/>
  <c r="N804" i="1"/>
  <c r="M804" i="1"/>
  <c r="R804" i="1" s="1"/>
  <c r="L804" i="1"/>
  <c r="V803" i="1"/>
  <c r="U803" i="1"/>
  <c r="N803" i="1"/>
  <c r="S803" i="1" s="1"/>
  <c r="M803" i="1"/>
  <c r="R803" i="1" s="1"/>
  <c r="L803" i="1"/>
  <c r="W803" i="1" s="1"/>
  <c r="U802" i="1"/>
  <c r="T802" i="1"/>
  <c r="N802" i="1"/>
  <c r="M802" i="1"/>
  <c r="R802" i="1" s="1"/>
  <c r="L802" i="1"/>
  <c r="W801" i="1"/>
  <c r="V801" i="1"/>
  <c r="N801" i="1"/>
  <c r="O801" i="1" s="1"/>
  <c r="M801" i="1"/>
  <c r="R801" i="1" s="1"/>
  <c r="L801" i="1"/>
  <c r="U801" i="1" s="1"/>
  <c r="O800" i="1"/>
  <c r="N800" i="1"/>
  <c r="S800" i="1" s="1"/>
  <c r="M800" i="1"/>
  <c r="L800" i="1"/>
  <c r="W799" i="1"/>
  <c r="N799" i="1"/>
  <c r="M799" i="1"/>
  <c r="R799" i="1" s="1"/>
  <c r="L799" i="1"/>
  <c r="V799" i="1" s="1"/>
  <c r="U798" i="1"/>
  <c r="T798" i="1"/>
  <c r="N798" i="1"/>
  <c r="M798" i="1"/>
  <c r="L798" i="1"/>
  <c r="N797" i="1"/>
  <c r="S797" i="1" s="1"/>
  <c r="M797" i="1"/>
  <c r="R797" i="1" s="1"/>
  <c r="L797" i="1"/>
  <c r="W797" i="1" s="1"/>
  <c r="W796" i="1"/>
  <c r="V796" i="1"/>
  <c r="U796" i="1"/>
  <c r="T796" i="1"/>
  <c r="Q796" i="1"/>
  <c r="P796" i="1"/>
  <c r="N796" i="1"/>
  <c r="M796" i="1"/>
  <c r="R796" i="1" s="1"/>
  <c r="L796" i="1"/>
  <c r="O795" i="1"/>
  <c r="N795" i="1"/>
  <c r="S795" i="1" s="1"/>
  <c r="M795" i="1"/>
  <c r="L795" i="1"/>
  <c r="W794" i="1"/>
  <c r="V794" i="1"/>
  <c r="U794" i="1"/>
  <c r="T794" i="1"/>
  <c r="R794" i="1"/>
  <c r="Q794" i="1"/>
  <c r="P794" i="1"/>
  <c r="N794" i="1"/>
  <c r="M794" i="1"/>
  <c r="L794" i="1"/>
  <c r="N793" i="1"/>
  <c r="S793" i="1" s="1"/>
  <c r="M793" i="1"/>
  <c r="R793" i="1" s="1"/>
  <c r="L793" i="1"/>
  <c r="W793" i="1" s="1"/>
  <c r="V792" i="1"/>
  <c r="U792" i="1"/>
  <c r="T792" i="1"/>
  <c r="R792" i="1"/>
  <c r="Q792" i="1"/>
  <c r="P792" i="1"/>
  <c r="N792" i="1"/>
  <c r="S792" i="1" s="1"/>
  <c r="M792" i="1"/>
  <c r="L792" i="1"/>
  <c r="W792" i="1" s="1"/>
  <c r="Q791" i="1"/>
  <c r="P791" i="1"/>
  <c r="N791" i="1"/>
  <c r="O791" i="1" s="1"/>
  <c r="M791" i="1"/>
  <c r="R791" i="1" s="1"/>
  <c r="L791" i="1"/>
  <c r="W791" i="1" s="1"/>
  <c r="V790" i="1"/>
  <c r="U790" i="1"/>
  <c r="T790" i="1"/>
  <c r="S790" i="1"/>
  <c r="R790" i="1"/>
  <c r="N790" i="1"/>
  <c r="O790" i="1" s="1"/>
  <c r="M790" i="1"/>
  <c r="P790" i="1" s="1"/>
  <c r="L790" i="1"/>
  <c r="W790" i="1" s="1"/>
  <c r="R789" i="1"/>
  <c r="N789" i="1"/>
  <c r="M789" i="1"/>
  <c r="P789" i="1" s="1"/>
  <c r="L789" i="1"/>
  <c r="W788" i="1"/>
  <c r="V788" i="1"/>
  <c r="U788" i="1"/>
  <c r="T788" i="1"/>
  <c r="N788" i="1"/>
  <c r="S788" i="1" s="1"/>
  <c r="M788" i="1"/>
  <c r="R788" i="1" s="1"/>
  <c r="L788" i="1"/>
  <c r="Q788" i="1" s="1"/>
  <c r="T787" i="1"/>
  <c r="R787" i="1"/>
  <c r="N787" i="1"/>
  <c r="M787" i="1"/>
  <c r="P787" i="1" s="1"/>
  <c r="L787" i="1"/>
  <c r="W786" i="1"/>
  <c r="V786" i="1"/>
  <c r="N786" i="1"/>
  <c r="O786" i="1" s="1"/>
  <c r="M786" i="1"/>
  <c r="R786" i="1" s="1"/>
  <c r="L786" i="1"/>
  <c r="U786" i="1" s="1"/>
  <c r="U785" i="1"/>
  <c r="T785" i="1"/>
  <c r="P785" i="1"/>
  <c r="O785" i="1"/>
  <c r="N785" i="1"/>
  <c r="S785" i="1" s="1"/>
  <c r="M785" i="1"/>
  <c r="R785" i="1" s="1"/>
  <c r="L785" i="1"/>
  <c r="N784" i="1"/>
  <c r="M784" i="1"/>
  <c r="R784" i="1" s="1"/>
  <c r="L784" i="1"/>
  <c r="W784" i="1" s="1"/>
  <c r="W783" i="1"/>
  <c r="V783" i="1"/>
  <c r="U783" i="1"/>
  <c r="T783" i="1"/>
  <c r="R783" i="1"/>
  <c r="Q783" i="1"/>
  <c r="P783" i="1"/>
  <c r="N783" i="1"/>
  <c r="S783" i="1" s="1"/>
  <c r="M783" i="1"/>
  <c r="L783" i="1"/>
  <c r="O782" i="1"/>
  <c r="N782" i="1"/>
  <c r="S782" i="1" s="1"/>
  <c r="M782" i="1"/>
  <c r="L782" i="1"/>
  <c r="W781" i="1"/>
  <c r="V781" i="1"/>
  <c r="U781" i="1"/>
  <c r="T781" i="1"/>
  <c r="S781" i="1"/>
  <c r="R781" i="1"/>
  <c r="Q781" i="1"/>
  <c r="P781" i="1"/>
  <c r="N781" i="1"/>
  <c r="O781" i="1" s="1"/>
  <c r="M781" i="1"/>
  <c r="L781" i="1"/>
  <c r="O780" i="1"/>
  <c r="N780" i="1"/>
  <c r="S780" i="1" s="1"/>
  <c r="M780" i="1"/>
  <c r="R780" i="1" s="1"/>
  <c r="L780" i="1"/>
  <c r="W780" i="1" s="1"/>
  <c r="W779" i="1"/>
  <c r="V779" i="1"/>
  <c r="U779" i="1"/>
  <c r="T779" i="1"/>
  <c r="R779" i="1"/>
  <c r="Q779" i="1"/>
  <c r="N779" i="1"/>
  <c r="M779" i="1"/>
  <c r="P779" i="1" s="1"/>
  <c r="L779" i="1"/>
  <c r="Q778" i="1"/>
  <c r="N778" i="1"/>
  <c r="S778" i="1" s="1"/>
  <c r="M778" i="1"/>
  <c r="R778" i="1" s="1"/>
  <c r="L778" i="1"/>
  <c r="V777" i="1"/>
  <c r="U777" i="1"/>
  <c r="T777" i="1"/>
  <c r="R777" i="1"/>
  <c r="N777" i="1"/>
  <c r="S777" i="1" s="1"/>
  <c r="M777" i="1"/>
  <c r="P777" i="1" s="1"/>
  <c r="L777" i="1"/>
  <c r="W777" i="1" s="1"/>
  <c r="S776" i="1"/>
  <c r="R776" i="1"/>
  <c r="N776" i="1"/>
  <c r="O776" i="1" s="1"/>
  <c r="M776" i="1"/>
  <c r="P776" i="1" s="1"/>
  <c r="L776" i="1"/>
  <c r="V775" i="1"/>
  <c r="U775" i="1"/>
  <c r="T775" i="1"/>
  <c r="N775" i="1"/>
  <c r="S775" i="1" s="1"/>
  <c r="M775" i="1"/>
  <c r="R775" i="1" s="1"/>
  <c r="L775" i="1"/>
  <c r="W775" i="1" s="1"/>
  <c r="U774" i="1"/>
  <c r="T774" i="1"/>
  <c r="P774" i="1"/>
  <c r="N774" i="1"/>
  <c r="M774" i="1"/>
  <c r="R774" i="1" s="1"/>
  <c r="L774" i="1"/>
  <c r="W773" i="1"/>
  <c r="V773" i="1"/>
  <c r="N773" i="1"/>
  <c r="S773" i="1" s="1"/>
  <c r="M773" i="1"/>
  <c r="R773" i="1" s="1"/>
  <c r="L773" i="1"/>
  <c r="U773" i="1" s="1"/>
  <c r="N772" i="1"/>
  <c r="S772" i="1" s="1"/>
  <c r="M772" i="1"/>
  <c r="R772" i="1" s="1"/>
  <c r="L772" i="1"/>
  <c r="N771" i="1"/>
  <c r="O771" i="1" s="1"/>
  <c r="M771" i="1"/>
  <c r="R771" i="1" s="1"/>
  <c r="L771" i="1"/>
  <c r="V770" i="1"/>
  <c r="U770" i="1"/>
  <c r="T770" i="1"/>
  <c r="R770" i="1"/>
  <c r="Q770" i="1"/>
  <c r="P770" i="1"/>
  <c r="N770" i="1"/>
  <c r="S770" i="1" s="1"/>
  <c r="M770" i="1"/>
  <c r="L770" i="1"/>
  <c r="W770" i="1" s="1"/>
  <c r="N769" i="1"/>
  <c r="M769" i="1"/>
  <c r="L769" i="1"/>
  <c r="W768" i="1"/>
  <c r="V768" i="1"/>
  <c r="U768" i="1"/>
  <c r="T768" i="1"/>
  <c r="S768" i="1"/>
  <c r="R768" i="1"/>
  <c r="Q768" i="1"/>
  <c r="P768" i="1"/>
  <c r="N768" i="1"/>
  <c r="O768" i="1" s="1"/>
  <c r="M768" i="1"/>
  <c r="L768" i="1"/>
  <c r="N767" i="1"/>
  <c r="M767" i="1"/>
  <c r="R767" i="1" s="1"/>
  <c r="L767" i="1"/>
  <c r="W767" i="1" s="1"/>
  <c r="W766" i="1"/>
  <c r="V766" i="1"/>
  <c r="U766" i="1"/>
  <c r="T766" i="1"/>
  <c r="S766" i="1"/>
  <c r="R766" i="1"/>
  <c r="N766" i="1"/>
  <c r="O766" i="1" s="1"/>
  <c r="M766" i="1"/>
  <c r="P766" i="1" s="1"/>
  <c r="L766" i="1"/>
  <c r="Q766" i="1" s="1"/>
  <c r="O765" i="1"/>
  <c r="N765" i="1"/>
  <c r="S765" i="1" s="1"/>
  <c r="M765" i="1"/>
  <c r="L765" i="1"/>
  <c r="W764" i="1"/>
  <c r="V764" i="1"/>
  <c r="N764" i="1"/>
  <c r="S764" i="1" s="1"/>
  <c r="M764" i="1"/>
  <c r="R764" i="1" s="1"/>
  <c r="L764" i="1"/>
  <c r="U764" i="1" s="1"/>
  <c r="W763" i="1"/>
  <c r="V763" i="1"/>
  <c r="U763" i="1"/>
  <c r="T763" i="1"/>
  <c r="R763" i="1"/>
  <c r="Q763" i="1"/>
  <c r="P763" i="1"/>
  <c r="N763" i="1"/>
  <c r="S763" i="1" s="1"/>
  <c r="M763" i="1"/>
  <c r="L763" i="1"/>
  <c r="N762" i="1"/>
  <c r="M762" i="1"/>
  <c r="R762" i="1" s="1"/>
  <c r="L762" i="1"/>
  <c r="W762" i="1" s="1"/>
  <c r="W761" i="1"/>
  <c r="V761" i="1"/>
  <c r="U761" i="1"/>
  <c r="T761" i="1"/>
  <c r="S761" i="1"/>
  <c r="R761" i="1"/>
  <c r="N761" i="1"/>
  <c r="O761" i="1" s="1"/>
  <c r="M761" i="1"/>
  <c r="P761" i="1" s="1"/>
  <c r="L761" i="1"/>
  <c r="Q761" i="1" s="1"/>
  <c r="S760" i="1"/>
  <c r="R760" i="1"/>
  <c r="O760" i="1"/>
  <c r="N760" i="1"/>
  <c r="M760" i="1"/>
  <c r="P760" i="1" s="1"/>
  <c r="L760" i="1"/>
  <c r="W759" i="1"/>
  <c r="V759" i="1"/>
  <c r="N759" i="1"/>
  <c r="S759" i="1" s="1"/>
  <c r="M759" i="1"/>
  <c r="R759" i="1" s="1"/>
  <c r="L759" i="1"/>
  <c r="U759" i="1" s="1"/>
  <c r="W758" i="1"/>
  <c r="V758" i="1"/>
  <c r="U758" i="1"/>
  <c r="T758" i="1"/>
  <c r="R758" i="1"/>
  <c r="Q758" i="1"/>
  <c r="P758" i="1"/>
  <c r="N758" i="1"/>
  <c r="S758" i="1" s="1"/>
  <c r="M758" i="1"/>
  <c r="L758" i="1"/>
  <c r="N757" i="1"/>
  <c r="S757" i="1" s="1"/>
  <c r="M757" i="1"/>
  <c r="R757" i="1" s="1"/>
  <c r="L757" i="1"/>
  <c r="W757" i="1" s="1"/>
  <c r="W756" i="1"/>
  <c r="V756" i="1"/>
  <c r="U756" i="1"/>
  <c r="T756" i="1"/>
  <c r="S756" i="1"/>
  <c r="R756" i="1"/>
  <c r="N756" i="1"/>
  <c r="O756" i="1" s="1"/>
  <c r="M756" i="1"/>
  <c r="P756" i="1" s="1"/>
  <c r="L756" i="1"/>
  <c r="Q756" i="1" s="1"/>
  <c r="N755" i="1"/>
  <c r="S755" i="1" s="1"/>
  <c r="M755" i="1"/>
  <c r="P755" i="1" s="1"/>
  <c r="L755" i="1"/>
  <c r="W754" i="1"/>
  <c r="V754" i="1"/>
  <c r="N754" i="1"/>
  <c r="S754" i="1" s="1"/>
  <c r="M754" i="1"/>
  <c r="R754" i="1" s="1"/>
  <c r="L754" i="1"/>
  <c r="U754" i="1" s="1"/>
  <c r="W753" i="1"/>
  <c r="V753" i="1"/>
  <c r="U753" i="1"/>
  <c r="T753" i="1"/>
  <c r="S753" i="1"/>
  <c r="R753" i="1"/>
  <c r="Q753" i="1"/>
  <c r="P753" i="1"/>
  <c r="O753" i="1"/>
  <c r="N753" i="1"/>
  <c r="M753" i="1"/>
  <c r="L753" i="1"/>
  <c r="N752" i="1"/>
  <c r="S752" i="1" s="1"/>
  <c r="M752" i="1"/>
  <c r="R752" i="1" s="1"/>
  <c r="L752" i="1"/>
  <c r="W752" i="1" s="1"/>
  <c r="W751" i="1"/>
  <c r="V751" i="1"/>
  <c r="U751" i="1"/>
  <c r="T751" i="1"/>
  <c r="S751" i="1"/>
  <c r="R751" i="1"/>
  <c r="N751" i="1"/>
  <c r="O751" i="1" s="1"/>
  <c r="M751" i="1"/>
  <c r="P751" i="1" s="1"/>
  <c r="L751" i="1"/>
  <c r="Q751" i="1" s="1"/>
  <c r="S750" i="1"/>
  <c r="R750" i="1"/>
  <c r="O750" i="1"/>
  <c r="N750" i="1"/>
  <c r="M750" i="1"/>
  <c r="P750" i="1" s="1"/>
  <c r="L750" i="1"/>
  <c r="W749" i="1"/>
  <c r="V749" i="1"/>
  <c r="N749" i="1"/>
  <c r="S749" i="1" s="1"/>
  <c r="M749" i="1"/>
  <c r="R749" i="1" s="1"/>
  <c r="L749" i="1"/>
  <c r="U749" i="1" s="1"/>
  <c r="W748" i="1"/>
  <c r="V748" i="1"/>
  <c r="U748" i="1"/>
  <c r="T748" i="1"/>
  <c r="R748" i="1"/>
  <c r="Q748" i="1"/>
  <c r="P748" i="1"/>
  <c r="N748" i="1"/>
  <c r="M748" i="1"/>
  <c r="L748" i="1"/>
  <c r="O747" i="1"/>
  <c r="N747" i="1"/>
  <c r="S747" i="1" s="1"/>
  <c r="M747" i="1"/>
  <c r="R747" i="1" s="1"/>
  <c r="L747" i="1"/>
  <c r="W747" i="1" s="1"/>
  <c r="W746" i="1"/>
  <c r="V746" i="1"/>
  <c r="U746" i="1"/>
  <c r="T746" i="1"/>
  <c r="S746" i="1"/>
  <c r="R746" i="1"/>
  <c r="N746" i="1"/>
  <c r="O746" i="1" s="1"/>
  <c r="M746" i="1"/>
  <c r="P746" i="1" s="1"/>
  <c r="L746" i="1"/>
  <c r="Q746" i="1" s="1"/>
  <c r="S745" i="1"/>
  <c r="O745" i="1"/>
  <c r="N745" i="1"/>
  <c r="M745" i="1"/>
  <c r="L745" i="1"/>
  <c r="W744" i="1"/>
  <c r="V744" i="1"/>
  <c r="N744" i="1"/>
  <c r="S744" i="1" s="1"/>
  <c r="M744" i="1"/>
  <c r="R744" i="1" s="1"/>
  <c r="L744" i="1"/>
  <c r="U744" i="1" s="1"/>
  <c r="W743" i="1"/>
  <c r="V743" i="1"/>
  <c r="U743" i="1"/>
  <c r="T743" i="1"/>
  <c r="R743" i="1"/>
  <c r="Q743" i="1"/>
  <c r="P743" i="1"/>
  <c r="N743" i="1"/>
  <c r="M743" i="1"/>
  <c r="L743" i="1"/>
  <c r="N742" i="1"/>
  <c r="M742" i="1"/>
  <c r="R742" i="1" s="1"/>
  <c r="L742" i="1"/>
  <c r="W742" i="1" s="1"/>
  <c r="W741" i="1"/>
  <c r="V741" i="1"/>
  <c r="U741" i="1"/>
  <c r="T741" i="1"/>
  <c r="S741" i="1"/>
  <c r="R741" i="1"/>
  <c r="N741" i="1"/>
  <c r="O741" i="1" s="1"/>
  <c r="M741" i="1"/>
  <c r="P741" i="1" s="1"/>
  <c r="L741" i="1"/>
  <c r="Q741" i="1" s="1"/>
  <c r="S740" i="1"/>
  <c r="O740" i="1"/>
  <c r="N740" i="1"/>
  <c r="M740" i="1"/>
  <c r="L740" i="1"/>
  <c r="W739" i="1"/>
  <c r="V739" i="1"/>
  <c r="N739" i="1"/>
  <c r="S739" i="1" s="1"/>
  <c r="M739" i="1"/>
  <c r="R739" i="1" s="1"/>
  <c r="L739" i="1"/>
  <c r="U739" i="1" s="1"/>
  <c r="W738" i="1"/>
  <c r="V738" i="1"/>
  <c r="U738" i="1"/>
  <c r="T738" i="1"/>
  <c r="R738" i="1"/>
  <c r="Q738" i="1"/>
  <c r="P738" i="1"/>
  <c r="N738" i="1"/>
  <c r="S738" i="1" s="1"/>
  <c r="M738" i="1"/>
  <c r="L738" i="1"/>
  <c r="N737" i="1"/>
  <c r="M737" i="1"/>
  <c r="R737" i="1" s="1"/>
  <c r="L737" i="1"/>
  <c r="W737" i="1" s="1"/>
  <c r="W736" i="1"/>
  <c r="V736" i="1"/>
  <c r="U736" i="1"/>
  <c r="T736" i="1"/>
  <c r="S736" i="1"/>
  <c r="R736" i="1"/>
  <c r="N736" i="1"/>
  <c r="O736" i="1" s="1"/>
  <c r="M736" i="1"/>
  <c r="P736" i="1" s="1"/>
  <c r="L736" i="1"/>
  <c r="Q736" i="1" s="1"/>
  <c r="R735" i="1"/>
  <c r="N735" i="1"/>
  <c r="S735" i="1" s="1"/>
  <c r="M735" i="1"/>
  <c r="P735" i="1" s="1"/>
  <c r="L735" i="1"/>
  <c r="W734" i="1"/>
  <c r="V734" i="1"/>
  <c r="N734" i="1"/>
  <c r="S734" i="1" s="1"/>
  <c r="M734" i="1"/>
  <c r="R734" i="1" s="1"/>
  <c r="L734" i="1"/>
  <c r="U734" i="1" s="1"/>
  <c r="W733" i="1"/>
  <c r="V733" i="1"/>
  <c r="U733" i="1"/>
  <c r="T733" i="1"/>
  <c r="R733" i="1"/>
  <c r="Q733" i="1"/>
  <c r="P733" i="1"/>
  <c r="N733" i="1"/>
  <c r="S733" i="1" s="1"/>
  <c r="M733" i="1"/>
  <c r="L733" i="1"/>
  <c r="N732" i="1"/>
  <c r="S732" i="1" s="1"/>
  <c r="M732" i="1"/>
  <c r="R732" i="1" s="1"/>
  <c r="L732" i="1"/>
  <c r="W731" i="1"/>
  <c r="V731" i="1"/>
  <c r="U731" i="1"/>
  <c r="T731" i="1"/>
  <c r="S731" i="1"/>
  <c r="R731" i="1"/>
  <c r="N731" i="1"/>
  <c r="O731" i="1" s="1"/>
  <c r="M731" i="1"/>
  <c r="P731" i="1" s="1"/>
  <c r="L731" i="1"/>
  <c r="Q731" i="1" s="1"/>
  <c r="N730" i="1"/>
  <c r="S730" i="1" s="1"/>
  <c r="M730" i="1"/>
  <c r="R730" i="1" s="1"/>
  <c r="L730" i="1"/>
  <c r="W729" i="1"/>
  <c r="V729" i="1"/>
  <c r="N729" i="1"/>
  <c r="S729" i="1" s="1"/>
  <c r="M729" i="1"/>
  <c r="R729" i="1" s="1"/>
  <c r="L729" i="1"/>
  <c r="U729" i="1" s="1"/>
  <c r="W728" i="1"/>
  <c r="V728" i="1"/>
  <c r="U728" i="1"/>
  <c r="T728" i="1"/>
  <c r="S728" i="1"/>
  <c r="R728" i="1"/>
  <c r="Q728" i="1"/>
  <c r="P728" i="1"/>
  <c r="N728" i="1"/>
  <c r="O728" i="1" s="1"/>
  <c r="M728" i="1"/>
  <c r="L728" i="1"/>
  <c r="O727" i="1"/>
  <c r="N727" i="1"/>
  <c r="S727" i="1" s="1"/>
  <c r="M727" i="1"/>
  <c r="R727" i="1" s="1"/>
  <c r="L727" i="1"/>
  <c r="W726" i="1"/>
  <c r="V726" i="1"/>
  <c r="U726" i="1"/>
  <c r="T726" i="1"/>
  <c r="S726" i="1"/>
  <c r="R726" i="1"/>
  <c r="P726" i="1"/>
  <c r="N726" i="1"/>
  <c r="O726" i="1" s="1"/>
  <c r="M726" i="1"/>
  <c r="L726" i="1"/>
  <c r="Q726" i="1" s="1"/>
  <c r="N725" i="1"/>
  <c r="S725" i="1" s="1"/>
  <c r="M725" i="1"/>
  <c r="R725" i="1" s="1"/>
  <c r="L725" i="1"/>
  <c r="W724" i="1"/>
  <c r="V724" i="1"/>
  <c r="N724" i="1"/>
  <c r="S724" i="1" s="1"/>
  <c r="M724" i="1"/>
  <c r="R724" i="1" s="1"/>
  <c r="L724" i="1"/>
  <c r="U724" i="1" s="1"/>
  <c r="W723" i="1"/>
  <c r="V723" i="1"/>
  <c r="U723" i="1"/>
  <c r="T723" i="1"/>
  <c r="S723" i="1"/>
  <c r="R723" i="1"/>
  <c r="Q723" i="1"/>
  <c r="P723" i="1"/>
  <c r="O723" i="1"/>
  <c r="N723" i="1"/>
  <c r="M723" i="1"/>
  <c r="L723" i="1"/>
  <c r="N722" i="1"/>
  <c r="S722" i="1" s="1"/>
  <c r="M722" i="1"/>
  <c r="L722" i="1"/>
  <c r="W721" i="1"/>
  <c r="V721" i="1"/>
  <c r="U721" i="1"/>
  <c r="T721" i="1"/>
  <c r="S721" i="1"/>
  <c r="R721" i="1"/>
  <c r="P721" i="1"/>
  <c r="N721" i="1"/>
  <c r="O721" i="1" s="1"/>
  <c r="M721" i="1"/>
  <c r="L721" i="1"/>
  <c r="Q721" i="1" s="1"/>
  <c r="S720" i="1"/>
  <c r="N720" i="1"/>
  <c r="O720" i="1" s="1"/>
  <c r="M720" i="1"/>
  <c r="R720" i="1" s="1"/>
  <c r="L720" i="1"/>
  <c r="W719" i="1"/>
  <c r="V719" i="1"/>
  <c r="N719" i="1"/>
  <c r="S719" i="1" s="1"/>
  <c r="M719" i="1"/>
  <c r="R719" i="1" s="1"/>
  <c r="L719" i="1"/>
  <c r="U719" i="1" s="1"/>
  <c r="W718" i="1"/>
  <c r="V718" i="1"/>
  <c r="U718" i="1"/>
  <c r="T718" i="1"/>
  <c r="S718" i="1"/>
  <c r="R718" i="1"/>
  <c r="Q718" i="1"/>
  <c r="P718" i="1"/>
  <c r="N718" i="1"/>
  <c r="O718" i="1" s="1"/>
  <c r="M718" i="1"/>
  <c r="L718" i="1"/>
  <c r="N717" i="1"/>
  <c r="S717" i="1" s="1"/>
  <c r="M717" i="1"/>
  <c r="L717" i="1"/>
  <c r="W716" i="1"/>
  <c r="V716" i="1"/>
  <c r="U716" i="1"/>
  <c r="T716" i="1"/>
  <c r="S716" i="1"/>
  <c r="R716" i="1"/>
  <c r="P716" i="1"/>
  <c r="N716" i="1"/>
  <c r="O716" i="1" s="1"/>
  <c r="M716" i="1"/>
  <c r="L716" i="1"/>
  <c r="Q716" i="1" s="1"/>
  <c r="S715" i="1"/>
  <c r="R715" i="1"/>
  <c r="P715" i="1"/>
  <c r="N715" i="1"/>
  <c r="O715" i="1" s="1"/>
  <c r="M715" i="1"/>
  <c r="L715" i="1"/>
  <c r="W714" i="1"/>
  <c r="V714" i="1"/>
  <c r="N714" i="1"/>
  <c r="S714" i="1" s="1"/>
  <c r="M714" i="1"/>
  <c r="R714" i="1" s="1"/>
  <c r="L714" i="1"/>
  <c r="U714" i="1" s="1"/>
  <c r="W713" i="1"/>
  <c r="V713" i="1"/>
  <c r="U713" i="1"/>
  <c r="T713" i="1"/>
  <c r="S713" i="1"/>
  <c r="R713" i="1"/>
  <c r="Q713" i="1"/>
  <c r="P713" i="1"/>
  <c r="O713" i="1"/>
  <c r="N713" i="1"/>
  <c r="M713" i="1"/>
  <c r="L713" i="1"/>
  <c r="N712" i="1"/>
  <c r="S712" i="1" s="1"/>
  <c r="M712" i="1"/>
  <c r="L712" i="1"/>
  <c r="W711" i="1"/>
  <c r="V711" i="1"/>
  <c r="U711" i="1"/>
  <c r="T711" i="1"/>
  <c r="S711" i="1"/>
  <c r="R711" i="1"/>
  <c r="P711" i="1"/>
  <c r="N711" i="1"/>
  <c r="O711" i="1" s="1"/>
  <c r="M711" i="1"/>
  <c r="L711" i="1"/>
  <c r="Q711" i="1" s="1"/>
  <c r="S710" i="1"/>
  <c r="R710" i="1"/>
  <c r="Q710" i="1"/>
  <c r="O710" i="1"/>
  <c r="N710" i="1"/>
  <c r="M710" i="1"/>
  <c r="P710" i="1" s="1"/>
  <c r="L710" i="1"/>
  <c r="W709" i="1"/>
  <c r="V709" i="1"/>
  <c r="N709" i="1"/>
  <c r="S709" i="1" s="1"/>
  <c r="M709" i="1"/>
  <c r="R709" i="1" s="1"/>
  <c r="L709" i="1"/>
  <c r="U709" i="1" s="1"/>
  <c r="W708" i="1"/>
  <c r="V708" i="1"/>
  <c r="U708" i="1"/>
  <c r="T708" i="1"/>
  <c r="R708" i="1"/>
  <c r="Q708" i="1"/>
  <c r="P708" i="1"/>
  <c r="O708" i="1"/>
  <c r="N708" i="1"/>
  <c r="S708" i="1" s="1"/>
  <c r="M708" i="1"/>
  <c r="L708" i="1"/>
  <c r="N707" i="1"/>
  <c r="S707" i="1" s="1"/>
  <c r="M707" i="1"/>
  <c r="L707" i="1"/>
  <c r="W706" i="1"/>
  <c r="V706" i="1"/>
  <c r="U706" i="1"/>
  <c r="T706" i="1"/>
  <c r="S706" i="1"/>
  <c r="R706" i="1"/>
  <c r="P706" i="1"/>
  <c r="N706" i="1"/>
  <c r="O706" i="1" s="1"/>
  <c r="M706" i="1"/>
  <c r="L706" i="1"/>
  <c r="Q706" i="1" s="1"/>
  <c r="S705" i="1"/>
  <c r="R705" i="1"/>
  <c r="Q705" i="1"/>
  <c r="P705" i="1"/>
  <c r="N705" i="1"/>
  <c r="O705" i="1" s="1"/>
  <c r="M705" i="1"/>
  <c r="L705" i="1"/>
  <c r="W704" i="1"/>
  <c r="V704" i="1"/>
  <c r="N704" i="1"/>
  <c r="S704" i="1" s="1"/>
  <c r="M704" i="1"/>
  <c r="R704" i="1" s="1"/>
  <c r="L704" i="1"/>
  <c r="U704" i="1" s="1"/>
  <c r="W703" i="1"/>
  <c r="V703" i="1"/>
  <c r="U703" i="1"/>
  <c r="T703" i="1"/>
  <c r="S703" i="1"/>
  <c r="R703" i="1"/>
  <c r="Q703" i="1"/>
  <c r="P703" i="1"/>
  <c r="O703" i="1"/>
  <c r="N703" i="1"/>
  <c r="M703" i="1"/>
  <c r="L703" i="1"/>
  <c r="N702" i="1"/>
  <c r="S702" i="1" s="1"/>
  <c r="M702" i="1"/>
  <c r="L702" i="1"/>
  <c r="T701" i="1"/>
  <c r="R701" i="1"/>
  <c r="W701" i="1" s="1"/>
  <c r="N701" i="1"/>
  <c r="O701" i="1" s="1"/>
  <c r="M701" i="1"/>
  <c r="P701" i="1" s="1"/>
  <c r="L701" i="1"/>
  <c r="T700" i="1"/>
  <c r="R700" i="1"/>
  <c r="O700" i="1"/>
  <c r="N700" i="1"/>
  <c r="M700" i="1"/>
  <c r="P700" i="1" s="1"/>
  <c r="U700" i="1" s="1"/>
  <c r="L700" i="1"/>
  <c r="N699" i="1"/>
  <c r="M699" i="1"/>
  <c r="L699" i="1"/>
  <c r="R698" i="1"/>
  <c r="W698" i="1" s="1"/>
  <c r="N698" i="1"/>
  <c r="M698" i="1"/>
  <c r="L698" i="1"/>
  <c r="N697" i="1"/>
  <c r="M697" i="1"/>
  <c r="R697" i="1" s="1"/>
  <c r="L697" i="1"/>
  <c r="W696" i="1"/>
  <c r="U696" i="1"/>
  <c r="R696" i="1"/>
  <c r="N696" i="1"/>
  <c r="O696" i="1" s="1"/>
  <c r="T696" i="1" s="1"/>
  <c r="M696" i="1"/>
  <c r="P696" i="1" s="1"/>
  <c r="L696" i="1"/>
  <c r="N695" i="1"/>
  <c r="M695" i="1"/>
  <c r="R695" i="1" s="1"/>
  <c r="L695" i="1"/>
  <c r="N694" i="1"/>
  <c r="M694" i="1"/>
  <c r="L694" i="1"/>
  <c r="R693" i="1"/>
  <c r="W693" i="1" s="1"/>
  <c r="N693" i="1"/>
  <c r="P693" i="1" s="1"/>
  <c r="U693" i="1" s="1"/>
  <c r="M693" i="1"/>
  <c r="L693" i="1"/>
  <c r="N692" i="1"/>
  <c r="M692" i="1"/>
  <c r="L692" i="1"/>
  <c r="W691" i="1"/>
  <c r="R691" i="1"/>
  <c r="N691" i="1"/>
  <c r="O691" i="1" s="1"/>
  <c r="T691" i="1" s="1"/>
  <c r="M691" i="1"/>
  <c r="L691" i="1"/>
  <c r="N690" i="1"/>
  <c r="M690" i="1"/>
  <c r="L690" i="1"/>
  <c r="N689" i="1"/>
  <c r="M689" i="1"/>
  <c r="L689" i="1"/>
  <c r="W688" i="1"/>
  <c r="R688" i="1"/>
  <c r="O688" i="1"/>
  <c r="T688" i="1" s="1"/>
  <c r="N688" i="1"/>
  <c r="M688" i="1"/>
  <c r="L688" i="1"/>
  <c r="O687" i="1"/>
  <c r="N687" i="1"/>
  <c r="M687" i="1"/>
  <c r="R687" i="1" s="1"/>
  <c r="L687" i="1"/>
  <c r="W686" i="1"/>
  <c r="R686" i="1"/>
  <c r="N686" i="1"/>
  <c r="O686" i="1" s="1"/>
  <c r="T686" i="1" s="1"/>
  <c r="M686" i="1"/>
  <c r="L686" i="1"/>
  <c r="O685" i="1"/>
  <c r="N685" i="1"/>
  <c r="M685" i="1"/>
  <c r="R685" i="1" s="1"/>
  <c r="L685" i="1"/>
  <c r="N684" i="1"/>
  <c r="M684" i="1"/>
  <c r="L684" i="1"/>
  <c r="R683" i="1"/>
  <c r="W683" i="1" s="1"/>
  <c r="N683" i="1"/>
  <c r="M683" i="1"/>
  <c r="L683" i="1"/>
  <c r="N682" i="1"/>
  <c r="M682" i="1"/>
  <c r="L682" i="1"/>
  <c r="R681" i="1"/>
  <c r="W681" i="1" s="1"/>
  <c r="N681" i="1"/>
  <c r="O681" i="1" s="1"/>
  <c r="T681" i="1" s="1"/>
  <c r="M681" i="1"/>
  <c r="P681" i="1" s="1"/>
  <c r="U681" i="1" s="1"/>
  <c r="L681" i="1"/>
  <c r="N680" i="1"/>
  <c r="O680" i="1" s="1"/>
  <c r="T680" i="1" s="1"/>
  <c r="M680" i="1"/>
  <c r="L680" i="1"/>
  <c r="N679" i="1"/>
  <c r="M679" i="1"/>
  <c r="L679" i="1"/>
  <c r="R678" i="1"/>
  <c r="W678" i="1" s="1"/>
  <c r="P678" i="1"/>
  <c r="U678" i="1" s="1"/>
  <c r="N678" i="1"/>
  <c r="M678" i="1"/>
  <c r="L678" i="1"/>
  <c r="R677" i="1"/>
  <c r="O677" i="1"/>
  <c r="N677" i="1"/>
  <c r="M677" i="1"/>
  <c r="P677" i="1" s="1"/>
  <c r="L677" i="1"/>
  <c r="R676" i="1"/>
  <c r="W676" i="1" s="1"/>
  <c r="N676" i="1"/>
  <c r="O676" i="1" s="1"/>
  <c r="M676" i="1"/>
  <c r="P676" i="1" s="1"/>
  <c r="U676" i="1" s="1"/>
  <c r="L676" i="1"/>
  <c r="R675" i="1"/>
  <c r="N675" i="1"/>
  <c r="M675" i="1"/>
  <c r="P675" i="1" s="1"/>
  <c r="U675" i="1" s="1"/>
  <c r="L675" i="1"/>
  <c r="N674" i="1"/>
  <c r="M674" i="1"/>
  <c r="L674" i="1"/>
  <c r="R673" i="1"/>
  <c r="W673" i="1" s="1"/>
  <c r="P673" i="1"/>
  <c r="U673" i="1" s="1"/>
  <c r="N673" i="1"/>
  <c r="M673" i="1"/>
  <c r="L673" i="1"/>
  <c r="N672" i="1"/>
  <c r="M672" i="1"/>
  <c r="R672" i="1" s="1"/>
  <c r="L672" i="1"/>
  <c r="W671" i="1"/>
  <c r="U671" i="1"/>
  <c r="R671" i="1"/>
  <c r="N671" i="1"/>
  <c r="O671" i="1" s="1"/>
  <c r="T671" i="1" s="1"/>
  <c r="M671" i="1"/>
  <c r="P671" i="1" s="1"/>
  <c r="L671" i="1"/>
  <c r="N670" i="1"/>
  <c r="M670" i="1"/>
  <c r="R670" i="1" s="1"/>
  <c r="L670" i="1"/>
  <c r="N669" i="1"/>
  <c r="M669" i="1"/>
  <c r="L669" i="1"/>
  <c r="R668" i="1"/>
  <c r="W668" i="1" s="1"/>
  <c r="N668" i="1"/>
  <c r="P668" i="1" s="1"/>
  <c r="U668" i="1" s="1"/>
  <c r="M668" i="1"/>
  <c r="L668" i="1"/>
  <c r="N667" i="1"/>
  <c r="M667" i="1"/>
  <c r="L667" i="1"/>
  <c r="W666" i="1"/>
  <c r="U666" i="1"/>
  <c r="R666" i="1"/>
  <c r="N666" i="1"/>
  <c r="O666" i="1" s="1"/>
  <c r="T666" i="1" s="1"/>
  <c r="M666" i="1"/>
  <c r="P666" i="1" s="1"/>
  <c r="L666" i="1"/>
  <c r="N665" i="1"/>
  <c r="M665" i="1"/>
  <c r="L665" i="1"/>
  <c r="N664" i="1"/>
  <c r="M664" i="1"/>
  <c r="L664" i="1"/>
  <c r="W663" i="1"/>
  <c r="R663" i="1"/>
  <c r="O663" i="1"/>
  <c r="T663" i="1" s="1"/>
  <c r="N663" i="1"/>
  <c r="M663" i="1"/>
  <c r="L663" i="1"/>
  <c r="O662" i="1"/>
  <c r="N662" i="1"/>
  <c r="M662" i="1"/>
  <c r="R662" i="1" s="1"/>
  <c r="L662" i="1"/>
  <c r="W661" i="1"/>
  <c r="R661" i="1"/>
  <c r="N661" i="1"/>
  <c r="O661" i="1" s="1"/>
  <c r="M661" i="1"/>
  <c r="L661" i="1"/>
  <c r="O660" i="1"/>
  <c r="N660" i="1"/>
  <c r="M660" i="1"/>
  <c r="R660" i="1" s="1"/>
  <c r="L660" i="1"/>
  <c r="W659" i="1"/>
  <c r="P659" i="1"/>
  <c r="N659" i="1"/>
  <c r="M659" i="1"/>
  <c r="R659" i="1" s="1"/>
  <c r="L659" i="1"/>
  <c r="R658" i="1"/>
  <c r="W658" i="1" s="1"/>
  <c r="O658" i="1"/>
  <c r="T658" i="1" s="1"/>
  <c r="N658" i="1"/>
  <c r="M658" i="1"/>
  <c r="L658" i="1"/>
  <c r="R657" i="1"/>
  <c r="P657" i="1"/>
  <c r="O657" i="1"/>
  <c r="T657" i="1" s="1"/>
  <c r="N657" i="1"/>
  <c r="M657" i="1"/>
  <c r="L657" i="1"/>
  <c r="R656" i="1"/>
  <c r="N656" i="1"/>
  <c r="O656" i="1" s="1"/>
  <c r="M656" i="1"/>
  <c r="L656" i="1"/>
  <c r="R655" i="1"/>
  <c r="P655" i="1"/>
  <c r="U655" i="1" s="1"/>
  <c r="O655" i="1"/>
  <c r="N655" i="1"/>
  <c r="M655" i="1"/>
  <c r="L655" i="1"/>
  <c r="N654" i="1"/>
  <c r="M654" i="1"/>
  <c r="R654" i="1" s="1"/>
  <c r="L654" i="1"/>
  <c r="W653" i="1"/>
  <c r="U653" i="1"/>
  <c r="R653" i="1"/>
  <c r="O653" i="1"/>
  <c r="T653" i="1" s="1"/>
  <c r="N653" i="1"/>
  <c r="P653" i="1" s="1"/>
  <c r="M653" i="1"/>
  <c r="L653" i="1"/>
  <c r="N652" i="1"/>
  <c r="M652" i="1"/>
  <c r="R652" i="1" s="1"/>
  <c r="L652" i="1"/>
  <c r="R651" i="1"/>
  <c r="N651" i="1"/>
  <c r="O651" i="1" s="1"/>
  <c r="M651" i="1"/>
  <c r="L651" i="1"/>
  <c r="N650" i="1"/>
  <c r="M650" i="1"/>
  <c r="R650" i="1" s="1"/>
  <c r="L650" i="1"/>
  <c r="R649" i="1"/>
  <c r="W649" i="1" s="1"/>
  <c r="P649" i="1"/>
  <c r="N649" i="1"/>
  <c r="M649" i="1"/>
  <c r="L649" i="1"/>
  <c r="W648" i="1"/>
  <c r="R648" i="1"/>
  <c r="N648" i="1"/>
  <c r="M648" i="1"/>
  <c r="L648" i="1"/>
  <c r="N647" i="1"/>
  <c r="M647" i="1"/>
  <c r="L647" i="1"/>
  <c r="P646" i="1"/>
  <c r="N646" i="1"/>
  <c r="O646" i="1" s="1"/>
  <c r="M646" i="1"/>
  <c r="R646" i="1" s="1"/>
  <c r="W646" i="1" s="1"/>
  <c r="L646" i="1"/>
  <c r="N645" i="1"/>
  <c r="M645" i="1"/>
  <c r="L645" i="1"/>
  <c r="N644" i="1"/>
  <c r="M644" i="1"/>
  <c r="R644" i="1" s="1"/>
  <c r="L644" i="1"/>
  <c r="W643" i="1"/>
  <c r="R643" i="1"/>
  <c r="P643" i="1"/>
  <c r="U643" i="1" s="1"/>
  <c r="O643" i="1"/>
  <c r="N643" i="1"/>
  <c r="M643" i="1"/>
  <c r="L643" i="1"/>
  <c r="N642" i="1"/>
  <c r="M642" i="1"/>
  <c r="L642" i="1"/>
  <c r="W641" i="1"/>
  <c r="U641" i="1"/>
  <c r="T641" i="1"/>
  <c r="R641" i="1"/>
  <c r="P641" i="1"/>
  <c r="N641" i="1"/>
  <c r="O641" i="1" s="1"/>
  <c r="M641" i="1"/>
  <c r="L641" i="1"/>
  <c r="N640" i="1"/>
  <c r="M640" i="1"/>
  <c r="L640" i="1"/>
  <c r="U639" i="1"/>
  <c r="R639" i="1"/>
  <c r="W639" i="1" s="1"/>
  <c r="P639" i="1"/>
  <c r="N639" i="1"/>
  <c r="M639" i="1"/>
  <c r="L639" i="1"/>
  <c r="O638" i="1"/>
  <c r="N638" i="1"/>
  <c r="M638" i="1"/>
  <c r="R638" i="1" s="1"/>
  <c r="L638" i="1"/>
  <c r="N637" i="1"/>
  <c r="M637" i="1"/>
  <c r="R637" i="1" s="1"/>
  <c r="L637" i="1"/>
  <c r="R636" i="1"/>
  <c r="N636" i="1"/>
  <c r="O636" i="1" s="1"/>
  <c r="M636" i="1"/>
  <c r="P636" i="1" s="1"/>
  <c r="L636" i="1"/>
  <c r="N635" i="1"/>
  <c r="M635" i="1"/>
  <c r="R635" i="1" s="1"/>
  <c r="L635" i="1"/>
  <c r="U634" i="1"/>
  <c r="N634" i="1"/>
  <c r="M634" i="1"/>
  <c r="P634" i="1" s="1"/>
  <c r="L634" i="1"/>
  <c r="P633" i="1"/>
  <c r="N633" i="1"/>
  <c r="M633" i="1"/>
  <c r="R633" i="1" s="1"/>
  <c r="W633" i="1" s="1"/>
  <c r="L633" i="1"/>
  <c r="O632" i="1"/>
  <c r="T632" i="1" s="1"/>
  <c r="N632" i="1"/>
  <c r="M632" i="1"/>
  <c r="L632" i="1"/>
  <c r="R631" i="1"/>
  <c r="N631" i="1"/>
  <c r="O631" i="1" s="1"/>
  <c r="M631" i="1"/>
  <c r="L631" i="1"/>
  <c r="U630" i="1"/>
  <c r="R630" i="1"/>
  <c r="P630" i="1"/>
  <c r="O630" i="1"/>
  <c r="N630" i="1"/>
  <c r="M630" i="1"/>
  <c r="L630" i="1"/>
  <c r="N629" i="1"/>
  <c r="M629" i="1"/>
  <c r="L629" i="1"/>
  <c r="U628" i="1"/>
  <c r="R628" i="1"/>
  <c r="W628" i="1" s="1"/>
  <c r="P628" i="1"/>
  <c r="N628" i="1"/>
  <c r="O628" i="1" s="1"/>
  <c r="T628" i="1" s="1"/>
  <c r="M628" i="1"/>
  <c r="L628" i="1"/>
  <c r="R627" i="1"/>
  <c r="P627" i="1"/>
  <c r="U627" i="1" s="1"/>
  <c r="N627" i="1"/>
  <c r="M627" i="1"/>
  <c r="L627" i="1"/>
  <c r="W627" i="1" s="1"/>
  <c r="N626" i="1"/>
  <c r="M626" i="1"/>
  <c r="R626" i="1" s="1"/>
  <c r="L626" i="1"/>
  <c r="N625" i="1"/>
  <c r="M625" i="1"/>
  <c r="L625" i="1"/>
  <c r="O624" i="1"/>
  <c r="N624" i="1"/>
  <c r="M624" i="1"/>
  <c r="R624" i="1" s="1"/>
  <c r="W624" i="1" s="1"/>
  <c r="L624" i="1"/>
  <c r="R623" i="1"/>
  <c r="W623" i="1" s="1"/>
  <c r="N623" i="1"/>
  <c r="M623" i="1"/>
  <c r="L623" i="1"/>
  <c r="N622" i="1"/>
  <c r="M622" i="1"/>
  <c r="L622" i="1"/>
  <c r="W621" i="1"/>
  <c r="T621" i="1"/>
  <c r="R621" i="1"/>
  <c r="N621" i="1"/>
  <c r="O621" i="1" s="1"/>
  <c r="M621" i="1"/>
  <c r="P621" i="1" s="1"/>
  <c r="U621" i="1" s="1"/>
  <c r="L621" i="1"/>
  <c r="R620" i="1"/>
  <c r="P620" i="1"/>
  <c r="U620" i="1" s="1"/>
  <c r="N620" i="1"/>
  <c r="M620" i="1"/>
  <c r="L620" i="1"/>
  <c r="W620" i="1" s="1"/>
  <c r="N619" i="1"/>
  <c r="M619" i="1"/>
  <c r="R619" i="1" s="1"/>
  <c r="L619" i="1"/>
  <c r="N618" i="1"/>
  <c r="M618" i="1"/>
  <c r="L618" i="1"/>
  <c r="O617" i="1"/>
  <c r="N617" i="1"/>
  <c r="M617" i="1"/>
  <c r="R617" i="1" s="1"/>
  <c r="L617" i="1"/>
  <c r="P616" i="1"/>
  <c r="U616" i="1" s="1"/>
  <c r="N616" i="1"/>
  <c r="M616" i="1"/>
  <c r="R616" i="1" s="1"/>
  <c r="W616" i="1" s="1"/>
  <c r="L616" i="1"/>
  <c r="N615" i="1"/>
  <c r="M615" i="1"/>
  <c r="L615" i="1"/>
  <c r="R614" i="1"/>
  <c r="W614" i="1" s="1"/>
  <c r="P614" i="1"/>
  <c r="U614" i="1" s="1"/>
  <c r="N614" i="1"/>
  <c r="M614" i="1"/>
  <c r="L614" i="1"/>
  <c r="R613" i="1"/>
  <c r="N613" i="1"/>
  <c r="M613" i="1"/>
  <c r="L613" i="1"/>
  <c r="W613" i="1" s="1"/>
  <c r="T612" i="1"/>
  <c r="N612" i="1"/>
  <c r="O612" i="1" s="1"/>
  <c r="M612" i="1"/>
  <c r="R612" i="1" s="1"/>
  <c r="L612" i="1"/>
  <c r="R611" i="1"/>
  <c r="N611" i="1"/>
  <c r="O611" i="1" s="1"/>
  <c r="M611" i="1"/>
  <c r="L611" i="1"/>
  <c r="W610" i="1"/>
  <c r="O610" i="1"/>
  <c r="N610" i="1"/>
  <c r="M610" i="1"/>
  <c r="R610" i="1" s="1"/>
  <c r="L610" i="1"/>
  <c r="N609" i="1"/>
  <c r="M609" i="1"/>
  <c r="L609" i="1"/>
  <c r="N608" i="1"/>
  <c r="M608" i="1"/>
  <c r="L608" i="1"/>
  <c r="R607" i="1"/>
  <c r="P607" i="1"/>
  <c r="U607" i="1" s="1"/>
  <c r="N607" i="1"/>
  <c r="O607" i="1" s="1"/>
  <c r="M607" i="1"/>
  <c r="L607" i="1"/>
  <c r="N606" i="1"/>
  <c r="M606" i="1"/>
  <c r="L606" i="1"/>
  <c r="N605" i="1"/>
  <c r="M605" i="1"/>
  <c r="R605" i="1" s="1"/>
  <c r="L605" i="1"/>
  <c r="R604" i="1"/>
  <c r="N604" i="1"/>
  <c r="M604" i="1"/>
  <c r="L604" i="1"/>
  <c r="W603" i="1"/>
  <c r="O603" i="1"/>
  <c r="N603" i="1"/>
  <c r="M603" i="1"/>
  <c r="R603" i="1" s="1"/>
  <c r="L603" i="1"/>
  <c r="O602" i="1"/>
  <c r="N602" i="1"/>
  <c r="M602" i="1"/>
  <c r="L602" i="1"/>
  <c r="R601" i="1"/>
  <c r="N601" i="1"/>
  <c r="O601" i="1" s="1"/>
  <c r="M601" i="1"/>
  <c r="L601" i="1"/>
  <c r="R600" i="1"/>
  <c r="W600" i="1" s="1"/>
  <c r="P600" i="1"/>
  <c r="U600" i="1" s="1"/>
  <c r="N600" i="1"/>
  <c r="O600" i="1" s="1"/>
  <c r="M600" i="1"/>
  <c r="L600" i="1"/>
  <c r="O599" i="1"/>
  <c r="N599" i="1"/>
  <c r="M599" i="1"/>
  <c r="L599" i="1"/>
  <c r="T598" i="1"/>
  <c r="N598" i="1"/>
  <c r="O598" i="1" s="1"/>
  <c r="M598" i="1"/>
  <c r="R598" i="1" s="1"/>
  <c r="L598" i="1"/>
  <c r="R597" i="1"/>
  <c r="N597" i="1"/>
  <c r="M597" i="1"/>
  <c r="L597" i="1"/>
  <c r="N596" i="1"/>
  <c r="O596" i="1" s="1"/>
  <c r="M596" i="1"/>
  <c r="R596" i="1" s="1"/>
  <c r="W596" i="1" s="1"/>
  <c r="L596" i="1"/>
  <c r="N595" i="1"/>
  <c r="M595" i="1"/>
  <c r="L595" i="1"/>
  <c r="N594" i="1"/>
  <c r="M594" i="1"/>
  <c r="R594" i="1" s="1"/>
  <c r="L594" i="1"/>
  <c r="R593" i="1"/>
  <c r="W593" i="1" s="1"/>
  <c r="P593" i="1"/>
  <c r="U593" i="1" s="1"/>
  <c r="N593" i="1"/>
  <c r="O593" i="1" s="1"/>
  <c r="M593" i="1"/>
  <c r="L593" i="1"/>
  <c r="N592" i="1"/>
  <c r="M592" i="1"/>
  <c r="L592" i="1"/>
  <c r="T591" i="1"/>
  <c r="N591" i="1"/>
  <c r="O591" i="1" s="1"/>
  <c r="M591" i="1"/>
  <c r="R591" i="1" s="1"/>
  <c r="W591" i="1" s="1"/>
  <c r="L591" i="1"/>
  <c r="R590" i="1"/>
  <c r="N590" i="1"/>
  <c r="M590" i="1"/>
  <c r="L590" i="1"/>
  <c r="N589" i="1"/>
  <c r="M589" i="1"/>
  <c r="R589" i="1" s="1"/>
  <c r="W589" i="1" s="1"/>
  <c r="L589" i="1"/>
  <c r="N588" i="1"/>
  <c r="M588" i="1"/>
  <c r="L588" i="1"/>
  <c r="N587" i="1"/>
  <c r="M587" i="1"/>
  <c r="R587" i="1" s="1"/>
  <c r="L587" i="1"/>
  <c r="T586" i="1"/>
  <c r="R586" i="1"/>
  <c r="W586" i="1" s="1"/>
  <c r="P586" i="1"/>
  <c r="N586" i="1"/>
  <c r="O586" i="1" s="1"/>
  <c r="M586" i="1"/>
  <c r="L586" i="1"/>
  <c r="N585" i="1"/>
  <c r="M585" i="1"/>
  <c r="L585" i="1"/>
  <c r="U584" i="1"/>
  <c r="R584" i="1"/>
  <c r="W584" i="1" s="1"/>
  <c r="N584" i="1"/>
  <c r="M584" i="1"/>
  <c r="P584" i="1" s="1"/>
  <c r="L584" i="1"/>
  <c r="R583" i="1"/>
  <c r="P583" i="1"/>
  <c r="N583" i="1"/>
  <c r="M583" i="1"/>
  <c r="L583" i="1"/>
  <c r="N582" i="1"/>
  <c r="M582" i="1"/>
  <c r="R582" i="1" s="1"/>
  <c r="L582" i="1"/>
  <c r="N581" i="1"/>
  <c r="O581" i="1" s="1"/>
  <c r="M581" i="1"/>
  <c r="L581" i="1"/>
  <c r="N580" i="1"/>
  <c r="M580" i="1"/>
  <c r="R580" i="1" s="1"/>
  <c r="L580" i="1"/>
  <c r="W579" i="1"/>
  <c r="R579" i="1"/>
  <c r="P579" i="1"/>
  <c r="U579" i="1" s="1"/>
  <c r="O579" i="1"/>
  <c r="T579" i="1" s="1"/>
  <c r="N579" i="1"/>
  <c r="M579" i="1"/>
  <c r="L579" i="1"/>
  <c r="N578" i="1"/>
  <c r="M578" i="1"/>
  <c r="L578" i="1"/>
  <c r="U577" i="1"/>
  <c r="T577" i="1"/>
  <c r="R577" i="1"/>
  <c r="P577" i="1"/>
  <c r="O577" i="1"/>
  <c r="N577" i="1"/>
  <c r="M577" i="1"/>
  <c r="L577" i="1"/>
  <c r="R576" i="1"/>
  <c r="W576" i="1" s="1"/>
  <c r="P576" i="1"/>
  <c r="N576" i="1"/>
  <c r="M576" i="1"/>
  <c r="L576" i="1"/>
  <c r="N575" i="1"/>
  <c r="M575" i="1"/>
  <c r="R575" i="1" s="1"/>
  <c r="W575" i="1" s="1"/>
  <c r="L575" i="1"/>
  <c r="R574" i="1"/>
  <c r="N574" i="1"/>
  <c r="M574" i="1"/>
  <c r="L574" i="1"/>
  <c r="N573" i="1"/>
  <c r="M573" i="1"/>
  <c r="R573" i="1" s="1"/>
  <c r="L573" i="1"/>
  <c r="R572" i="1"/>
  <c r="P572" i="1"/>
  <c r="U572" i="1" s="1"/>
  <c r="O572" i="1"/>
  <c r="N572" i="1"/>
  <c r="M572" i="1"/>
  <c r="L572" i="1"/>
  <c r="N571" i="1"/>
  <c r="M571" i="1"/>
  <c r="R571" i="1" s="1"/>
  <c r="L571" i="1"/>
  <c r="R570" i="1"/>
  <c r="W570" i="1" s="1"/>
  <c r="N570" i="1"/>
  <c r="O570" i="1" s="1"/>
  <c r="T570" i="1" s="1"/>
  <c r="M570" i="1"/>
  <c r="P570" i="1" s="1"/>
  <c r="U570" i="1" s="1"/>
  <c r="L570" i="1"/>
  <c r="O569" i="1"/>
  <c r="T569" i="1" s="1"/>
  <c r="N569" i="1"/>
  <c r="M569" i="1"/>
  <c r="R569" i="1" s="1"/>
  <c r="W569" i="1" s="1"/>
  <c r="L569" i="1"/>
  <c r="W568" i="1"/>
  <c r="N568" i="1"/>
  <c r="M568" i="1"/>
  <c r="R568" i="1" s="1"/>
  <c r="L568" i="1"/>
  <c r="N567" i="1"/>
  <c r="M567" i="1"/>
  <c r="L567" i="1"/>
  <c r="N566" i="1"/>
  <c r="M566" i="1"/>
  <c r="R566" i="1" s="1"/>
  <c r="L566" i="1"/>
  <c r="W566" i="1" s="1"/>
  <c r="W565" i="1"/>
  <c r="U565" i="1"/>
  <c r="R565" i="1"/>
  <c r="P565" i="1"/>
  <c r="O565" i="1"/>
  <c r="N565" i="1"/>
  <c r="M565" i="1"/>
  <c r="L565" i="1"/>
  <c r="N564" i="1"/>
  <c r="M564" i="1"/>
  <c r="R564" i="1" s="1"/>
  <c r="L564" i="1"/>
  <c r="R563" i="1"/>
  <c r="W563" i="1" s="1"/>
  <c r="N563" i="1"/>
  <c r="O563" i="1" s="1"/>
  <c r="T563" i="1" s="1"/>
  <c r="M563" i="1"/>
  <c r="P563" i="1" s="1"/>
  <c r="U563" i="1" s="1"/>
  <c r="L563" i="1"/>
  <c r="O562" i="1"/>
  <c r="N562" i="1"/>
  <c r="M562" i="1"/>
  <c r="R562" i="1" s="1"/>
  <c r="L562" i="1"/>
  <c r="N561" i="1"/>
  <c r="M561" i="1"/>
  <c r="L561" i="1"/>
  <c r="N560" i="1"/>
  <c r="M560" i="1"/>
  <c r="L560" i="1"/>
  <c r="N559" i="1"/>
  <c r="M559" i="1"/>
  <c r="R559" i="1" s="1"/>
  <c r="L559" i="1"/>
  <c r="R558" i="1"/>
  <c r="W558" i="1" s="1"/>
  <c r="P558" i="1"/>
  <c r="U558" i="1" s="1"/>
  <c r="N558" i="1"/>
  <c r="O558" i="1" s="1"/>
  <c r="M558" i="1"/>
  <c r="L558" i="1"/>
  <c r="U557" i="1"/>
  <c r="R557" i="1"/>
  <c r="P557" i="1"/>
  <c r="N557" i="1"/>
  <c r="M557" i="1"/>
  <c r="L557" i="1"/>
  <c r="W557" i="1" s="1"/>
  <c r="N556" i="1"/>
  <c r="M556" i="1"/>
  <c r="L556" i="1"/>
  <c r="N555" i="1"/>
  <c r="M555" i="1"/>
  <c r="L555" i="1"/>
  <c r="N554" i="1"/>
  <c r="M554" i="1"/>
  <c r="R554" i="1" s="1"/>
  <c r="L554" i="1"/>
  <c r="R553" i="1"/>
  <c r="W553" i="1" s="1"/>
  <c r="P553" i="1"/>
  <c r="U553" i="1" s="1"/>
  <c r="N553" i="1"/>
  <c r="O553" i="1" s="1"/>
  <c r="M553" i="1"/>
  <c r="L553" i="1"/>
  <c r="R552" i="1"/>
  <c r="N552" i="1"/>
  <c r="M552" i="1"/>
  <c r="L552" i="1"/>
  <c r="W552" i="1" s="1"/>
  <c r="N551" i="1"/>
  <c r="M551" i="1"/>
  <c r="L551" i="1"/>
  <c r="R550" i="1"/>
  <c r="N550" i="1"/>
  <c r="M550" i="1"/>
  <c r="L550" i="1"/>
  <c r="N549" i="1"/>
  <c r="M549" i="1"/>
  <c r="R549" i="1" s="1"/>
  <c r="L549" i="1"/>
  <c r="R548" i="1"/>
  <c r="W548" i="1" s="1"/>
  <c r="P548" i="1"/>
  <c r="U548" i="1" s="1"/>
  <c r="N548" i="1"/>
  <c r="O548" i="1" s="1"/>
  <c r="M548" i="1"/>
  <c r="L548" i="1"/>
  <c r="R547" i="1"/>
  <c r="N547" i="1"/>
  <c r="M547" i="1"/>
  <c r="L547" i="1"/>
  <c r="W547" i="1" s="1"/>
  <c r="N546" i="1"/>
  <c r="M546" i="1"/>
  <c r="L546" i="1"/>
  <c r="N545" i="1"/>
  <c r="M545" i="1"/>
  <c r="L545" i="1"/>
  <c r="N544" i="1"/>
  <c r="M544" i="1"/>
  <c r="R544" i="1" s="1"/>
  <c r="L544" i="1"/>
  <c r="R543" i="1"/>
  <c r="W543" i="1" s="1"/>
  <c r="P543" i="1"/>
  <c r="U543" i="1" s="1"/>
  <c r="N543" i="1"/>
  <c r="O543" i="1" s="1"/>
  <c r="M543" i="1"/>
  <c r="L543" i="1"/>
  <c r="R542" i="1"/>
  <c r="P542" i="1"/>
  <c r="U542" i="1" s="1"/>
  <c r="N542" i="1"/>
  <c r="M542" i="1"/>
  <c r="L542" i="1"/>
  <c r="W542" i="1" s="1"/>
  <c r="N541" i="1"/>
  <c r="M541" i="1"/>
  <c r="L541" i="1"/>
  <c r="N540" i="1"/>
  <c r="M540" i="1"/>
  <c r="L540" i="1"/>
  <c r="N539" i="1"/>
  <c r="M539" i="1"/>
  <c r="R539" i="1" s="1"/>
  <c r="L539" i="1"/>
  <c r="R538" i="1"/>
  <c r="W538" i="1" s="1"/>
  <c r="P538" i="1"/>
  <c r="U538" i="1" s="1"/>
  <c r="N538" i="1"/>
  <c r="O538" i="1" s="1"/>
  <c r="M538" i="1"/>
  <c r="L538" i="1"/>
  <c r="R537" i="1"/>
  <c r="N537" i="1"/>
  <c r="M537" i="1"/>
  <c r="L537" i="1"/>
  <c r="W537" i="1" s="1"/>
  <c r="N536" i="1"/>
  <c r="M536" i="1"/>
  <c r="L536" i="1"/>
  <c r="N535" i="1"/>
  <c r="M535" i="1"/>
  <c r="P535" i="1" s="1"/>
  <c r="L535" i="1"/>
  <c r="N534" i="1"/>
  <c r="M534" i="1"/>
  <c r="R534" i="1" s="1"/>
  <c r="L534" i="1"/>
  <c r="R533" i="1"/>
  <c r="W533" i="1" s="1"/>
  <c r="P533" i="1"/>
  <c r="U533" i="1" s="1"/>
  <c r="N533" i="1"/>
  <c r="O533" i="1" s="1"/>
  <c r="M533" i="1"/>
  <c r="L533" i="1"/>
  <c r="R532" i="1"/>
  <c r="P532" i="1"/>
  <c r="U532" i="1" s="1"/>
  <c r="N532" i="1"/>
  <c r="M532" i="1"/>
  <c r="L532" i="1"/>
  <c r="W532" i="1" s="1"/>
  <c r="N531" i="1"/>
  <c r="M531" i="1"/>
  <c r="L531" i="1"/>
  <c r="N530" i="1"/>
  <c r="M530" i="1"/>
  <c r="L530" i="1"/>
  <c r="N529" i="1"/>
  <c r="M529" i="1"/>
  <c r="R529" i="1" s="1"/>
  <c r="L529" i="1"/>
  <c r="R528" i="1"/>
  <c r="W528" i="1" s="1"/>
  <c r="P528" i="1"/>
  <c r="U528" i="1" s="1"/>
  <c r="N528" i="1"/>
  <c r="O528" i="1" s="1"/>
  <c r="M528" i="1"/>
  <c r="L528" i="1"/>
  <c r="R527" i="1"/>
  <c r="N527" i="1"/>
  <c r="M527" i="1"/>
  <c r="L527" i="1"/>
  <c r="W527" i="1" s="1"/>
  <c r="N526" i="1"/>
  <c r="M526" i="1"/>
  <c r="L526" i="1"/>
  <c r="R525" i="1"/>
  <c r="P525" i="1"/>
  <c r="N525" i="1"/>
  <c r="M525" i="1"/>
  <c r="L525" i="1"/>
  <c r="N524" i="1"/>
  <c r="M524" i="1"/>
  <c r="R524" i="1" s="1"/>
  <c r="L524" i="1"/>
  <c r="R523" i="1"/>
  <c r="W523" i="1" s="1"/>
  <c r="P523" i="1"/>
  <c r="U523" i="1" s="1"/>
  <c r="N523" i="1"/>
  <c r="O523" i="1" s="1"/>
  <c r="M523" i="1"/>
  <c r="L523" i="1"/>
  <c r="R522" i="1"/>
  <c r="P522" i="1"/>
  <c r="U522" i="1" s="1"/>
  <c r="N522" i="1"/>
  <c r="M522" i="1"/>
  <c r="L522" i="1"/>
  <c r="N521" i="1"/>
  <c r="M521" i="1"/>
  <c r="L521" i="1"/>
  <c r="R520" i="1"/>
  <c r="N520" i="1"/>
  <c r="M520" i="1"/>
  <c r="P520" i="1" s="1"/>
  <c r="L520" i="1"/>
  <c r="N519" i="1"/>
  <c r="M519" i="1"/>
  <c r="R519" i="1" s="1"/>
  <c r="L519" i="1"/>
  <c r="T518" i="1"/>
  <c r="R518" i="1"/>
  <c r="W518" i="1" s="1"/>
  <c r="P518" i="1"/>
  <c r="U518" i="1" s="1"/>
  <c r="N518" i="1"/>
  <c r="O518" i="1" s="1"/>
  <c r="M518" i="1"/>
  <c r="L518" i="1"/>
  <c r="R517" i="1"/>
  <c r="N517" i="1"/>
  <c r="M517" i="1"/>
  <c r="L517" i="1"/>
  <c r="N516" i="1"/>
  <c r="M516" i="1"/>
  <c r="L516" i="1"/>
  <c r="R515" i="1"/>
  <c r="P515" i="1"/>
  <c r="N515" i="1"/>
  <c r="M515" i="1"/>
  <c r="L515" i="1"/>
  <c r="N514" i="1"/>
  <c r="M514" i="1"/>
  <c r="R514" i="1" s="1"/>
  <c r="L514" i="1"/>
  <c r="R513" i="1"/>
  <c r="W513" i="1" s="1"/>
  <c r="P513" i="1"/>
  <c r="U513" i="1" s="1"/>
  <c r="N513" i="1"/>
  <c r="O513" i="1" s="1"/>
  <c r="M513" i="1"/>
  <c r="L513" i="1"/>
  <c r="R512" i="1"/>
  <c r="N512" i="1"/>
  <c r="M512" i="1"/>
  <c r="L512" i="1"/>
  <c r="N511" i="1"/>
  <c r="M511" i="1"/>
  <c r="L511" i="1"/>
  <c r="N510" i="1"/>
  <c r="M510" i="1"/>
  <c r="L510" i="1"/>
  <c r="N509" i="1"/>
  <c r="M509" i="1"/>
  <c r="R509" i="1" s="1"/>
  <c r="L509" i="1"/>
  <c r="U508" i="1"/>
  <c r="T508" i="1"/>
  <c r="R508" i="1"/>
  <c r="W508" i="1" s="1"/>
  <c r="P508" i="1"/>
  <c r="N508" i="1"/>
  <c r="O508" i="1" s="1"/>
  <c r="M508" i="1"/>
  <c r="L508" i="1"/>
  <c r="R507" i="1"/>
  <c r="N507" i="1"/>
  <c r="M507" i="1"/>
  <c r="L507" i="1"/>
  <c r="N506" i="1"/>
  <c r="M506" i="1"/>
  <c r="L506" i="1"/>
  <c r="P505" i="1"/>
  <c r="N505" i="1"/>
  <c r="M505" i="1"/>
  <c r="R505" i="1" s="1"/>
  <c r="L505" i="1"/>
  <c r="N504" i="1"/>
  <c r="M504" i="1"/>
  <c r="R504" i="1" s="1"/>
  <c r="L504" i="1"/>
  <c r="U503" i="1"/>
  <c r="R503" i="1"/>
  <c r="W503" i="1" s="1"/>
  <c r="P503" i="1"/>
  <c r="N503" i="1"/>
  <c r="O503" i="1" s="1"/>
  <c r="M503" i="1"/>
  <c r="L503" i="1"/>
  <c r="N502" i="1"/>
  <c r="M502" i="1"/>
  <c r="R502" i="1" s="1"/>
  <c r="L502" i="1"/>
  <c r="N501" i="1"/>
  <c r="M501" i="1"/>
  <c r="L501" i="1"/>
  <c r="N500" i="1"/>
  <c r="M500" i="1"/>
  <c r="L500" i="1"/>
  <c r="N499" i="1"/>
  <c r="M499" i="1"/>
  <c r="R499" i="1" s="1"/>
  <c r="L499" i="1"/>
  <c r="R498" i="1"/>
  <c r="W498" i="1" s="1"/>
  <c r="P498" i="1"/>
  <c r="U498" i="1" s="1"/>
  <c r="N498" i="1"/>
  <c r="O498" i="1" s="1"/>
  <c r="T498" i="1" s="1"/>
  <c r="M498" i="1"/>
  <c r="L498" i="1"/>
  <c r="N497" i="1"/>
  <c r="M497" i="1"/>
  <c r="L497" i="1"/>
  <c r="N496" i="1"/>
  <c r="M496" i="1"/>
  <c r="L496" i="1"/>
  <c r="N495" i="1"/>
  <c r="M495" i="1"/>
  <c r="R495" i="1" s="1"/>
  <c r="L495" i="1"/>
  <c r="N494" i="1"/>
  <c r="M494" i="1"/>
  <c r="R494" i="1" s="1"/>
  <c r="L494" i="1"/>
  <c r="R493" i="1"/>
  <c r="W493" i="1" s="1"/>
  <c r="P493" i="1"/>
  <c r="U493" i="1" s="1"/>
  <c r="N493" i="1"/>
  <c r="O493" i="1" s="1"/>
  <c r="M493" i="1"/>
  <c r="L493" i="1"/>
  <c r="R492" i="1"/>
  <c r="N492" i="1"/>
  <c r="M492" i="1"/>
  <c r="L492" i="1"/>
  <c r="N491" i="1"/>
  <c r="M491" i="1"/>
  <c r="L491" i="1"/>
  <c r="N490" i="1"/>
  <c r="M490" i="1"/>
  <c r="R490" i="1" s="1"/>
  <c r="L490" i="1"/>
  <c r="N489" i="1"/>
  <c r="M489" i="1"/>
  <c r="R489" i="1" s="1"/>
  <c r="L489" i="1"/>
  <c r="W488" i="1"/>
  <c r="U488" i="1"/>
  <c r="R488" i="1"/>
  <c r="P488" i="1"/>
  <c r="N488" i="1"/>
  <c r="O488" i="1" s="1"/>
  <c r="T488" i="1" s="1"/>
  <c r="M488" i="1"/>
  <c r="L488" i="1"/>
  <c r="O487" i="1"/>
  <c r="N487" i="1"/>
  <c r="M487" i="1"/>
  <c r="L487" i="1"/>
  <c r="N486" i="1"/>
  <c r="M486" i="1"/>
  <c r="L486" i="1"/>
  <c r="O485" i="1"/>
  <c r="N485" i="1"/>
  <c r="M485" i="1"/>
  <c r="R485" i="1" s="1"/>
  <c r="L485" i="1"/>
  <c r="Q484" i="1"/>
  <c r="N484" i="1"/>
  <c r="M484" i="1"/>
  <c r="R484" i="1" s="1"/>
  <c r="L484" i="1"/>
  <c r="W483" i="1"/>
  <c r="U483" i="1"/>
  <c r="T483" i="1"/>
  <c r="R483" i="1"/>
  <c r="P483" i="1"/>
  <c r="N483" i="1"/>
  <c r="O483" i="1" s="1"/>
  <c r="M483" i="1"/>
  <c r="L483" i="1"/>
  <c r="R482" i="1"/>
  <c r="N482" i="1"/>
  <c r="M482" i="1"/>
  <c r="P482" i="1" s="1"/>
  <c r="U482" i="1" s="1"/>
  <c r="L482" i="1"/>
  <c r="N481" i="1"/>
  <c r="M481" i="1"/>
  <c r="L481" i="1"/>
  <c r="O480" i="1"/>
  <c r="N480" i="1"/>
  <c r="M480" i="1"/>
  <c r="R480" i="1" s="1"/>
  <c r="L480" i="1"/>
  <c r="N479" i="1"/>
  <c r="M479" i="1"/>
  <c r="R479" i="1" s="1"/>
  <c r="L479" i="1"/>
  <c r="W478" i="1"/>
  <c r="U478" i="1"/>
  <c r="T478" i="1"/>
  <c r="R478" i="1"/>
  <c r="P478" i="1"/>
  <c r="N478" i="1"/>
  <c r="O478" i="1" s="1"/>
  <c r="M478" i="1"/>
  <c r="L478" i="1"/>
  <c r="N477" i="1"/>
  <c r="M477" i="1"/>
  <c r="R477" i="1" s="1"/>
  <c r="L477" i="1"/>
  <c r="N476" i="1"/>
  <c r="M476" i="1"/>
  <c r="L476" i="1"/>
  <c r="N475" i="1"/>
  <c r="M475" i="1"/>
  <c r="L475" i="1"/>
  <c r="N474" i="1"/>
  <c r="M474" i="1"/>
  <c r="L474" i="1"/>
  <c r="U473" i="1"/>
  <c r="T473" i="1"/>
  <c r="R473" i="1"/>
  <c r="W473" i="1" s="1"/>
  <c r="P473" i="1"/>
  <c r="N473" i="1"/>
  <c r="O473" i="1" s="1"/>
  <c r="M473" i="1"/>
  <c r="L473" i="1"/>
  <c r="N472" i="1"/>
  <c r="M472" i="1"/>
  <c r="R472" i="1" s="1"/>
  <c r="L472" i="1"/>
  <c r="N471" i="1"/>
  <c r="M471" i="1"/>
  <c r="L471" i="1"/>
  <c r="N470" i="1"/>
  <c r="M470" i="1"/>
  <c r="R470" i="1" s="1"/>
  <c r="L470" i="1"/>
  <c r="P469" i="1"/>
  <c r="N469" i="1"/>
  <c r="M469" i="1"/>
  <c r="R469" i="1" s="1"/>
  <c r="L469" i="1"/>
  <c r="W468" i="1"/>
  <c r="T468" i="1"/>
  <c r="R468" i="1"/>
  <c r="N468" i="1"/>
  <c r="O468" i="1" s="1"/>
  <c r="M468" i="1"/>
  <c r="L468" i="1"/>
  <c r="R467" i="1"/>
  <c r="P467" i="1"/>
  <c r="U467" i="1" s="1"/>
  <c r="O467" i="1"/>
  <c r="T467" i="1" s="1"/>
  <c r="N467" i="1"/>
  <c r="M467" i="1"/>
  <c r="L467" i="1"/>
  <c r="N466" i="1"/>
  <c r="M466" i="1"/>
  <c r="R466" i="1" s="1"/>
  <c r="W466" i="1" s="1"/>
  <c r="L466" i="1"/>
  <c r="N465" i="1"/>
  <c r="M465" i="1"/>
  <c r="P465" i="1" s="1"/>
  <c r="L465" i="1"/>
  <c r="N464" i="1"/>
  <c r="M464" i="1"/>
  <c r="L464" i="1"/>
  <c r="N463" i="1"/>
  <c r="M463" i="1"/>
  <c r="L463" i="1"/>
  <c r="N462" i="1"/>
  <c r="M462" i="1"/>
  <c r="R462" i="1" s="1"/>
  <c r="L462" i="1"/>
  <c r="N461" i="1"/>
  <c r="M461" i="1"/>
  <c r="R461" i="1" s="1"/>
  <c r="W461" i="1" s="1"/>
  <c r="L461" i="1"/>
  <c r="N460" i="1"/>
  <c r="M460" i="1"/>
  <c r="R460" i="1" s="1"/>
  <c r="L460" i="1"/>
  <c r="R459" i="1"/>
  <c r="P459" i="1"/>
  <c r="U459" i="1" s="1"/>
  <c r="O459" i="1"/>
  <c r="T459" i="1" s="1"/>
  <c r="N459" i="1"/>
  <c r="M459" i="1"/>
  <c r="L459" i="1"/>
  <c r="N458" i="1"/>
  <c r="M458" i="1"/>
  <c r="L458" i="1"/>
  <c r="R457" i="1"/>
  <c r="N457" i="1"/>
  <c r="O457" i="1" s="1"/>
  <c r="T457" i="1" s="1"/>
  <c r="M457" i="1"/>
  <c r="P457" i="1" s="1"/>
  <c r="U457" i="1" s="1"/>
  <c r="L457" i="1"/>
  <c r="N456" i="1"/>
  <c r="M456" i="1"/>
  <c r="L456" i="1"/>
  <c r="W455" i="1"/>
  <c r="R455" i="1"/>
  <c r="N455" i="1"/>
  <c r="O455" i="1" s="1"/>
  <c r="T455" i="1" s="1"/>
  <c r="M455" i="1"/>
  <c r="P455" i="1" s="1"/>
  <c r="U455" i="1" s="1"/>
  <c r="L455" i="1"/>
  <c r="R454" i="1"/>
  <c r="P454" i="1"/>
  <c r="U454" i="1" s="1"/>
  <c r="O454" i="1"/>
  <c r="N454" i="1"/>
  <c r="M454" i="1"/>
  <c r="L454" i="1"/>
  <c r="W453" i="1"/>
  <c r="N453" i="1"/>
  <c r="O453" i="1" s="1"/>
  <c r="M453" i="1"/>
  <c r="R453" i="1" s="1"/>
  <c r="L453" i="1"/>
  <c r="N452" i="1"/>
  <c r="O452" i="1" s="1"/>
  <c r="M452" i="1"/>
  <c r="P452" i="1" s="1"/>
  <c r="L452" i="1"/>
  <c r="N451" i="1"/>
  <c r="M451" i="1"/>
  <c r="L451" i="1"/>
  <c r="N450" i="1"/>
  <c r="M450" i="1"/>
  <c r="L450" i="1"/>
  <c r="O449" i="1"/>
  <c r="N449" i="1"/>
  <c r="M449" i="1"/>
  <c r="R449" i="1" s="1"/>
  <c r="L449" i="1"/>
  <c r="W448" i="1"/>
  <c r="R448" i="1"/>
  <c r="N448" i="1"/>
  <c r="M448" i="1"/>
  <c r="L448" i="1"/>
  <c r="Q447" i="1"/>
  <c r="N447" i="1"/>
  <c r="M447" i="1"/>
  <c r="R447" i="1" s="1"/>
  <c r="L447" i="1"/>
  <c r="W446" i="1"/>
  <c r="R446" i="1"/>
  <c r="P446" i="1"/>
  <c r="U446" i="1" s="1"/>
  <c r="N446" i="1"/>
  <c r="M446" i="1"/>
  <c r="L446" i="1"/>
  <c r="N445" i="1"/>
  <c r="M445" i="1"/>
  <c r="P445" i="1" s="1"/>
  <c r="L445" i="1"/>
  <c r="U444" i="1"/>
  <c r="R444" i="1"/>
  <c r="P444" i="1"/>
  <c r="N444" i="1"/>
  <c r="M444" i="1"/>
  <c r="L444" i="1"/>
  <c r="U443" i="1"/>
  <c r="R443" i="1"/>
  <c r="P443" i="1"/>
  <c r="N443" i="1"/>
  <c r="M443" i="1"/>
  <c r="L443" i="1"/>
  <c r="W443" i="1" s="1"/>
  <c r="R442" i="1"/>
  <c r="N442" i="1"/>
  <c r="O442" i="1" s="1"/>
  <c r="M442" i="1"/>
  <c r="P442" i="1" s="1"/>
  <c r="U442" i="1" s="1"/>
  <c r="L442" i="1"/>
  <c r="R441" i="1"/>
  <c r="W441" i="1" s="1"/>
  <c r="P441" i="1"/>
  <c r="N441" i="1"/>
  <c r="M441" i="1"/>
  <c r="L441" i="1"/>
  <c r="N440" i="1"/>
  <c r="M440" i="1"/>
  <c r="L440" i="1"/>
  <c r="R439" i="1"/>
  <c r="N439" i="1"/>
  <c r="M439" i="1"/>
  <c r="L439" i="1"/>
  <c r="N438" i="1"/>
  <c r="M438" i="1"/>
  <c r="L438" i="1"/>
  <c r="N437" i="1"/>
  <c r="M437" i="1"/>
  <c r="L437" i="1"/>
  <c r="N436" i="1"/>
  <c r="M436" i="1"/>
  <c r="R436" i="1" s="1"/>
  <c r="L436" i="1"/>
  <c r="W435" i="1"/>
  <c r="U435" i="1"/>
  <c r="R435" i="1"/>
  <c r="P435" i="1"/>
  <c r="O435" i="1"/>
  <c r="N435" i="1"/>
  <c r="M435" i="1"/>
  <c r="L435" i="1"/>
  <c r="N434" i="1"/>
  <c r="M434" i="1"/>
  <c r="R434" i="1" s="1"/>
  <c r="L434" i="1"/>
  <c r="U433" i="1"/>
  <c r="T433" i="1"/>
  <c r="R433" i="1"/>
  <c r="W433" i="1" s="1"/>
  <c r="P433" i="1"/>
  <c r="N433" i="1"/>
  <c r="O433" i="1" s="1"/>
  <c r="M433" i="1"/>
  <c r="L433" i="1"/>
  <c r="N432" i="1"/>
  <c r="M432" i="1"/>
  <c r="L432" i="1"/>
  <c r="R431" i="1"/>
  <c r="W431" i="1" s="1"/>
  <c r="N431" i="1"/>
  <c r="M431" i="1"/>
  <c r="P431" i="1" s="1"/>
  <c r="U431" i="1" s="1"/>
  <c r="L431" i="1"/>
  <c r="R430" i="1"/>
  <c r="P430" i="1"/>
  <c r="U430" i="1" s="1"/>
  <c r="O430" i="1"/>
  <c r="T430" i="1" s="1"/>
  <c r="N430" i="1"/>
  <c r="M430" i="1"/>
  <c r="L430" i="1"/>
  <c r="W430" i="1" s="1"/>
  <c r="R429" i="1"/>
  <c r="N429" i="1"/>
  <c r="M429" i="1"/>
  <c r="L429" i="1"/>
  <c r="R428" i="1"/>
  <c r="N428" i="1"/>
  <c r="O428" i="1" s="1"/>
  <c r="M428" i="1"/>
  <c r="L428" i="1"/>
  <c r="N427" i="1"/>
  <c r="M427" i="1"/>
  <c r="L427" i="1"/>
  <c r="N426" i="1"/>
  <c r="M426" i="1"/>
  <c r="P426" i="1" s="1"/>
  <c r="U426" i="1" s="1"/>
  <c r="L426" i="1"/>
  <c r="N425" i="1"/>
  <c r="M425" i="1"/>
  <c r="R425" i="1" s="1"/>
  <c r="W425" i="1" s="1"/>
  <c r="L425" i="1"/>
  <c r="N424" i="1"/>
  <c r="M424" i="1"/>
  <c r="L424" i="1"/>
  <c r="Q423" i="1"/>
  <c r="N423" i="1"/>
  <c r="M423" i="1"/>
  <c r="R423" i="1" s="1"/>
  <c r="L423" i="1"/>
  <c r="U422" i="1"/>
  <c r="R422" i="1"/>
  <c r="P422" i="1"/>
  <c r="O422" i="1"/>
  <c r="N422" i="1"/>
  <c r="M422" i="1"/>
  <c r="L422" i="1"/>
  <c r="N421" i="1"/>
  <c r="M421" i="1"/>
  <c r="L421" i="1"/>
  <c r="W420" i="1"/>
  <c r="U420" i="1"/>
  <c r="R420" i="1"/>
  <c r="P420" i="1"/>
  <c r="N420" i="1"/>
  <c r="O420" i="1" s="1"/>
  <c r="M420" i="1"/>
  <c r="L420" i="1"/>
  <c r="N419" i="1"/>
  <c r="M419" i="1"/>
  <c r="P419" i="1" s="1"/>
  <c r="L419" i="1"/>
  <c r="W418" i="1"/>
  <c r="T418" i="1"/>
  <c r="R418" i="1"/>
  <c r="N418" i="1"/>
  <c r="O418" i="1" s="1"/>
  <c r="M418" i="1"/>
  <c r="P418" i="1" s="1"/>
  <c r="L418" i="1"/>
  <c r="T417" i="1"/>
  <c r="R417" i="1"/>
  <c r="P417" i="1"/>
  <c r="U417" i="1" s="1"/>
  <c r="O417" i="1"/>
  <c r="N417" i="1"/>
  <c r="M417" i="1"/>
  <c r="L417" i="1"/>
  <c r="N416" i="1"/>
  <c r="M416" i="1"/>
  <c r="R416" i="1" s="1"/>
  <c r="W416" i="1" s="1"/>
  <c r="L416" i="1"/>
  <c r="R415" i="1"/>
  <c r="N415" i="1"/>
  <c r="M415" i="1"/>
  <c r="L415" i="1"/>
  <c r="N414" i="1"/>
  <c r="M414" i="1"/>
  <c r="L414" i="1"/>
  <c r="N413" i="1"/>
  <c r="M413" i="1"/>
  <c r="L413" i="1"/>
  <c r="N412" i="1"/>
  <c r="M412" i="1"/>
  <c r="R412" i="1" s="1"/>
  <c r="L412" i="1"/>
  <c r="W411" i="1"/>
  <c r="R411" i="1"/>
  <c r="P411" i="1"/>
  <c r="U411" i="1" s="1"/>
  <c r="O411" i="1"/>
  <c r="N411" i="1"/>
  <c r="M411" i="1"/>
  <c r="L411" i="1"/>
  <c r="N410" i="1"/>
  <c r="M410" i="1"/>
  <c r="P410" i="1" s="1"/>
  <c r="L410" i="1"/>
  <c r="N409" i="1"/>
  <c r="O409" i="1" s="1"/>
  <c r="M409" i="1"/>
  <c r="R409" i="1" s="1"/>
  <c r="W409" i="1" s="1"/>
  <c r="L409" i="1"/>
  <c r="R408" i="1"/>
  <c r="W408" i="1" s="1"/>
  <c r="Q408" i="1"/>
  <c r="V408" i="1" s="1"/>
  <c r="N408" i="1"/>
  <c r="O408" i="1" s="1"/>
  <c r="M408" i="1"/>
  <c r="L408" i="1"/>
  <c r="O407" i="1"/>
  <c r="N407" i="1"/>
  <c r="M407" i="1"/>
  <c r="R407" i="1" s="1"/>
  <c r="W407" i="1" s="1"/>
  <c r="L407" i="1"/>
  <c r="W406" i="1"/>
  <c r="U406" i="1"/>
  <c r="R406" i="1"/>
  <c r="Q406" i="1"/>
  <c r="V406" i="1" s="1"/>
  <c r="P406" i="1"/>
  <c r="O406" i="1"/>
  <c r="N406" i="1"/>
  <c r="M406" i="1"/>
  <c r="L406" i="1"/>
  <c r="R405" i="1"/>
  <c r="O405" i="1"/>
  <c r="N405" i="1"/>
  <c r="M405" i="1"/>
  <c r="P405" i="1" s="1"/>
  <c r="L405" i="1"/>
  <c r="N404" i="1"/>
  <c r="O404" i="1" s="1"/>
  <c r="T404" i="1" s="1"/>
  <c r="M404" i="1"/>
  <c r="R404" i="1" s="1"/>
  <c r="W404" i="1" s="1"/>
  <c r="L404" i="1"/>
  <c r="W403" i="1"/>
  <c r="R403" i="1"/>
  <c r="N403" i="1"/>
  <c r="M403" i="1"/>
  <c r="L403" i="1"/>
  <c r="W402" i="1"/>
  <c r="N402" i="1"/>
  <c r="M402" i="1"/>
  <c r="R402" i="1" s="1"/>
  <c r="L402" i="1"/>
  <c r="W401" i="1"/>
  <c r="R401" i="1"/>
  <c r="P401" i="1"/>
  <c r="U401" i="1" s="1"/>
  <c r="O401" i="1"/>
  <c r="N401" i="1"/>
  <c r="M401" i="1"/>
  <c r="L401" i="1"/>
  <c r="R400" i="1"/>
  <c r="N400" i="1"/>
  <c r="O400" i="1" s="1"/>
  <c r="M400" i="1"/>
  <c r="P400" i="1" s="1"/>
  <c r="L400" i="1"/>
  <c r="W400" i="1" s="1"/>
  <c r="T399" i="1"/>
  <c r="N399" i="1"/>
  <c r="O399" i="1" s="1"/>
  <c r="M399" i="1"/>
  <c r="R399" i="1" s="1"/>
  <c r="W399" i="1" s="1"/>
  <c r="L399" i="1"/>
  <c r="N398" i="1"/>
  <c r="M398" i="1"/>
  <c r="L398" i="1"/>
  <c r="W397" i="1"/>
  <c r="O397" i="1"/>
  <c r="N397" i="1"/>
  <c r="M397" i="1"/>
  <c r="R397" i="1" s="1"/>
  <c r="L397" i="1"/>
  <c r="W396" i="1"/>
  <c r="U396" i="1"/>
  <c r="R396" i="1"/>
  <c r="P396" i="1"/>
  <c r="O396" i="1"/>
  <c r="N396" i="1"/>
  <c r="M396" i="1"/>
  <c r="L396" i="1"/>
  <c r="N395" i="1"/>
  <c r="M395" i="1"/>
  <c r="L395" i="1"/>
  <c r="N394" i="1"/>
  <c r="O394" i="1" s="1"/>
  <c r="T394" i="1" s="1"/>
  <c r="M394" i="1"/>
  <c r="R394" i="1" s="1"/>
  <c r="W394" i="1" s="1"/>
  <c r="L394" i="1"/>
  <c r="N393" i="1"/>
  <c r="M393" i="1"/>
  <c r="L393" i="1"/>
  <c r="N392" i="1"/>
  <c r="M392" i="1"/>
  <c r="R392" i="1" s="1"/>
  <c r="W392" i="1" s="1"/>
  <c r="L392" i="1"/>
  <c r="W391" i="1"/>
  <c r="R391" i="1"/>
  <c r="P391" i="1"/>
  <c r="U391" i="1" s="1"/>
  <c r="O391" i="1"/>
  <c r="N391" i="1"/>
  <c r="M391" i="1"/>
  <c r="L391" i="1"/>
  <c r="N390" i="1"/>
  <c r="M390" i="1"/>
  <c r="P390" i="1" s="1"/>
  <c r="L390" i="1"/>
  <c r="N389" i="1"/>
  <c r="O389" i="1" s="1"/>
  <c r="M389" i="1"/>
  <c r="R389" i="1" s="1"/>
  <c r="W389" i="1" s="1"/>
  <c r="L389" i="1"/>
  <c r="R388" i="1"/>
  <c r="W388" i="1" s="1"/>
  <c r="Q388" i="1"/>
  <c r="V388" i="1" s="1"/>
  <c r="N388" i="1"/>
  <c r="O388" i="1" s="1"/>
  <c r="M388" i="1"/>
  <c r="L388" i="1"/>
  <c r="O387" i="1"/>
  <c r="N387" i="1"/>
  <c r="M387" i="1"/>
  <c r="R387" i="1" s="1"/>
  <c r="W387" i="1" s="1"/>
  <c r="L387" i="1"/>
  <c r="W386" i="1"/>
  <c r="U386" i="1"/>
  <c r="R386" i="1"/>
  <c r="Q386" i="1"/>
  <c r="V386" i="1" s="1"/>
  <c r="P386" i="1"/>
  <c r="O386" i="1"/>
  <c r="N386" i="1"/>
  <c r="M386" i="1"/>
  <c r="L386" i="1"/>
  <c r="R385" i="1"/>
  <c r="O385" i="1"/>
  <c r="N385" i="1"/>
  <c r="M385" i="1"/>
  <c r="P385" i="1" s="1"/>
  <c r="L385" i="1"/>
  <c r="N384" i="1"/>
  <c r="O384" i="1" s="1"/>
  <c r="T384" i="1" s="1"/>
  <c r="M384" i="1"/>
  <c r="R384" i="1" s="1"/>
  <c r="W384" i="1" s="1"/>
  <c r="L384" i="1"/>
  <c r="W383" i="1"/>
  <c r="R383" i="1"/>
  <c r="N383" i="1"/>
  <c r="M383" i="1"/>
  <c r="L383" i="1"/>
  <c r="W382" i="1"/>
  <c r="N382" i="1"/>
  <c r="M382" i="1"/>
  <c r="R382" i="1" s="1"/>
  <c r="L382" i="1"/>
  <c r="R381" i="1"/>
  <c r="W381" i="1" s="1"/>
  <c r="P381" i="1"/>
  <c r="U381" i="1" s="1"/>
  <c r="O381" i="1"/>
  <c r="N381" i="1"/>
  <c r="M381" i="1"/>
  <c r="L381" i="1"/>
  <c r="R380" i="1"/>
  <c r="N380" i="1"/>
  <c r="O380" i="1" s="1"/>
  <c r="M380" i="1"/>
  <c r="P380" i="1" s="1"/>
  <c r="L380" i="1"/>
  <c r="W380" i="1" s="1"/>
  <c r="N379" i="1"/>
  <c r="O379" i="1" s="1"/>
  <c r="T379" i="1" s="1"/>
  <c r="M379" i="1"/>
  <c r="R379" i="1" s="1"/>
  <c r="W379" i="1" s="1"/>
  <c r="L379" i="1"/>
  <c r="N378" i="1"/>
  <c r="M378" i="1"/>
  <c r="L378" i="1"/>
  <c r="N377" i="1"/>
  <c r="M377" i="1"/>
  <c r="R377" i="1" s="1"/>
  <c r="L377" i="1"/>
  <c r="W376" i="1"/>
  <c r="R376" i="1"/>
  <c r="P376" i="1"/>
  <c r="U376" i="1" s="1"/>
  <c r="O376" i="1"/>
  <c r="N376" i="1"/>
  <c r="M376" i="1"/>
  <c r="L376" i="1"/>
  <c r="R375" i="1"/>
  <c r="N375" i="1"/>
  <c r="M375" i="1"/>
  <c r="L375" i="1"/>
  <c r="T374" i="1"/>
  <c r="N374" i="1"/>
  <c r="O374" i="1" s="1"/>
  <c r="M374" i="1"/>
  <c r="R374" i="1" s="1"/>
  <c r="W374" i="1" s="1"/>
  <c r="L374" i="1"/>
  <c r="N373" i="1"/>
  <c r="M373" i="1"/>
  <c r="L373" i="1"/>
  <c r="N372" i="1"/>
  <c r="M372" i="1"/>
  <c r="R372" i="1" s="1"/>
  <c r="L372" i="1"/>
  <c r="W371" i="1"/>
  <c r="R371" i="1"/>
  <c r="P371" i="1"/>
  <c r="U371" i="1" s="1"/>
  <c r="O371" i="1"/>
  <c r="N371" i="1"/>
  <c r="M371" i="1"/>
  <c r="L371" i="1"/>
  <c r="R370" i="1"/>
  <c r="P370" i="1"/>
  <c r="N370" i="1"/>
  <c r="M370" i="1"/>
  <c r="L370" i="1"/>
  <c r="T369" i="1"/>
  <c r="N369" i="1"/>
  <c r="O369" i="1" s="1"/>
  <c r="M369" i="1"/>
  <c r="R369" i="1" s="1"/>
  <c r="W369" i="1" s="1"/>
  <c r="L369" i="1"/>
  <c r="N368" i="1"/>
  <c r="M368" i="1"/>
  <c r="L368" i="1"/>
  <c r="N367" i="1"/>
  <c r="M367" i="1"/>
  <c r="R367" i="1" s="1"/>
  <c r="L367" i="1"/>
  <c r="W366" i="1"/>
  <c r="R366" i="1"/>
  <c r="P366" i="1"/>
  <c r="U366" i="1" s="1"/>
  <c r="O366" i="1"/>
  <c r="N366" i="1"/>
  <c r="M366" i="1"/>
  <c r="L366" i="1"/>
  <c r="R365" i="1"/>
  <c r="O365" i="1"/>
  <c r="N365" i="1"/>
  <c r="M365" i="1"/>
  <c r="L365" i="1"/>
  <c r="W364" i="1"/>
  <c r="U364" i="1"/>
  <c r="R364" i="1"/>
  <c r="P364" i="1"/>
  <c r="N364" i="1"/>
  <c r="O364" i="1" s="1"/>
  <c r="T364" i="1" s="1"/>
  <c r="M364" i="1"/>
  <c r="L364" i="1"/>
  <c r="N363" i="1"/>
  <c r="M363" i="1"/>
  <c r="R363" i="1" s="1"/>
  <c r="L363" i="1"/>
  <c r="O362" i="1"/>
  <c r="N362" i="1"/>
  <c r="M362" i="1"/>
  <c r="L362" i="1"/>
  <c r="R361" i="1"/>
  <c r="W361" i="1" s="1"/>
  <c r="P361" i="1"/>
  <c r="U361" i="1" s="1"/>
  <c r="O361" i="1"/>
  <c r="N361" i="1"/>
  <c r="M361" i="1"/>
  <c r="L361" i="1"/>
  <c r="R360" i="1"/>
  <c r="Q360" i="1"/>
  <c r="P360" i="1"/>
  <c r="O360" i="1"/>
  <c r="N360" i="1"/>
  <c r="M360" i="1"/>
  <c r="L360" i="1"/>
  <c r="T359" i="1"/>
  <c r="N359" i="1"/>
  <c r="O359" i="1" s="1"/>
  <c r="M359" i="1"/>
  <c r="R359" i="1" s="1"/>
  <c r="W359" i="1" s="1"/>
  <c r="L359" i="1"/>
  <c r="W358" i="1"/>
  <c r="R358" i="1"/>
  <c r="P358" i="1"/>
  <c r="U358" i="1" s="1"/>
  <c r="O358" i="1"/>
  <c r="N358" i="1"/>
  <c r="M358" i="1"/>
  <c r="L358" i="1"/>
  <c r="N357" i="1"/>
  <c r="M357" i="1"/>
  <c r="L357" i="1"/>
  <c r="U356" i="1"/>
  <c r="T356" i="1"/>
  <c r="R356" i="1"/>
  <c r="W356" i="1" s="1"/>
  <c r="P356" i="1"/>
  <c r="O356" i="1"/>
  <c r="N356" i="1"/>
  <c r="M356" i="1"/>
  <c r="L356" i="1"/>
  <c r="N355" i="1"/>
  <c r="M355" i="1"/>
  <c r="R355" i="1" s="1"/>
  <c r="L355" i="1"/>
  <c r="N354" i="1"/>
  <c r="O354" i="1" s="1"/>
  <c r="M354" i="1"/>
  <c r="R354" i="1" s="1"/>
  <c r="W354" i="1" s="1"/>
  <c r="L354" i="1"/>
  <c r="N353" i="1"/>
  <c r="M353" i="1"/>
  <c r="R353" i="1" s="1"/>
  <c r="W353" i="1" s="1"/>
  <c r="L353" i="1"/>
  <c r="N352" i="1"/>
  <c r="M352" i="1"/>
  <c r="L352" i="1"/>
  <c r="W351" i="1"/>
  <c r="U351" i="1"/>
  <c r="T351" i="1"/>
  <c r="R351" i="1"/>
  <c r="P351" i="1"/>
  <c r="O351" i="1"/>
  <c r="N351" i="1"/>
  <c r="M351" i="1"/>
  <c r="L351" i="1"/>
  <c r="N350" i="1"/>
  <c r="M350" i="1"/>
  <c r="L350" i="1"/>
  <c r="W349" i="1"/>
  <c r="N349" i="1"/>
  <c r="O349" i="1" s="1"/>
  <c r="T349" i="1" s="1"/>
  <c r="M349" i="1"/>
  <c r="R349" i="1" s="1"/>
  <c r="L349" i="1"/>
  <c r="N348" i="1"/>
  <c r="M348" i="1"/>
  <c r="L348" i="1"/>
  <c r="N347" i="1"/>
  <c r="M347" i="1"/>
  <c r="L347" i="1"/>
  <c r="W346" i="1"/>
  <c r="R346" i="1"/>
  <c r="P346" i="1"/>
  <c r="U346" i="1" s="1"/>
  <c r="O346" i="1"/>
  <c r="T346" i="1" s="1"/>
  <c r="N346" i="1"/>
  <c r="M346" i="1"/>
  <c r="L346" i="1"/>
  <c r="R345" i="1"/>
  <c r="P345" i="1"/>
  <c r="N345" i="1"/>
  <c r="O345" i="1" s="1"/>
  <c r="M345" i="1"/>
  <c r="L345" i="1"/>
  <c r="W344" i="1"/>
  <c r="U344" i="1"/>
  <c r="R344" i="1"/>
  <c r="P344" i="1"/>
  <c r="N344" i="1"/>
  <c r="O344" i="1" s="1"/>
  <c r="T344" i="1" s="1"/>
  <c r="M344" i="1"/>
  <c r="L344" i="1"/>
  <c r="N343" i="1"/>
  <c r="M343" i="1"/>
  <c r="L343" i="1"/>
  <c r="N342" i="1"/>
  <c r="M342" i="1"/>
  <c r="L342" i="1"/>
  <c r="R341" i="1"/>
  <c r="W341" i="1" s="1"/>
  <c r="P341" i="1"/>
  <c r="U341" i="1" s="1"/>
  <c r="O341" i="1"/>
  <c r="N341" i="1"/>
  <c r="M341" i="1"/>
  <c r="L341" i="1"/>
  <c r="R340" i="1"/>
  <c r="N340" i="1"/>
  <c r="O340" i="1" s="1"/>
  <c r="M340" i="1"/>
  <c r="P340" i="1" s="1"/>
  <c r="L340" i="1"/>
  <c r="N339" i="1"/>
  <c r="O339" i="1" s="1"/>
  <c r="T339" i="1" s="1"/>
  <c r="M339" i="1"/>
  <c r="R339" i="1" s="1"/>
  <c r="W339" i="1" s="1"/>
  <c r="L339" i="1"/>
  <c r="W338" i="1"/>
  <c r="R338" i="1"/>
  <c r="Q338" i="1"/>
  <c r="V338" i="1" s="1"/>
  <c r="N338" i="1"/>
  <c r="O338" i="1" s="1"/>
  <c r="T338" i="1" s="1"/>
  <c r="M338" i="1"/>
  <c r="P338" i="1" s="1"/>
  <c r="U338" i="1" s="1"/>
  <c r="L338" i="1"/>
  <c r="O337" i="1"/>
  <c r="N337" i="1"/>
  <c r="M337" i="1"/>
  <c r="L337" i="1"/>
  <c r="W336" i="1"/>
  <c r="T336" i="1"/>
  <c r="R336" i="1"/>
  <c r="P336" i="1"/>
  <c r="U336" i="1" s="1"/>
  <c r="O336" i="1"/>
  <c r="N336" i="1"/>
  <c r="M336" i="1"/>
  <c r="L336" i="1"/>
  <c r="N335" i="1"/>
  <c r="M335" i="1"/>
  <c r="R335" i="1" s="1"/>
  <c r="L335" i="1"/>
  <c r="W334" i="1"/>
  <c r="T334" i="1"/>
  <c r="N334" i="1"/>
  <c r="O334" i="1" s="1"/>
  <c r="M334" i="1"/>
  <c r="R334" i="1" s="1"/>
  <c r="L334" i="1"/>
  <c r="N333" i="1"/>
  <c r="M333" i="1"/>
  <c r="R333" i="1" s="1"/>
  <c r="W333" i="1" s="1"/>
  <c r="L333" i="1"/>
  <c r="N332" i="1"/>
  <c r="M332" i="1"/>
  <c r="L332" i="1"/>
  <c r="W331" i="1"/>
  <c r="U331" i="1"/>
  <c r="T331" i="1"/>
  <c r="R331" i="1"/>
  <c r="P331" i="1"/>
  <c r="O331" i="1"/>
  <c r="N331" i="1"/>
  <c r="M331" i="1"/>
  <c r="L331" i="1"/>
  <c r="O330" i="1"/>
  <c r="N330" i="1"/>
  <c r="M330" i="1"/>
  <c r="L330" i="1"/>
  <c r="W329" i="1"/>
  <c r="T329" i="1"/>
  <c r="N329" i="1"/>
  <c r="O329" i="1" s="1"/>
  <c r="M329" i="1"/>
  <c r="R329" i="1" s="1"/>
  <c r="L329" i="1"/>
  <c r="O328" i="1"/>
  <c r="N328" i="1"/>
  <c r="M328" i="1"/>
  <c r="L328" i="1"/>
  <c r="N327" i="1"/>
  <c r="M327" i="1"/>
  <c r="L327" i="1"/>
  <c r="R326" i="1"/>
  <c r="W326" i="1" s="1"/>
  <c r="P326" i="1"/>
  <c r="U326" i="1" s="1"/>
  <c r="O326" i="1"/>
  <c r="T326" i="1" s="1"/>
  <c r="N326" i="1"/>
  <c r="M326" i="1"/>
  <c r="L326" i="1"/>
  <c r="R325" i="1"/>
  <c r="N325" i="1"/>
  <c r="M325" i="1"/>
  <c r="L325" i="1"/>
  <c r="N324" i="1"/>
  <c r="O324" i="1" s="1"/>
  <c r="T324" i="1" s="1"/>
  <c r="M324" i="1"/>
  <c r="R324" i="1" s="1"/>
  <c r="W324" i="1" s="1"/>
  <c r="L324" i="1"/>
  <c r="R323" i="1"/>
  <c r="N323" i="1"/>
  <c r="M323" i="1"/>
  <c r="L323" i="1"/>
  <c r="N322" i="1"/>
  <c r="M322" i="1"/>
  <c r="L322" i="1"/>
  <c r="R321" i="1"/>
  <c r="W321" i="1" s="1"/>
  <c r="P321" i="1"/>
  <c r="U321" i="1" s="1"/>
  <c r="O321" i="1"/>
  <c r="N321" i="1"/>
  <c r="M321" i="1"/>
  <c r="L321" i="1"/>
  <c r="R320" i="1"/>
  <c r="N320" i="1"/>
  <c r="O320" i="1" s="1"/>
  <c r="M320" i="1"/>
  <c r="P320" i="1" s="1"/>
  <c r="L320" i="1"/>
  <c r="R319" i="1"/>
  <c r="W319" i="1" s="1"/>
  <c r="P319" i="1"/>
  <c r="U319" i="1" s="1"/>
  <c r="N319" i="1"/>
  <c r="O319" i="1" s="1"/>
  <c r="M319" i="1"/>
  <c r="L319" i="1"/>
  <c r="N318" i="1"/>
  <c r="M318" i="1"/>
  <c r="R318" i="1" s="1"/>
  <c r="W318" i="1" s="1"/>
  <c r="L318" i="1"/>
  <c r="Q318" i="1" s="1"/>
  <c r="V318" i="1" s="1"/>
  <c r="N317" i="1"/>
  <c r="M317" i="1"/>
  <c r="L317" i="1"/>
  <c r="N316" i="1"/>
  <c r="M316" i="1"/>
  <c r="R316" i="1" s="1"/>
  <c r="W316" i="1" s="1"/>
  <c r="L316" i="1"/>
  <c r="R315" i="1"/>
  <c r="P315" i="1"/>
  <c r="U315" i="1" s="1"/>
  <c r="O315" i="1"/>
  <c r="T315" i="1" s="1"/>
  <c r="N315" i="1"/>
  <c r="M315" i="1"/>
  <c r="L315" i="1"/>
  <c r="N314" i="1"/>
  <c r="M314" i="1"/>
  <c r="L314" i="1"/>
  <c r="W313" i="1"/>
  <c r="R313" i="1"/>
  <c r="N313" i="1"/>
  <c r="O313" i="1" s="1"/>
  <c r="T313" i="1" s="1"/>
  <c r="M313" i="1"/>
  <c r="P313" i="1" s="1"/>
  <c r="U313" i="1" s="1"/>
  <c r="L313" i="1"/>
  <c r="R312" i="1"/>
  <c r="P312" i="1"/>
  <c r="N312" i="1"/>
  <c r="M312" i="1"/>
  <c r="L312" i="1"/>
  <c r="W312" i="1" s="1"/>
  <c r="N311" i="1"/>
  <c r="M311" i="1"/>
  <c r="R311" i="1" s="1"/>
  <c r="W311" i="1" s="1"/>
  <c r="L311" i="1"/>
  <c r="Q310" i="1"/>
  <c r="N310" i="1"/>
  <c r="O310" i="1" s="1"/>
  <c r="M310" i="1"/>
  <c r="L310" i="1"/>
  <c r="W309" i="1"/>
  <c r="N309" i="1"/>
  <c r="O309" i="1" s="1"/>
  <c r="M309" i="1"/>
  <c r="R309" i="1" s="1"/>
  <c r="L309" i="1"/>
  <c r="W308" i="1"/>
  <c r="R308" i="1"/>
  <c r="P308" i="1"/>
  <c r="U308" i="1" s="1"/>
  <c r="O308" i="1"/>
  <c r="T308" i="1" s="1"/>
  <c r="N308" i="1"/>
  <c r="M308" i="1"/>
  <c r="L308" i="1"/>
  <c r="N307" i="1"/>
  <c r="M307" i="1"/>
  <c r="L307" i="1"/>
  <c r="W306" i="1"/>
  <c r="R306" i="1"/>
  <c r="N306" i="1"/>
  <c r="O306" i="1" s="1"/>
  <c r="T306" i="1" s="1"/>
  <c r="M306" i="1"/>
  <c r="P306" i="1" s="1"/>
  <c r="U306" i="1" s="1"/>
  <c r="L306" i="1"/>
  <c r="R305" i="1"/>
  <c r="N305" i="1"/>
  <c r="M305" i="1"/>
  <c r="L305" i="1"/>
  <c r="N304" i="1"/>
  <c r="M304" i="1"/>
  <c r="R304" i="1" s="1"/>
  <c r="W304" i="1" s="1"/>
  <c r="L304" i="1"/>
  <c r="N303" i="1"/>
  <c r="M303" i="1"/>
  <c r="L303" i="1"/>
  <c r="W302" i="1"/>
  <c r="N302" i="1"/>
  <c r="M302" i="1"/>
  <c r="R302" i="1" s="1"/>
  <c r="L302" i="1"/>
  <c r="W301" i="1"/>
  <c r="R301" i="1"/>
  <c r="N301" i="1"/>
  <c r="M301" i="1"/>
  <c r="L301" i="1"/>
  <c r="N300" i="1"/>
  <c r="M300" i="1"/>
  <c r="L300" i="1"/>
  <c r="R299" i="1"/>
  <c r="W299" i="1" s="1"/>
  <c r="N299" i="1"/>
  <c r="M299" i="1"/>
  <c r="P299" i="1" s="1"/>
  <c r="U299" i="1" s="1"/>
  <c r="L299" i="1"/>
  <c r="R298" i="1"/>
  <c r="N298" i="1"/>
  <c r="M298" i="1"/>
  <c r="L298" i="1"/>
  <c r="W298" i="1" s="1"/>
  <c r="N297" i="1"/>
  <c r="M297" i="1"/>
  <c r="R297" i="1" s="1"/>
  <c r="W297" i="1" s="1"/>
  <c r="L297" i="1"/>
  <c r="N296" i="1"/>
  <c r="M296" i="1"/>
  <c r="L296" i="1"/>
  <c r="N295" i="1"/>
  <c r="M295" i="1"/>
  <c r="R295" i="1" s="1"/>
  <c r="L295" i="1"/>
  <c r="N294" i="1"/>
  <c r="M294" i="1"/>
  <c r="R294" i="1" s="1"/>
  <c r="W294" i="1" s="1"/>
  <c r="L294" i="1"/>
  <c r="N293" i="1"/>
  <c r="M293" i="1"/>
  <c r="L293" i="1"/>
  <c r="R292" i="1"/>
  <c r="W292" i="1" s="1"/>
  <c r="P292" i="1"/>
  <c r="U292" i="1" s="1"/>
  <c r="N292" i="1"/>
  <c r="M292" i="1"/>
  <c r="L292" i="1"/>
  <c r="R291" i="1"/>
  <c r="N291" i="1"/>
  <c r="M291" i="1"/>
  <c r="L291" i="1"/>
  <c r="W291" i="1" s="1"/>
  <c r="T290" i="1"/>
  <c r="N290" i="1"/>
  <c r="O290" i="1" s="1"/>
  <c r="M290" i="1"/>
  <c r="R290" i="1" s="1"/>
  <c r="L290" i="1"/>
  <c r="N289" i="1"/>
  <c r="M289" i="1"/>
  <c r="R289" i="1" s="1"/>
  <c r="L289" i="1"/>
  <c r="N288" i="1"/>
  <c r="M288" i="1"/>
  <c r="R288" i="1" s="1"/>
  <c r="W288" i="1" s="1"/>
  <c r="L288" i="1"/>
  <c r="N287" i="1"/>
  <c r="M287" i="1"/>
  <c r="L287" i="1"/>
  <c r="N286" i="1"/>
  <c r="M286" i="1"/>
  <c r="L286" i="1"/>
  <c r="R285" i="1"/>
  <c r="P285" i="1"/>
  <c r="U285" i="1" s="1"/>
  <c r="N285" i="1"/>
  <c r="O285" i="1" s="1"/>
  <c r="T285" i="1" s="1"/>
  <c r="M285" i="1"/>
  <c r="L285" i="1"/>
  <c r="Q284" i="1"/>
  <c r="P284" i="1"/>
  <c r="N284" i="1"/>
  <c r="M284" i="1"/>
  <c r="R284" i="1" s="1"/>
  <c r="L284" i="1"/>
  <c r="W284" i="1" s="1"/>
  <c r="N283" i="1"/>
  <c r="O283" i="1" s="1"/>
  <c r="T283" i="1" s="1"/>
  <c r="M283" i="1"/>
  <c r="R283" i="1" s="1"/>
  <c r="W283" i="1" s="1"/>
  <c r="L283" i="1"/>
  <c r="R282" i="1"/>
  <c r="N282" i="1"/>
  <c r="M282" i="1"/>
  <c r="P282" i="1" s="1"/>
  <c r="L282" i="1"/>
  <c r="N281" i="1"/>
  <c r="M281" i="1"/>
  <c r="R281" i="1" s="1"/>
  <c r="W281" i="1" s="1"/>
  <c r="L281" i="1"/>
  <c r="N280" i="1"/>
  <c r="M280" i="1"/>
  <c r="R280" i="1" s="1"/>
  <c r="L280" i="1"/>
  <c r="N279" i="1"/>
  <c r="M279" i="1"/>
  <c r="L279" i="1"/>
  <c r="T278" i="1"/>
  <c r="R278" i="1"/>
  <c r="W278" i="1" s="1"/>
  <c r="Q278" i="1"/>
  <c r="V278" i="1" s="1"/>
  <c r="P278" i="1"/>
  <c r="U278" i="1" s="1"/>
  <c r="N278" i="1"/>
  <c r="O278" i="1" s="1"/>
  <c r="M278" i="1"/>
  <c r="L278" i="1"/>
  <c r="N277" i="1"/>
  <c r="M277" i="1"/>
  <c r="R277" i="1" s="1"/>
  <c r="L277" i="1"/>
  <c r="N276" i="1"/>
  <c r="O276" i="1" s="1"/>
  <c r="T276" i="1" s="1"/>
  <c r="M276" i="1"/>
  <c r="R276" i="1" s="1"/>
  <c r="W276" i="1" s="1"/>
  <c r="L276" i="1"/>
  <c r="T275" i="1"/>
  <c r="R275" i="1"/>
  <c r="N275" i="1"/>
  <c r="O275" i="1" s="1"/>
  <c r="M275" i="1"/>
  <c r="L275" i="1"/>
  <c r="N274" i="1"/>
  <c r="M274" i="1"/>
  <c r="R274" i="1" s="1"/>
  <c r="W274" i="1" s="1"/>
  <c r="L274" i="1"/>
  <c r="N273" i="1"/>
  <c r="M273" i="1"/>
  <c r="R273" i="1" s="1"/>
  <c r="W273" i="1" s="1"/>
  <c r="L273" i="1"/>
  <c r="N272" i="1"/>
  <c r="M272" i="1"/>
  <c r="L272" i="1"/>
  <c r="R271" i="1"/>
  <c r="W271" i="1" s="1"/>
  <c r="P271" i="1"/>
  <c r="U271" i="1" s="1"/>
  <c r="N271" i="1"/>
  <c r="O271" i="1" s="1"/>
  <c r="T271" i="1" s="1"/>
  <c r="M271" i="1"/>
  <c r="L271" i="1"/>
  <c r="N270" i="1"/>
  <c r="M270" i="1"/>
  <c r="R270" i="1" s="1"/>
  <c r="L270" i="1"/>
  <c r="N269" i="1"/>
  <c r="M269" i="1"/>
  <c r="R269" i="1" s="1"/>
  <c r="W269" i="1" s="1"/>
  <c r="L269" i="1"/>
  <c r="R268" i="1"/>
  <c r="Q268" i="1"/>
  <c r="N268" i="1"/>
  <c r="M268" i="1"/>
  <c r="P268" i="1" s="1"/>
  <c r="L268" i="1"/>
  <c r="N267" i="1"/>
  <c r="M267" i="1"/>
  <c r="R267" i="1" s="1"/>
  <c r="W267" i="1" s="1"/>
  <c r="L267" i="1"/>
  <c r="N266" i="1"/>
  <c r="M266" i="1"/>
  <c r="R266" i="1" s="1"/>
  <c r="W266" i="1" s="1"/>
  <c r="L266" i="1"/>
  <c r="N265" i="1"/>
  <c r="M265" i="1"/>
  <c r="L265" i="1"/>
  <c r="T264" i="1"/>
  <c r="R264" i="1"/>
  <c r="W264" i="1" s="1"/>
  <c r="P264" i="1"/>
  <c r="U264" i="1" s="1"/>
  <c r="N264" i="1"/>
  <c r="O264" i="1" s="1"/>
  <c r="M264" i="1"/>
  <c r="L264" i="1"/>
  <c r="P263" i="1"/>
  <c r="O263" i="1"/>
  <c r="N263" i="1"/>
  <c r="M263" i="1"/>
  <c r="R263" i="1" s="1"/>
  <c r="L263" i="1"/>
  <c r="W263" i="1" s="1"/>
  <c r="W262" i="1"/>
  <c r="T262" i="1"/>
  <c r="R262" i="1"/>
  <c r="O262" i="1"/>
  <c r="N262" i="1"/>
  <c r="M262" i="1"/>
  <c r="P262" i="1" s="1"/>
  <c r="U262" i="1" s="1"/>
  <c r="L262" i="1"/>
  <c r="N261" i="1"/>
  <c r="M261" i="1"/>
  <c r="R261" i="1" s="1"/>
  <c r="L261" i="1"/>
  <c r="N260" i="1"/>
  <c r="M260" i="1"/>
  <c r="R260" i="1" s="1"/>
  <c r="L260" i="1"/>
  <c r="W259" i="1"/>
  <c r="Q259" i="1"/>
  <c r="V259" i="1" s="1"/>
  <c r="P259" i="1"/>
  <c r="U259" i="1" s="1"/>
  <c r="N259" i="1"/>
  <c r="M259" i="1"/>
  <c r="R259" i="1" s="1"/>
  <c r="L259" i="1"/>
  <c r="N258" i="1"/>
  <c r="M258" i="1"/>
  <c r="L258" i="1"/>
  <c r="R257" i="1"/>
  <c r="W257" i="1" s="1"/>
  <c r="Q257" i="1"/>
  <c r="V257" i="1" s="1"/>
  <c r="P257" i="1"/>
  <c r="U257" i="1" s="1"/>
  <c r="N257" i="1"/>
  <c r="O257" i="1" s="1"/>
  <c r="T257" i="1" s="1"/>
  <c r="M257" i="1"/>
  <c r="L257" i="1"/>
  <c r="R256" i="1"/>
  <c r="P256" i="1"/>
  <c r="O256" i="1"/>
  <c r="N256" i="1"/>
  <c r="M256" i="1"/>
  <c r="L256" i="1"/>
  <c r="N255" i="1"/>
  <c r="M255" i="1"/>
  <c r="R255" i="1" s="1"/>
  <c r="W255" i="1" s="1"/>
  <c r="L255" i="1"/>
  <c r="N254" i="1"/>
  <c r="M254" i="1"/>
  <c r="R254" i="1" s="1"/>
  <c r="L254" i="1"/>
  <c r="N253" i="1"/>
  <c r="M253" i="1"/>
  <c r="L253" i="1"/>
  <c r="R252" i="1"/>
  <c r="W252" i="1" s="1"/>
  <c r="P252" i="1"/>
  <c r="U252" i="1" s="1"/>
  <c r="N252" i="1"/>
  <c r="O252" i="1" s="1"/>
  <c r="T252" i="1" s="1"/>
  <c r="M252" i="1"/>
  <c r="L252" i="1"/>
  <c r="R251" i="1"/>
  <c r="N251" i="1"/>
  <c r="M251" i="1"/>
  <c r="L251" i="1"/>
  <c r="W250" i="1"/>
  <c r="N250" i="1"/>
  <c r="M250" i="1"/>
  <c r="R250" i="1" s="1"/>
  <c r="L250" i="1"/>
  <c r="R249" i="1"/>
  <c r="N249" i="1"/>
  <c r="O249" i="1" s="1"/>
  <c r="M249" i="1"/>
  <c r="P249" i="1" s="1"/>
  <c r="L249" i="1"/>
  <c r="N248" i="1"/>
  <c r="M248" i="1"/>
  <c r="L248" i="1"/>
  <c r="W247" i="1"/>
  <c r="R247" i="1"/>
  <c r="P247" i="1"/>
  <c r="U247" i="1" s="1"/>
  <c r="N247" i="1"/>
  <c r="O247" i="1" s="1"/>
  <c r="T247" i="1" s="1"/>
  <c r="M247" i="1"/>
  <c r="L247" i="1"/>
  <c r="R246" i="1"/>
  <c r="Q246" i="1"/>
  <c r="N246" i="1"/>
  <c r="M246" i="1"/>
  <c r="L246" i="1"/>
  <c r="W245" i="1"/>
  <c r="N245" i="1"/>
  <c r="M245" i="1"/>
  <c r="R245" i="1" s="1"/>
  <c r="L245" i="1"/>
  <c r="N244" i="1"/>
  <c r="M244" i="1"/>
  <c r="R244" i="1" s="1"/>
  <c r="L244" i="1"/>
  <c r="N243" i="1"/>
  <c r="M243" i="1"/>
  <c r="L243" i="1"/>
  <c r="W242" i="1"/>
  <c r="T242" i="1"/>
  <c r="R242" i="1"/>
  <c r="P242" i="1"/>
  <c r="U242" i="1" s="1"/>
  <c r="N242" i="1"/>
  <c r="O242" i="1" s="1"/>
  <c r="M242" i="1"/>
  <c r="L242" i="1"/>
  <c r="R241" i="1"/>
  <c r="N241" i="1"/>
  <c r="M241" i="1"/>
  <c r="L241" i="1"/>
  <c r="N240" i="1"/>
  <c r="M240" i="1"/>
  <c r="R240" i="1" s="1"/>
  <c r="W240" i="1" s="1"/>
  <c r="L240" i="1"/>
  <c r="O239" i="1"/>
  <c r="N239" i="1"/>
  <c r="M239" i="1"/>
  <c r="R239" i="1" s="1"/>
  <c r="L239" i="1"/>
  <c r="N238" i="1"/>
  <c r="M238" i="1"/>
  <c r="L238" i="1"/>
  <c r="T237" i="1"/>
  <c r="R237" i="1"/>
  <c r="W237" i="1" s="1"/>
  <c r="Q237" i="1"/>
  <c r="V237" i="1" s="1"/>
  <c r="P237" i="1"/>
  <c r="U237" i="1" s="1"/>
  <c r="N237" i="1"/>
  <c r="O237" i="1" s="1"/>
  <c r="M237" i="1"/>
  <c r="L237" i="1"/>
  <c r="O236" i="1"/>
  <c r="N236" i="1"/>
  <c r="M236" i="1"/>
  <c r="R236" i="1" s="1"/>
  <c r="L236" i="1"/>
  <c r="W235" i="1"/>
  <c r="N235" i="1"/>
  <c r="M235" i="1"/>
  <c r="R235" i="1" s="1"/>
  <c r="L235" i="1"/>
  <c r="N234" i="1"/>
  <c r="M234" i="1"/>
  <c r="R234" i="1" s="1"/>
  <c r="L234" i="1"/>
  <c r="N233" i="1"/>
  <c r="M233" i="1"/>
  <c r="L233" i="1"/>
  <c r="T232" i="1"/>
  <c r="R232" i="1"/>
  <c r="W232" i="1" s="1"/>
  <c r="Q232" i="1"/>
  <c r="V232" i="1" s="1"/>
  <c r="P232" i="1"/>
  <c r="U232" i="1" s="1"/>
  <c r="N232" i="1"/>
  <c r="O232" i="1" s="1"/>
  <c r="M232" i="1"/>
  <c r="L232" i="1"/>
  <c r="N231" i="1"/>
  <c r="M231" i="1"/>
  <c r="R231" i="1" s="1"/>
  <c r="L231" i="1"/>
  <c r="W230" i="1"/>
  <c r="N230" i="1"/>
  <c r="M230" i="1"/>
  <c r="R230" i="1" s="1"/>
  <c r="L230" i="1"/>
  <c r="N229" i="1"/>
  <c r="O229" i="1" s="1"/>
  <c r="M229" i="1"/>
  <c r="R229" i="1" s="1"/>
  <c r="L229" i="1"/>
  <c r="N228" i="1"/>
  <c r="M228" i="1"/>
  <c r="R228" i="1" s="1"/>
  <c r="L228" i="1"/>
  <c r="T227" i="1"/>
  <c r="R227" i="1"/>
  <c r="W227" i="1" s="1"/>
  <c r="Q227" i="1"/>
  <c r="V227" i="1" s="1"/>
  <c r="P227" i="1"/>
  <c r="U227" i="1" s="1"/>
  <c r="N227" i="1"/>
  <c r="O227" i="1" s="1"/>
  <c r="M227" i="1"/>
  <c r="L227" i="1"/>
  <c r="O226" i="1"/>
  <c r="N226" i="1"/>
  <c r="M226" i="1"/>
  <c r="R226" i="1" s="1"/>
  <c r="L226" i="1"/>
  <c r="W225" i="1"/>
  <c r="N225" i="1"/>
  <c r="M225" i="1"/>
  <c r="R225" i="1" s="1"/>
  <c r="L225" i="1"/>
  <c r="N224" i="1"/>
  <c r="M224" i="1"/>
  <c r="R224" i="1" s="1"/>
  <c r="W224" i="1" s="1"/>
  <c r="L224" i="1"/>
  <c r="P223" i="1"/>
  <c r="O223" i="1"/>
  <c r="N223" i="1"/>
  <c r="M223" i="1"/>
  <c r="R223" i="1" s="1"/>
  <c r="L223" i="1"/>
  <c r="W222" i="1"/>
  <c r="U222" i="1"/>
  <c r="T222" i="1"/>
  <c r="R222" i="1"/>
  <c r="P222" i="1"/>
  <c r="N222" i="1"/>
  <c r="O222" i="1" s="1"/>
  <c r="M222" i="1"/>
  <c r="L222" i="1"/>
  <c r="P221" i="1"/>
  <c r="O221" i="1"/>
  <c r="N221" i="1"/>
  <c r="M221" i="1"/>
  <c r="R221" i="1" s="1"/>
  <c r="L221" i="1"/>
  <c r="W220" i="1"/>
  <c r="N220" i="1"/>
  <c r="M220" i="1"/>
  <c r="R220" i="1" s="1"/>
  <c r="L220" i="1"/>
  <c r="R219" i="1"/>
  <c r="N219" i="1"/>
  <c r="M219" i="1"/>
  <c r="P219" i="1" s="1"/>
  <c r="L219" i="1"/>
  <c r="W219" i="1" s="1"/>
  <c r="N218" i="1"/>
  <c r="M218" i="1"/>
  <c r="R218" i="1" s="1"/>
  <c r="L218" i="1"/>
  <c r="W217" i="1"/>
  <c r="R217" i="1"/>
  <c r="P217" i="1"/>
  <c r="U217" i="1" s="1"/>
  <c r="N217" i="1"/>
  <c r="O217" i="1" s="1"/>
  <c r="T217" i="1" s="1"/>
  <c r="M217" i="1"/>
  <c r="L217" i="1"/>
  <c r="N216" i="1"/>
  <c r="O216" i="1" s="1"/>
  <c r="M216" i="1"/>
  <c r="R216" i="1" s="1"/>
  <c r="L216" i="1"/>
  <c r="W215" i="1"/>
  <c r="N215" i="1"/>
  <c r="M215" i="1"/>
  <c r="R215" i="1" s="1"/>
  <c r="L215" i="1"/>
  <c r="R214" i="1"/>
  <c r="N214" i="1"/>
  <c r="O214" i="1" s="1"/>
  <c r="M214" i="1"/>
  <c r="P214" i="1" s="1"/>
  <c r="L214" i="1"/>
  <c r="W214" i="1" s="1"/>
  <c r="P213" i="1"/>
  <c r="O213" i="1"/>
  <c r="N213" i="1"/>
  <c r="M213" i="1"/>
  <c r="R213" i="1" s="1"/>
  <c r="L213" i="1"/>
  <c r="R212" i="1"/>
  <c r="W212" i="1" s="1"/>
  <c r="P212" i="1"/>
  <c r="U212" i="1" s="1"/>
  <c r="N212" i="1"/>
  <c r="O212" i="1" s="1"/>
  <c r="T212" i="1" s="1"/>
  <c r="M212" i="1"/>
  <c r="L212" i="1"/>
  <c r="R211" i="1"/>
  <c r="Q211" i="1"/>
  <c r="P211" i="1"/>
  <c r="U211" i="1" s="1"/>
  <c r="N211" i="1"/>
  <c r="O211" i="1" s="1"/>
  <c r="M211" i="1"/>
  <c r="L211" i="1"/>
  <c r="N210" i="1"/>
  <c r="M210" i="1"/>
  <c r="L210" i="1"/>
  <c r="Q210" i="1" s="1"/>
  <c r="W209" i="1"/>
  <c r="R209" i="1"/>
  <c r="P209" i="1"/>
  <c r="U209" i="1" s="1"/>
  <c r="O209" i="1"/>
  <c r="T209" i="1" s="1"/>
  <c r="N209" i="1"/>
  <c r="M209" i="1"/>
  <c r="L209" i="1"/>
  <c r="N208" i="1"/>
  <c r="M208" i="1"/>
  <c r="R208" i="1" s="1"/>
  <c r="L208" i="1"/>
  <c r="U207" i="1"/>
  <c r="R207" i="1"/>
  <c r="W207" i="1" s="1"/>
  <c r="P207" i="1"/>
  <c r="N207" i="1"/>
  <c r="O207" i="1" s="1"/>
  <c r="T207" i="1" s="1"/>
  <c r="M207" i="1"/>
  <c r="L207" i="1"/>
  <c r="N206" i="1"/>
  <c r="M206" i="1"/>
  <c r="R206" i="1" s="1"/>
  <c r="L206" i="1"/>
  <c r="N205" i="1"/>
  <c r="M205" i="1"/>
  <c r="L205" i="1"/>
  <c r="N204" i="1"/>
  <c r="M204" i="1"/>
  <c r="R204" i="1" s="1"/>
  <c r="W204" i="1" s="1"/>
  <c r="L204" i="1"/>
  <c r="P203" i="1"/>
  <c r="O203" i="1"/>
  <c r="N203" i="1"/>
  <c r="M203" i="1"/>
  <c r="R203" i="1" s="1"/>
  <c r="L203" i="1"/>
  <c r="W202" i="1"/>
  <c r="U202" i="1"/>
  <c r="T202" i="1"/>
  <c r="R202" i="1"/>
  <c r="P202" i="1"/>
  <c r="N202" i="1"/>
  <c r="O202" i="1" s="1"/>
  <c r="M202" i="1"/>
  <c r="L202" i="1"/>
  <c r="R201" i="1"/>
  <c r="Q201" i="1"/>
  <c r="N201" i="1"/>
  <c r="M201" i="1"/>
  <c r="P201" i="1" s="1"/>
  <c r="U201" i="1" s="1"/>
  <c r="L201" i="1"/>
  <c r="N200" i="1"/>
  <c r="M200" i="1"/>
  <c r="L200" i="1"/>
  <c r="Q199" i="1"/>
  <c r="P199" i="1"/>
  <c r="N199" i="1"/>
  <c r="M199" i="1"/>
  <c r="R199" i="1" s="1"/>
  <c r="L199" i="1"/>
  <c r="U198" i="1"/>
  <c r="T198" i="1"/>
  <c r="R198" i="1"/>
  <c r="P198" i="1"/>
  <c r="O198" i="1"/>
  <c r="N198" i="1"/>
  <c r="M198" i="1"/>
  <c r="L198" i="1"/>
  <c r="R197" i="1"/>
  <c r="N197" i="1"/>
  <c r="O197" i="1" s="1"/>
  <c r="M197" i="1"/>
  <c r="P197" i="1" s="1"/>
  <c r="L197" i="1"/>
  <c r="W197" i="1" s="1"/>
  <c r="N196" i="1"/>
  <c r="O196" i="1" s="1"/>
  <c r="M196" i="1"/>
  <c r="R196" i="1" s="1"/>
  <c r="L196" i="1"/>
  <c r="N195" i="1"/>
  <c r="M195" i="1"/>
  <c r="R195" i="1" s="1"/>
  <c r="L195" i="1"/>
  <c r="N194" i="1"/>
  <c r="M194" i="1"/>
  <c r="R194" i="1" s="1"/>
  <c r="W194" i="1" s="1"/>
  <c r="L194" i="1"/>
  <c r="N193" i="1"/>
  <c r="M193" i="1"/>
  <c r="R193" i="1" s="1"/>
  <c r="L193" i="1"/>
  <c r="N192" i="1"/>
  <c r="M192" i="1"/>
  <c r="R192" i="1" s="1"/>
  <c r="L192" i="1"/>
  <c r="W192" i="1" s="1"/>
  <c r="R191" i="1"/>
  <c r="N191" i="1"/>
  <c r="M191" i="1"/>
  <c r="L191" i="1"/>
  <c r="N190" i="1"/>
  <c r="M190" i="1"/>
  <c r="R190" i="1" s="1"/>
  <c r="L190" i="1"/>
  <c r="R189" i="1"/>
  <c r="W189" i="1" s="1"/>
  <c r="Q189" i="1"/>
  <c r="V189" i="1" s="1"/>
  <c r="P189" i="1"/>
  <c r="U189" i="1" s="1"/>
  <c r="N189" i="1"/>
  <c r="O189" i="1" s="1"/>
  <c r="M189" i="1"/>
  <c r="L189" i="1"/>
  <c r="R188" i="1"/>
  <c r="N188" i="1"/>
  <c r="M188" i="1"/>
  <c r="P188" i="1" s="1"/>
  <c r="L188" i="1"/>
  <c r="U187" i="1"/>
  <c r="T187" i="1"/>
  <c r="R187" i="1"/>
  <c r="W187" i="1" s="1"/>
  <c r="P187" i="1"/>
  <c r="N187" i="1"/>
  <c r="O187" i="1" s="1"/>
  <c r="M187" i="1"/>
  <c r="L187" i="1"/>
  <c r="Q186" i="1"/>
  <c r="P186" i="1"/>
  <c r="N186" i="1"/>
  <c r="M186" i="1"/>
  <c r="R186" i="1" s="1"/>
  <c r="L186" i="1"/>
  <c r="W185" i="1"/>
  <c r="U185" i="1"/>
  <c r="R185" i="1"/>
  <c r="P185" i="1"/>
  <c r="N185" i="1"/>
  <c r="M185" i="1"/>
  <c r="L185" i="1"/>
  <c r="R184" i="1"/>
  <c r="N184" i="1"/>
  <c r="O184" i="1" s="1"/>
  <c r="M184" i="1"/>
  <c r="P184" i="1" s="1"/>
  <c r="L184" i="1"/>
  <c r="W184" i="1" s="1"/>
  <c r="N183" i="1"/>
  <c r="M183" i="1"/>
  <c r="R183" i="1" s="1"/>
  <c r="L183" i="1"/>
  <c r="N182" i="1"/>
  <c r="O182" i="1" s="1"/>
  <c r="M182" i="1"/>
  <c r="R182" i="1" s="1"/>
  <c r="L182" i="1"/>
  <c r="N181" i="1"/>
  <c r="M181" i="1"/>
  <c r="R181" i="1" s="1"/>
  <c r="L181" i="1"/>
  <c r="N180" i="1"/>
  <c r="M180" i="1"/>
  <c r="R180" i="1" s="1"/>
  <c r="L180" i="1"/>
  <c r="W180" i="1" s="1"/>
  <c r="N179" i="1"/>
  <c r="M179" i="1"/>
  <c r="R179" i="1" s="1"/>
  <c r="L179" i="1"/>
  <c r="R178" i="1"/>
  <c r="N178" i="1"/>
  <c r="M178" i="1"/>
  <c r="L178" i="1"/>
  <c r="N177" i="1"/>
  <c r="O177" i="1" s="1"/>
  <c r="M177" i="1"/>
  <c r="R177" i="1" s="1"/>
  <c r="L177" i="1"/>
  <c r="W177" i="1" s="1"/>
  <c r="R176" i="1"/>
  <c r="Q176" i="1"/>
  <c r="V176" i="1" s="1"/>
  <c r="P176" i="1"/>
  <c r="U176" i="1" s="1"/>
  <c r="N176" i="1"/>
  <c r="O176" i="1" s="1"/>
  <c r="M176" i="1"/>
  <c r="L176" i="1"/>
  <c r="P175" i="1"/>
  <c r="U175" i="1" s="1"/>
  <c r="N175" i="1"/>
  <c r="M175" i="1"/>
  <c r="R175" i="1" s="1"/>
  <c r="L175" i="1"/>
  <c r="W175" i="1" s="1"/>
  <c r="U174" i="1"/>
  <c r="R174" i="1"/>
  <c r="W174" i="1" s="1"/>
  <c r="P174" i="1"/>
  <c r="N174" i="1"/>
  <c r="O174" i="1" s="1"/>
  <c r="M174" i="1"/>
  <c r="L174" i="1"/>
  <c r="Q173" i="1"/>
  <c r="P173" i="1"/>
  <c r="U173" i="1" s="1"/>
  <c r="N173" i="1"/>
  <c r="M173" i="1"/>
  <c r="R173" i="1" s="1"/>
  <c r="L173" i="1"/>
  <c r="W172" i="1"/>
  <c r="R172" i="1"/>
  <c r="N172" i="1"/>
  <c r="M172" i="1"/>
  <c r="P172" i="1" s="1"/>
  <c r="U172" i="1" s="1"/>
  <c r="L172" i="1"/>
  <c r="Q172" i="1" s="1"/>
  <c r="V172" i="1" s="1"/>
  <c r="R171" i="1"/>
  <c r="N171" i="1"/>
  <c r="O171" i="1" s="1"/>
  <c r="M171" i="1"/>
  <c r="P171" i="1" s="1"/>
  <c r="L171" i="1"/>
  <c r="N170" i="1"/>
  <c r="M170" i="1"/>
  <c r="R170" i="1" s="1"/>
  <c r="W170" i="1" s="1"/>
  <c r="L170" i="1"/>
  <c r="N169" i="1"/>
  <c r="M169" i="1"/>
  <c r="R169" i="1" s="1"/>
  <c r="L169" i="1"/>
  <c r="W169" i="1" s="1"/>
  <c r="N168" i="1"/>
  <c r="M168" i="1"/>
  <c r="R168" i="1" s="1"/>
  <c r="L168" i="1"/>
  <c r="W167" i="1"/>
  <c r="R167" i="1"/>
  <c r="N167" i="1"/>
  <c r="M167" i="1"/>
  <c r="L167" i="1"/>
  <c r="Q166" i="1"/>
  <c r="N166" i="1"/>
  <c r="M166" i="1"/>
  <c r="R166" i="1" s="1"/>
  <c r="L166" i="1"/>
  <c r="T165" i="1"/>
  <c r="R165" i="1"/>
  <c r="W165" i="1" s="1"/>
  <c r="Q165" i="1"/>
  <c r="V165" i="1" s="1"/>
  <c r="N165" i="1"/>
  <c r="O165" i="1" s="1"/>
  <c r="M165" i="1"/>
  <c r="L165" i="1"/>
  <c r="Q164" i="1"/>
  <c r="P164" i="1"/>
  <c r="N164" i="1"/>
  <c r="M164" i="1"/>
  <c r="R164" i="1" s="1"/>
  <c r="L164" i="1"/>
  <c r="W163" i="1"/>
  <c r="R163" i="1"/>
  <c r="N163" i="1"/>
  <c r="M163" i="1"/>
  <c r="P163" i="1" s="1"/>
  <c r="U163" i="1" s="1"/>
  <c r="L163" i="1"/>
  <c r="Q163" i="1" s="1"/>
  <c r="V163" i="1" s="1"/>
  <c r="T162" i="1"/>
  <c r="O162" i="1"/>
  <c r="N162" i="1"/>
  <c r="M162" i="1"/>
  <c r="R162" i="1" s="1"/>
  <c r="L162" i="1"/>
  <c r="N161" i="1"/>
  <c r="M161" i="1"/>
  <c r="R161" i="1" s="1"/>
  <c r="L161" i="1"/>
  <c r="V160" i="1"/>
  <c r="Q160" i="1"/>
  <c r="N160" i="1"/>
  <c r="M160" i="1"/>
  <c r="R160" i="1" s="1"/>
  <c r="W160" i="1" s="1"/>
  <c r="L160" i="1"/>
  <c r="Q159" i="1"/>
  <c r="N159" i="1"/>
  <c r="M159" i="1"/>
  <c r="R159" i="1" s="1"/>
  <c r="L159" i="1"/>
  <c r="R158" i="1"/>
  <c r="W158" i="1" s="1"/>
  <c r="Q158" i="1"/>
  <c r="V158" i="1" s="1"/>
  <c r="P158" i="1"/>
  <c r="U158" i="1" s="1"/>
  <c r="N158" i="1"/>
  <c r="M158" i="1"/>
  <c r="L158" i="1"/>
  <c r="Q157" i="1"/>
  <c r="P157" i="1"/>
  <c r="N157" i="1"/>
  <c r="M157" i="1"/>
  <c r="R157" i="1" s="1"/>
  <c r="L157" i="1"/>
  <c r="W157" i="1" s="1"/>
  <c r="N156" i="1"/>
  <c r="O156" i="1" s="1"/>
  <c r="M156" i="1"/>
  <c r="R156" i="1" s="1"/>
  <c r="L156" i="1"/>
  <c r="Q156" i="1" s="1"/>
  <c r="N155" i="1"/>
  <c r="M155" i="1"/>
  <c r="R155" i="1" s="1"/>
  <c r="L155" i="1"/>
  <c r="W155" i="1" s="1"/>
  <c r="N154" i="1"/>
  <c r="M154" i="1"/>
  <c r="R154" i="1" s="1"/>
  <c r="L154" i="1"/>
  <c r="R153" i="1"/>
  <c r="W153" i="1" s="1"/>
  <c r="Q153" i="1"/>
  <c r="V153" i="1" s="1"/>
  <c r="P153" i="1"/>
  <c r="U153" i="1" s="1"/>
  <c r="N153" i="1"/>
  <c r="O153" i="1" s="1"/>
  <c r="M153" i="1"/>
  <c r="L153" i="1"/>
  <c r="Q152" i="1"/>
  <c r="P152" i="1"/>
  <c r="N152" i="1"/>
  <c r="M152" i="1"/>
  <c r="R152" i="1" s="1"/>
  <c r="L152" i="1"/>
  <c r="W152" i="1" s="1"/>
  <c r="N151" i="1"/>
  <c r="M151" i="1"/>
  <c r="R151" i="1" s="1"/>
  <c r="L151" i="1"/>
  <c r="Q151" i="1" s="1"/>
  <c r="N150" i="1"/>
  <c r="M150" i="1"/>
  <c r="R150" i="1" s="1"/>
  <c r="L150" i="1"/>
  <c r="W150" i="1" s="1"/>
  <c r="N149" i="1"/>
  <c r="M149" i="1"/>
  <c r="R149" i="1" s="1"/>
  <c r="L149" i="1"/>
  <c r="R148" i="1"/>
  <c r="W148" i="1" s="1"/>
  <c r="Q148" i="1"/>
  <c r="V148" i="1" s="1"/>
  <c r="P148" i="1"/>
  <c r="U148" i="1" s="1"/>
  <c r="N148" i="1"/>
  <c r="O148" i="1" s="1"/>
  <c r="M148" i="1"/>
  <c r="L148" i="1"/>
  <c r="Q147" i="1"/>
  <c r="P147" i="1"/>
  <c r="N147" i="1"/>
  <c r="M147" i="1"/>
  <c r="R147" i="1" s="1"/>
  <c r="L147" i="1"/>
  <c r="W147" i="1" s="1"/>
  <c r="N146" i="1"/>
  <c r="M146" i="1"/>
  <c r="R146" i="1" s="1"/>
  <c r="L146" i="1"/>
  <c r="Q146" i="1" s="1"/>
  <c r="N145" i="1"/>
  <c r="M145" i="1"/>
  <c r="R145" i="1" s="1"/>
  <c r="L145" i="1"/>
  <c r="W145" i="1" s="1"/>
  <c r="N144" i="1"/>
  <c r="M144" i="1"/>
  <c r="R144" i="1" s="1"/>
  <c r="L144" i="1"/>
  <c r="R143" i="1"/>
  <c r="W143" i="1" s="1"/>
  <c r="Q143" i="1"/>
  <c r="V143" i="1" s="1"/>
  <c r="P143" i="1"/>
  <c r="U143" i="1" s="1"/>
  <c r="N143" i="1"/>
  <c r="O143" i="1" s="1"/>
  <c r="M143" i="1"/>
  <c r="L143" i="1"/>
  <c r="Q142" i="1"/>
  <c r="P142" i="1"/>
  <c r="N142" i="1"/>
  <c r="M142" i="1"/>
  <c r="R142" i="1" s="1"/>
  <c r="L142" i="1"/>
  <c r="W142" i="1" s="1"/>
  <c r="N141" i="1"/>
  <c r="M141" i="1"/>
  <c r="R141" i="1" s="1"/>
  <c r="L141" i="1"/>
  <c r="Q141" i="1" s="1"/>
  <c r="N140" i="1"/>
  <c r="M140" i="1"/>
  <c r="R140" i="1" s="1"/>
  <c r="L140" i="1"/>
  <c r="W140" i="1" s="1"/>
  <c r="N139" i="1"/>
  <c r="M139" i="1"/>
  <c r="R139" i="1" s="1"/>
  <c r="L139" i="1"/>
  <c r="R138" i="1"/>
  <c r="W138" i="1" s="1"/>
  <c r="Q138" i="1"/>
  <c r="V138" i="1" s="1"/>
  <c r="P138" i="1"/>
  <c r="U138" i="1" s="1"/>
  <c r="N138" i="1"/>
  <c r="O138" i="1" s="1"/>
  <c r="M138" i="1"/>
  <c r="L138" i="1"/>
  <c r="Q137" i="1"/>
  <c r="P137" i="1"/>
  <c r="N137" i="1"/>
  <c r="M137" i="1"/>
  <c r="R137" i="1" s="1"/>
  <c r="L137" i="1"/>
  <c r="W137" i="1" s="1"/>
  <c r="N136" i="1"/>
  <c r="M136" i="1"/>
  <c r="R136" i="1" s="1"/>
  <c r="L136" i="1"/>
  <c r="Q136" i="1" s="1"/>
  <c r="N135" i="1"/>
  <c r="M135" i="1"/>
  <c r="R135" i="1" s="1"/>
  <c r="L135" i="1"/>
  <c r="W135" i="1" s="1"/>
  <c r="N134" i="1"/>
  <c r="M134" i="1"/>
  <c r="R134" i="1" s="1"/>
  <c r="L134" i="1"/>
  <c r="R133" i="1"/>
  <c r="W133" i="1" s="1"/>
  <c r="Q133" i="1"/>
  <c r="V133" i="1" s="1"/>
  <c r="P133" i="1"/>
  <c r="U133" i="1" s="1"/>
  <c r="N133" i="1"/>
  <c r="O133" i="1" s="1"/>
  <c r="M133" i="1"/>
  <c r="L133" i="1"/>
  <c r="Q132" i="1"/>
  <c r="P132" i="1"/>
  <c r="N132" i="1"/>
  <c r="M132" i="1"/>
  <c r="R132" i="1" s="1"/>
  <c r="L132" i="1"/>
  <c r="W132" i="1" s="1"/>
  <c r="N131" i="1"/>
  <c r="M131" i="1"/>
  <c r="R131" i="1" s="1"/>
  <c r="L131" i="1"/>
  <c r="Q131" i="1" s="1"/>
  <c r="N130" i="1"/>
  <c r="M130" i="1"/>
  <c r="R130" i="1" s="1"/>
  <c r="L130" i="1"/>
  <c r="W130" i="1" s="1"/>
  <c r="N129" i="1"/>
  <c r="M129" i="1"/>
  <c r="R129" i="1" s="1"/>
  <c r="L129" i="1"/>
  <c r="R128" i="1"/>
  <c r="W128" i="1" s="1"/>
  <c r="Q128" i="1"/>
  <c r="V128" i="1" s="1"/>
  <c r="P128" i="1"/>
  <c r="U128" i="1" s="1"/>
  <c r="N128" i="1"/>
  <c r="O128" i="1" s="1"/>
  <c r="M128" i="1"/>
  <c r="L128" i="1"/>
  <c r="Q127" i="1"/>
  <c r="P127" i="1"/>
  <c r="N127" i="1"/>
  <c r="M127" i="1"/>
  <c r="R127" i="1" s="1"/>
  <c r="L127" i="1"/>
  <c r="W127" i="1" s="1"/>
  <c r="N126" i="1"/>
  <c r="M126" i="1"/>
  <c r="R126" i="1" s="1"/>
  <c r="L126" i="1"/>
  <c r="Q126" i="1" s="1"/>
  <c r="N125" i="1"/>
  <c r="M125" i="1"/>
  <c r="R125" i="1" s="1"/>
  <c r="L125" i="1"/>
  <c r="W125" i="1" s="1"/>
  <c r="N124" i="1"/>
  <c r="M124" i="1"/>
  <c r="R124" i="1" s="1"/>
  <c r="L124" i="1"/>
  <c r="R123" i="1"/>
  <c r="W123" i="1" s="1"/>
  <c r="Q123" i="1"/>
  <c r="V123" i="1" s="1"/>
  <c r="P123" i="1"/>
  <c r="U123" i="1" s="1"/>
  <c r="N123" i="1"/>
  <c r="O123" i="1" s="1"/>
  <c r="M123" i="1"/>
  <c r="L123" i="1"/>
  <c r="Q122" i="1"/>
  <c r="P122" i="1"/>
  <c r="N122" i="1"/>
  <c r="M122" i="1"/>
  <c r="R122" i="1" s="1"/>
  <c r="L122" i="1"/>
  <c r="W122" i="1" s="1"/>
  <c r="N121" i="1"/>
  <c r="M121" i="1"/>
  <c r="R121" i="1" s="1"/>
  <c r="L121" i="1"/>
  <c r="Q121" i="1" s="1"/>
  <c r="N120" i="1"/>
  <c r="M120" i="1"/>
  <c r="R120" i="1" s="1"/>
  <c r="L120" i="1"/>
  <c r="W120" i="1" s="1"/>
  <c r="N119" i="1"/>
  <c r="M119" i="1"/>
  <c r="R119" i="1" s="1"/>
  <c r="L119" i="1"/>
  <c r="R118" i="1"/>
  <c r="W118" i="1" s="1"/>
  <c r="Q118" i="1"/>
  <c r="V118" i="1" s="1"/>
  <c r="P118" i="1"/>
  <c r="U118" i="1" s="1"/>
  <c r="N118" i="1"/>
  <c r="O118" i="1" s="1"/>
  <c r="M118" i="1"/>
  <c r="L118" i="1"/>
  <c r="Q117" i="1"/>
  <c r="P117" i="1"/>
  <c r="N117" i="1"/>
  <c r="M117" i="1"/>
  <c r="R117" i="1" s="1"/>
  <c r="L117" i="1"/>
  <c r="W117" i="1" s="1"/>
  <c r="N116" i="1"/>
  <c r="M116" i="1"/>
  <c r="R116" i="1" s="1"/>
  <c r="L116" i="1"/>
  <c r="Q116" i="1" s="1"/>
  <c r="N115" i="1"/>
  <c r="M115" i="1"/>
  <c r="R115" i="1" s="1"/>
  <c r="L115" i="1"/>
  <c r="W115" i="1" s="1"/>
  <c r="N114" i="1"/>
  <c r="M114" i="1"/>
  <c r="R114" i="1" s="1"/>
  <c r="L114" i="1"/>
  <c r="R113" i="1"/>
  <c r="W113" i="1" s="1"/>
  <c r="Q113" i="1"/>
  <c r="V113" i="1" s="1"/>
  <c r="P113" i="1"/>
  <c r="U113" i="1" s="1"/>
  <c r="N113" i="1"/>
  <c r="O113" i="1" s="1"/>
  <c r="M113" i="1"/>
  <c r="L113" i="1"/>
  <c r="Q112" i="1"/>
  <c r="P112" i="1"/>
  <c r="N112" i="1"/>
  <c r="M112" i="1"/>
  <c r="R112" i="1" s="1"/>
  <c r="L112" i="1"/>
  <c r="W112" i="1" s="1"/>
  <c r="N111" i="1"/>
  <c r="M111" i="1"/>
  <c r="R111" i="1" s="1"/>
  <c r="L111" i="1"/>
  <c r="Q111" i="1" s="1"/>
  <c r="N110" i="1"/>
  <c r="M110" i="1"/>
  <c r="R110" i="1" s="1"/>
  <c r="L110" i="1"/>
  <c r="W110" i="1" s="1"/>
  <c r="N109" i="1"/>
  <c r="M109" i="1"/>
  <c r="R109" i="1" s="1"/>
  <c r="L109" i="1"/>
  <c r="R108" i="1"/>
  <c r="W108" i="1" s="1"/>
  <c r="Q108" i="1"/>
  <c r="V108" i="1" s="1"/>
  <c r="P108" i="1"/>
  <c r="U108" i="1" s="1"/>
  <c r="N108" i="1"/>
  <c r="O108" i="1" s="1"/>
  <c r="M108" i="1"/>
  <c r="L108" i="1"/>
  <c r="Q107" i="1"/>
  <c r="P107" i="1"/>
  <c r="N107" i="1"/>
  <c r="M107" i="1"/>
  <c r="R107" i="1" s="1"/>
  <c r="L107" i="1"/>
  <c r="W107" i="1" s="1"/>
  <c r="N106" i="1"/>
  <c r="M106" i="1"/>
  <c r="R106" i="1" s="1"/>
  <c r="L106" i="1"/>
  <c r="Q106" i="1" s="1"/>
  <c r="N105" i="1"/>
  <c r="M105" i="1"/>
  <c r="R105" i="1" s="1"/>
  <c r="L105" i="1"/>
  <c r="W105" i="1" s="1"/>
  <c r="N104" i="1"/>
  <c r="M104" i="1"/>
  <c r="R104" i="1" s="1"/>
  <c r="L104" i="1"/>
  <c r="R103" i="1"/>
  <c r="W103" i="1" s="1"/>
  <c r="Q103" i="1"/>
  <c r="V103" i="1" s="1"/>
  <c r="P103" i="1"/>
  <c r="U103" i="1" s="1"/>
  <c r="N103" i="1"/>
  <c r="O103" i="1" s="1"/>
  <c r="M103" i="1"/>
  <c r="L103" i="1"/>
  <c r="Q102" i="1"/>
  <c r="P102" i="1"/>
  <c r="N102" i="1"/>
  <c r="M102" i="1"/>
  <c r="R102" i="1" s="1"/>
  <c r="L102" i="1"/>
  <c r="W102" i="1" s="1"/>
  <c r="N101" i="1"/>
  <c r="M101" i="1"/>
  <c r="R101" i="1" s="1"/>
  <c r="L101" i="1"/>
  <c r="Q101" i="1" s="1"/>
  <c r="N100" i="1"/>
  <c r="M100" i="1"/>
  <c r="R100" i="1" s="1"/>
  <c r="L100" i="1"/>
  <c r="W100" i="1" s="1"/>
  <c r="N99" i="1"/>
  <c r="M99" i="1"/>
  <c r="R99" i="1" s="1"/>
  <c r="L99" i="1"/>
  <c r="W99" i="1" s="1"/>
  <c r="R98" i="1"/>
  <c r="W98" i="1" s="1"/>
  <c r="Q98" i="1"/>
  <c r="V98" i="1" s="1"/>
  <c r="P98" i="1"/>
  <c r="U98" i="1" s="1"/>
  <c r="N98" i="1"/>
  <c r="O98" i="1" s="1"/>
  <c r="M98" i="1"/>
  <c r="L98" i="1"/>
  <c r="Q97" i="1"/>
  <c r="P97" i="1"/>
  <c r="N97" i="1"/>
  <c r="M97" i="1"/>
  <c r="R97" i="1" s="1"/>
  <c r="L97" i="1"/>
  <c r="W97" i="1" s="1"/>
  <c r="N96" i="1"/>
  <c r="M96" i="1"/>
  <c r="R96" i="1" s="1"/>
  <c r="L96" i="1"/>
  <c r="Q96" i="1" s="1"/>
  <c r="N95" i="1"/>
  <c r="M95" i="1"/>
  <c r="R95" i="1" s="1"/>
  <c r="L95" i="1"/>
  <c r="W95" i="1" s="1"/>
  <c r="N94" i="1"/>
  <c r="M94" i="1"/>
  <c r="R94" i="1" s="1"/>
  <c r="L94" i="1"/>
  <c r="W94" i="1" s="1"/>
  <c r="R93" i="1"/>
  <c r="W93" i="1" s="1"/>
  <c r="Q93" i="1"/>
  <c r="V93" i="1" s="1"/>
  <c r="P93" i="1"/>
  <c r="U93" i="1" s="1"/>
  <c r="N93" i="1"/>
  <c r="O93" i="1" s="1"/>
  <c r="M93" i="1"/>
  <c r="L93" i="1"/>
  <c r="Q92" i="1"/>
  <c r="P92" i="1"/>
  <c r="N92" i="1"/>
  <c r="M92" i="1"/>
  <c r="R92" i="1" s="1"/>
  <c r="L92" i="1"/>
  <c r="W92" i="1" s="1"/>
  <c r="N91" i="1"/>
  <c r="M91" i="1"/>
  <c r="R91" i="1" s="1"/>
  <c r="L91" i="1"/>
  <c r="Q91" i="1" s="1"/>
  <c r="N90" i="1"/>
  <c r="M90" i="1"/>
  <c r="R90" i="1" s="1"/>
  <c r="L90" i="1"/>
  <c r="W90" i="1" s="1"/>
  <c r="N89" i="1"/>
  <c r="M89" i="1"/>
  <c r="R89" i="1" s="1"/>
  <c r="L89" i="1"/>
  <c r="W89" i="1" s="1"/>
  <c r="R88" i="1"/>
  <c r="W88" i="1" s="1"/>
  <c r="Q88" i="1"/>
  <c r="V88" i="1" s="1"/>
  <c r="P88" i="1"/>
  <c r="U88" i="1" s="1"/>
  <c r="N88" i="1"/>
  <c r="O88" i="1" s="1"/>
  <c r="M88" i="1"/>
  <c r="L88" i="1"/>
  <c r="Q87" i="1"/>
  <c r="P87" i="1"/>
  <c r="N87" i="1"/>
  <c r="M87" i="1"/>
  <c r="R87" i="1" s="1"/>
  <c r="L87" i="1"/>
  <c r="W87" i="1" s="1"/>
  <c r="N86" i="1"/>
  <c r="M86" i="1"/>
  <c r="R86" i="1" s="1"/>
  <c r="L86" i="1"/>
  <c r="Q86" i="1" s="1"/>
  <c r="N85" i="1"/>
  <c r="M85" i="1"/>
  <c r="R85" i="1" s="1"/>
  <c r="L85" i="1"/>
  <c r="W85" i="1" s="1"/>
  <c r="N84" i="1"/>
  <c r="M84" i="1"/>
  <c r="R84" i="1" s="1"/>
  <c r="L84" i="1"/>
  <c r="W84" i="1" s="1"/>
  <c r="R83" i="1"/>
  <c r="W83" i="1" s="1"/>
  <c r="Q83" i="1"/>
  <c r="V83" i="1" s="1"/>
  <c r="P83" i="1"/>
  <c r="U83" i="1" s="1"/>
  <c r="N83" i="1"/>
  <c r="O83" i="1" s="1"/>
  <c r="M83" i="1"/>
  <c r="L83" i="1"/>
  <c r="Q82" i="1"/>
  <c r="P82" i="1"/>
  <c r="N82" i="1"/>
  <c r="M82" i="1"/>
  <c r="R82" i="1" s="1"/>
  <c r="L82" i="1"/>
  <c r="W82" i="1" s="1"/>
  <c r="N81" i="1"/>
  <c r="M81" i="1"/>
  <c r="R81" i="1" s="1"/>
  <c r="L81" i="1"/>
  <c r="Q81" i="1" s="1"/>
  <c r="N80" i="1"/>
  <c r="M80" i="1"/>
  <c r="R80" i="1" s="1"/>
  <c r="L80" i="1"/>
  <c r="W80" i="1" s="1"/>
  <c r="N79" i="1"/>
  <c r="M79" i="1"/>
  <c r="R79" i="1" s="1"/>
  <c r="L79" i="1"/>
  <c r="W79" i="1" s="1"/>
  <c r="R78" i="1"/>
  <c r="W78" i="1" s="1"/>
  <c r="Q78" i="1"/>
  <c r="V78" i="1" s="1"/>
  <c r="P78" i="1"/>
  <c r="U78" i="1" s="1"/>
  <c r="N78" i="1"/>
  <c r="O78" i="1" s="1"/>
  <c r="M78" i="1"/>
  <c r="L78" i="1"/>
  <c r="Q77" i="1"/>
  <c r="P77" i="1"/>
  <c r="N77" i="1"/>
  <c r="M77" i="1"/>
  <c r="R77" i="1" s="1"/>
  <c r="L77" i="1"/>
  <c r="W77" i="1" s="1"/>
  <c r="N76" i="1"/>
  <c r="M76" i="1"/>
  <c r="R76" i="1" s="1"/>
  <c r="L76" i="1"/>
  <c r="Q76" i="1" s="1"/>
  <c r="N75" i="1"/>
  <c r="M75" i="1"/>
  <c r="R75" i="1" s="1"/>
  <c r="L75" i="1"/>
  <c r="W75" i="1" s="1"/>
  <c r="N74" i="1"/>
  <c r="M74" i="1"/>
  <c r="R74" i="1" s="1"/>
  <c r="L74" i="1"/>
  <c r="W74" i="1" s="1"/>
  <c r="R73" i="1"/>
  <c r="Q73" i="1"/>
  <c r="V73" i="1" s="1"/>
  <c r="P73" i="1"/>
  <c r="U73" i="1" s="1"/>
  <c r="N73" i="1"/>
  <c r="O73" i="1" s="1"/>
  <c r="M73" i="1"/>
  <c r="L73" i="1"/>
  <c r="W73" i="1" s="1"/>
  <c r="Q72" i="1"/>
  <c r="P72" i="1"/>
  <c r="N72" i="1"/>
  <c r="M72" i="1"/>
  <c r="R72" i="1" s="1"/>
  <c r="L72" i="1"/>
  <c r="W72" i="1" s="1"/>
  <c r="N71" i="1"/>
  <c r="M71" i="1"/>
  <c r="R71" i="1" s="1"/>
  <c r="L71" i="1"/>
  <c r="Q71" i="1" s="1"/>
  <c r="N70" i="1"/>
  <c r="M70" i="1"/>
  <c r="R70" i="1" s="1"/>
  <c r="L70" i="1"/>
  <c r="W70" i="1" s="1"/>
  <c r="N69" i="1"/>
  <c r="M69" i="1"/>
  <c r="R69" i="1" s="1"/>
  <c r="L69" i="1"/>
  <c r="W69" i="1" s="1"/>
  <c r="R68" i="1"/>
  <c r="Q68" i="1"/>
  <c r="V68" i="1" s="1"/>
  <c r="P68" i="1"/>
  <c r="U68" i="1" s="1"/>
  <c r="N68" i="1"/>
  <c r="O68" i="1" s="1"/>
  <c r="M68" i="1"/>
  <c r="L68" i="1"/>
  <c r="W68" i="1" s="1"/>
  <c r="Q67" i="1"/>
  <c r="P67" i="1"/>
  <c r="N67" i="1"/>
  <c r="M67" i="1"/>
  <c r="R67" i="1" s="1"/>
  <c r="L67" i="1"/>
  <c r="W67" i="1" s="1"/>
  <c r="N66" i="1"/>
  <c r="M66" i="1"/>
  <c r="R66" i="1" s="1"/>
  <c r="L66" i="1"/>
  <c r="Q66" i="1" s="1"/>
  <c r="N65" i="1"/>
  <c r="M65" i="1"/>
  <c r="R65" i="1" s="1"/>
  <c r="L65" i="1"/>
  <c r="W65" i="1" s="1"/>
  <c r="N64" i="1"/>
  <c r="M64" i="1"/>
  <c r="R64" i="1" s="1"/>
  <c r="L64" i="1"/>
  <c r="W64" i="1" s="1"/>
  <c r="R63" i="1"/>
  <c r="Q63" i="1"/>
  <c r="V63" i="1" s="1"/>
  <c r="P63" i="1"/>
  <c r="U63" i="1" s="1"/>
  <c r="N63" i="1"/>
  <c r="O63" i="1" s="1"/>
  <c r="M63" i="1"/>
  <c r="L63" i="1"/>
  <c r="W63" i="1" s="1"/>
  <c r="Q62" i="1"/>
  <c r="P62" i="1"/>
  <c r="N62" i="1"/>
  <c r="M62" i="1"/>
  <c r="R62" i="1" s="1"/>
  <c r="L62" i="1"/>
  <c r="W62" i="1" s="1"/>
  <c r="R61" i="1"/>
  <c r="N61" i="1"/>
  <c r="M61" i="1"/>
  <c r="L61" i="1"/>
  <c r="Q61" i="1" s="1"/>
  <c r="N60" i="1"/>
  <c r="M60" i="1"/>
  <c r="R60" i="1" s="1"/>
  <c r="L60" i="1"/>
  <c r="N59" i="1"/>
  <c r="M59" i="1"/>
  <c r="R59" i="1" s="1"/>
  <c r="L59" i="1"/>
  <c r="R58" i="1"/>
  <c r="Q58" i="1"/>
  <c r="V58" i="1" s="1"/>
  <c r="P58" i="1"/>
  <c r="U58" i="1" s="1"/>
  <c r="N58" i="1"/>
  <c r="O58" i="1" s="1"/>
  <c r="M58" i="1"/>
  <c r="L58" i="1"/>
  <c r="W58" i="1" s="1"/>
  <c r="Q57" i="1"/>
  <c r="P57" i="1"/>
  <c r="N57" i="1"/>
  <c r="M57" i="1"/>
  <c r="R57" i="1" s="1"/>
  <c r="L57" i="1"/>
  <c r="W57" i="1" s="1"/>
  <c r="R56" i="1"/>
  <c r="N56" i="1"/>
  <c r="M56" i="1"/>
  <c r="L56" i="1"/>
  <c r="Q56" i="1" s="1"/>
  <c r="N55" i="1"/>
  <c r="M55" i="1"/>
  <c r="R55" i="1" s="1"/>
  <c r="L55" i="1"/>
  <c r="W55" i="1" s="1"/>
  <c r="N54" i="1"/>
  <c r="M54" i="1"/>
  <c r="R54" i="1" s="1"/>
  <c r="L54" i="1"/>
  <c r="W54" i="1" s="1"/>
  <c r="R53" i="1"/>
  <c r="Q53" i="1"/>
  <c r="V53" i="1" s="1"/>
  <c r="P53" i="1"/>
  <c r="U53" i="1" s="1"/>
  <c r="N53" i="1"/>
  <c r="O53" i="1" s="1"/>
  <c r="M53" i="1"/>
  <c r="L53" i="1"/>
  <c r="W53" i="1" s="1"/>
  <c r="Q52" i="1"/>
  <c r="P52" i="1"/>
  <c r="N52" i="1"/>
  <c r="M52" i="1"/>
  <c r="R52" i="1" s="1"/>
  <c r="L52" i="1"/>
  <c r="R51" i="1"/>
  <c r="N51" i="1"/>
  <c r="M51" i="1"/>
  <c r="L51" i="1"/>
  <c r="Q51" i="1" s="1"/>
  <c r="N50" i="1"/>
  <c r="M50" i="1"/>
  <c r="R50" i="1" s="1"/>
  <c r="L50" i="1"/>
  <c r="W50" i="1" s="1"/>
  <c r="N49" i="1"/>
  <c r="M49" i="1"/>
  <c r="R49" i="1" s="1"/>
  <c r="L49" i="1"/>
  <c r="R48" i="1"/>
  <c r="Q48" i="1"/>
  <c r="V48" i="1" s="1"/>
  <c r="P48" i="1"/>
  <c r="U48" i="1" s="1"/>
  <c r="N48" i="1"/>
  <c r="O48" i="1" s="1"/>
  <c r="M48" i="1"/>
  <c r="L48" i="1"/>
  <c r="W48" i="1" s="1"/>
  <c r="Q47" i="1"/>
  <c r="P47" i="1"/>
  <c r="N47" i="1"/>
  <c r="M47" i="1"/>
  <c r="R47" i="1" s="1"/>
  <c r="L47" i="1"/>
  <c r="W47" i="1" s="1"/>
  <c r="R46" i="1"/>
  <c r="N46" i="1"/>
  <c r="M46" i="1"/>
  <c r="L46" i="1"/>
  <c r="Q46" i="1" s="1"/>
  <c r="N45" i="1"/>
  <c r="M45" i="1"/>
  <c r="R45" i="1" s="1"/>
  <c r="L45" i="1"/>
  <c r="N44" i="1"/>
  <c r="M44" i="1"/>
  <c r="R44" i="1" s="1"/>
  <c r="L44" i="1"/>
  <c r="R43" i="1"/>
  <c r="Q43" i="1"/>
  <c r="V43" i="1" s="1"/>
  <c r="P43" i="1"/>
  <c r="U43" i="1" s="1"/>
  <c r="N43" i="1"/>
  <c r="O43" i="1" s="1"/>
  <c r="M43" i="1"/>
  <c r="L43" i="1"/>
  <c r="W43" i="1" s="1"/>
  <c r="Q42" i="1"/>
  <c r="P42" i="1"/>
  <c r="N42" i="1"/>
  <c r="M42" i="1"/>
  <c r="R42" i="1" s="1"/>
  <c r="L42" i="1"/>
  <c r="N41" i="1"/>
  <c r="M41" i="1"/>
  <c r="R41" i="1" s="1"/>
  <c r="L41" i="1"/>
  <c r="Q41" i="1" s="1"/>
  <c r="N40" i="1"/>
  <c r="M40" i="1"/>
  <c r="R40" i="1" s="1"/>
  <c r="L40" i="1"/>
  <c r="N39" i="1"/>
  <c r="M39" i="1"/>
  <c r="R39" i="1" s="1"/>
  <c r="L39" i="1"/>
  <c r="R38" i="1"/>
  <c r="Q38" i="1"/>
  <c r="V38" i="1" s="1"/>
  <c r="P38" i="1"/>
  <c r="U38" i="1" s="1"/>
  <c r="N38" i="1"/>
  <c r="O38" i="1" s="1"/>
  <c r="M38" i="1"/>
  <c r="L38" i="1"/>
  <c r="W38" i="1" s="1"/>
  <c r="Q37" i="1"/>
  <c r="P37" i="1"/>
  <c r="N37" i="1"/>
  <c r="M37" i="1"/>
  <c r="R37" i="1" s="1"/>
  <c r="L37" i="1"/>
  <c r="N36" i="1"/>
  <c r="M36" i="1"/>
  <c r="R36" i="1" s="1"/>
  <c r="L36" i="1"/>
  <c r="Q36" i="1" s="1"/>
  <c r="N35" i="1"/>
  <c r="M35" i="1"/>
  <c r="R35" i="1" s="1"/>
  <c r="L35" i="1"/>
  <c r="N34" i="1"/>
  <c r="M34" i="1"/>
  <c r="R34" i="1" s="1"/>
  <c r="L34" i="1"/>
  <c r="R33" i="1"/>
  <c r="Q33" i="1"/>
  <c r="V33" i="1" s="1"/>
  <c r="P33" i="1"/>
  <c r="U33" i="1" s="1"/>
  <c r="N33" i="1"/>
  <c r="O33" i="1" s="1"/>
  <c r="M33" i="1"/>
  <c r="L33" i="1"/>
  <c r="W33" i="1" s="1"/>
  <c r="Q32" i="1"/>
  <c r="P32" i="1"/>
  <c r="N32" i="1"/>
  <c r="M32" i="1"/>
  <c r="R32" i="1" s="1"/>
  <c r="L32" i="1"/>
  <c r="N31" i="1"/>
  <c r="M31" i="1"/>
  <c r="R31" i="1" s="1"/>
  <c r="L31" i="1"/>
  <c r="Q31" i="1" s="1"/>
  <c r="F31" i="1"/>
  <c r="W30" i="1"/>
  <c r="V30" i="1"/>
  <c r="R30" i="1"/>
  <c r="Q30" i="1"/>
  <c r="N30" i="1"/>
  <c r="M30" i="1"/>
  <c r="L30" i="1"/>
  <c r="F30" i="1"/>
  <c r="E30" i="1"/>
  <c r="Q548" i="1" s="1"/>
  <c r="V548" i="1" s="1"/>
  <c r="Q29" i="1"/>
  <c r="P29" i="1"/>
  <c r="N29" i="1"/>
  <c r="M29" i="1"/>
  <c r="R29" i="1" s="1"/>
  <c r="L29" i="1"/>
  <c r="F29" i="1"/>
  <c r="E29" i="1"/>
  <c r="W28" i="1"/>
  <c r="R28" i="1"/>
  <c r="N28" i="1"/>
  <c r="M28" i="1"/>
  <c r="L28" i="1"/>
  <c r="F28" i="1"/>
  <c r="E28" i="1"/>
  <c r="R27" i="1"/>
  <c r="Q27" i="1"/>
  <c r="V27" i="1" s="1"/>
  <c r="P27" i="1"/>
  <c r="U27" i="1" s="1"/>
  <c r="N27" i="1"/>
  <c r="O27" i="1" s="1"/>
  <c r="M27" i="1"/>
  <c r="L27" i="1"/>
  <c r="W27" i="1" s="1"/>
  <c r="D27" i="1"/>
  <c r="B27" i="1"/>
  <c r="H27" i="1" s="1"/>
  <c r="N26" i="1"/>
  <c r="M26" i="1"/>
  <c r="R26" i="1" s="1"/>
  <c r="L26" i="1"/>
  <c r="H26" i="1"/>
  <c r="D26" i="1"/>
  <c r="B26" i="1"/>
  <c r="R25" i="1"/>
  <c r="O25" i="1"/>
  <c r="N25" i="1"/>
  <c r="M25" i="1"/>
  <c r="L25" i="1"/>
  <c r="W25" i="1" s="1"/>
  <c r="H25" i="1"/>
  <c r="D25" i="1"/>
  <c r="B25" i="1"/>
  <c r="V24" i="1"/>
  <c r="Q24" i="1"/>
  <c r="N24" i="1"/>
  <c r="O24" i="1" s="1"/>
  <c r="M24" i="1"/>
  <c r="R24" i="1" s="1"/>
  <c r="W24" i="1" s="1"/>
  <c r="L24" i="1"/>
  <c r="D24" i="1"/>
  <c r="B24" i="1"/>
  <c r="H24" i="1" s="1"/>
  <c r="R23" i="1"/>
  <c r="Q23" i="1"/>
  <c r="V23" i="1" s="1"/>
  <c r="P23" i="1"/>
  <c r="U23" i="1" s="1"/>
  <c r="N23" i="1"/>
  <c r="O23" i="1" s="1"/>
  <c r="M23" i="1"/>
  <c r="L23" i="1"/>
  <c r="W23" i="1" s="1"/>
  <c r="D23" i="1"/>
  <c r="E31" i="1" s="1"/>
  <c r="B23" i="1"/>
  <c r="H23" i="1" s="1"/>
  <c r="N22" i="1"/>
  <c r="M22" i="1"/>
  <c r="R22" i="1" s="1"/>
  <c r="L22" i="1"/>
  <c r="W22" i="1" s="1"/>
  <c r="H22" i="1"/>
  <c r="N21" i="1"/>
  <c r="M21" i="1"/>
  <c r="R21" i="1" s="1"/>
  <c r="L21" i="1"/>
  <c r="H21" i="1"/>
  <c r="R20" i="1"/>
  <c r="W20" i="1" s="1"/>
  <c r="Q20" i="1"/>
  <c r="V20" i="1" s="1"/>
  <c r="N20" i="1"/>
  <c r="O20" i="1" s="1"/>
  <c r="M20" i="1"/>
  <c r="P20" i="1" s="1"/>
  <c r="U20" i="1" s="1"/>
  <c r="L20" i="1"/>
  <c r="H20" i="1"/>
  <c r="R19" i="1"/>
  <c r="N19" i="1"/>
  <c r="O19" i="1" s="1"/>
  <c r="M19" i="1"/>
  <c r="P19" i="1" s="1"/>
  <c r="L19" i="1"/>
  <c r="W19" i="1" s="1"/>
  <c r="H19" i="1"/>
  <c r="O18" i="1"/>
  <c r="N18" i="1"/>
  <c r="M18" i="1"/>
  <c r="R18" i="1" s="1"/>
  <c r="W18" i="1" s="1"/>
  <c r="L18" i="1"/>
  <c r="H18" i="1"/>
  <c r="R17" i="1"/>
  <c r="Q17" i="1"/>
  <c r="V17" i="1" s="1"/>
  <c r="P17" i="1"/>
  <c r="U17" i="1" s="1"/>
  <c r="N17" i="1"/>
  <c r="O17" i="1" s="1"/>
  <c r="M17" i="1"/>
  <c r="L17" i="1"/>
  <c r="W17" i="1" s="1"/>
  <c r="H17" i="1"/>
  <c r="R16" i="1"/>
  <c r="Q16" i="1"/>
  <c r="N16" i="1"/>
  <c r="M16" i="1"/>
  <c r="P16" i="1" s="1"/>
  <c r="U16" i="1" s="1"/>
  <c r="L16" i="1"/>
  <c r="W16" i="1" s="1"/>
  <c r="H16" i="1"/>
  <c r="W15" i="1"/>
  <c r="R15" i="1"/>
  <c r="N15" i="1"/>
  <c r="M15" i="1"/>
  <c r="L15" i="1"/>
  <c r="H15" i="1"/>
  <c r="W14" i="1"/>
  <c r="R14" i="1"/>
  <c r="Q14" i="1"/>
  <c r="P14" i="1"/>
  <c r="U14" i="1" s="1"/>
  <c r="O14" i="1"/>
  <c r="T14" i="1" s="1"/>
  <c r="N14" i="1"/>
  <c r="M14" i="1"/>
  <c r="L14" i="1"/>
  <c r="V14" i="1" s="1"/>
  <c r="H14" i="1"/>
  <c r="Q13" i="1"/>
  <c r="P13" i="1"/>
  <c r="N13" i="1"/>
  <c r="M13" i="1"/>
  <c r="R13" i="1" s="1"/>
  <c r="L13" i="1"/>
  <c r="H13" i="1"/>
  <c r="V12" i="1"/>
  <c r="Q12" i="1"/>
  <c r="N12" i="1"/>
  <c r="O12" i="1" s="1"/>
  <c r="M12" i="1"/>
  <c r="R12" i="1" s="1"/>
  <c r="W12" i="1" s="1"/>
  <c r="L12" i="1"/>
  <c r="T12" i="1" s="1"/>
  <c r="H12" i="1"/>
  <c r="W11" i="1"/>
  <c r="V11" i="1"/>
  <c r="R11" i="1"/>
  <c r="Q11" i="1"/>
  <c r="N11" i="1"/>
  <c r="M11" i="1"/>
  <c r="L11" i="1"/>
  <c r="H11" i="1"/>
  <c r="P10" i="1"/>
  <c r="O10" i="1"/>
  <c r="N10" i="1"/>
  <c r="M10" i="1"/>
  <c r="R10" i="1" s="1"/>
  <c r="L10" i="1"/>
  <c r="H10" i="1"/>
  <c r="R9" i="1"/>
  <c r="N9" i="1"/>
  <c r="M9" i="1"/>
  <c r="L9" i="1"/>
  <c r="Q9" i="1" s="1"/>
  <c r="H9" i="1"/>
  <c r="V8" i="1"/>
  <c r="Q8" i="1"/>
  <c r="N8" i="1"/>
  <c r="M8" i="1"/>
  <c r="R8" i="1" s="1"/>
  <c r="W8" i="1" s="1"/>
  <c r="L8" i="1"/>
  <c r="H8" i="1"/>
  <c r="R7" i="1"/>
  <c r="O7" i="1"/>
  <c r="N7" i="1"/>
  <c r="M7" i="1"/>
  <c r="L7" i="1"/>
  <c r="W7" i="1" s="1"/>
  <c r="H7" i="1"/>
  <c r="V6" i="1"/>
  <c r="U6" i="1"/>
  <c r="T6" i="1"/>
  <c r="Q6" i="1"/>
  <c r="P6" i="1"/>
  <c r="O6" i="1"/>
  <c r="N6" i="1"/>
  <c r="M6" i="1"/>
  <c r="R6" i="1" s="1"/>
  <c r="L6" i="1"/>
  <c r="H6" i="1"/>
  <c r="N5" i="1"/>
  <c r="M5" i="1"/>
  <c r="R5" i="1" s="1"/>
  <c r="L5" i="1"/>
  <c r="W5" i="1" s="1"/>
  <c r="H5" i="1"/>
  <c r="Q4" i="1"/>
  <c r="V4" i="1" s="1"/>
  <c r="N4" i="1"/>
  <c r="M4" i="1"/>
  <c r="R4" i="1" s="1"/>
  <c r="W4" i="1" s="1"/>
  <c r="L4" i="1"/>
  <c r="H4" i="1"/>
  <c r="U3" i="1"/>
  <c r="R3" i="1"/>
  <c r="W3" i="1" s="1"/>
  <c r="P3" i="1"/>
  <c r="N3" i="1"/>
  <c r="O3" i="1" s="1"/>
  <c r="M3" i="1"/>
  <c r="L3" i="1"/>
  <c r="Q3" i="1" s="1"/>
  <c r="V3" i="1" s="1"/>
  <c r="H3" i="1"/>
  <c r="N2" i="1"/>
  <c r="O2" i="1" s="1"/>
  <c r="M2" i="1"/>
  <c r="R2" i="1" s="1"/>
  <c r="L2" i="1"/>
  <c r="H2" i="1"/>
  <c r="T23" i="1" l="1"/>
  <c r="S23" i="1"/>
  <c r="W32" i="1"/>
  <c r="W37" i="1"/>
  <c r="W42" i="1"/>
  <c r="S80" i="1"/>
  <c r="S85" i="1"/>
  <c r="S90" i="1"/>
  <c r="S95" i="1"/>
  <c r="S110" i="1"/>
  <c r="S115" i="1"/>
  <c r="S120" i="1"/>
  <c r="S125" i="1"/>
  <c r="T211" i="1"/>
  <c r="S211" i="1"/>
  <c r="U224" i="1"/>
  <c r="S16" i="1"/>
  <c r="W26" i="1"/>
  <c r="W29" i="1"/>
  <c r="S32" i="1"/>
  <c r="S37" i="1"/>
  <c r="W52" i="1"/>
  <c r="T174" i="1"/>
  <c r="S101" i="1"/>
  <c r="S106" i="1"/>
  <c r="S111" i="1"/>
  <c r="S116" i="1"/>
  <c r="T156" i="1"/>
  <c r="W179" i="1"/>
  <c r="S7" i="1"/>
  <c r="S29" i="1"/>
  <c r="T229" i="1"/>
  <c r="S4" i="1"/>
  <c r="T20" i="1"/>
  <c r="S20" i="1"/>
  <c r="W199" i="1"/>
  <c r="T24" i="1"/>
  <c r="S67" i="1"/>
  <c r="S102" i="1"/>
  <c r="S107" i="1"/>
  <c r="S127" i="1"/>
  <c r="S11" i="1"/>
  <c r="T33" i="1"/>
  <c r="S33" i="1"/>
  <c r="T38" i="1"/>
  <c r="S38" i="1"/>
  <c r="T43" i="1"/>
  <c r="S43" i="1"/>
  <c r="W162" i="1"/>
  <c r="T189" i="1"/>
  <c r="S189" i="1"/>
  <c r="W195" i="1"/>
  <c r="S199" i="1"/>
  <c r="T17" i="1"/>
  <c r="S17" i="1"/>
  <c r="S24" i="1"/>
  <c r="T48" i="1"/>
  <c r="S48" i="1"/>
  <c r="W21" i="1"/>
  <c r="T27" i="1"/>
  <c r="S27" i="1"/>
  <c r="U30" i="1"/>
  <c r="T53" i="1"/>
  <c r="S53" i="1"/>
  <c r="T58" i="1"/>
  <c r="S58" i="1"/>
  <c r="V196" i="1"/>
  <c r="W34" i="1"/>
  <c r="W39" i="1"/>
  <c r="W44" i="1"/>
  <c r="T63" i="1"/>
  <c r="S63" i="1"/>
  <c r="T68" i="1"/>
  <c r="S68" i="1"/>
  <c r="T73" i="1"/>
  <c r="S73" i="1"/>
  <c r="T78" i="1"/>
  <c r="S78" i="1"/>
  <c r="T83" i="1"/>
  <c r="S83" i="1"/>
  <c r="T88" i="1"/>
  <c r="S88" i="1"/>
  <c r="T93" i="1"/>
  <c r="S93" i="1"/>
  <c r="T98" i="1"/>
  <c r="S98" i="1"/>
  <c r="T103" i="1"/>
  <c r="S103" i="1"/>
  <c r="T108" i="1"/>
  <c r="S108" i="1"/>
  <c r="T113" i="1"/>
  <c r="S113" i="1"/>
  <c r="T118" i="1"/>
  <c r="S118" i="1"/>
  <c r="T123" i="1"/>
  <c r="S123" i="1"/>
  <c r="T128" i="1"/>
  <c r="S128" i="1"/>
  <c r="T133" i="1"/>
  <c r="S133" i="1"/>
  <c r="T138" i="1"/>
  <c r="S138" i="1"/>
  <c r="T143" i="1"/>
  <c r="S143" i="1"/>
  <c r="T148" i="1"/>
  <c r="S148" i="1"/>
  <c r="T153" i="1"/>
  <c r="S153" i="1"/>
  <c r="W190" i="1"/>
  <c r="W2" i="1"/>
  <c r="W49" i="1"/>
  <c r="T176" i="1"/>
  <c r="S176" i="1"/>
  <c r="W182" i="1"/>
  <c r="T196" i="1"/>
  <c r="W6" i="1"/>
  <c r="S6" i="1"/>
  <c r="U15" i="1"/>
  <c r="W35" i="1"/>
  <c r="W40" i="1"/>
  <c r="W45" i="1"/>
  <c r="W59" i="1"/>
  <c r="S167" i="1"/>
  <c r="S197" i="1"/>
  <c r="S12" i="1"/>
  <c r="W104" i="1"/>
  <c r="W109" i="1"/>
  <c r="W114" i="1"/>
  <c r="W119" i="1"/>
  <c r="W124" i="1"/>
  <c r="W129" i="1"/>
  <c r="W134" i="1"/>
  <c r="W139" i="1"/>
  <c r="W144" i="1"/>
  <c r="W149" i="1"/>
  <c r="W154" i="1"/>
  <c r="W159" i="1"/>
  <c r="S15" i="1"/>
  <c r="S18" i="1"/>
  <c r="S25" i="1"/>
  <c r="S35" i="1"/>
  <c r="W60" i="1"/>
  <c r="S99" i="1"/>
  <c r="S109" i="1"/>
  <c r="S114" i="1"/>
  <c r="S119" i="1"/>
  <c r="S124" i="1"/>
  <c r="W164" i="1"/>
  <c r="S214" i="1"/>
  <c r="T3" i="1"/>
  <c r="S3" i="1"/>
  <c r="W10" i="1"/>
  <c r="W13" i="1"/>
  <c r="S31" i="1"/>
  <c r="S36" i="1"/>
  <c r="S41" i="1"/>
  <c r="S46" i="1"/>
  <c r="W193" i="1"/>
  <c r="T248" i="1"/>
  <c r="Q248" i="1"/>
  <c r="V248" i="1" s="1"/>
  <c r="W251" i="1"/>
  <c r="V251" i="1"/>
  <c r="W254" i="1"/>
  <c r="Q254" i="1"/>
  <c r="V254" i="1" s="1"/>
  <c r="W296" i="1"/>
  <c r="V296" i="1"/>
  <c r="U296" i="1"/>
  <c r="T296" i="1"/>
  <c r="R303" i="1"/>
  <c r="P303" i="1"/>
  <c r="R373" i="1"/>
  <c r="P373" i="1"/>
  <c r="W439" i="1"/>
  <c r="Q439" i="1"/>
  <c r="V439" i="1" s="1"/>
  <c r="O11" i="1"/>
  <c r="T11" i="1" s="1"/>
  <c r="O30" i="1"/>
  <c r="T30" i="1" s="1"/>
  <c r="O160" i="1"/>
  <c r="T160" i="1" s="1"/>
  <c r="O167" i="1"/>
  <c r="T167" i="1" s="1"/>
  <c r="O178" i="1"/>
  <c r="T178" i="1" s="1"/>
  <c r="O191" i="1"/>
  <c r="T191" i="1" s="1"/>
  <c r="W216" i="1"/>
  <c r="W218" i="1"/>
  <c r="Q218" i="1"/>
  <c r="V218" i="1" s="1"/>
  <c r="R248" i="1"/>
  <c r="W248" i="1" s="1"/>
  <c r="P248" i="1"/>
  <c r="S248" i="1" s="1"/>
  <c r="S288" i="1"/>
  <c r="R296" i="1"/>
  <c r="P296" i="1"/>
  <c r="O303" i="1"/>
  <c r="S303" i="1" s="1"/>
  <c r="W314" i="1"/>
  <c r="V377" i="1"/>
  <c r="U377" i="1"/>
  <c r="T377" i="1"/>
  <c r="Q377" i="1"/>
  <c r="Q510" i="1"/>
  <c r="V510" i="1"/>
  <c r="W540" i="1"/>
  <c r="Q540" i="1"/>
  <c r="V540" i="1" s="1"/>
  <c r="O588" i="1"/>
  <c r="T588" i="1" s="1"/>
  <c r="O796" i="1"/>
  <c r="S796" i="1"/>
  <c r="R800" i="1"/>
  <c r="P800" i="1"/>
  <c r="R1220" i="1"/>
  <c r="P1220" i="1"/>
  <c r="O8" i="1"/>
  <c r="T8" i="1" s="1"/>
  <c r="V9" i="1"/>
  <c r="P11" i="1"/>
  <c r="U11" i="1" s="1"/>
  <c r="P30" i="1"/>
  <c r="V31" i="1"/>
  <c r="V36" i="1"/>
  <c r="V41" i="1"/>
  <c r="V46" i="1"/>
  <c r="V51" i="1"/>
  <c r="V56" i="1"/>
  <c r="V61" i="1"/>
  <c r="V66" i="1"/>
  <c r="V71" i="1"/>
  <c r="V76" i="1"/>
  <c r="V81" i="1"/>
  <c r="V86" i="1"/>
  <c r="V91" i="1"/>
  <c r="V96" i="1"/>
  <c r="V101" i="1"/>
  <c r="V106" i="1"/>
  <c r="V111" i="1"/>
  <c r="V116" i="1"/>
  <c r="V121" i="1"/>
  <c r="V126" i="1"/>
  <c r="V131" i="1"/>
  <c r="V136" i="1"/>
  <c r="V141" i="1"/>
  <c r="V146" i="1"/>
  <c r="V151" i="1"/>
  <c r="V156" i="1"/>
  <c r="P160" i="1"/>
  <c r="U160" i="1" s="1"/>
  <c r="P167" i="1"/>
  <c r="U167" i="1" s="1"/>
  <c r="W171" i="1"/>
  <c r="P178" i="1"/>
  <c r="U178" i="1" s="1"/>
  <c r="O180" i="1"/>
  <c r="T180" i="1" s="1"/>
  <c r="P191" i="1"/>
  <c r="U191" i="1" s="1"/>
  <c r="Q209" i="1"/>
  <c r="V209" i="1" s="1"/>
  <c r="Q225" i="1"/>
  <c r="V225" i="1" s="1"/>
  <c r="Q235" i="1"/>
  <c r="V235" i="1" s="1"/>
  <c r="S237" i="1"/>
  <c r="O248" i="1"/>
  <c r="Q256" i="1"/>
  <c r="V256" i="1" s="1"/>
  <c r="O273" i="1"/>
  <c r="T273" i="1" s="1"/>
  <c r="O296" i="1"/>
  <c r="Q303" i="1"/>
  <c r="W307" i="1"/>
  <c r="R314" i="1"/>
  <c r="P314" i="1"/>
  <c r="U314" i="1" s="1"/>
  <c r="T321" i="1"/>
  <c r="S321" i="1"/>
  <c r="R330" i="1"/>
  <c r="P330" i="1"/>
  <c r="U330" i="1" s="1"/>
  <c r="W348" i="1"/>
  <c r="W363" i="1"/>
  <c r="V363" i="1"/>
  <c r="U363" i="1"/>
  <c r="Q389" i="1"/>
  <c r="V389" i="1" s="1"/>
  <c r="Q409" i="1"/>
  <c r="V409" i="1" s="1"/>
  <c r="R426" i="1"/>
  <c r="W426" i="1" s="1"/>
  <c r="Q656" i="1"/>
  <c r="W656" i="1"/>
  <c r="V656" i="1"/>
  <c r="U656" i="1"/>
  <c r="T656" i="1"/>
  <c r="W745" i="1"/>
  <c r="V745" i="1"/>
  <c r="U745" i="1"/>
  <c r="T745" i="1"/>
  <c r="Q745" i="1"/>
  <c r="S748" i="1"/>
  <c r="O748" i="1"/>
  <c r="O5" i="1"/>
  <c r="S5" i="1" s="1"/>
  <c r="P8" i="1"/>
  <c r="U8" i="1" s="1"/>
  <c r="W9" i="1"/>
  <c r="W31" i="1"/>
  <c r="O35" i="1"/>
  <c r="T35" i="1" s="1"/>
  <c r="W36" i="1"/>
  <c r="O40" i="1"/>
  <c r="S40" i="1" s="1"/>
  <c r="W41" i="1"/>
  <c r="O45" i="1"/>
  <c r="S45" i="1" s="1"/>
  <c r="W46" i="1"/>
  <c r="O50" i="1"/>
  <c r="T50" i="1" s="1"/>
  <c r="W51" i="1"/>
  <c r="O55" i="1"/>
  <c r="S55" i="1" s="1"/>
  <c r="W56" i="1"/>
  <c r="O60" i="1"/>
  <c r="T60" i="1" s="1"/>
  <c r="W61" i="1"/>
  <c r="O65" i="1"/>
  <c r="T65" i="1" s="1"/>
  <c r="W66" i="1"/>
  <c r="O70" i="1"/>
  <c r="T70" i="1" s="1"/>
  <c r="W71" i="1"/>
  <c r="O75" i="1"/>
  <c r="W76" i="1"/>
  <c r="O80" i="1"/>
  <c r="W81" i="1"/>
  <c r="O85" i="1"/>
  <c r="W86" i="1"/>
  <c r="O90" i="1"/>
  <c r="W91" i="1"/>
  <c r="O95" i="1"/>
  <c r="W96" i="1"/>
  <c r="O100" i="1"/>
  <c r="S100" i="1" s="1"/>
  <c r="W101" i="1"/>
  <c r="O105" i="1"/>
  <c r="S105" i="1" s="1"/>
  <c r="W106" i="1"/>
  <c r="O110" i="1"/>
  <c r="W111" i="1"/>
  <c r="O115" i="1"/>
  <c r="W116" i="1"/>
  <c r="O120" i="1"/>
  <c r="T120" i="1" s="1"/>
  <c r="W121" i="1"/>
  <c r="O125" i="1"/>
  <c r="W126" i="1"/>
  <c r="O130" i="1"/>
  <c r="S130" i="1" s="1"/>
  <c r="W131" i="1"/>
  <c r="O135" i="1"/>
  <c r="T135" i="1" s="1"/>
  <c r="W136" i="1"/>
  <c r="O140" i="1"/>
  <c r="T140" i="1" s="1"/>
  <c r="W141" i="1"/>
  <c r="O145" i="1"/>
  <c r="T145" i="1" s="1"/>
  <c r="W146" i="1"/>
  <c r="O150" i="1"/>
  <c r="T150" i="1" s="1"/>
  <c r="W151" i="1"/>
  <c r="O155" i="1"/>
  <c r="S155" i="1" s="1"/>
  <c r="W156" i="1"/>
  <c r="Q167" i="1"/>
  <c r="V167" i="1" s="1"/>
  <c r="O169" i="1"/>
  <c r="S169" i="1" s="1"/>
  <c r="Q178" i="1"/>
  <c r="V178" i="1" s="1"/>
  <c r="P180" i="1"/>
  <c r="U180" i="1" s="1"/>
  <c r="Q191" i="1"/>
  <c r="V191" i="1" s="1"/>
  <c r="O193" i="1"/>
  <c r="T193" i="1" s="1"/>
  <c r="W201" i="1"/>
  <c r="Q205" i="1"/>
  <c r="V205" i="1" s="1"/>
  <c r="S227" i="1"/>
  <c r="Q230" i="1"/>
  <c r="V230" i="1" s="1"/>
  <c r="S232" i="1"/>
  <c r="T243" i="1"/>
  <c r="Q243" i="1"/>
  <c r="V243" i="1" s="1"/>
  <c r="W246" i="1"/>
  <c r="V246" i="1"/>
  <c r="T246" i="1"/>
  <c r="W249" i="1"/>
  <c r="Q249" i="1"/>
  <c r="V249" i="1" s="1"/>
  <c r="O251" i="1"/>
  <c r="S251" i="1" s="1"/>
  <c r="O254" i="1"/>
  <c r="S254" i="1" s="1"/>
  <c r="O270" i="1"/>
  <c r="S270" i="1" s="1"/>
  <c r="P273" i="1"/>
  <c r="U273" i="1" s="1"/>
  <c r="Q276" i="1"/>
  <c r="V276" i="1" s="1"/>
  <c r="S278" i="1"/>
  <c r="Q296" i="1"/>
  <c r="R307" i="1"/>
  <c r="P307" i="1"/>
  <c r="Q311" i="1"/>
  <c r="V311" i="1" s="1"/>
  <c r="R348" i="1"/>
  <c r="P348" i="1"/>
  <c r="S356" i="1"/>
  <c r="Q394" i="1"/>
  <c r="V394" i="1" s="1"/>
  <c r="U418" i="1"/>
  <c r="R481" i="1"/>
  <c r="W481" i="1" s="1"/>
  <c r="P481" i="1"/>
  <c r="U481" i="1" s="1"/>
  <c r="Q501" i="1"/>
  <c r="V501" i="1" s="1"/>
  <c r="Q506" i="1"/>
  <c r="V506" i="1" s="1"/>
  <c r="O510" i="1"/>
  <c r="S510" i="1" s="1"/>
  <c r="V530" i="1"/>
  <c r="Q530" i="1"/>
  <c r="P5" i="1"/>
  <c r="S14" i="1"/>
  <c r="O22" i="1"/>
  <c r="O26" i="1"/>
  <c r="P35" i="1"/>
  <c r="U35" i="1" s="1"/>
  <c r="P40" i="1"/>
  <c r="U40" i="1" s="1"/>
  <c r="P45" i="1"/>
  <c r="U45" i="1" s="1"/>
  <c r="P50" i="1"/>
  <c r="U50" i="1" s="1"/>
  <c r="P55" i="1"/>
  <c r="U55" i="1" s="1"/>
  <c r="P60" i="1"/>
  <c r="U60" i="1" s="1"/>
  <c r="P65" i="1"/>
  <c r="U65" i="1" s="1"/>
  <c r="P70" i="1"/>
  <c r="U70" i="1" s="1"/>
  <c r="P75" i="1"/>
  <c r="S75" i="1" s="1"/>
  <c r="P80" i="1"/>
  <c r="P85" i="1"/>
  <c r="P90" i="1"/>
  <c r="P95" i="1"/>
  <c r="P100" i="1"/>
  <c r="P105" i="1"/>
  <c r="P110" i="1"/>
  <c r="P115" i="1"/>
  <c r="P120" i="1"/>
  <c r="P125" i="1"/>
  <c r="P130" i="1"/>
  <c r="U130" i="1" s="1"/>
  <c r="P135" i="1"/>
  <c r="U135" i="1" s="1"/>
  <c r="P140" i="1"/>
  <c r="U140" i="1" s="1"/>
  <c r="P145" i="1"/>
  <c r="U145" i="1" s="1"/>
  <c r="P150" i="1"/>
  <c r="U150" i="1" s="1"/>
  <c r="P155" i="1"/>
  <c r="U155" i="1" s="1"/>
  <c r="P169" i="1"/>
  <c r="U169" i="1" s="1"/>
  <c r="W173" i="1"/>
  <c r="Q180" i="1"/>
  <c r="V180" i="1" s="1"/>
  <c r="P182" i="1"/>
  <c r="S182" i="1" s="1"/>
  <c r="W186" i="1"/>
  <c r="P193" i="1"/>
  <c r="O195" i="1"/>
  <c r="T195" i="1" s="1"/>
  <c r="R205" i="1"/>
  <c r="W205" i="1" s="1"/>
  <c r="P205" i="1"/>
  <c r="Q207" i="1"/>
  <c r="V207" i="1" s="1"/>
  <c r="O218" i="1"/>
  <c r="S218" i="1" s="1"/>
  <c r="R243" i="1"/>
  <c r="W243" i="1" s="1"/>
  <c r="P243" i="1"/>
  <c r="S243" i="1" s="1"/>
  <c r="P251" i="1"/>
  <c r="U251" i="1" s="1"/>
  <c r="P254" i="1"/>
  <c r="U254" i="1" s="1"/>
  <c r="W268" i="1"/>
  <c r="V268" i="1"/>
  <c r="U268" i="1"/>
  <c r="P270" i="1"/>
  <c r="U270" i="1" s="1"/>
  <c r="Q273" i="1"/>
  <c r="V273" i="1" s="1"/>
  <c r="W282" i="1"/>
  <c r="U282" i="1"/>
  <c r="Q282" i="1"/>
  <c r="V282" i="1" s="1"/>
  <c r="W289" i="1"/>
  <c r="Q292" i="1"/>
  <c r="V292" i="1" s="1"/>
  <c r="R300" i="1"/>
  <c r="P300" i="1"/>
  <c r="Q304" i="1"/>
  <c r="V304" i="1" s="1"/>
  <c r="Q321" i="1"/>
  <c r="V321" i="1" s="1"/>
  <c r="Q334" i="1"/>
  <c r="V334" i="1" s="1"/>
  <c r="O370" i="1"/>
  <c r="T370" i="1" s="1"/>
  <c r="W377" i="1"/>
  <c r="T389" i="1"/>
  <c r="S389" i="1"/>
  <c r="Q398" i="1"/>
  <c r="V398" i="1" s="1"/>
  <c r="T409" i="1"/>
  <c r="R427" i="1"/>
  <c r="P427" i="1"/>
  <c r="U427" i="1" s="1"/>
  <c r="O462" i="1"/>
  <c r="P2" i="1"/>
  <c r="U2" i="1" s="1"/>
  <c r="Q5" i="1"/>
  <c r="V5" i="1" s="1"/>
  <c r="P22" i="1"/>
  <c r="U22" i="1" s="1"/>
  <c r="P26" i="1"/>
  <c r="U26" i="1" s="1"/>
  <c r="Q35" i="1"/>
  <c r="Q40" i="1"/>
  <c r="V40" i="1" s="1"/>
  <c r="Q45" i="1"/>
  <c r="V45" i="1" s="1"/>
  <c r="Q50" i="1"/>
  <c r="V50" i="1" s="1"/>
  <c r="Q55" i="1"/>
  <c r="V55" i="1" s="1"/>
  <c r="Q60" i="1"/>
  <c r="S60" i="1" s="1"/>
  <c r="Q65" i="1"/>
  <c r="Q70" i="1"/>
  <c r="Q75" i="1"/>
  <c r="Q80" i="1"/>
  <c r="Q85" i="1"/>
  <c r="Q90" i="1"/>
  <c r="Q95" i="1"/>
  <c r="V95" i="1" s="1"/>
  <c r="Q100" i="1"/>
  <c r="Q105" i="1"/>
  <c r="V105" i="1" s="1"/>
  <c r="Q110" i="1"/>
  <c r="Q115" i="1"/>
  <c r="V115" i="1" s="1"/>
  <c r="Q120" i="1"/>
  <c r="V120" i="1" s="1"/>
  <c r="Q125" i="1"/>
  <c r="V125" i="1" s="1"/>
  <c r="Q130" i="1"/>
  <c r="V130" i="1" s="1"/>
  <c r="Q135" i="1"/>
  <c r="Q140" i="1"/>
  <c r="V140" i="1" s="1"/>
  <c r="Q145" i="1"/>
  <c r="V145" i="1" s="1"/>
  <c r="Q150" i="1"/>
  <c r="V150" i="1" s="1"/>
  <c r="Q155" i="1"/>
  <c r="V155" i="1" s="1"/>
  <c r="S160" i="1"/>
  <c r="P162" i="1"/>
  <c r="Q169" i="1"/>
  <c r="Q182" i="1"/>
  <c r="Q193" i="1"/>
  <c r="P195" i="1"/>
  <c r="U195" i="1" s="1"/>
  <c r="W203" i="1"/>
  <c r="U203" i="1"/>
  <c r="T203" i="1"/>
  <c r="P216" i="1"/>
  <c r="U216" i="1" s="1"/>
  <c r="P218" i="1"/>
  <c r="U218" i="1" s="1"/>
  <c r="W221" i="1"/>
  <c r="U221" i="1"/>
  <c r="W223" i="1"/>
  <c r="U223" i="1"/>
  <c r="T223" i="1"/>
  <c r="Q223" i="1"/>
  <c r="S223" i="1" s="1"/>
  <c r="O243" i="1"/>
  <c r="Q251" i="1"/>
  <c r="Q265" i="1"/>
  <c r="V265" i="1" s="1"/>
  <c r="Q270" i="1"/>
  <c r="Q297" i="1"/>
  <c r="V297" i="1" s="1"/>
  <c r="T341" i="1"/>
  <c r="S341" i="1"/>
  <c r="W345" i="1"/>
  <c r="V345" i="1"/>
  <c r="U345" i="1"/>
  <c r="T345" i="1"/>
  <c r="Q345" i="1"/>
  <c r="R352" i="1"/>
  <c r="P352" i="1"/>
  <c r="Q363" i="1"/>
  <c r="Q435" i="1"/>
  <c r="V435" i="1" s="1"/>
  <c r="Q463" i="1"/>
  <c r="V463" i="1" s="1"/>
  <c r="U463" i="1"/>
  <c r="Q472" i="1"/>
  <c r="S472" i="1" s="1"/>
  <c r="O530" i="1"/>
  <c r="T530" i="1" s="1"/>
  <c r="R556" i="1"/>
  <c r="W556" i="1" s="1"/>
  <c r="P556" i="1"/>
  <c r="U556" i="1" s="1"/>
  <c r="R561" i="1"/>
  <c r="W561" i="1" s="1"/>
  <c r="P561" i="1"/>
  <c r="U561" i="1" s="1"/>
  <c r="Q614" i="1"/>
  <c r="V614" i="1" s="1"/>
  <c r="Q2" i="1"/>
  <c r="V2" i="1" s="1"/>
  <c r="O16" i="1"/>
  <c r="Q22" i="1"/>
  <c r="Q26" i="1"/>
  <c r="Q162" i="1"/>
  <c r="V162" i="1" s="1"/>
  <c r="W188" i="1"/>
  <c r="Q195" i="1"/>
  <c r="O201" i="1"/>
  <c r="S201" i="1" s="1"/>
  <c r="S207" i="1"/>
  <c r="Q216" i="1"/>
  <c r="V216" i="1" s="1"/>
  <c r="W238" i="1"/>
  <c r="U238" i="1"/>
  <c r="T238" i="1"/>
  <c r="Q238" i="1"/>
  <c r="V238" i="1" s="1"/>
  <c r="W241" i="1"/>
  <c r="W244" i="1"/>
  <c r="Q244" i="1"/>
  <c r="O246" i="1"/>
  <c r="R265" i="1"/>
  <c r="W265" i="1" s="1"/>
  <c r="P265" i="1"/>
  <c r="U265" i="1" s="1"/>
  <c r="O268" i="1"/>
  <c r="S276" i="1"/>
  <c r="Q285" i="1"/>
  <c r="P378" i="1"/>
  <c r="R378" i="1"/>
  <c r="W378" i="1" s="1"/>
  <c r="O382" i="1"/>
  <c r="S382" i="1" s="1"/>
  <c r="O402" i="1"/>
  <c r="T402" i="1" s="1"/>
  <c r="U415" i="1"/>
  <c r="T415" i="1"/>
  <c r="W415" i="1"/>
  <c r="Q415" i="1"/>
  <c r="P477" i="1"/>
  <c r="O13" i="1"/>
  <c r="T13" i="1" s="1"/>
  <c r="Q19" i="1"/>
  <c r="V19" i="1" s="1"/>
  <c r="O29" i="1"/>
  <c r="T29" i="1" s="1"/>
  <c r="O32" i="1"/>
  <c r="T32" i="1" s="1"/>
  <c r="O37" i="1"/>
  <c r="T37" i="1" s="1"/>
  <c r="O42" i="1"/>
  <c r="T42" i="1" s="1"/>
  <c r="O47" i="1"/>
  <c r="T47" i="1" s="1"/>
  <c r="O52" i="1"/>
  <c r="T52" i="1" s="1"/>
  <c r="O57" i="1"/>
  <c r="T57" i="1" s="1"/>
  <c r="O62" i="1"/>
  <c r="T62" i="1" s="1"/>
  <c r="O67" i="1"/>
  <c r="T67" i="1" s="1"/>
  <c r="O72" i="1"/>
  <c r="T72" i="1" s="1"/>
  <c r="O77" i="1"/>
  <c r="T77" i="1" s="1"/>
  <c r="O82" i="1"/>
  <c r="T82" i="1" s="1"/>
  <c r="O87" i="1"/>
  <c r="T87" i="1" s="1"/>
  <c r="O92" i="1"/>
  <c r="T92" i="1" s="1"/>
  <c r="O97" i="1"/>
  <c r="T97" i="1" s="1"/>
  <c r="O102" i="1"/>
  <c r="T102" i="1" s="1"/>
  <c r="O107" i="1"/>
  <c r="T107" i="1" s="1"/>
  <c r="O112" i="1"/>
  <c r="T112" i="1" s="1"/>
  <c r="O117" i="1"/>
  <c r="T117" i="1" s="1"/>
  <c r="O122" i="1"/>
  <c r="T122" i="1" s="1"/>
  <c r="O127" i="1"/>
  <c r="T127" i="1" s="1"/>
  <c r="O132" i="1"/>
  <c r="T132" i="1" s="1"/>
  <c r="O137" i="1"/>
  <c r="T137" i="1" s="1"/>
  <c r="O142" i="1"/>
  <c r="T142" i="1" s="1"/>
  <c r="O147" i="1"/>
  <c r="T147" i="1" s="1"/>
  <c r="O152" i="1"/>
  <c r="T152" i="1" s="1"/>
  <c r="O157" i="1"/>
  <c r="T157" i="1" s="1"/>
  <c r="O164" i="1"/>
  <c r="T164" i="1" s="1"/>
  <c r="W166" i="1"/>
  <c r="Q171" i="1"/>
  <c r="V171" i="1" s="1"/>
  <c r="O173" i="1"/>
  <c r="T173" i="1" s="1"/>
  <c r="Q184" i="1"/>
  <c r="V184" i="1" s="1"/>
  <c r="O186" i="1"/>
  <c r="T186" i="1" s="1"/>
  <c r="Q197" i="1"/>
  <c r="V197" i="1" s="1"/>
  <c r="O199" i="1"/>
  <c r="T199" i="1" s="1"/>
  <c r="U205" i="1"/>
  <c r="Q214" i="1"/>
  <c r="V214" i="1" s="1"/>
  <c r="R238" i="1"/>
  <c r="P238" i="1"/>
  <c r="P246" i="1"/>
  <c r="S246" i="1" s="1"/>
  <c r="O265" i="1"/>
  <c r="T265" i="1" s="1"/>
  <c r="W279" i="1"/>
  <c r="U279" i="1"/>
  <c r="T279" i="1"/>
  <c r="Q279" i="1"/>
  <c r="S279" i="1" s="1"/>
  <c r="Q289" i="1"/>
  <c r="V289" i="1" s="1"/>
  <c r="Q327" i="1"/>
  <c r="V327" i="1" s="1"/>
  <c r="Q341" i="1"/>
  <c r="V341" i="1" s="1"/>
  <c r="S345" i="1"/>
  <c r="Q353" i="1"/>
  <c r="V353" i="1" s="1"/>
  <c r="S360" i="1"/>
  <c r="T386" i="1"/>
  <c r="S386" i="1"/>
  <c r="T406" i="1"/>
  <c r="S406" i="1"/>
  <c r="P432" i="1"/>
  <c r="U432" i="1" s="1"/>
  <c r="R432" i="1"/>
  <c r="W432" i="1" s="1"/>
  <c r="T5" i="1"/>
  <c r="T55" i="1"/>
  <c r="T75" i="1"/>
  <c r="T80" i="1"/>
  <c r="T85" i="1"/>
  <c r="T90" i="1"/>
  <c r="T95" i="1"/>
  <c r="T100" i="1"/>
  <c r="T105" i="1"/>
  <c r="T110" i="1"/>
  <c r="T115" i="1"/>
  <c r="T125" i="1"/>
  <c r="T130" i="1"/>
  <c r="T155" i="1"/>
  <c r="S175" i="1"/>
  <c r="O175" i="1"/>
  <c r="T175" i="1" s="1"/>
  <c r="T182" i="1"/>
  <c r="S188" i="1"/>
  <c r="U193" i="1"/>
  <c r="W228" i="1"/>
  <c r="U228" i="1"/>
  <c r="Q228" i="1"/>
  <c r="V228" i="1" s="1"/>
  <c r="W233" i="1"/>
  <c r="V233" i="1"/>
  <c r="U233" i="1"/>
  <c r="Q233" i="1"/>
  <c r="O238" i="1"/>
  <c r="S238" i="1" s="1"/>
  <c r="S241" i="1"/>
  <c r="R279" i="1"/>
  <c r="P279" i="1"/>
  <c r="R293" i="1"/>
  <c r="W293" i="1" s="1"/>
  <c r="P293" i="1"/>
  <c r="R327" i="1"/>
  <c r="W327" i="1" s="1"/>
  <c r="P327" i="1"/>
  <c r="U327" i="1" s="1"/>
  <c r="P395" i="1"/>
  <c r="R395" i="1"/>
  <c r="O432" i="1"/>
  <c r="T432" i="1" s="1"/>
  <c r="T2" i="1"/>
  <c r="U5" i="1"/>
  <c r="T22" i="1"/>
  <c r="U80" i="1"/>
  <c r="U85" i="1"/>
  <c r="U90" i="1"/>
  <c r="U95" i="1"/>
  <c r="U100" i="1"/>
  <c r="U105" i="1"/>
  <c r="U110" i="1"/>
  <c r="U115" i="1"/>
  <c r="U120" i="1"/>
  <c r="U125" i="1"/>
  <c r="O188" i="1"/>
  <c r="T188" i="1" s="1"/>
  <c r="V193" i="1"/>
  <c r="T216" i="1"/>
  <c r="O219" i="1"/>
  <c r="T219" i="1" s="1"/>
  <c r="W226" i="1"/>
  <c r="V226" i="1"/>
  <c r="U226" i="1"/>
  <c r="R233" i="1"/>
  <c r="P233" i="1"/>
  <c r="S233" i="1" s="1"/>
  <c r="W236" i="1"/>
  <c r="V236" i="1"/>
  <c r="U236" i="1"/>
  <c r="T236" i="1"/>
  <c r="W239" i="1"/>
  <c r="Q239" i="1"/>
  <c r="O241" i="1"/>
  <c r="T241" i="1" s="1"/>
  <c r="O244" i="1"/>
  <c r="T244" i="1" s="1"/>
  <c r="O279" i="1"/>
  <c r="O301" i="1"/>
  <c r="T301" i="1" s="1"/>
  <c r="T319" i="1"/>
  <c r="S319" i="1"/>
  <c r="W323" i="1"/>
  <c r="Q323" i="1"/>
  <c r="V323" i="1" s="1"/>
  <c r="O327" i="1"/>
  <c r="S327" i="1" s="1"/>
  <c r="S353" i="1"/>
  <c r="V367" i="1"/>
  <c r="Q367" i="1"/>
  <c r="W423" i="1"/>
  <c r="V423" i="1"/>
  <c r="P423" i="1"/>
  <c r="U423" i="1" s="1"/>
  <c r="T464" i="1"/>
  <c r="Q464" i="1"/>
  <c r="V464" i="1" s="1"/>
  <c r="U567" i="1"/>
  <c r="Q567" i="1"/>
  <c r="V567" i="1" s="1"/>
  <c r="T567" i="1"/>
  <c r="O4" i="1"/>
  <c r="T4" i="1" s="1"/>
  <c r="P7" i="1"/>
  <c r="Q10" i="1"/>
  <c r="V10" i="1" s="1"/>
  <c r="T19" i="1"/>
  <c r="P25" i="1"/>
  <c r="V35" i="1"/>
  <c r="V65" i="1"/>
  <c r="V70" i="1"/>
  <c r="V75" i="1"/>
  <c r="V80" i="1"/>
  <c r="V85" i="1"/>
  <c r="V90" i="1"/>
  <c r="V100" i="1"/>
  <c r="V110" i="1"/>
  <c r="V135" i="1"/>
  <c r="O159" i="1"/>
  <c r="S159" i="1" s="1"/>
  <c r="W161" i="1"/>
  <c r="U162" i="1"/>
  <c r="O166" i="1"/>
  <c r="S166" i="1" s="1"/>
  <c r="W168" i="1"/>
  <c r="V169" i="1"/>
  <c r="T171" i="1"/>
  <c r="Q175" i="1"/>
  <c r="P177" i="1"/>
  <c r="W181" i="1"/>
  <c r="V182" i="1"/>
  <c r="T184" i="1"/>
  <c r="S190" i="1"/>
  <c r="O190" i="1"/>
  <c r="V195" i="1"/>
  <c r="T197" i="1"/>
  <c r="Q203" i="1"/>
  <c r="S203" i="1" s="1"/>
  <c r="W206" i="1"/>
  <c r="V206" i="1"/>
  <c r="R210" i="1"/>
  <c r="P210" i="1"/>
  <c r="U210" i="1" s="1"/>
  <c r="Q212" i="1"/>
  <c r="V212" i="1" s="1"/>
  <c r="T214" i="1"/>
  <c r="Q221" i="1"/>
  <c r="S221" i="1" s="1"/>
  <c r="O228" i="1"/>
  <c r="S228" i="1" s="1"/>
  <c r="W231" i="1"/>
  <c r="T231" i="1"/>
  <c r="O233" i="1"/>
  <c r="T233" i="1" s="1"/>
  <c r="P241" i="1"/>
  <c r="U241" i="1" s="1"/>
  <c r="P244" i="1"/>
  <c r="T249" i="1"/>
  <c r="Q255" i="1"/>
  <c r="V255" i="1" s="1"/>
  <c r="S257" i="1"/>
  <c r="S268" i="1"/>
  <c r="Q271" i="1"/>
  <c r="U274" i="1"/>
  <c r="Q283" i="1"/>
  <c r="V283" i="1" s="1"/>
  <c r="W286" i="1"/>
  <c r="P301" i="1"/>
  <c r="U301" i="1" s="1"/>
  <c r="P323" i="1"/>
  <c r="U323" i="1" s="1"/>
  <c r="W328" i="1"/>
  <c r="O375" i="1"/>
  <c r="V415" i="1"/>
  <c r="O497" i="1"/>
  <c r="S497" i="1" s="1"/>
  <c r="W606" i="1"/>
  <c r="P4" i="1"/>
  <c r="U4" i="1" s="1"/>
  <c r="Q7" i="1"/>
  <c r="T16" i="1"/>
  <c r="U19" i="1"/>
  <c r="O21" i="1"/>
  <c r="T21" i="1" s="1"/>
  <c r="V22" i="1"/>
  <c r="Q25" i="1"/>
  <c r="V25" i="1" s="1"/>
  <c r="V26" i="1"/>
  <c r="O34" i="1"/>
  <c r="S34" i="1" s="1"/>
  <c r="O39" i="1"/>
  <c r="S39" i="1" s="1"/>
  <c r="O44" i="1"/>
  <c r="S44" i="1" s="1"/>
  <c r="O49" i="1"/>
  <c r="T49" i="1" s="1"/>
  <c r="O54" i="1"/>
  <c r="S54" i="1" s="1"/>
  <c r="O59" i="1"/>
  <c r="S59" i="1" s="1"/>
  <c r="O64" i="1"/>
  <c r="S64" i="1" s="1"/>
  <c r="O69" i="1"/>
  <c r="O74" i="1"/>
  <c r="O79" i="1"/>
  <c r="T79" i="1" s="1"/>
  <c r="O84" i="1"/>
  <c r="O89" i="1"/>
  <c r="O94" i="1"/>
  <c r="T94" i="1" s="1"/>
  <c r="O99" i="1"/>
  <c r="O104" i="1"/>
  <c r="O109" i="1"/>
  <c r="O114" i="1"/>
  <c r="O119" i="1"/>
  <c r="O124" i="1"/>
  <c r="T124" i="1" s="1"/>
  <c r="O129" i="1"/>
  <c r="S129" i="1" s="1"/>
  <c r="O134" i="1"/>
  <c r="S134" i="1" s="1"/>
  <c r="O139" i="1"/>
  <c r="S139" i="1" s="1"/>
  <c r="O144" i="1"/>
  <c r="S144" i="1" s="1"/>
  <c r="O149" i="1"/>
  <c r="S149" i="1" s="1"/>
  <c r="O154" i="1"/>
  <c r="S154" i="1" s="1"/>
  <c r="P159" i="1"/>
  <c r="U159" i="1" s="1"/>
  <c r="P166" i="1"/>
  <c r="U171" i="1"/>
  <c r="Q177" i="1"/>
  <c r="O179" i="1"/>
  <c r="U184" i="1"/>
  <c r="Q188" i="1"/>
  <c r="P190" i="1"/>
  <c r="O192" i="1"/>
  <c r="T192" i="1" s="1"/>
  <c r="U197" i="1"/>
  <c r="T201" i="1"/>
  <c r="W208" i="1"/>
  <c r="U208" i="1"/>
  <c r="U214" i="1"/>
  <c r="Q219" i="1"/>
  <c r="V219" i="1" s="1"/>
  <c r="S226" i="1"/>
  <c r="P228" i="1"/>
  <c r="W234" i="1"/>
  <c r="Q241" i="1"/>
  <c r="V241" i="1" s="1"/>
  <c r="U249" i="1"/>
  <c r="Q252" i="1"/>
  <c r="V252" i="1" s="1"/>
  <c r="O266" i="1"/>
  <c r="T266" i="1" s="1"/>
  <c r="T268" i="1"/>
  <c r="W277" i="1"/>
  <c r="R286" i="1"/>
  <c r="P286" i="1"/>
  <c r="O312" i="1"/>
  <c r="T312" i="1" s="1"/>
  <c r="Q319" i="1"/>
  <c r="V319" i="1" s="1"/>
  <c r="O323" i="1"/>
  <c r="S323" i="1" s="1"/>
  <c r="R328" i="1"/>
  <c r="P328" i="1"/>
  <c r="S338" i="1"/>
  <c r="R350" i="1"/>
  <c r="P350" i="1"/>
  <c r="P375" i="1"/>
  <c r="Q383" i="1"/>
  <c r="V383" i="1" s="1"/>
  <c r="T391" i="1"/>
  <c r="Q403" i="1"/>
  <c r="V403" i="1" s="1"/>
  <c r="T411" i="1"/>
  <c r="Q441" i="1"/>
  <c r="V441" i="1" s="1"/>
  <c r="P21" i="1"/>
  <c r="U21" i="1" s="1"/>
  <c r="P34" i="1"/>
  <c r="P39" i="1"/>
  <c r="P44" i="1"/>
  <c r="P49" i="1"/>
  <c r="P54" i="1"/>
  <c r="P59" i="1"/>
  <c r="P64" i="1"/>
  <c r="U64" i="1" s="1"/>
  <c r="P69" i="1"/>
  <c r="U69" i="1" s="1"/>
  <c r="P74" i="1"/>
  <c r="P79" i="1"/>
  <c r="P84" i="1"/>
  <c r="P89" i="1"/>
  <c r="U89" i="1" s="1"/>
  <c r="P94" i="1"/>
  <c r="P99" i="1"/>
  <c r="P104" i="1"/>
  <c r="U104" i="1" s="1"/>
  <c r="P109" i="1"/>
  <c r="P114" i="1"/>
  <c r="P119" i="1"/>
  <c r="P124" i="1"/>
  <c r="P129" i="1"/>
  <c r="U129" i="1" s="1"/>
  <c r="P134" i="1"/>
  <c r="P139" i="1"/>
  <c r="P144" i="1"/>
  <c r="P149" i="1"/>
  <c r="P154" i="1"/>
  <c r="S168" i="1"/>
  <c r="P179" i="1"/>
  <c r="U179" i="1" s="1"/>
  <c r="W183" i="1"/>
  <c r="Q190" i="1"/>
  <c r="P192" i="1"/>
  <c r="W196" i="1"/>
  <c r="W229" i="1"/>
  <c r="W261" i="1"/>
  <c r="P266" i="1"/>
  <c r="U266" i="1" s="1"/>
  <c r="O294" i="1"/>
  <c r="T294" i="1" s="1"/>
  <c r="O305" i="1"/>
  <c r="T305" i="1" s="1"/>
  <c r="S328" i="1"/>
  <c r="S335" i="1"/>
  <c r="Q343" i="1"/>
  <c r="V343" i="1" s="1"/>
  <c r="S350" i="1"/>
  <c r="W367" i="1"/>
  <c r="R450" i="1"/>
  <c r="W450" i="1" s="1"/>
  <c r="P450" i="1"/>
  <c r="U450" i="1" s="1"/>
  <c r="T10" i="1"/>
  <c r="U13" i="1"/>
  <c r="O15" i="1"/>
  <c r="T15" i="1" s="1"/>
  <c r="V16" i="1"/>
  <c r="P18" i="1"/>
  <c r="U18" i="1" s="1"/>
  <c r="Q21" i="1"/>
  <c r="V21" i="1" s="1"/>
  <c r="O28" i="1"/>
  <c r="T28" i="1" s="1"/>
  <c r="U29" i="1"/>
  <c r="U32" i="1"/>
  <c r="Q34" i="1"/>
  <c r="V34" i="1" s="1"/>
  <c r="U37" i="1"/>
  <c r="Q39" i="1"/>
  <c r="V39" i="1" s="1"/>
  <c r="U42" i="1"/>
  <c r="Q44" i="1"/>
  <c r="U47" i="1"/>
  <c r="Q49" i="1"/>
  <c r="V49" i="1" s="1"/>
  <c r="U52" i="1"/>
  <c r="Q54" i="1"/>
  <c r="U57" i="1"/>
  <c r="Q59" i="1"/>
  <c r="U62" i="1"/>
  <c r="Q64" i="1"/>
  <c r="U67" i="1"/>
  <c r="Q69" i="1"/>
  <c r="U72" i="1"/>
  <c r="Q74" i="1"/>
  <c r="S74" i="1" s="1"/>
  <c r="U77" i="1"/>
  <c r="Q79" i="1"/>
  <c r="S79" i="1" s="1"/>
  <c r="U82" i="1"/>
  <c r="Q84" i="1"/>
  <c r="S84" i="1" s="1"/>
  <c r="U87" i="1"/>
  <c r="Q89" i="1"/>
  <c r="S89" i="1" s="1"/>
  <c r="U92" i="1"/>
  <c r="Q94" i="1"/>
  <c r="U97" i="1"/>
  <c r="Q99" i="1"/>
  <c r="U102" i="1"/>
  <c r="Q104" i="1"/>
  <c r="U107" i="1"/>
  <c r="Q109" i="1"/>
  <c r="U112" i="1"/>
  <c r="Q114" i="1"/>
  <c r="V114" i="1" s="1"/>
  <c r="U117" i="1"/>
  <c r="Q119" i="1"/>
  <c r="V119" i="1" s="1"/>
  <c r="U122" i="1"/>
  <c r="Q124" i="1"/>
  <c r="V124" i="1" s="1"/>
  <c r="U127" i="1"/>
  <c r="Q129" i="1"/>
  <c r="V129" i="1" s="1"/>
  <c r="U132" i="1"/>
  <c r="Q134" i="1"/>
  <c r="V134" i="1" s="1"/>
  <c r="U137" i="1"/>
  <c r="Q139" i="1"/>
  <c r="V139" i="1" s="1"/>
  <c r="U142" i="1"/>
  <c r="Q144" i="1"/>
  <c r="U147" i="1"/>
  <c r="Q149" i="1"/>
  <c r="V149" i="1" s="1"/>
  <c r="U152" i="1"/>
  <c r="Q154" i="1"/>
  <c r="U157" i="1"/>
  <c r="O161" i="1"/>
  <c r="U164" i="1"/>
  <c r="O168" i="1"/>
  <c r="T168" i="1" s="1"/>
  <c r="V173" i="1"/>
  <c r="S177" i="1"/>
  <c r="Q179" i="1"/>
  <c r="O181" i="1"/>
  <c r="S181" i="1" s="1"/>
  <c r="U186" i="1"/>
  <c r="Q192" i="1"/>
  <c r="S192" i="1" s="1"/>
  <c r="O194" i="1"/>
  <c r="S194" i="1" s="1"/>
  <c r="U199" i="1"/>
  <c r="V201" i="1"/>
  <c r="O206" i="1"/>
  <c r="S206" i="1" s="1"/>
  <c r="T221" i="1"/>
  <c r="O224" i="1"/>
  <c r="P226" i="1"/>
  <c r="O231" i="1"/>
  <c r="P236" i="1"/>
  <c r="S236" i="1" s="1"/>
  <c r="P239" i="1"/>
  <c r="S239" i="1" s="1"/>
  <c r="Q250" i="1"/>
  <c r="V250" i="1" s="1"/>
  <c r="S252" i="1"/>
  <c r="Q266" i="1"/>
  <c r="V266" i="1" s="1"/>
  <c r="O280" i="1"/>
  <c r="T280" i="1" s="1"/>
  <c r="S283" i="1"/>
  <c r="P294" i="1"/>
  <c r="U294" i="1" s="1"/>
  <c r="O298" i="1"/>
  <c r="T298" i="1" s="1"/>
  <c r="P305" i="1"/>
  <c r="U305" i="1" s="1"/>
  <c r="T323" i="1"/>
  <c r="P343" i="1"/>
  <c r="U343" i="1" s="1"/>
  <c r="T420" i="1"/>
  <c r="O450" i="1"/>
  <c r="T450" i="1" s="1"/>
  <c r="T513" i="1"/>
  <c r="T7" i="1"/>
  <c r="U10" i="1"/>
  <c r="V13" i="1"/>
  <c r="P15" i="1"/>
  <c r="Q18" i="1"/>
  <c r="V18" i="1" s="1"/>
  <c r="T25" i="1"/>
  <c r="P28" i="1"/>
  <c r="U28" i="1" s="1"/>
  <c r="V29" i="1"/>
  <c r="V32" i="1"/>
  <c r="V37" i="1"/>
  <c r="V42" i="1"/>
  <c r="V47" i="1"/>
  <c r="V52" i="1"/>
  <c r="V57" i="1"/>
  <c r="V62" i="1"/>
  <c r="V67" i="1"/>
  <c r="V72" i="1"/>
  <c r="V77" i="1"/>
  <c r="V82" i="1"/>
  <c r="V87" i="1"/>
  <c r="V92" i="1"/>
  <c r="V97" i="1"/>
  <c r="V102" i="1"/>
  <c r="V107" i="1"/>
  <c r="V112" i="1"/>
  <c r="V117" i="1"/>
  <c r="V122" i="1"/>
  <c r="V127" i="1"/>
  <c r="V132" i="1"/>
  <c r="V137" i="1"/>
  <c r="V142" i="1"/>
  <c r="V147" i="1"/>
  <c r="V152" i="1"/>
  <c r="V157" i="1"/>
  <c r="P161" i="1"/>
  <c r="V164" i="1"/>
  <c r="P168" i="1"/>
  <c r="O170" i="1"/>
  <c r="S170" i="1" s="1"/>
  <c r="V175" i="1"/>
  <c r="T177" i="1"/>
  <c r="P181" i="1"/>
  <c r="V186" i="1"/>
  <c r="U188" i="1"/>
  <c r="T190" i="1"/>
  <c r="P194" i="1"/>
  <c r="U194" i="1" s="1"/>
  <c r="W198" i="1"/>
  <c r="V199" i="1"/>
  <c r="O204" i="1"/>
  <c r="S204" i="1" s="1"/>
  <c r="P206" i="1"/>
  <c r="U206" i="1" s="1"/>
  <c r="O208" i="1"/>
  <c r="S208" i="1" s="1"/>
  <c r="V210" i="1"/>
  <c r="Q215" i="1"/>
  <c r="V215" i="1" s="1"/>
  <c r="Q217" i="1"/>
  <c r="V217" i="1" s="1"/>
  <c r="P224" i="1"/>
  <c r="Q226" i="1"/>
  <c r="P231" i="1"/>
  <c r="U231" i="1" s="1"/>
  <c r="O234" i="1"/>
  <c r="Q236" i="1"/>
  <c r="U244" i="1"/>
  <c r="Q247" i="1"/>
  <c r="V247" i="1" s="1"/>
  <c r="T258" i="1"/>
  <c r="Q258" i="1"/>
  <c r="V258" i="1" s="1"/>
  <c r="O261" i="1"/>
  <c r="Q263" i="1"/>
  <c r="S263" i="1" s="1"/>
  <c r="O277" i="1"/>
  <c r="T277" i="1" s="1"/>
  <c r="P280" i="1"/>
  <c r="U280" i="1" s="1"/>
  <c r="R287" i="1"/>
  <c r="W287" i="1" s="1"/>
  <c r="P287" i="1"/>
  <c r="U287" i="1" s="1"/>
  <c r="P298" i="1"/>
  <c r="O343" i="1"/>
  <c r="S343" i="1" s="1"/>
  <c r="T358" i="1"/>
  <c r="S358" i="1"/>
  <c r="T361" i="1"/>
  <c r="R368" i="1"/>
  <c r="P368" i="1"/>
  <c r="S400" i="1"/>
  <c r="R424" i="1"/>
  <c r="P424" i="1"/>
  <c r="U424" i="1" s="1"/>
  <c r="R592" i="1"/>
  <c r="W592" i="1" s="1"/>
  <c r="P592" i="1"/>
  <c r="O592" i="1"/>
  <c r="T592" i="1" s="1"/>
  <c r="S636" i="1"/>
  <c r="U7" i="1"/>
  <c r="O9" i="1"/>
  <c r="T9" i="1" s="1"/>
  <c r="P12" i="1"/>
  <c r="U12" i="1" s="1"/>
  <c r="Q15" i="1"/>
  <c r="V15" i="1" s="1"/>
  <c r="P24" i="1"/>
  <c r="U24" i="1" s="1"/>
  <c r="U25" i="1"/>
  <c r="Q28" i="1"/>
  <c r="V28" i="1" s="1"/>
  <c r="O31" i="1"/>
  <c r="T31" i="1" s="1"/>
  <c r="O36" i="1"/>
  <c r="T36" i="1" s="1"/>
  <c r="O41" i="1"/>
  <c r="T41" i="1" s="1"/>
  <c r="O46" i="1"/>
  <c r="T46" i="1" s="1"/>
  <c r="O51" i="1"/>
  <c r="T51" i="1" s="1"/>
  <c r="O56" i="1"/>
  <c r="T56" i="1" s="1"/>
  <c r="O61" i="1"/>
  <c r="T61" i="1" s="1"/>
  <c r="O66" i="1"/>
  <c r="T66" i="1" s="1"/>
  <c r="O71" i="1"/>
  <c r="T71" i="1" s="1"/>
  <c r="O76" i="1"/>
  <c r="T76" i="1" s="1"/>
  <c r="O81" i="1"/>
  <c r="T81" i="1" s="1"/>
  <c r="O86" i="1"/>
  <c r="T86" i="1" s="1"/>
  <c r="O91" i="1"/>
  <c r="T91" i="1" s="1"/>
  <c r="O96" i="1"/>
  <c r="T96" i="1" s="1"/>
  <c r="O101" i="1"/>
  <c r="T101" i="1" s="1"/>
  <c r="O106" i="1"/>
  <c r="T106" i="1" s="1"/>
  <c r="O111" i="1"/>
  <c r="T111" i="1" s="1"/>
  <c r="O116" i="1"/>
  <c r="T116" i="1" s="1"/>
  <c r="O121" i="1"/>
  <c r="T121" i="1" s="1"/>
  <c r="O126" i="1"/>
  <c r="T126" i="1" s="1"/>
  <c r="O131" i="1"/>
  <c r="T131" i="1" s="1"/>
  <c r="O136" i="1"/>
  <c r="T136" i="1" s="1"/>
  <c r="O141" i="1"/>
  <c r="T141" i="1" s="1"/>
  <c r="O146" i="1"/>
  <c r="T146" i="1" s="1"/>
  <c r="O151" i="1"/>
  <c r="T151" i="1" s="1"/>
  <c r="T159" i="1"/>
  <c r="Q161" i="1"/>
  <c r="V161" i="1" s="1"/>
  <c r="Q168" i="1"/>
  <c r="V168" i="1" s="1"/>
  <c r="P170" i="1"/>
  <c r="U170" i="1" s="1"/>
  <c r="O172" i="1"/>
  <c r="U177" i="1"/>
  <c r="Q181" i="1"/>
  <c r="V181" i="1" s="1"/>
  <c r="O183" i="1"/>
  <c r="V188" i="1"/>
  <c r="U190" i="1"/>
  <c r="Q194" i="1"/>
  <c r="V194" i="1" s="1"/>
  <c r="P204" i="1"/>
  <c r="U204" i="1" s="1"/>
  <c r="Q206" i="1"/>
  <c r="P208" i="1"/>
  <c r="W210" i="1"/>
  <c r="U219" i="1"/>
  <c r="Q224" i="1"/>
  <c r="V224" i="1" s="1"/>
  <c r="Q231" i="1"/>
  <c r="V231" i="1" s="1"/>
  <c r="P234" i="1"/>
  <c r="U234" i="1" s="1"/>
  <c r="V244" i="1"/>
  <c r="R258" i="1"/>
  <c r="W258" i="1" s="1"/>
  <c r="P258" i="1"/>
  <c r="U258" i="1" s="1"/>
  <c r="P261" i="1"/>
  <c r="U261" i="1" s="1"/>
  <c r="W275" i="1"/>
  <c r="P277" i="1"/>
  <c r="R343" i="1"/>
  <c r="W343" i="1" s="1"/>
  <c r="Q372" i="1"/>
  <c r="V372" i="1" s="1"/>
  <c r="T442" i="1"/>
  <c r="W460" i="1"/>
  <c r="T460" i="1"/>
  <c r="Q460" i="1"/>
  <c r="V460" i="1" s="1"/>
  <c r="P460" i="1"/>
  <c r="S460" i="1" s="1"/>
  <c r="Q466" i="1"/>
  <c r="V466" i="1" s="1"/>
  <c r="T493" i="1"/>
  <c r="V7" i="1"/>
  <c r="P9" i="1"/>
  <c r="U9" i="1" s="1"/>
  <c r="Q693" i="1"/>
  <c r="V693" i="1" s="1"/>
  <c r="Q668" i="1"/>
  <c r="V668" i="1" s="1"/>
  <c r="Q639" i="1"/>
  <c r="V639" i="1" s="1"/>
  <c r="Q584" i="1"/>
  <c r="V584" i="1" s="1"/>
  <c r="Q577" i="1"/>
  <c r="Q570" i="1"/>
  <c r="Q563" i="1"/>
  <c r="V563" i="1" s="1"/>
  <c r="Q648" i="1"/>
  <c r="V648" i="1" s="1"/>
  <c r="Q688" i="1"/>
  <c r="V688" i="1" s="1"/>
  <c r="Q663" i="1"/>
  <c r="V663" i="1" s="1"/>
  <c r="Q644" i="1"/>
  <c r="Q566" i="1"/>
  <c r="V566" i="1" s="1"/>
  <c r="Q683" i="1"/>
  <c r="V683" i="1" s="1"/>
  <c r="Q658" i="1"/>
  <c r="V658" i="1" s="1"/>
  <c r="Q640" i="1"/>
  <c r="Q599" i="1"/>
  <c r="Q592" i="1"/>
  <c r="Q585" i="1"/>
  <c r="V585" i="1" s="1"/>
  <c r="Q578" i="1"/>
  <c r="Q606" i="1"/>
  <c r="V606" i="1" s="1"/>
  <c r="Q678" i="1"/>
  <c r="V678" i="1" s="1"/>
  <c r="Q649" i="1"/>
  <c r="V649" i="1" s="1"/>
  <c r="Q576" i="1"/>
  <c r="V576" i="1" s="1"/>
  <c r="Q682" i="1"/>
  <c r="Q680" i="1"/>
  <c r="V680" i="1" s="1"/>
  <c r="Q653" i="1"/>
  <c r="Q645" i="1"/>
  <c r="V645" i="1" s="1"/>
  <c r="Q632" i="1"/>
  <c r="V632" i="1" s="1"/>
  <c r="Q609" i="1"/>
  <c r="V609" i="1" s="1"/>
  <c r="Q602" i="1"/>
  <c r="V602" i="1" s="1"/>
  <c r="Q595" i="1"/>
  <c r="V595" i="1" s="1"/>
  <c r="Q588" i="1"/>
  <c r="V588" i="1" s="1"/>
  <c r="Q698" i="1"/>
  <c r="V698" i="1" s="1"/>
  <c r="Q673" i="1"/>
  <c r="V673" i="1" s="1"/>
  <c r="Q623" i="1"/>
  <c r="V623" i="1" s="1"/>
  <c r="Q616" i="1"/>
  <c r="V616" i="1" s="1"/>
  <c r="Q553" i="1"/>
  <c r="V553" i="1" s="1"/>
  <c r="Q528" i="1"/>
  <c r="V528" i="1" s="1"/>
  <c r="Q518" i="1"/>
  <c r="V518" i="1" s="1"/>
  <c r="Q473" i="1"/>
  <c r="Q431" i="1"/>
  <c r="V431" i="1" s="1"/>
  <c r="Q662" i="1"/>
  <c r="Q641" i="1"/>
  <c r="Q630" i="1"/>
  <c r="V630" i="1" s="1"/>
  <c r="Q586" i="1"/>
  <c r="V586" i="1" s="1"/>
  <c r="Q478" i="1"/>
  <c r="Q364" i="1"/>
  <c r="V364" i="1" s="1"/>
  <c r="Q344" i="1"/>
  <c r="V344" i="1" s="1"/>
  <c r="Q655" i="1"/>
  <c r="V655" i="1" s="1"/>
  <c r="Q508" i="1"/>
  <c r="V508" i="1" s="1"/>
  <c r="Q483" i="1"/>
  <c r="V483" i="1" s="1"/>
  <c r="Q468" i="1"/>
  <c r="V468" i="1" s="1"/>
  <c r="Q524" i="1"/>
  <c r="V524" i="1" s="1"/>
  <c r="Q514" i="1"/>
  <c r="Q488" i="1"/>
  <c r="V488" i="1" s="1"/>
  <c r="Q593" i="1"/>
  <c r="V593" i="1" s="1"/>
  <c r="Q538" i="1"/>
  <c r="V538" i="1" s="1"/>
  <c r="Q493" i="1"/>
  <c r="V493" i="1" s="1"/>
  <c r="Q498" i="1"/>
  <c r="V498" i="1" s="1"/>
  <c r="Q685" i="1"/>
  <c r="V685" i="1" s="1"/>
  <c r="Q657" i="1"/>
  <c r="Q607" i="1"/>
  <c r="V607" i="1" s="1"/>
  <c r="Q562" i="1"/>
  <c r="V562" i="1" s="1"/>
  <c r="Q523" i="1"/>
  <c r="V523" i="1" s="1"/>
  <c r="Q513" i="1"/>
  <c r="V513" i="1" s="1"/>
  <c r="Q495" i="1"/>
  <c r="V495" i="1" s="1"/>
  <c r="Q456" i="1"/>
  <c r="S456" i="1" s="1"/>
  <c r="Q628" i="1"/>
  <c r="Q565" i="1"/>
  <c r="V565" i="1" s="1"/>
  <c r="Q700" i="1"/>
  <c r="S700" i="1" s="1"/>
  <c r="Q621" i="1"/>
  <c r="V621" i="1" s="1"/>
  <c r="Q503" i="1"/>
  <c r="V503" i="1" s="1"/>
  <c r="Q450" i="1"/>
  <c r="V450" i="1" s="1"/>
  <c r="Q437" i="1"/>
  <c r="V437" i="1" s="1"/>
  <c r="Q424" i="1"/>
  <c r="V424" i="1" s="1"/>
  <c r="Q543" i="1"/>
  <c r="V543" i="1" s="1"/>
  <c r="Q461" i="1"/>
  <c r="V461" i="1" s="1"/>
  <c r="Q675" i="1"/>
  <c r="V675" i="1" s="1"/>
  <c r="Q569" i="1"/>
  <c r="Q446" i="1"/>
  <c r="V446" i="1" s="1"/>
  <c r="Q262" i="1"/>
  <c r="V262" i="1" s="1"/>
  <c r="Q422" i="1"/>
  <c r="V422" i="1" s="1"/>
  <c r="Q396" i="1"/>
  <c r="V396" i="1" s="1"/>
  <c r="Q331" i="1"/>
  <c r="Q269" i="1"/>
  <c r="V269" i="1" s="1"/>
  <c r="Q618" i="1"/>
  <c r="Q600" i="1"/>
  <c r="V600" i="1" s="1"/>
  <c r="Q443" i="1"/>
  <c r="S443" i="1" s="1"/>
  <c r="Q519" i="1"/>
  <c r="V519" i="1" s="1"/>
  <c r="Q479" i="1"/>
  <c r="V479" i="1" s="1"/>
  <c r="Q376" i="1"/>
  <c r="V376" i="1" s="1"/>
  <c r="Q371" i="1"/>
  <c r="V371" i="1" s="1"/>
  <c r="Q366" i="1"/>
  <c r="V366" i="1" s="1"/>
  <c r="Q346" i="1"/>
  <c r="V346" i="1" s="1"/>
  <c r="Q660" i="1"/>
  <c r="V660" i="1" s="1"/>
  <c r="Q572" i="1"/>
  <c r="V572" i="1" s="1"/>
  <c r="Q401" i="1"/>
  <c r="V401" i="1" s="1"/>
  <c r="Q381" i="1"/>
  <c r="V381" i="1" s="1"/>
  <c r="Q326" i="1"/>
  <c r="V326" i="1" s="1"/>
  <c r="Q643" i="1"/>
  <c r="V643" i="1" s="1"/>
  <c r="Q558" i="1"/>
  <c r="V558" i="1" s="1"/>
  <c r="Q687" i="1"/>
  <c r="Q467" i="1"/>
  <c r="S467" i="1" s="1"/>
  <c r="Q448" i="1"/>
  <c r="V448" i="1" s="1"/>
  <c r="Q457" i="1"/>
  <c r="V457" i="1" s="1"/>
  <c r="Q433" i="1"/>
  <c r="Q430" i="1"/>
  <c r="Q378" i="1"/>
  <c r="Q361" i="1"/>
  <c r="V361" i="1" s="1"/>
  <c r="Q330" i="1"/>
  <c r="V330" i="1" s="1"/>
  <c r="Q328" i="1"/>
  <c r="V328" i="1" s="1"/>
  <c r="Q677" i="1"/>
  <c r="S677" i="1" s="1"/>
  <c r="Q489" i="1"/>
  <c r="Q454" i="1"/>
  <c r="V454" i="1" s="1"/>
  <c r="Q312" i="1"/>
  <c r="Q305" i="1"/>
  <c r="Q298" i="1"/>
  <c r="Q291" i="1"/>
  <c r="Q625" i="1"/>
  <c r="Q579" i="1"/>
  <c r="V579" i="1" s="1"/>
  <c r="Q539" i="1"/>
  <c r="Q469" i="1"/>
  <c r="Q444" i="1"/>
  <c r="V444" i="1" s="1"/>
  <c r="Q356" i="1"/>
  <c r="V356" i="1" s="1"/>
  <c r="Q638" i="1"/>
  <c r="V638" i="1" s="1"/>
  <c r="Q287" i="1"/>
  <c r="V287" i="1" s="1"/>
  <c r="Q280" i="1"/>
  <c r="V280" i="1" s="1"/>
  <c r="Q459" i="1"/>
  <c r="V459" i="1" s="1"/>
  <c r="Q420" i="1"/>
  <c r="V420" i="1" s="1"/>
  <c r="Q411" i="1"/>
  <c r="V411" i="1" s="1"/>
  <c r="Q391" i="1"/>
  <c r="V391" i="1" s="1"/>
  <c r="Q336" i="1"/>
  <c r="V336" i="1" s="1"/>
  <c r="Q315" i="1"/>
  <c r="V315" i="1" s="1"/>
  <c r="Q308" i="1"/>
  <c r="V308" i="1" s="1"/>
  <c r="Q301" i="1"/>
  <c r="V301" i="1" s="1"/>
  <c r="Q294" i="1"/>
  <c r="V294" i="1" s="1"/>
  <c r="P31" i="1"/>
  <c r="U31" i="1" s="1"/>
  <c r="T34" i="1"/>
  <c r="P36" i="1"/>
  <c r="U36" i="1" s="1"/>
  <c r="P41" i="1"/>
  <c r="U41" i="1" s="1"/>
  <c r="P46" i="1"/>
  <c r="U46" i="1" s="1"/>
  <c r="P51" i="1"/>
  <c r="U51" i="1" s="1"/>
  <c r="P56" i="1"/>
  <c r="U56" i="1" s="1"/>
  <c r="P61" i="1"/>
  <c r="U61" i="1" s="1"/>
  <c r="T64" i="1"/>
  <c r="P66" i="1"/>
  <c r="U66" i="1" s="1"/>
  <c r="T69" i="1"/>
  <c r="P71" i="1"/>
  <c r="U71" i="1" s="1"/>
  <c r="T74" i="1"/>
  <c r="P76" i="1"/>
  <c r="U76" i="1" s="1"/>
  <c r="P81" i="1"/>
  <c r="U81" i="1" s="1"/>
  <c r="T84" i="1"/>
  <c r="P86" i="1"/>
  <c r="U86" i="1" s="1"/>
  <c r="T89" i="1"/>
  <c r="P91" i="1"/>
  <c r="U91" i="1" s="1"/>
  <c r="P96" i="1"/>
  <c r="U96" i="1" s="1"/>
  <c r="T99" i="1"/>
  <c r="P101" i="1"/>
  <c r="U101" i="1" s="1"/>
  <c r="T104" i="1"/>
  <c r="P106" i="1"/>
  <c r="U106" i="1" s="1"/>
  <c r="T109" i="1"/>
  <c r="P111" i="1"/>
  <c r="U111" i="1" s="1"/>
  <c r="T114" i="1"/>
  <c r="P116" i="1"/>
  <c r="U116" i="1" s="1"/>
  <c r="T119" i="1"/>
  <c r="P121" i="1"/>
  <c r="U121" i="1" s="1"/>
  <c r="P126" i="1"/>
  <c r="U126" i="1" s="1"/>
  <c r="P131" i="1"/>
  <c r="U131" i="1" s="1"/>
  <c r="T134" i="1"/>
  <c r="P136" i="1"/>
  <c r="U136" i="1" s="1"/>
  <c r="P141" i="1"/>
  <c r="U141" i="1" s="1"/>
  <c r="P146" i="1"/>
  <c r="U146" i="1" s="1"/>
  <c r="P151" i="1"/>
  <c r="U151" i="1" s="1"/>
  <c r="P156" i="1"/>
  <c r="S156" i="1" s="1"/>
  <c r="O163" i="1"/>
  <c r="T163" i="1" s="1"/>
  <c r="U166" i="1"/>
  <c r="Q170" i="1"/>
  <c r="V170" i="1" s="1"/>
  <c r="W176" i="1"/>
  <c r="V177" i="1"/>
  <c r="T179" i="1"/>
  <c r="P183" i="1"/>
  <c r="U183" i="1" s="1"/>
  <c r="O185" i="1"/>
  <c r="T185" i="1" s="1"/>
  <c r="V190" i="1"/>
  <c r="P196" i="1"/>
  <c r="U196" i="1" s="1"/>
  <c r="Q200" i="1"/>
  <c r="V200" i="1" s="1"/>
  <c r="Q204" i="1"/>
  <c r="V204" i="1" s="1"/>
  <c r="Q208" i="1"/>
  <c r="V208" i="1" s="1"/>
  <c r="W211" i="1"/>
  <c r="V211" i="1"/>
  <c r="S217" i="1"/>
  <c r="T226" i="1"/>
  <c r="P229" i="1"/>
  <c r="U229" i="1" s="1"/>
  <c r="Q234" i="1"/>
  <c r="V234" i="1" s="1"/>
  <c r="T239" i="1"/>
  <c r="Q245" i="1"/>
  <c r="V245" i="1" s="1"/>
  <c r="O258" i="1"/>
  <c r="S258" i="1" s="1"/>
  <c r="Q261" i="1"/>
  <c r="V261" i="1" s="1"/>
  <c r="Q272" i="1"/>
  <c r="V272" i="1" s="1"/>
  <c r="Q277" i="1"/>
  <c r="O287" i="1"/>
  <c r="T287" i="1" s="1"/>
  <c r="V317" i="1"/>
  <c r="Q320" i="1"/>
  <c r="S320" i="1" s="1"/>
  <c r="R332" i="1"/>
  <c r="W332" i="1" s="1"/>
  <c r="P332" i="1"/>
  <c r="U332" i="1" s="1"/>
  <c r="S336" i="1"/>
  <c r="T343" i="1"/>
  <c r="T354" i="1"/>
  <c r="Q358" i="1"/>
  <c r="V358" i="1" s="1"/>
  <c r="R451" i="1"/>
  <c r="W451" i="1" s="1"/>
  <c r="P451" i="1"/>
  <c r="W587" i="1"/>
  <c r="T587" i="1"/>
  <c r="Q587" i="1"/>
  <c r="V587" i="1" s="1"/>
  <c r="T602" i="1"/>
  <c r="T18" i="1"/>
  <c r="U34" i="1"/>
  <c r="U39" i="1"/>
  <c r="U44" i="1"/>
  <c r="U49" i="1"/>
  <c r="U54" i="1"/>
  <c r="U59" i="1"/>
  <c r="U74" i="1"/>
  <c r="U79" i="1"/>
  <c r="U84" i="1"/>
  <c r="U94" i="1"/>
  <c r="U99" i="1"/>
  <c r="U109" i="1"/>
  <c r="U114" i="1"/>
  <c r="U119" i="1"/>
  <c r="U124" i="1"/>
  <c r="U134" i="1"/>
  <c r="U139" i="1"/>
  <c r="U144" i="1"/>
  <c r="U149" i="1"/>
  <c r="U154" i="1"/>
  <c r="V159" i="1"/>
  <c r="V166" i="1"/>
  <c r="Q183" i="1"/>
  <c r="V183" i="1" s="1"/>
  <c r="U192" i="1"/>
  <c r="Q196" i="1"/>
  <c r="R200" i="1"/>
  <c r="W200" i="1" s="1"/>
  <c r="P200" i="1"/>
  <c r="U200" i="1" s="1"/>
  <c r="W213" i="1"/>
  <c r="V213" i="1"/>
  <c r="U213" i="1"/>
  <c r="T213" i="1"/>
  <c r="Q213" i="1"/>
  <c r="Q229" i="1"/>
  <c r="V229" i="1" s="1"/>
  <c r="U239" i="1"/>
  <c r="Q242" i="1"/>
  <c r="W253" i="1"/>
  <c r="V253" i="1"/>
  <c r="U253" i="1"/>
  <c r="T253" i="1"/>
  <c r="Q253" i="1"/>
  <c r="W256" i="1"/>
  <c r="U256" i="1"/>
  <c r="T256" i="1"/>
  <c r="R272" i="1"/>
  <c r="W272" i="1" s="1"/>
  <c r="P272" i="1"/>
  <c r="U272" i="1" s="1"/>
  <c r="O291" i="1"/>
  <c r="S291" i="1" s="1"/>
  <c r="Q313" i="1"/>
  <c r="R317" i="1"/>
  <c r="W317" i="1" s="1"/>
  <c r="P317" i="1"/>
  <c r="S317" i="1" s="1"/>
  <c r="W325" i="1"/>
  <c r="U325" i="1"/>
  <c r="Q325" i="1"/>
  <c r="V325" i="1" s="1"/>
  <c r="V438" i="1"/>
  <c r="S645" i="1"/>
  <c r="V44" i="1"/>
  <c r="V54" i="1"/>
  <c r="V59" i="1"/>
  <c r="V64" i="1"/>
  <c r="V69" i="1"/>
  <c r="V74" i="1"/>
  <c r="V79" i="1"/>
  <c r="V94" i="1"/>
  <c r="V99" i="1"/>
  <c r="V104" i="1"/>
  <c r="V109" i="1"/>
  <c r="V144" i="1"/>
  <c r="V154" i="1"/>
  <c r="S158" i="1"/>
  <c r="T161" i="1"/>
  <c r="U168" i="1"/>
  <c r="T170" i="1"/>
  <c r="W178" i="1"/>
  <c r="V179" i="1"/>
  <c r="T181" i="1"/>
  <c r="Q185" i="1"/>
  <c r="V185" i="1" s="1"/>
  <c r="W191" i="1"/>
  <c r="V192" i="1"/>
  <c r="T194" i="1"/>
  <c r="O200" i="1"/>
  <c r="T200" i="1" s="1"/>
  <c r="Q202" i="1"/>
  <c r="Q220" i="1"/>
  <c r="V220" i="1" s="1"/>
  <c r="Q222" i="1"/>
  <c r="T224" i="1"/>
  <c r="V239" i="1"/>
  <c r="R253" i="1"/>
  <c r="P253" i="1"/>
  <c r="S272" i="1"/>
  <c r="O272" i="1"/>
  <c r="T272" i="1" s="1"/>
  <c r="P275" i="1"/>
  <c r="S275" i="1" s="1"/>
  <c r="P291" i="1"/>
  <c r="Q306" i="1"/>
  <c r="W310" i="1"/>
  <c r="V310" i="1"/>
  <c r="U310" i="1"/>
  <c r="T310" i="1"/>
  <c r="P325" i="1"/>
  <c r="O332" i="1"/>
  <c r="Q347" i="1"/>
  <c r="V347" i="1" s="1"/>
  <c r="Q351" i="1"/>
  <c r="W372" i="1"/>
  <c r="V421" i="1"/>
  <c r="Q421" i="1"/>
  <c r="W447" i="1"/>
  <c r="V447" i="1"/>
  <c r="T447" i="1"/>
  <c r="W456" i="1"/>
  <c r="Q504" i="1"/>
  <c r="Q533" i="1"/>
  <c r="V533" i="1" s="1"/>
  <c r="O645" i="1"/>
  <c r="T645" i="1" s="1"/>
  <c r="O158" i="1"/>
  <c r="T158" i="1" s="1"/>
  <c r="U161" i="1"/>
  <c r="P165" i="1"/>
  <c r="Q174" i="1"/>
  <c r="V174" i="1" s="1"/>
  <c r="U181" i="1"/>
  <c r="T183" i="1"/>
  <c r="Q187" i="1"/>
  <c r="Q198" i="1"/>
  <c r="V198" i="1" s="1"/>
  <c r="S213" i="1"/>
  <c r="T234" i="1"/>
  <c r="Q240" i="1"/>
  <c r="V240" i="1" s="1"/>
  <c r="O253" i="1"/>
  <c r="S253" i="1" s="1"/>
  <c r="S256" i="1"/>
  <c r="O259" i="1"/>
  <c r="Q264" i="1"/>
  <c r="Q275" i="1"/>
  <c r="V275" i="1" s="1"/>
  <c r="U288" i="1"/>
  <c r="Q299" i="1"/>
  <c r="V299" i="1" s="1"/>
  <c r="W303" i="1"/>
  <c r="V303" i="1"/>
  <c r="U303" i="1"/>
  <c r="T303" i="1"/>
  <c r="R310" i="1"/>
  <c r="P310" i="1"/>
  <c r="S310" i="1" s="1"/>
  <c r="Q317" i="1"/>
  <c r="O325" i="1"/>
  <c r="T325" i="1" s="1"/>
  <c r="Q340" i="1"/>
  <c r="S340" i="1" s="1"/>
  <c r="S355" i="1"/>
  <c r="Q365" i="1"/>
  <c r="Q417" i="1"/>
  <c r="S417" i="1" s="1"/>
  <c r="Q434" i="1"/>
  <c r="R456" i="1"/>
  <c r="P456" i="1"/>
  <c r="U456" i="1" s="1"/>
  <c r="O484" i="1"/>
  <c r="S484" i="1" s="1"/>
  <c r="R347" i="1"/>
  <c r="W347" i="1" s="1"/>
  <c r="P347" i="1"/>
  <c r="U347" i="1" s="1"/>
  <c r="W365" i="1"/>
  <c r="V365" i="1"/>
  <c r="U365" i="1"/>
  <c r="T365" i="1"/>
  <c r="U383" i="1"/>
  <c r="T383" i="1"/>
  <c r="V397" i="1"/>
  <c r="U403" i="1"/>
  <c r="P415" i="1"/>
  <c r="R438" i="1"/>
  <c r="W438" i="1" s="1"/>
  <c r="P438" i="1"/>
  <c r="U438" i="1" s="1"/>
  <c r="O456" i="1"/>
  <c r="T456" i="1" s="1"/>
  <c r="R463" i="1"/>
  <c r="W463" i="1" s="1"/>
  <c r="P463" i="1"/>
  <c r="W485" i="1"/>
  <c r="U485" i="1"/>
  <c r="V485" i="1"/>
  <c r="T485" i="1"/>
  <c r="Q485" i="1"/>
  <c r="O492" i="1"/>
  <c r="T492" i="1" s="1"/>
  <c r="W509" i="1"/>
  <c r="V509" i="1"/>
  <c r="U509" i="1"/>
  <c r="T509" i="1"/>
  <c r="Q509" i="1"/>
  <c r="O517" i="1"/>
  <c r="S517" i="1" s="1"/>
  <c r="W529" i="1"/>
  <c r="V529" i="1"/>
  <c r="Q529" i="1"/>
  <c r="R606" i="1"/>
  <c r="P606" i="1"/>
  <c r="U606" i="1" s="1"/>
  <c r="W611" i="1"/>
  <c r="V611" i="1"/>
  <c r="U611" i="1"/>
  <c r="T611" i="1"/>
  <c r="Q611" i="1"/>
  <c r="W615" i="1"/>
  <c r="S638" i="1"/>
  <c r="T676" i="1"/>
  <c r="S676" i="1"/>
  <c r="P745" i="1"/>
  <c r="R745" i="1"/>
  <c r="O289" i="1"/>
  <c r="T289" i="1" s="1"/>
  <c r="W305" i="1"/>
  <c r="O317" i="1"/>
  <c r="T317" i="1" s="1"/>
  <c r="Q354" i="1"/>
  <c r="V354" i="1" s="1"/>
  <c r="O363" i="1"/>
  <c r="W370" i="1"/>
  <c r="U370" i="1"/>
  <c r="Q370" i="1"/>
  <c r="V370" i="1" s="1"/>
  <c r="W375" i="1"/>
  <c r="U375" i="1"/>
  <c r="T375" i="1"/>
  <c r="Q375" i="1"/>
  <c r="S375" i="1" s="1"/>
  <c r="P383" i="1"/>
  <c r="P403" i="1"/>
  <c r="O415" i="1"/>
  <c r="S415" i="1" s="1"/>
  <c r="T435" i="1"/>
  <c r="S435" i="1"/>
  <c r="O438" i="1"/>
  <c r="O463" i="1"/>
  <c r="T463" i="1" s="1"/>
  <c r="P492" i="1"/>
  <c r="U492" i="1" s="1"/>
  <c r="W497" i="1"/>
  <c r="T497" i="1"/>
  <c r="Q497" i="1"/>
  <c r="V497" i="1" s="1"/>
  <c r="U497" i="1"/>
  <c r="P517" i="1"/>
  <c r="U517" i="1" s="1"/>
  <c r="T543" i="1"/>
  <c r="S543" i="1"/>
  <c r="O552" i="1"/>
  <c r="P611" i="1"/>
  <c r="R615" i="1"/>
  <c r="P615" i="1"/>
  <c r="U615" i="1" s="1"/>
  <c r="O615" i="1"/>
  <c r="R629" i="1"/>
  <c r="P629" i="1"/>
  <c r="Q651" i="1"/>
  <c r="W651" i="1"/>
  <c r="V651" i="1"/>
  <c r="T651" i="1"/>
  <c r="R667" i="1"/>
  <c r="P667" i="1"/>
  <c r="O667" i="1"/>
  <c r="T667" i="1" s="1"/>
  <c r="W270" i="1"/>
  <c r="O282" i="1"/>
  <c r="T282" i="1" s="1"/>
  <c r="P289" i="1"/>
  <c r="U289" i="1" s="1"/>
  <c r="W330" i="1"/>
  <c r="T330" i="1"/>
  <c r="T332" i="1"/>
  <c r="Q332" i="1"/>
  <c r="V332" i="1" s="1"/>
  <c r="O347" i="1"/>
  <c r="T347" i="1" s="1"/>
  <c r="P363" i="1"/>
  <c r="O367" i="1"/>
  <c r="T367" i="1" s="1"/>
  <c r="O372" i="1"/>
  <c r="T372" i="1" s="1"/>
  <c r="O377" i="1"/>
  <c r="S377" i="1" s="1"/>
  <c r="O383" i="1"/>
  <c r="S383" i="1" s="1"/>
  <c r="O403" i="1"/>
  <c r="S403" i="1" s="1"/>
  <c r="Q418" i="1"/>
  <c r="V418" i="1" s="1"/>
  <c r="W427" i="1"/>
  <c r="T427" i="1"/>
  <c r="Q427" i="1"/>
  <c r="V427" i="1" s="1"/>
  <c r="P447" i="1"/>
  <c r="U447" i="1" s="1"/>
  <c r="O469" i="1"/>
  <c r="S469" i="1" s="1"/>
  <c r="W482" i="1"/>
  <c r="V482" i="1"/>
  <c r="Q482" i="1"/>
  <c r="R497" i="1"/>
  <c r="P497" i="1"/>
  <c r="P552" i="1"/>
  <c r="U552" i="1" s="1"/>
  <c r="R588" i="1"/>
  <c r="W588" i="1" s="1"/>
  <c r="P588" i="1"/>
  <c r="U588" i="1" s="1"/>
  <c r="R625" i="1"/>
  <c r="P625" i="1"/>
  <c r="U625" i="1" s="1"/>
  <c r="O625" i="1"/>
  <c r="O284" i="1"/>
  <c r="S284" i="1" s="1"/>
  <c r="W300" i="1"/>
  <c r="S332" i="1"/>
  <c r="Q339" i="1"/>
  <c r="V339" i="1" s="1"/>
  <c r="W350" i="1"/>
  <c r="U350" i="1"/>
  <c r="T350" i="1"/>
  <c r="V352" i="1"/>
  <c r="U352" i="1"/>
  <c r="Q352" i="1"/>
  <c r="P365" i="1"/>
  <c r="S365" i="1" s="1"/>
  <c r="U368" i="1"/>
  <c r="U373" i="1"/>
  <c r="U378" i="1"/>
  <c r="W395" i="1"/>
  <c r="S430" i="1"/>
  <c r="P439" i="1"/>
  <c r="U439" i="1" s="1"/>
  <c r="V451" i="1"/>
  <c r="U451" i="1"/>
  <c r="T451" i="1"/>
  <c r="Q451" i="1"/>
  <c r="O482" i="1"/>
  <c r="S482" i="1" s="1"/>
  <c r="P485" i="1"/>
  <c r="S485" i="1" s="1"/>
  <c r="R506" i="1"/>
  <c r="W506" i="1" s="1"/>
  <c r="P506" i="1"/>
  <c r="U506" i="1" s="1"/>
  <c r="R510" i="1"/>
  <c r="W510" i="1" s="1"/>
  <c r="P510" i="1"/>
  <c r="U510" i="1" s="1"/>
  <c r="O522" i="1"/>
  <c r="S522" i="1" s="1"/>
  <c r="P530" i="1"/>
  <c r="U530" i="1" s="1"/>
  <c r="R530" i="1"/>
  <c r="W530" i="1" s="1"/>
  <c r="W544" i="1"/>
  <c r="Q544" i="1"/>
  <c r="V544" i="1" s="1"/>
  <c r="S562" i="1"/>
  <c r="T607" i="1"/>
  <c r="S607" i="1"/>
  <c r="R647" i="1"/>
  <c r="P647" i="1"/>
  <c r="O647" i="1"/>
  <c r="O314" i="1"/>
  <c r="Q359" i="1"/>
  <c r="V359" i="1" s="1"/>
  <c r="O368" i="1"/>
  <c r="O373" i="1"/>
  <c r="T373" i="1" s="1"/>
  <c r="O378" i="1"/>
  <c r="S378" i="1" s="1"/>
  <c r="P398" i="1"/>
  <c r="U398" i="1" s="1"/>
  <c r="P421" i="1"/>
  <c r="U421" i="1" s="1"/>
  <c r="W445" i="1"/>
  <c r="O448" i="1"/>
  <c r="T448" i="1" s="1"/>
  <c r="S448" i="1"/>
  <c r="R464" i="1"/>
  <c r="W464" i="1" s="1"/>
  <c r="P464" i="1"/>
  <c r="S464" i="1" s="1"/>
  <c r="O464" i="1"/>
  <c r="T474" i="1"/>
  <c r="Q474" i="1"/>
  <c r="V474" i="1" s="1"/>
  <c r="Q531" i="1"/>
  <c r="V531" i="1" s="1"/>
  <c r="S743" i="1"/>
  <c r="O743" i="1"/>
  <c r="O286" i="1"/>
  <c r="S286" i="1" s="1"/>
  <c r="O293" i="1"/>
  <c r="S293" i="1" s="1"/>
  <c r="W295" i="1"/>
  <c r="O300" i="1"/>
  <c r="S300" i="1" s="1"/>
  <c r="O307" i="1"/>
  <c r="S307" i="1" s="1"/>
  <c r="W335" i="1"/>
  <c r="U335" i="1"/>
  <c r="T335" i="1"/>
  <c r="V337" i="1"/>
  <c r="T337" i="1"/>
  <c r="Q337" i="1"/>
  <c r="O348" i="1"/>
  <c r="S348" i="1" s="1"/>
  <c r="O350" i="1"/>
  <c r="O352" i="1"/>
  <c r="T352" i="1" s="1"/>
  <c r="O395" i="1"/>
  <c r="S395" i="1" s="1"/>
  <c r="O398" i="1"/>
  <c r="Q416" i="1"/>
  <c r="V416" i="1" s="1"/>
  <c r="O424" i="1"/>
  <c r="T424" i="1" s="1"/>
  <c r="U428" i="1"/>
  <c r="T428" i="1"/>
  <c r="P428" i="1"/>
  <c r="S428" i="1" s="1"/>
  <c r="P448" i="1"/>
  <c r="U448" i="1" s="1"/>
  <c r="S470" i="1"/>
  <c r="R474" i="1"/>
  <c r="W474" i="1" s="1"/>
  <c r="P474" i="1"/>
  <c r="U474" i="1" s="1"/>
  <c r="W490" i="1"/>
  <c r="V490" i="1"/>
  <c r="W507" i="1"/>
  <c r="V507" i="1"/>
  <c r="Q507" i="1"/>
  <c r="R531" i="1"/>
  <c r="W531" i="1" s="1"/>
  <c r="P531" i="1"/>
  <c r="U531" i="1" s="1"/>
  <c r="W580" i="1"/>
  <c r="U580" i="1"/>
  <c r="Q580" i="1"/>
  <c r="V580" i="1" s="1"/>
  <c r="S603" i="1"/>
  <c r="S612" i="1"/>
  <c r="S621" i="1"/>
  <c r="S656" i="1"/>
  <c r="W260" i="1"/>
  <c r="Q314" i="1"/>
  <c r="R337" i="1"/>
  <c r="W337" i="1" s="1"/>
  <c r="P337" i="1"/>
  <c r="U337" i="1" s="1"/>
  <c r="W352" i="1"/>
  <c r="Q368" i="1"/>
  <c r="Q373" i="1"/>
  <c r="T381" i="1"/>
  <c r="S381" i="1"/>
  <c r="Q384" i="1"/>
  <c r="V384" i="1" s="1"/>
  <c r="O392" i="1"/>
  <c r="S392" i="1" s="1"/>
  <c r="T401" i="1"/>
  <c r="S401" i="1"/>
  <c r="Q404" i="1"/>
  <c r="V404" i="1" s="1"/>
  <c r="O412" i="1"/>
  <c r="T412" i="1" s="1"/>
  <c r="W436" i="1"/>
  <c r="W452" i="1"/>
  <c r="U452" i="1"/>
  <c r="T452" i="1"/>
  <c r="O470" i="1"/>
  <c r="O474" i="1"/>
  <c r="S474" i="1" s="1"/>
  <c r="W494" i="1"/>
  <c r="Q494" i="1"/>
  <c r="V494" i="1" s="1"/>
  <c r="P507" i="1"/>
  <c r="U507" i="1" s="1"/>
  <c r="R536" i="1"/>
  <c r="W536" i="1" s="1"/>
  <c r="P536" i="1"/>
  <c r="U536" i="1" s="1"/>
  <c r="P545" i="1"/>
  <c r="R545" i="1"/>
  <c r="T572" i="1"/>
  <c r="S572" i="1"/>
  <c r="W608" i="1"/>
  <c r="U664" i="1"/>
  <c r="T664" i="1"/>
  <c r="Q664" i="1"/>
  <c r="V664" i="1" s="1"/>
  <c r="R838" i="1"/>
  <c r="P838" i="1"/>
  <c r="Q286" i="1"/>
  <c r="T291" i="1"/>
  <c r="Q293" i="1"/>
  <c r="V293" i="1" s="1"/>
  <c r="Q300" i="1"/>
  <c r="V300" i="1" s="1"/>
  <c r="Q307" i="1"/>
  <c r="V307" i="1" s="1"/>
  <c r="U312" i="1"/>
  <c r="O316" i="1"/>
  <c r="S316" i="1" s="1"/>
  <c r="Q324" i="1"/>
  <c r="V324" i="1" s="1"/>
  <c r="S337" i="1"/>
  <c r="Q348" i="1"/>
  <c r="V348" i="1" s="1"/>
  <c r="Q350" i="1"/>
  <c r="V350" i="1" s="1"/>
  <c r="W355" i="1"/>
  <c r="T355" i="1"/>
  <c r="Q357" i="1"/>
  <c r="V357" i="1" s="1"/>
  <c r="R398" i="1"/>
  <c r="W398" i="1" s="1"/>
  <c r="W410" i="1"/>
  <c r="Q413" i="1"/>
  <c r="V413" i="1" s="1"/>
  <c r="R421" i="1"/>
  <c r="W421" i="1" s="1"/>
  <c r="T440" i="1"/>
  <c r="Q440" i="1"/>
  <c r="V440" i="1" s="1"/>
  <c r="O445" i="1"/>
  <c r="S445" i="1" s="1"/>
  <c r="U465" i="1"/>
  <c r="Q471" i="1"/>
  <c r="V471" i="1"/>
  <c r="S498" i="1"/>
  <c r="S523" i="1"/>
  <c r="Q541" i="1"/>
  <c r="V541" i="1" s="1"/>
  <c r="O545" i="1"/>
  <c r="R585" i="1"/>
  <c r="W585" i="1" s="1"/>
  <c r="P585" i="1"/>
  <c r="U585" i="1" s="1"/>
  <c r="O585" i="1"/>
  <c r="T585" i="1" s="1"/>
  <c r="R595" i="1"/>
  <c r="W595" i="1" s="1"/>
  <c r="P595" i="1"/>
  <c r="U595" i="1" s="1"/>
  <c r="O595" i="1"/>
  <c r="W636" i="1"/>
  <c r="V636" i="1"/>
  <c r="U636" i="1"/>
  <c r="T636" i="1"/>
  <c r="Q636" i="1"/>
  <c r="T263" i="1"/>
  <c r="O274" i="1"/>
  <c r="S274" i="1" s="1"/>
  <c r="U277" i="1"/>
  <c r="O281" i="1"/>
  <c r="S281" i="1" s="1"/>
  <c r="U284" i="1"/>
  <c r="O288" i="1"/>
  <c r="W290" i="1"/>
  <c r="U291" i="1"/>
  <c r="O295" i="1"/>
  <c r="T295" i="1" s="1"/>
  <c r="U298" i="1"/>
  <c r="O302" i="1"/>
  <c r="P309" i="1"/>
  <c r="V312" i="1"/>
  <c r="P316" i="1"/>
  <c r="T328" i="1"/>
  <c r="O333" i="1"/>
  <c r="O335" i="1"/>
  <c r="R357" i="1"/>
  <c r="P357" i="1"/>
  <c r="U357" i="1" s="1"/>
  <c r="S368" i="1"/>
  <c r="S373" i="1"/>
  <c r="V378" i="1"/>
  <c r="U393" i="1"/>
  <c r="T393" i="1"/>
  <c r="R413" i="1"/>
  <c r="W413" i="1" s="1"/>
  <c r="P413" i="1"/>
  <c r="S413" i="1" s="1"/>
  <c r="Q428" i="1"/>
  <c r="O436" i="1"/>
  <c r="S436" i="1" s="1"/>
  <c r="R440" i="1"/>
  <c r="P440" i="1"/>
  <c r="U440" i="1" s="1"/>
  <c r="R445" i="1"/>
  <c r="Q455" i="1"/>
  <c r="V455" i="1" s="1"/>
  <c r="Q458" i="1"/>
  <c r="V458" i="1" s="1"/>
  <c r="O461" i="1"/>
  <c r="T461" i="1" s="1"/>
  <c r="R471" i="1"/>
  <c r="W471" i="1" s="1"/>
  <c r="P471" i="1"/>
  <c r="U471" i="1" s="1"/>
  <c r="R475" i="1"/>
  <c r="W475" i="1" s="1"/>
  <c r="P475" i="1"/>
  <c r="S475" i="1" s="1"/>
  <c r="P490" i="1"/>
  <c r="U490" i="1" s="1"/>
  <c r="S494" i="1"/>
  <c r="O494" i="1"/>
  <c r="T494" i="1" s="1"/>
  <c r="R541" i="1"/>
  <c r="W541" i="1" s="1"/>
  <c r="P541" i="1"/>
  <c r="U541" i="1" s="1"/>
  <c r="O550" i="1"/>
  <c r="T550" i="1" s="1"/>
  <c r="W554" i="1"/>
  <c r="Q554" i="1"/>
  <c r="V554" i="1" s="1"/>
  <c r="W631" i="1"/>
  <c r="U631" i="1"/>
  <c r="T631" i="1"/>
  <c r="Q631" i="1"/>
  <c r="V631" i="1" s="1"/>
  <c r="R640" i="1"/>
  <c r="W640" i="1" s="1"/>
  <c r="P640" i="1"/>
  <c r="U640" i="1" s="1"/>
  <c r="O640" i="1"/>
  <c r="T640" i="1" s="1"/>
  <c r="O260" i="1"/>
  <c r="S260" i="1" s="1"/>
  <c r="U263" i="1"/>
  <c r="O267" i="1"/>
  <c r="P274" i="1"/>
  <c r="V277" i="1"/>
  <c r="P281" i="1"/>
  <c r="U281" i="1" s="1"/>
  <c r="V284" i="1"/>
  <c r="P288" i="1"/>
  <c r="V291" i="1"/>
  <c r="P295" i="1"/>
  <c r="V298" i="1"/>
  <c r="P302" i="1"/>
  <c r="S302" i="1" s="1"/>
  <c r="V305" i="1"/>
  <c r="T307" i="1"/>
  <c r="Q309" i="1"/>
  <c r="V309" i="1" s="1"/>
  <c r="T314" i="1"/>
  <c r="Q316" i="1"/>
  <c r="V316" i="1" s="1"/>
  <c r="U328" i="1"/>
  <c r="P333" i="1"/>
  <c r="U333" i="1" s="1"/>
  <c r="P335" i="1"/>
  <c r="T368" i="1"/>
  <c r="P393" i="1"/>
  <c r="S404" i="1"/>
  <c r="O413" i="1"/>
  <c r="T413" i="1" s="1"/>
  <c r="V425" i="1"/>
  <c r="P436" i="1"/>
  <c r="Q452" i="1"/>
  <c r="S452" i="1" s="1"/>
  <c r="P458" i="1"/>
  <c r="U458" i="1" s="1"/>
  <c r="P461" i="1"/>
  <c r="U461" i="1" s="1"/>
  <c r="O465" i="1"/>
  <c r="S465" i="1" s="1"/>
  <c r="O475" i="1"/>
  <c r="R487" i="1"/>
  <c r="P487" i="1"/>
  <c r="U487" i="1" s="1"/>
  <c r="Q490" i="1"/>
  <c r="T503" i="1"/>
  <c r="O527" i="1"/>
  <c r="S527" i="1" s="1"/>
  <c r="O613" i="1"/>
  <c r="S613" i="1" s="1"/>
  <c r="P631" i="1"/>
  <c r="O669" i="1"/>
  <c r="S669" i="1" s="1"/>
  <c r="O205" i="1"/>
  <c r="S205" i="1" s="1"/>
  <c r="O210" i="1"/>
  <c r="T210" i="1" s="1"/>
  <c r="O215" i="1"/>
  <c r="T215" i="1" s="1"/>
  <c r="O220" i="1"/>
  <c r="T220" i="1" s="1"/>
  <c r="O225" i="1"/>
  <c r="T225" i="1" s="1"/>
  <c r="O230" i="1"/>
  <c r="T230" i="1" s="1"/>
  <c r="O235" i="1"/>
  <c r="T235" i="1" s="1"/>
  <c r="O240" i="1"/>
  <c r="T240" i="1" s="1"/>
  <c r="O245" i="1"/>
  <c r="T245" i="1" s="1"/>
  <c r="O250" i="1"/>
  <c r="T250" i="1" s="1"/>
  <c r="O255" i="1"/>
  <c r="T255" i="1" s="1"/>
  <c r="P260" i="1"/>
  <c r="U260" i="1" s="1"/>
  <c r="P267" i="1"/>
  <c r="U267" i="1" s="1"/>
  <c r="V270" i="1"/>
  <c r="Q274" i="1"/>
  <c r="V274" i="1" s="1"/>
  <c r="Q281" i="1"/>
  <c r="V281" i="1" s="1"/>
  <c r="T286" i="1"/>
  <c r="Q288" i="1"/>
  <c r="V288" i="1" s="1"/>
  <c r="Q295" i="1"/>
  <c r="V295" i="1" s="1"/>
  <c r="T300" i="1"/>
  <c r="Q302" i="1"/>
  <c r="V302" i="1" s="1"/>
  <c r="O304" i="1"/>
  <c r="T304" i="1" s="1"/>
  <c r="U307" i="1"/>
  <c r="O311" i="1"/>
  <c r="T311" i="1" s="1"/>
  <c r="O318" i="1"/>
  <c r="T318" i="1" s="1"/>
  <c r="W320" i="1"/>
  <c r="U320" i="1"/>
  <c r="T320" i="1"/>
  <c r="V322" i="1"/>
  <c r="U322" i="1"/>
  <c r="T322" i="1"/>
  <c r="Q322" i="1"/>
  <c r="S326" i="1"/>
  <c r="Q333" i="1"/>
  <c r="V333" i="1" s="1"/>
  <c r="Q335" i="1"/>
  <c r="V335" i="1" s="1"/>
  <c r="W340" i="1"/>
  <c r="V340" i="1"/>
  <c r="U340" i="1"/>
  <c r="T340" i="1"/>
  <c r="Q342" i="1"/>
  <c r="V342" i="1" s="1"/>
  <c r="T348" i="1"/>
  <c r="O353" i="1"/>
  <c r="T353" i="1" s="1"/>
  <c r="O355" i="1"/>
  <c r="O357" i="1"/>
  <c r="S357" i="1" s="1"/>
  <c r="V368" i="1"/>
  <c r="V373" i="1"/>
  <c r="Q379" i="1"/>
  <c r="V379" i="1" s="1"/>
  <c r="O390" i="1"/>
  <c r="S390" i="1" s="1"/>
  <c r="O393" i="1"/>
  <c r="O410" i="1"/>
  <c r="T410" i="1" s="1"/>
  <c r="S419" i="1"/>
  <c r="O443" i="1"/>
  <c r="T443" i="1" s="1"/>
  <c r="R452" i="1"/>
  <c r="O458" i="1"/>
  <c r="T458" i="1" s="1"/>
  <c r="Q465" i="1"/>
  <c r="Q476" i="1"/>
  <c r="V476" i="1" s="1"/>
  <c r="O479" i="1"/>
  <c r="S479" i="1" s="1"/>
  <c r="T523" i="1"/>
  <c r="P527" i="1"/>
  <c r="U527" i="1" s="1"/>
  <c r="Q591" i="1"/>
  <c r="V591" i="1" s="1"/>
  <c r="P613" i="1"/>
  <c r="U613" i="1" s="1"/>
  <c r="R618" i="1"/>
  <c r="W618" i="1" s="1"/>
  <c r="P618" i="1"/>
  <c r="U618" i="1" s="1"/>
  <c r="O618" i="1"/>
  <c r="S618" i="1" s="1"/>
  <c r="S622" i="1"/>
  <c r="R665" i="1"/>
  <c r="P665" i="1"/>
  <c r="P215" i="1"/>
  <c r="U215" i="1" s="1"/>
  <c r="P220" i="1"/>
  <c r="U220" i="1" s="1"/>
  <c r="P225" i="1"/>
  <c r="S225" i="1" s="1"/>
  <c r="P230" i="1"/>
  <c r="U230" i="1" s="1"/>
  <c r="P235" i="1"/>
  <c r="U235" i="1" s="1"/>
  <c r="P240" i="1"/>
  <c r="U240" i="1" s="1"/>
  <c r="P245" i="1"/>
  <c r="U245" i="1" s="1"/>
  <c r="P250" i="1"/>
  <c r="U250" i="1" s="1"/>
  <c r="P255" i="1"/>
  <c r="U255" i="1" s="1"/>
  <c r="Q260" i="1"/>
  <c r="V260" i="1" s="1"/>
  <c r="S262" i="1"/>
  <c r="Q267" i="1"/>
  <c r="V267" i="1" s="1"/>
  <c r="O269" i="1"/>
  <c r="W285" i="1"/>
  <c r="U286" i="1"/>
  <c r="U293" i="1"/>
  <c r="O297" i="1"/>
  <c r="T297" i="1" s="1"/>
  <c r="U300" i="1"/>
  <c r="P304" i="1"/>
  <c r="U304" i="1" s="1"/>
  <c r="P311" i="1"/>
  <c r="U311" i="1" s="1"/>
  <c r="V314" i="1"/>
  <c r="P318" i="1"/>
  <c r="U318" i="1" s="1"/>
  <c r="R322" i="1"/>
  <c r="P322" i="1"/>
  <c r="R342" i="1"/>
  <c r="P342" i="1"/>
  <c r="U342" i="1" s="1"/>
  <c r="U348" i="1"/>
  <c r="P353" i="1"/>
  <c r="U353" i="1" s="1"/>
  <c r="P355" i="1"/>
  <c r="U355" i="1" s="1"/>
  <c r="W357" i="1"/>
  <c r="W368" i="1"/>
  <c r="W373" i="1"/>
  <c r="R390" i="1"/>
  <c r="W390" i="1" s="1"/>
  <c r="Q393" i="1"/>
  <c r="T396" i="1"/>
  <c r="S396" i="1"/>
  <c r="Q399" i="1"/>
  <c r="V399" i="1" s="1"/>
  <c r="R410" i="1"/>
  <c r="O419" i="1"/>
  <c r="T419" i="1" s="1"/>
  <c r="T422" i="1"/>
  <c r="V428" i="1"/>
  <c r="W434" i="1"/>
  <c r="V434" i="1"/>
  <c r="T434" i="1"/>
  <c r="R437" i="1"/>
  <c r="P437" i="1"/>
  <c r="U437" i="1" s="1"/>
  <c r="R458" i="1"/>
  <c r="W458" i="1" s="1"/>
  <c r="R465" i="1"/>
  <c r="W465" i="1" s="1"/>
  <c r="W472" i="1"/>
  <c r="V472" i="1"/>
  <c r="T472" i="1"/>
  <c r="R476" i="1"/>
  <c r="W476" i="1" s="1"/>
  <c r="P476" i="1"/>
  <c r="U476" i="1" s="1"/>
  <c r="W500" i="1"/>
  <c r="Q500" i="1"/>
  <c r="V500" i="1" s="1"/>
  <c r="O512" i="1"/>
  <c r="T512" i="1" s="1"/>
  <c r="O537" i="1"/>
  <c r="V555" i="1"/>
  <c r="U555" i="1"/>
  <c r="Q555" i="1"/>
  <c r="S559" i="1"/>
  <c r="S665" i="1"/>
  <c r="P698" i="1"/>
  <c r="U698" i="1" s="1"/>
  <c r="P269" i="1"/>
  <c r="U269" i="1" s="1"/>
  <c r="P276" i="1"/>
  <c r="U276" i="1" s="1"/>
  <c r="P283" i="1"/>
  <c r="U283" i="1" s="1"/>
  <c r="V286" i="1"/>
  <c r="P290" i="1"/>
  <c r="P297" i="1"/>
  <c r="U297" i="1" s="1"/>
  <c r="T302" i="1"/>
  <c r="T309" i="1"/>
  <c r="S322" i="1"/>
  <c r="Q329" i="1"/>
  <c r="V329" i="1" s="1"/>
  <c r="S344" i="1"/>
  <c r="S346" i="1"/>
  <c r="Q355" i="1"/>
  <c r="V355" i="1" s="1"/>
  <c r="W360" i="1"/>
  <c r="V360" i="1"/>
  <c r="U360" i="1"/>
  <c r="T360" i="1"/>
  <c r="T362" i="1"/>
  <c r="Q362" i="1"/>
  <c r="V362" i="1" s="1"/>
  <c r="Q369" i="1"/>
  <c r="V369" i="1" s="1"/>
  <c r="Q374" i="1"/>
  <c r="V374" i="1" s="1"/>
  <c r="W385" i="1"/>
  <c r="R393" i="1"/>
  <c r="W393" i="1" s="1"/>
  <c r="W405" i="1"/>
  <c r="R419" i="1"/>
  <c r="W419" i="1" s="1"/>
  <c r="O425" i="1"/>
  <c r="S425" i="1" s="1"/>
  <c r="W428" i="1"/>
  <c r="W440" i="1"/>
  <c r="V452" i="1"/>
  <c r="S455" i="1"/>
  <c r="S458" i="1"/>
  <c r="O495" i="1"/>
  <c r="T495" i="1" s="1"/>
  <c r="R500" i="1"/>
  <c r="P500" i="1"/>
  <c r="U500" i="1" s="1"/>
  <c r="P512" i="1"/>
  <c r="U512" i="1" s="1"/>
  <c r="W520" i="1"/>
  <c r="V520" i="1"/>
  <c r="U520" i="1"/>
  <c r="Q520" i="1"/>
  <c r="S520" i="1" s="1"/>
  <c r="P537" i="1"/>
  <c r="U537" i="1" s="1"/>
  <c r="P555" i="1"/>
  <c r="R555" i="1"/>
  <c r="W555" i="1" s="1"/>
  <c r="O684" i="1"/>
  <c r="O698" i="1"/>
  <c r="T698" i="1" s="1"/>
  <c r="T267" i="1"/>
  <c r="T274" i="1"/>
  <c r="T281" i="1"/>
  <c r="T288" i="1"/>
  <c r="Q290" i="1"/>
  <c r="V290" i="1" s="1"/>
  <c r="O299" i="1"/>
  <c r="U302" i="1"/>
  <c r="U309" i="1"/>
  <c r="W315" i="1"/>
  <c r="U316" i="1"/>
  <c r="O322" i="1"/>
  <c r="T333" i="1"/>
  <c r="O342" i="1"/>
  <c r="T342" i="1" s="1"/>
  <c r="R362" i="1"/>
  <c r="W362" i="1" s="1"/>
  <c r="P362" i="1"/>
  <c r="U362" i="1" s="1"/>
  <c r="S364" i="1"/>
  <c r="T366" i="1"/>
  <c r="T371" i="1"/>
  <c r="T376" i="1"/>
  <c r="V382" i="1"/>
  <c r="U388" i="1"/>
  <c r="T388" i="1"/>
  <c r="T408" i="1"/>
  <c r="U414" i="1"/>
  <c r="Q414" i="1"/>
  <c r="V414" i="1" s="1"/>
  <c r="O437" i="1"/>
  <c r="T437" i="1" s="1"/>
  <c r="U441" i="1"/>
  <c r="T453" i="1"/>
  <c r="Q453" i="1"/>
  <c r="V453" i="1" s="1"/>
  <c r="P453" i="1"/>
  <c r="U453" i="1" s="1"/>
  <c r="V465" i="1"/>
  <c r="P495" i="1"/>
  <c r="S495" i="1" s="1"/>
  <c r="O500" i="1"/>
  <c r="S500" i="1" s="1"/>
  <c r="O555" i="1"/>
  <c r="S555" i="1" s="1"/>
  <c r="W574" i="1"/>
  <c r="Q574" i="1"/>
  <c r="V574" i="1" s="1"/>
  <c r="R632" i="1"/>
  <c r="P632" i="1"/>
  <c r="U632" i="1" s="1"/>
  <c r="W280" i="1"/>
  <c r="O292" i="1"/>
  <c r="T292" i="1" s="1"/>
  <c r="U295" i="1"/>
  <c r="S304" i="1"/>
  <c r="W322" i="1"/>
  <c r="W342" i="1"/>
  <c r="Q349" i="1"/>
  <c r="V349" i="1" s="1"/>
  <c r="P388" i="1"/>
  <c r="S388" i="1" s="1"/>
  <c r="V393" i="1"/>
  <c r="P408" i="1"/>
  <c r="U408" i="1" s="1"/>
  <c r="R414" i="1"/>
  <c r="W414" i="1" s="1"/>
  <c r="P414" i="1"/>
  <c r="Q426" i="1"/>
  <c r="V426" i="1" s="1"/>
  <c r="P434" i="1"/>
  <c r="U434" i="1" s="1"/>
  <c r="P472" i="1"/>
  <c r="U472" i="1" s="1"/>
  <c r="W477" i="1"/>
  <c r="Q477" i="1"/>
  <c r="V477" i="1" s="1"/>
  <c r="U477" i="1"/>
  <c r="O504" i="1"/>
  <c r="S504" i="1" s="1"/>
  <c r="Q556" i="1"/>
  <c r="V556" i="1" s="1"/>
  <c r="W597" i="1"/>
  <c r="V597" i="1"/>
  <c r="U597" i="1"/>
  <c r="Q597" i="1"/>
  <c r="P597" i="1"/>
  <c r="R645" i="1"/>
  <c r="P645" i="1"/>
  <c r="U645" i="1" s="1"/>
  <c r="Q694" i="1"/>
  <c r="V694" i="1"/>
  <c r="W417" i="1"/>
  <c r="O426" i="1"/>
  <c r="T426" i="1" s="1"/>
  <c r="W454" i="1"/>
  <c r="W467" i="1"/>
  <c r="V467" i="1"/>
  <c r="W489" i="1"/>
  <c r="V489" i="1"/>
  <c r="Q516" i="1"/>
  <c r="V516" i="1" s="1"/>
  <c r="W519" i="1"/>
  <c r="Q526" i="1"/>
  <c r="V526" i="1" s="1"/>
  <c r="P540" i="1"/>
  <c r="U540" i="1" s="1"/>
  <c r="O547" i="1"/>
  <c r="S547" i="1" s="1"/>
  <c r="Q551" i="1"/>
  <c r="V551" i="1" s="1"/>
  <c r="T565" i="1"/>
  <c r="S565" i="1"/>
  <c r="V569" i="1"/>
  <c r="S610" i="1"/>
  <c r="S635" i="1"/>
  <c r="R680" i="1"/>
  <c r="W680" i="1" s="1"/>
  <c r="P680" i="1"/>
  <c r="R692" i="1"/>
  <c r="P692" i="1"/>
  <c r="R971" i="1"/>
  <c r="P971" i="1"/>
  <c r="R1042" i="1"/>
  <c r="P1042" i="1"/>
  <c r="S1055" i="1"/>
  <c r="O1055" i="1"/>
  <c r="O439" i="1"/>
  <c r="T439" i="1" s="1"/>
  <c r="W469" i="1"/>
  <c r="V469" i="1"/>
  <c r="U469" i="1"/>
  <c r="T469" i="1"/>
  <c r="W484" i="1"/>
  <c r="V484" i="1"/>
  <c r="U484" i="1"/>
  <c r="T484" i="1"/>
  <c r="W492" i="1"/>
  <c r="V492" i="1"/>
  <c r="Q492" i="1"/>
  <c r="W495" i="1"/>
  <c r="S509" i="1"/>
  <c r="O509" i="1"/>
  <c r="R516" i="1"/>
  <c r="W516" i="1" s="1"/>
  <c r="P516" i="1"/>
  <c r="U516" i="1" s="1"/>
  <c r="R526" i="1"/>
  <c r="W526" i="1" s="1"/>
  <c r="P526" i="1"/>
  <c r="U526" i="1" s="1"/>
  <c r="S540" i="1"/>
  <c r="O540" i="1"/>
  <c r="T540" i="1" s="1"/>
  <c r="P547" i="1"/>
  <c r="U547" i="1" s="1"/>
  <c r="R551" i="1"/>
  <c r="W551" i="1" s="1"/>
  <c r="P551" i="1"/>
  <c r="U551" i="1" s="1"/>
  <c r="S554" i="1"/>
  <c r="S587" i="1"/>
  <c r="R599" i="1"/>
  <c r="W599" i="1" s="1"/>
  <c r="P599" i="1"/>
  <c r="U599" i="1" s="1"/>
  <c r="Q676" i="1"/>
  <c r="V676" i="1" s="1"/>
  <c r="S1042" i="1"/>
  <c r="O1042" i="1"/>
  <c r="O441" i="1"/>
  <c r="T441" i="1" s="1"/>
  <c r="S454" i="1"/>
  <c r="W479" i="1"/>
  <c r="U479" i="1"/>
  <c r="T479" i="1"/>
  <c r="W487" i="1"/>
  <c r="T487" i="1"/>
  <c r="Q487" i="1"/>
  <c r="S487" i="1" s="1"/>
  <c r="O489" i="1"/>
  <c r="T489" i="1" s="1"/>
  <c r="T533" i="1"/>
  <c r="S533" i="1"/>
  <c r="R540" i="1"/>
  <c r="T558" i="1"/>
  <c r="S558" i="1"/>
  <c r="W573" i="1"/>
  <c r="U573" i="1"/>
  <c r="Q573" i="1"/>
  <c r="V573" i="1" s="1"/>
  <c r="V618" i="1"/>
  <c r="W625" i="1"/>
  <c r="V625" i="1"/>
  <c r="R642" i="1"/>
  <c r="P642" i="1"/>
  <c r="O642" i="1"/>
  <c r="S742" i="1"/>
  <c r="O742" i="1"/>
  <c r="O770" i="1"/>
  <c r="W921" i="1"/>
  <c r="V921" i="1"/>
  <c r="U921" i="1"/>
  <c r="T921" i="1"/>
  <c r="Q921" i="1"/>
  <c r="S767" i="1"/>
  <c r="O767" i="1"/>
  <c r="W412" i="1"/>
  <c r="O421" i="1"/>
  <c r="S421" i="1" s="1"/>
  <c r="W449" i="1"/>
  <c r="W462" i="1"/>
  <c r="W470" i="1"/>
  <c r="W480" i="1"/>
  <c r="R501" i="1"/>
  <c r="W501" i="1" s="1"/>
  <c r="P501" i="1"/>
  <c r="U501" i="1" s="1"/>
  <c r="W504" i="1"/>
  <c r="V504" i="1"/>
  <c r="T504" i="1"/>
  <c r="O507" i="1"/>
  <c r="T507" i="1" s="1"/>
  <c r="W517" i="1"/>
  <c r="T517" i="1"/>
  <c r="Q517" i="1"/>
  <c r="V517" i="1" s="1"/>
  <c r="O520" i="1"/>
  <c r="T520" i="1" s="1"/>
  <c r="T548" i="1"/>
  <c r="S548" i="1"/>
  <c r="P574" i="1"/>
  <c r="U574" i="1" s="1"/>
  <c r="T581" i="1"/>
  <c r="Q581" i="1"/>
  <c r="V581" i="1" s="1"/>
  <c r="T600" i="1"/>
  <c r="S600" i="1"/>
  <c r="U669" i="1"/>
  <c r="T669" i="1"/>
  <c r="Q669" i="1"/>
  <c r="W669" i="1"/>
  <c r="V669" i="1"/>
  <c r="S673" i="1"/>
  <c r="Q689" i="1"/>
  <c r="V689" i="1"/>
  <c r="U701" i="1"/>
  <c r="W845" i="1"/>
  <c r="U845" i="1"/>
  <c r="V845" i="1"/>
  <c r="T845" i="1"/>
  <c r="Q845" i="1"/>
  <c r="Q380" i="1"/>
  <c r="V380" i="1" s="1"/>
  <c r="Q385" i="1"/>
  <c r="V385" i="1" s="1"/>
  <c r="Q390" i="1"/>
  <c r="V390" i="1" s="1"/>
  <c r="Q395" i="1"/>
  <c r="V395" i="1" s="1"/>
  <c r="Q400" i="1"/>
  <c r="V400" i="1" s="1"/>
  <c r="Q405" i="1"/>
  <c r="V405" i="1" s="1"/>
  <c r="Q410" i="1"/>
  <c r="V410" i="1" s="1"/>
  <c r="Q419" i="1"/>
  <c r="V419" i="1" s="1"/>
  <c r="O423" i="1"/>
  <c r="S423" i="1" s="1"/>
  <c r="Q432" i="1"/>
  <c r="O434" i="1"/>
  <c r="S434" i="1" s="1"/>
  <c r="Q445" i="1"/>
  <c r="O447" i="1"/>
  <c r="T454" i="1"/>
  <c r="O460" i="1"/>
  <c r="O472" i="1"/>
  <c r="O477" i="1"/>
  <c r="S477" i="1" s="1"/>
  <c r="O490" i="1"/>
  <c r="T490" i="1" s="1"/>
  <c r="W534" i="1"/>
  <c r="W545" i="1"/>
  <c r="U545" i="1"/>
  <c r="Q545" i="1"/>
  <c r="S545" i="1" s="1"/>
  <c r="W559" i="1"/>
  <c r="S574" i="1"/>
  <c r="O574" i="1"/>
  <c r="T574" i="1" s="1"/>
  <c r="R581" i="1"/>
  <c r="W581" i="1" s="1"/>
  <c r="P581" i="1"/>
  <c r="W604" i="1"/>
  <c r="U604" i="1"/>
  <c r="T604" i="1"/>
  <c r="Q604" i="1"/>
  <c r="V604" i="1" s="1"/>
  <c r="Q619" i="1"/>
  <c r="V619" i="1" s="1"/>
  <c r="R622" i="1"/>
  <c r="P622" i="1"/>
  <c r="U622" i="1" s="1"/>
  <c r="O622" i="1"/>
  <c r="T622" i="1" s="1"/>
  <c r="Q626" i="1"/>
  <c r="V626" i="1" s="1"/>
  <c r="W629" i="1"/>
  <c r="T643" i="1"/>
  <c r="W647" i="1"/>
  <c r="U647" i="1"/>
  <c r="O673" i="1"/>
  <c r="T673" i="1" s="1"/>
  <c r="P740" i="1"/>
  <c r="R740" i="1"/>
  <c r="P367" i="1"/>
  <c r="U367" i="1" s="1"/>
  <c r="P372" i="1"/>
  <c r="U372" i="1" s="1"/>
  <c r="P377" i="1"/>
  <c r="T380" i="1"/>
  <c r="P382" i="1"/>
  <c r="T385" i="1"/>
  <c r="P387" i="1"/>
  <c r="S387" i="1" s="1"/>
  <c r="T390" i="1"/>
  <c r="P392" i="1"/>
  <c r="U392" i="1" s="1"/>
  <c r="T395" i="1"/>
  <c r="P397" i="1"/>
  <c r="U397" i="1" s="1"/>
  <c r="T400" i="1"/>
  <c r="P402" i="1"/>
  <c r="T405" i="1"/>
  <c r="P407" i="1"/>
  <c r="P412" i="1"/>
  <c r="V417" i="1"/>
  <c r="U419" i="1"/>
  <c r="P425" i="1"/>
  <c r="W429" i="1"/>
  <c r="V430" i="1"/>
  <c r="Q436" i="1"/>
  <c r="W442" i="1"/>
  <c r="V443" i="1"/>
  <c r="P449" i="1"/>
  <c r="S449" i="1" s="1"/>
  <c r="O451" i="1"/>
  <c r="S451" i="1" s="1"/>
  <c r="V456" i="1"/>
  <c r="P462" i="1"/>
  <c r="P470" i="1"/>
  <c r="P480" i="1"/>
  <c r="U480" i="1" s="1"/>
  <c r="Q496" i="1"/>
  <c r="V496" i="1" s="1"/>
  <c r="W505" i="1"/>
  <c r="U505" i="1"/>
  <c r="Q511" i="1"/>
  <c r="V511" i="1" s="1"/>
  <c r="W514" i="1"/>
  <c r="V514" i="1"/>
  <c r="U514" i="1"/>
  <c r="T514" i="1"/>
  <c r="Q521" i="1"/>
  <c r="V521" i="1" s="1"/>
  <c r="W524" i="1"/>
  <c r="T524" i="1"/>
  <c r="S531" i="1"/>
  <c r="Q534" i="1"/>
  <c r="V534" i="1" s="1"/>
  <c r="T538" i="1"/>
  <c r="S538" i="1"/>
  <c r="Q559" i="1"/>
  <c r="V559" i="1" s="1"/>
  <c r="P567" i="1"/>
  <c r="U581" i="1"/>
  <c r="T593" i="1"/>
  <c r="S593" i="1"/>
  <c r="P604" i="1"/>
  <c r="R608" i="1"/>
  <c r="P608" i="1"/>
  <c r="U608" i="1" s="1"/>
  <c r="O608" i="1"/>
  <c r="Q647" i="1"/>
  <c r="V647" i="1" s="1"/>
  <c r="S658" i="1"/>
  <c r="R682" i="1"/>
  <c r="W682" i="1" s="1"/>
  <c r="P682" i="1"/>
  <c r="S682" i="1" s="1"/>
  <c r="O694" i="1"/>
  <c r="T694" i="1" s="1"/>
  <c r="S737" i="1"/>
  <c r="O737" i="1"/>
  <c r="P765" i="1"/>
  <c r="R765" i="1"/>
  <c r="S798" i="1"/>
  <c r="O798" i="1"/>
  <c r="U380" i="1"/>
  <c r="Q382" i="1"/>
  <c r="U385" i="1"/>
  <c r="Q387" i="1"/>
  <c r="V387" i="1" s="1"/>
  <c r="U390" i="1"/>
  <c r="Q392" i="1"/>
  <c r="V392" i="1" s="1"/>
  <c r="U395" i="1"/>
  <c r="Q397" i="1"/>
  <c r="U400" i="1"/>
  <c r="Q402" i="1"/>
  <c r="V402" i="1" s="1"/>
  <c r="U405" i="1"/>
  <c r="Q407" i="1"/>
  <c r="S407" i="1" s="1"/>
  <c r="U410" i="1"/>
  <c r="Q412" i="1"/>
  <c r="O414" i="1"/>
  <c r="T414" i="1" s="1"/>
  <c r="Q425" i="1"/>
  <c r="O427" i="1"/>
  <c r="S427" i="1" s="1"/>
  <c r="Q438" i="1"/>
  <c r="O440" i="1"/>
  <c r="S440" i="1" s="1"/>
  <c r="U445" i="1"/>
  <c r="Q449" i="1"/>
  <c r="V449" i="1" s="1"/>
  <c r="Q462" i="1"/>
  <c r="S462" i="1" s="1"/>
  <c r="Q470" i="1"/>
  <c r="Q480" i="1"/>
  <c r="V480" i="1" s="1"/>
  <c r="R496" i="1"/>
  <c r="W496" i="1" s="1"/>
  <c r="P496" i="1"/>
  <c r="U496" i="1" s="1"/>
  <c r="W502" i="1"/>
  <c r="V502" i="1"/>
  <c r="T502" i="1"/>
  <c r="Q502" i="1"/>
  <c r="R511" i="1"/>
  <c r="W511" i="1" s="1"/>
  <c r="P511" i="1"/>
  <c r="U511" i="1" s="1"/>
  <c r="R521" i="1"/>
  <c r="W521" i="1" s="1"/>
  <c r="P521" i="1"/>
  <c r="U521" i="1" s="1"/>
  <c r="U535" i="1"/>
  <c r="Q535" i="1"/>
  <c r="V535" i="1" s="1"/>
  <c r="T545" i="1"/>
  <c r="W549" i="1"/>
  <c r="U560" i="1"/>
  <c r="Q560" i="1"/>
  <c r="V560" i="1" s="1"/>
  <c r="S567" i="1"/>
  <c r="O567" i="1"/>
  <c r="W571" i="1"/>
  <c r="V571" i="1"/>
  <c r="T571" i="1"/>
  <c r="Q571" i="1"/>
  <c r="R578" i="1"/>
  <c r="W578" i="1" s="1"/>
  <c r="P578" i="1"/>
  <c r="W601" i="1"/>
  <c r="U601" i="1"/>
  <c r="T601" i="1"/>
  <c r="Q601" i="1"/>
  <c r="V601" i="1" s="1"/>
  <c r="T647" i="1"/>
  <c r="S670" i="1"/>
  <c r="R690" i="1"/>
  <c r="W690" i="1" s="1"/>
  <c r="P690" i="1"/>
  <c r="O416" i="1"/>
  <c r="T416" i="1" s="1"/>
  <c r="V432" i="1"/>
  <c r="T436" i="1"/>
  <c r="W444" i="1"/>
  <c r="V445" i="1"/>
  <c r="W457" i="1"/>
  <c r="O466" i="1"/>
  <c r="T466" i="1" s="1"/>
  <c r="Q475" i="1"/>
  <c r="V475" i="1" s="1"/>
  <c r="S496" i="1"/>
  <c r="S505" i="1"/>
  <c r="O505" i="1"/>
  <c r="T505" i="1" s="1"/>
  <c r="S514" i="1"/>
  <c r="O542" i="1"/>
  <c r="S542" i="1" s="1"/>
  <c r="Q546" i="1"/>
  <c r="V546" i="1" s="1"/>
  <c r="P560" i="1"/>
  <c r="S560" i="1" s="1"/>
  <c r="S563" i="1"/>
  <c r="R567" i="1"/>
  <c r="W567" i="1" s="1"/>
  <c r="S578" i="1"/>
  <c r="P601" i="1"/>
  <c r="Q605" i="1"/>
  <c r="V605" i="1" s="1"/>
  <c r="O623" i="1"/>
  <c r="T623" i="1" s="1"/>
  <c r="T655" i="1"/>
  <c r="S655" i="1"/>
  <c r="O682" i="1"/>
  <c r="W795" i="1"/>
  <c r="V795" i="1"/>
  <c r="U795" i="1"/>
  <c r="T795" i="1"/>
  <c r="Q795" i="1"/>
  <c r="S839" i="1"/>
  <c r="O839" i="1"/>
  <c r="P416" i="1"/>
  <c r="U416" i="1" s="1"/>
  <c r="O429" i="1"/>
  <c r="T429" i="1" s="1"/>
  <c r="U436" i="1"/>
  <c r="T449" i="1"/>
  <c r="P466" i="1"/>
  <c r="U466" i="1" s="1"/>
  <c r="P468" i="1"/>
  <c r="U468" i="1" s="1"/>
  <c r="W499" i="1"/>
  <c r="V499" i="1"/>
  <c r="U499" i="1"/>
  <c r="T499" i="1"/>
  <c r="S502" i="1"/>
  <c r="O502" i="1"/>
  <c r="O535" i="1"/>
  <c r="S535" i="1" s="1"/>
  <c r="R546" i="1"/>
  <c r="W546" i="1" s="1"/>
  <c r="P546" i="1"/>
  <c r="U546" i="1" s="1"/>
  <c r="O560" i="1"/>
  <c r="O571" i="1"/>
  <c r="O578" i="1"/>
  <c r="T578" i="1" s="1"/>
  <c r="S582" i="1"/>
  <c r="W590" i="1"/>
  <c r="T590" i="1"/>
  <c r="Q590" i="1"/>
  <c r="V590" i="1" s="1"/>
  <c r="R609" i="1"/>
  <c r="W609" i="1" s="1"/>
  <c r="P609" i="1"/>
  <c r="U609" i="1" s="1"/>
  <c r="O616" i="1"/>
  <c r="T616" i="1" s="1"/>
  <c r="P623" i="1"/>
  <c r="U623" i="1" s="1"/>
  <c r="T630" i="1"/>
  <c r="S630" i="1"/>
  <c r="Q634" i="1"/>
  <c r="V634" i="1" s="1"/>
  <c r="W644" i="1"/>
  <c r="S762" i="1"/>
  <c r="O762" i="1"/>
  <c r="W789" i="1"/>
  <c r="V789" i="1"/>
  <c r="U789" i="1"/>
  <c r="T789" i="1"/>
  <c r="Q789" i="1"/>
  <c r="W858" i="1"/>
  <c r="V858" i="1"/>
  <c r="Q858" i="1"/>
  <c r="U858" i="1"/>
  <c r="T858" i="1"/>
  <c r="P324" i="1"/>
  <c r="U324" i="1" s="1"/>
  <c r="P329" i="1"/>
  <c r="P334" i="1"/>
  <c r="U334" i="1" s="1"/>
  <c r="P339" i="1"/>
  <c r="U339" i="1" s="1"/>
  <c r="P349" i="1"/>
  <c r="P354" i="1"/>
  <c r="U354" i="1" s="1"/>
  <c r="P359" i="1"/>
  <c r="P369" i="1"/>
  <c r="P374" i="1"/>
  <c r="P379" i="1"/>
  <c r="T382" i="1"/>
  <c r="P384" i="1"/>
  <c r="U384" i="1" s="1"/>
  <c r="T387" i="1"/>
  <c r="P389" i="1"/>
  <c r="U389" i="1" s="1"/>
  <c r="T392" i="1"/>
  <c r="P394" i="1"/>
  <c r="U394" i="1" s="1"/>
  <c r="T397" i="1"/>
  <c r="P399" i="1"/>
  <c r="U399" i="1" s="1"/>
  <c r="P404" i="1"/>
  <c r="U404" i="1" s="1"/>
  <c r="T407" i="1"/>
  <c r="P409" i="1"/>
  <c r="U409" i="1" s="1"/>
  <c r="W422" i="1"/>
  <c r="P429" i="1"/>
  <c r="U429" i="1" s="1"/>
  <c r="S431" i="1"/>
  <c r="O431" i="1"/>
  <c r="T431" i="1" s="1"/>
  <c r="V436" i="1"/>
  <c r="T438" i="1"/>
  <c r="S444" i="1"/>
  <c r="W459" i="1"/>
  <c r="T462" i="1"/>
  <c r="T470" i="1"/>
  <c r="T480" i="1"/>
  <c r="Q491" i="1"/>
  <c r="V491" i="1" s="1"/>
  <c r="P502" i="1"/>
  <c r="U502" i="1" s="1"/>
  <c r="Q505" i="1"/>
  <c r="V505" i="1" s="1"/>
  <c r="W515" i="1"/>
  <c r="V515" i="1"/>
  <c r="U515" i="1"/>
  <c r="Q515" i="1"/>
  <c r="S518" i="1"/>
  <c r="W525" i="1"/>
  <c r="U525" i="1"/>
  <c r="Q525" i="1"/>
  <c r="V525" i="1" s="1"/>
  <c r="T528" i="1"/>
  <c r="S528" i="1"/>
  <c r="R535" i="1"/>
  <c r="W535" i="1" s="1"/>
  <c r="Q549" i="1"/>
  <c r="V549" i="1" s="1"/>
  <c r="T553" i="1"/>
  <c r="S553" i="1"/>
  <c r="R560" i="1"/>
  <c r="W560" i="1" s="1"/>
  <c r="W564" i="1"/>
  <c r="V564" i="1"/>
  <c r="Q564" i="1"/>
  <c r="U586" i="1"/>
  <c r="Q598" i="1"/>
  <c r="Q671" i="1"/>
  <c r="S832" i="1"/>
  <c r="O832" i="1"/>
  <c r="U382" i="1"/>
  <c r="U387" i="1"/>
  <c r="U402" i="1"/>
  <c r="U407" i="1"/>
  <c r="U412" i="1"/>
  <c r="U425" i="1"/>
  <c r="Q429" i="1"/>
  <c r="V429" i="1" s="1"/>
  <c r="Q442" i="1"/>
  <c r="V442" i="1" s="1"/>
  <c r="O444" i="1"/>
  <c r="T444" i="1" s="1"/>
  <c r="U462" i="1"/>
  <c r="U470" i="1"/>
  <c r="T475" i="1"/>
  <c r="Q486" i="1"/>
  <c r="V486" i="1" s="1"/>
  <c r="S488" i="1"/>
  <c r="R491" i="1"/>
  <c r="W491" i="1" s="1"/>
  <c r="P491" i="1"/>
  <c r="U491" i="1" s="1"/>
  <c r="O499" i="1"/>
  <c r="S499" i="1" s="1"/>
  <c r="T535" i="1"/>
  <c r="W539" i="1"/>
  <c r="V539" i="1"/>
  <c r="W550" i="1"/>
  <c r="V550" i="1"/>
  <c r="Q550" i="1"/>
  <c r="T560" i="1"/>
  <c r="W594" i="1"/>
  <c r="V594" i="1"/>
  <c r="T594" i="1"/>
  <c r="Q594" i="1"/>
  <c r="O609" i="1"/>
  <c r="T609" i="1" s="1"/>
  <c r="O620" i="1"/>
  <c r="O627" i="1"/>
  <c r="S627" i="1" s="1"/>
  <c r="W638" i="1"/>
  <c r="S683" i="1"/>
  <c r="P683" i="1"/>
  <c r="U683" i="1" s="1"/>
  <c r="O683" i="1"/>
  <c r="T683" i="1" s="1"/>
  <c r="W735" i="1"/>
  <c r="V735" i="1"/>
  <c r="U735" i="1"/>
  <c r="T735" i="1"/>
  <c r="Q735" i="1"/>
  <c r="V412" i="1"/>
  <c r="W424" i="1"/>
  <c r="W437" i="1"/>
  <c r="O446" i="1"/>
  <c r="T446" i="1" s="1"/>
  <c r="S459" i="1"/>
  <c r="V462" i="1"/>
  <c r="V470" i="1"/>
  <c r="Q481" i="1"/>
  <c r="V481" i="1" s="1"/>
  <c r="R486" i="1"/>
  <c r="W486" i="1" s="1"/>
  <c r="P486" i="1"/>
  <c r="U486" i="1" s="1"/>
  <c r="Q499" i="1"/>
  <c r="W512" i="1"/>
  <c r="V512" i="1"/>
  <c r="Q512" i="1"/>
  <c r="O515" i="1"/>
  <c r="T515" i="1" s="1"/>
  <c r="W522" i="1"/>
  <c r="T522" i="1"/>
  <c r="Q522" i="1"/>
  <c r="V522" i="1" s="1"/>
  <c r="S525" i="1"/>
  <c r="O525" i="1"/>
  <c r="T525" i="1" s="1"/>
  <c r="O532" i="1"/>
  <c r="T532" i="1" s="1"/>
  <c r="Q536" i="1"/>
  <c r="V536" i="1" s="1"/>
  <c r="P550" i="1"/>
  <c r="U550" i="1" s="1"/>
  <c r="S557" i="1"/>
  <c r="O557" i="1"/>
  <c r="T557" i="1" s="1"/>
  <c r="O564" i="1"/>
  <c r="T564" i="1" s="1"/>
  <c r="W583" i="1"/>
  <c r="U583" i="1"/>
  <c r="T583" i="1"/>
  <c r="Q583" i="1"/>
  <c r="V583" i="1" s="1"/>
  <c r="P590" i="1"/>
  <c r="U590" i="1" s="1"/>
  <c r="R602" i="1"/>
  <c r="P602" i="1"/>
  <c r="U602" i="1" s="1"/>
  <c r="R634" i="1"/>
  <c r="W634" i="1" s="1"/>
  <c r="Q696" i="1"/>
  <c r="W804" i="1"/>
  <c r="V804" i="1"/>
  <c r="Q804" i="1"/>
  <c r="U804" i="1"/>
  <c r="T804" i="1"/>
  <c r="S913" i="1"/>
  <c r="O913" i="1"/>
  <c r="W971" i="1"/>
  <c r="V971" i="1"/>
  <c r="U971" i="1"/>
  <c r="T971" i="1"/>
  <c r="Q971" i="1"/>
  <c r="S1004" i="1"/>
  <c r="O1004" i="1"/>
  <c r="W562" i="1"/>
  <c r="V598" i="1"/>
  <c r="W619" i="1"/>
  <c r="W626" i="1"/>
  <c r="O634" i="1"/>
  <c r="T634" i="1" s="1"/>
  <c r="S647" i="1"/>
  <c r="U649" i="1"/>
  <c r="T649" i="1"/>
  <c r="P651" i="1"/>
  <c r="S651" i="1" s="1"/>
  <c r="W660" i="1"/>
  <c r="W662" i="1"/>
  <c r="V662" i="1"/>
  <c r="T662" i="1"/>
  <c r="R664" i="1"/>
  <c r="W664" i="1" s="1"/>
  <c r="P664" i="1"/>
  <c r="W685" i="1"/>
  <c r="W687" i="1"/>
  <c r="V687" i="1"/>
  <c r="U687" i="1"/>
  <c r="T687" i="1"/>
  <c r="R689" i="1"/>
  <c r="W689" i="1" s="1"/>
  <c r="P689" i="1"/>
  <c r="U689" i="1" s="1"/>
  <c r="R795" i="1"/>
  <c r="P795" i="1"/>
  <c r="S838" i="1"/>
  <c r="O838" i="1"/>
  <c r="Q854" i="1"/>
  <c r="W854" i="1"/>
  <c r="V854" i="1"/>
  <c r="U854" i="1"/>
  <c r="T854" i="1"/>
  <c r="R928" i="1"/>
  <c r="P928" i="1"/>
  <c r="W598" i="1"/>
  <c r="W605" i="1"/>
  <c r="S664" i="1"/>
  <c r="O664" i="1"/>
  <c r="S689" i="1"/>
  <c r="O689" i="1"/>
  <c r="T689" i="1" s="1"/>
  <c r="O928" i="1"/>
  <c r="S928" i="1"/>
  <c r="O963" i="1"/>
  <c r="S963" i="1"/>
  <c r="S1143" i="1"/>
  <c r="O1143" i="1"/>
  <c r="R1151" i="1"/>
  <c r="P1151" i="1"/>
  <c r="O576" i="1"/>
  <c r="O583" i="1"/>
  <c r="S583" i="1" s="1"/>
  <c r="O590" i="1"/>
  <c r="S590" i="1" s="1"/>
  <c r="O597" i="1"/>
  <c r="T597" i="1" s="1"/>
  <c r="O604" i="1"/>
  <c r="S604" i="1" s="1"/>
  <c r="S649" i="1"/>
  <c r="O649" i="1"/>
  <c r="O678" i="1"/>
  <c r="T678" i="1" s="1"/>
  <c r="S687" i="1"/>
  <c r="Q701" i="1"/>
  <c r="V701" i="1" s="1"/>
  <c r="W740" i="1"/>
  <c r="V740" i="1"/>
  <c r="U740" i="1"/>
  <c r="T740" i="1"/>
  <c r="Q740" i="1"/>
  <c r="W765" i="1"/>
  <c r="V765" i="1"/>
  <c r="U765" i="1"/>
  <c r="T765" i="1"/>
  <c r="Q765" i="1"/>
  <c r="W774" i="1"/>
  <c r="V774" i="1"/>
  <c r="Q774" i="1"/>
  <c r="O783" i="1"/>
  <c r="W883" i="1"/>
  <c r="V883" i="1"/>
  <c r="U883" i="1"/>
  <c r="T883" i="1"/>
  <c r="Q883" i="1"/>
  <c r="W934" i="1"/>
  <c r="V934" i="1"/>
  <c r="U934" i="1"/>
  <c r="T934" i="1"/>
  <c r="Q934" i="1"/>
  <c r="R883" i="1"/>
  <c r="P883" i="1"/>
  <c r="R934" i="1"/>
  <c r="P934" i="1"/>
  <c r="W941" i="1"/>
  <c r="V941" i="1"/>
  <c r="U941" i="1"/>
  <c r="T941" i="1"/>
  <c r="Q941" i="1"/>
  <c r="P562" i="1"/>
  <c r="U562" i="1" s="1"/>
  <c r="P569" i="1"/>
  <c r="S569" i="1" s="1"/>
  <c r="O606" i="1"/>
  <c r="S606" i="1" s="1"/>
  <c r="W622" i="1"/>
  <c r="P638" i="1"/>
  <c r="U638" i="1" s="1"/>
  <c r="W642" i="1"/>
  <c r="P660" i="1"/>
  <c r="U660" i="1" s="1"/>
  <c r="P662" i="1"/>
  <c r="U662" i="1" s="1"/>
  <c r="W665" i="1"/>
  <c r="W667" i="1"/>
  <c r="V667" i="1"/>
  <c r="U667" i="1"/>
  <c r="R669" i="1"/>
  <c r="P669" i="1"/>
  <c r="P685" i="1"/>
  <c r="S685" i="1" s="1"/>
  <c r="P687" i="1"/>
  <c r="W692" i="1"/>
  <c r="U692" i="1"/>
  <c r="T692" i="1"/>
  <c r="R694" i="1"/>
  <c r="S694" i="1" s="1"/>
  <c r="P694" i="1"/>
  <c r="U694" i="1" s="1"/>
  <c r="W732" i="1"/>
  <c r="V732" i="1"/>
  <c r="U732" i="1"/>
  <c r="T732" i="1"/>
  <c r="Q732" i="1"/>
  <c r="S774" i="1"/>
  <c r="O774" i="1"/>
  <c r="W800" i="1"/>
  <c r="V800" i="1"/>
  <c r="Q800" i="1"/>
  <c r="R832" i="1"/>
  <c r="P832" i="1"/>
  <c r="O873" i="1"/>
  <c r="R941" i="1"/>
  <c r="P941" i="1"/>
  <c r="W984" i="1"/>
  <c r="V984" i="1"/>
  <c r="U984" i="1"/>
  <c r="T984" i="1"/>
  <c r="Q984" i="1"/>
  <c r="W1012" i="1"/>
  <c r="U1012" i="1"/>
  <c r="T1012" i="1"/>
  <c r="Q1012" i="1"/>
  <c r="V1012" i="1"/>
  <c r="R1119" i="1"/>
  <c r="P1119" i="1"/>
  <c r="S947" i="1"/>
  <c r="O947" i="1"/>
  <c r="W1094" i="1"/>
  <c r="U1094" i="1"/>
  <c r="T1094" i="1"/>
  <c r="V1094" i="1"/>
  <c r="Q1094" i="1"/>
  <c r="Q527" i="1"/>
  <c r="Q532" i="1"/>
  <c r="Q537" i="1"/>
  <c r="Q542" i="1"/>
  <c r="V542" i="1" s="1"/>
  <c r="Q547" i="1"/>
  <c r="V547" i="1" s="1"/>
  <c r="Q552" i="1"/>
  <c r="V552" i="1" s="1"/>
  <c r="Q557" i="1"/>
  <c r="V557" i="1" s="1"/>
  <c r="P571" i="1"/>
  <c r="U571" i="1" s="1"/>
  <c r="Q613" i="1"/>
  <c r="V613" i="1" s="1"/>
  <c r="Q620" i="1"/>
  <c r="V620" i="1" s="1"/>
  <c r="Q627" i="1"/>
  <c r="V627" i="1" s="1"/>
  <c r="O629" i="1"/>
  <c r="T629" i="1" s="1"/>
  <c r="S642" i="1"/>
  <c r="P656" i="1"/>
  <c r="P658" i="1"/>
  <c r="U658" i="1" s="1"/>
  <c r="W760" i="1"/>
  <c r="V760" i="1"/>
  <c r="U760" i="1"/>
  <c r="T760" i="1"/>
  <c r="Q760" i="1"/>
  <c r="W771" i="1"/>
  <c r="V771" i="1"/>
  <c r="U771" i="1"/>
  <c r="T771" i="1"/>
  <c r="Q771" i="1"/>
  <c r="W778" i="1"/>
  <c r="V778" i="1"/>
  <c r="U778" i="1"/>
  <c r="T778" i="1"/>
  <c r="W787" i="1"/>
  <c r="V787" i="1"/>
  <c r="U787" i="1"/>
  <c r="Q787" i="1"/>
  <c r="S842" i="1"/>
  <c r="O842" i="1"/>
  <c r="R858" i="1"/>
  <c r="P858" i="1"/>
  <c r="W867" i="1"/>
  <c r="V867" i="1"/>
  <c r="U867" i="1"/>
  <c r="T867" i="1"/>
  <c r="Q867" i="1"/>
  <c r="Q1066" i="1"/>
  <c r="W1066" i="1"/>
  <c r="V1066" i="1"/>
  <c r="U1066" i="1"/>
  <c r="T1066" i="1"/>
  <c r="P1094" i="1"/>
  <c r="R1094" i="1"/>
  <c r="P564" i="1"/>
  <c r="U564" i="1" s="1"/>
  <c r="S594" i="1"/>
  <c r="W617" i="1"/>
  <c r="O665" i="1"/>
  <c r="T674" i="1"/>
  <c r="Q674" i="1"/>
  <c r="V674" i="1" s="1"/>
  <c r="Q681" i="1"/>
  <c r="V681" i="1" s="1"/>
  <c r="O690" i="1"/>
  <c r="S690" i="1" s="1"/>
  <c r="O692" i="1"/>
  <c r="U699" i="1"/>
  <c r="Q699" i="1"/>
  <c r="V699" i="1" s="1"/>
  <c r="W727" i="1"/>
  <c r="V727" i="1"/>
  <c r="U727" i="1"/>
  <c r="T727" i="1"/>
  <c r="Q727" i="1"/>
  <c r="O732" i="1"/>
  <c r="R830" i="1"/>
  <c r="P830" i="1"/>
  <c r="P1066" i="1"/>
  <c r="R1066" i="1"/>
  <c r="S1074" i="1"/>
  <c r="O1074" i="1"/>
  <c r="O1080" i="1"/>
  <c r="O514" i="1"/>
  <c r="O519" i="1"/>
  <c r="S519" i="1" s="1"/>
  <c r="O524" i="1"/>
  <c r="O529" i="1"/>
  <c r="T529" i="1" s="1"/>
  <c r="O534" i="1"/>
  <c r="S534" i="1" s="1"/>
  <c r="O539" i="1"/>
  <c r="T539" i="1" s="1"/>
  <c r="O544" i="1"/>
  <c r="S544" i="1" s="1"/>
  <c r="O549" i="1"/>
  <c r="S549" i="1" s="1"/>
  <c r="O554" i="1"/>
  <c r="T554" i="1" s="1"/>
  <c r="O559" i="1"/>
  <c r="T559" i="1" s="1"/>
  <c r="T562" i="1"/>
  <c r="O566" i="1"/>
  <c r="S566" i="1" s="1"/>
  <c r="U569" i="1"/>
  <c r="O573" i="1"/>
  <c r="S573" i="1" s="1"/>
  <c r="U576" i="1"/>
  <c r="O580" i="1"/>
  <c r="T580" i="1" s="1"/>
  <c r="W582" i="1"/>
  <c r="O587" i="1"/>
  <c r="O594" i="1"/>
  <c r="Q629" i="1"/>
  <c r="W635" i="1"/>
  <c r="T638" i="1"/>
  <c r="O644" i="1"/>
  <c r="T644" i="1" s="1"/>
  <c r="W650" i="1"/>
  <c r="W652" i="1"/>
  <c r="U652" i="1"/>
  <c r="T654" i="1"/>
  <c r="Q654" i="1"/>
  <c r="V654" i="1" s="1"/>
  <c r="T660" i="1"/>
  <c r="W670" i="1"/>
  <c r="W672" i="1"/>
  <c r="V672" i="1"/>
  <c r="R674" i="1"/>
  <c r="P674" i="1"/>
  <c r="U674" i="1" s="1"/>
  <c r="T685" i="1"/>
  <c r="W695" i="1"/>
  <c r="W697" i="1"/>
  <c r="U697" i="1"/>
  <c r="R699" i="1"/>
  <c r="W699" i="1" s="1"/>
  <c r="P699" i="1"/>
  <c r="W722" i="1"/>
  <c r="V722" i="1"/>
  <c r="U722" i="1"/>
  <c r="T722" i="1"/>
  <c r="Q722" i="1"/>
  <c r="W730" i="1"/>
  <c r="V730" i="1"/>
  <c r="U730" i="1"/>
  <c r="T730" i="1"/>
  <c r="Q730" i="1"/>
  <c r="O735" i="1"/>
  <c r="O738" i="1"/>
  <c r="O757" i="1"/>
  <c r="O763" i="1"/>
  <c r="S787" i="1"/>
  <c r="O787" i="1"/>
  <c r="O793" i="1"/>
  <c r="T800" i="1"/>
  <c r="S830" i="1"/>
  <c r="O830" i="1"/>
  <c r="W865" i="1"/>
  <c r="U865" i="1"/>
  <c r="Q865" i="1"/>
  <c r="W1021" i="1"/>
  <c r="V1021" i="1"/>
  <c r="U1021" i="1"/>
  <c r="T1021" i="1"/>
  <c r="Q1021" i="1"/>
  <c r="P479" i="1"/>
  <c r="P484" i="1"/>
  <c r="P489" i="1"/>
  <c r="U489" i="1" s="1"/>
  <c r="P494" i="1"/>
  <c r="U494" i="1" s="1"/>
  <c r="P499" i="1"/>
  <c r="P504" i="1"/>
  <c r="U504" i="1" s="1"/>
  <c r="P509" i="1"/>
  <c r="P514" i="1"/>
  <c r="P519" i="1"/>
  <c r="U519" i="1" s="1"/>
  <c r="P524" i="1"/>
  <c r="S524" i="1" s="1"/>
  <c r="T527" i="1"/>
  <c r="P529" i="1"/>
  <c r="U529" i="1" s="1"/>
  <c r="P534" i="1"/>
  <c r="U534" i="1" s="1"/>
  <c r="T537" i="1"/>
  <c r="P539" i="1"/>
  <c r="U539" i="1" s="1"/>
  <c r="T542" i="1"/>
  <c r="P544" i="1"/>
  <c r="U544" i="1" s="1"/>
  <c r="T547" i="1"/>
  <c r="P549" i="1"/>
  <c r="U549" i="1" s="1"/>
  <c r="T552" i="1"/>
  <c r="P554" i="1"/>
  <c r="U554" i="1" s="1"/>
  <c r="P559" i="1"/>
  <c r="U559" i="1" s="1"/>
  <c r="P566" i="1"/>
  <c r="U566" i="1" s="1"/>
  <c r="P573" i="1"/>
  <c r="P580" i="1"/>
  <c r="P587" i="1"/>
  <c r="U587" i="1" s="1"/>
  <c r="P594" i="1"/>
  <c r="U594" i="1" s="1"/>
  <c r="T599" i="1"/>
  <c r="Q608" i="1"/>
  <c r="V608" i="1" s="1"/>
  <c r="Q615" i="1"/>
  <c r="S615" i="1" s="1"/>
  <c r="T620" i="1"/>
  <c r="Q622" i="1"/>
  <c r="V622" i="1" s="1"/>
  <c r="T627" i="1"/>
  <c r="O633" i="1"/>
  <c r="S633" i="1" s="1"/>
  <c r="Q642" i="1"/>
  <c r="P644" i="1"/>
  <c r="U644" i="1" s="1"/>
  <c r="Q665" i="1"/>
  <c r="Q667" i="1"/>
  <c r="S667" i="1" s="1"/>
  <c r="O674" i="1"/>
  <c r="S674" i="1" s="1"/>
  <c r="U685" i="1"/>
  <c r="Q690" i="1"/>
  <c r="Q692" i="1"/>
  <c r="S692" i="1" s="1"/>
  <c r="W717" i="1"/>
  <c r="V717" i="1"/>
  <c r="U717" i="1"/>
  <c r="T717" i="1"/>
  <c r="Q717" i="1"/>
  <c r="R722" i="1"/>
  <c r="P722" i="1"/>
  <c r="W725" i="1"/>
  <c r="V725" i="1"/>
  <c r="U725" i="1"/>
  <c r="T725" i="1"/>
  <c r="W772" i="1"/>
  <c r="T772" i="1"/>
  <c r="P778" i="1"/>
  <c r="U800" i="1"/>
  <c r="W952" i="1"/>
  <c r="V952" i="1"/>
  <c r="U952" i="1"/>
  <c r="Q952" i="1"/>
  <c r="W1059" i="1"/>
  <c r="U1059" i="1"/>
  <c r="T1059" i="1"/>
  <c r="V1059" i="1"/>
  <c r="Q1059" i="1"/>
  <c r="W612" i="1"/>
  <c r="W637" i="1"/>
  <c r="O654" i="1"/>
  <c r="S654" i="1" s="1"/>
  <c r="W712" i="1"/>
  <c r="V712" i="1"/>
  <c r="U712" i="1"/>
  <c r="T712" i="1"/>
  <c r="Q712" i="1"/>
  <c r="R717" i="1"/>
  <c r="P717" i="1"/>
  <c r="W720" i="1"/>
  <c r="V720" i="1"/>
  <c r="U720" i="1"/>
  <c r="T720" i="1"/>
  <c r="W755" i="1"/>
  <c r="V755" i="1"/>
  <c r="U755" i="1"/>
  <c r="T755" i="1"/>
  <c r="Q755" i="1"/>
  <c r="S824" i="1"/>
  <c r="O824" i="1"/>
  <c r="R887" i="1"/>
  <c r="P887" i="1"/>
  <c r="R952" i="1"/>
  <c r="P952" i="1"/>
  <c r="W997" i="1"/>
  <c r="V997" i="1"/>
  <c r="U997" i="1"/>
  <c r="T997" i="1"/>
  <c r="Q997" i="1"/>
  <c r="W1006" i="1"/>
  <c r="V1006" i="1"/>
  <c r="U1006" i="1"/>
  <c r="T1006" i="1"/>
  <c r="Q1006" i="1"/>
  <c r="W1044" i="1"/>
  <c r="U1044" i="1"/>
  <c r="T1044" i="1"/>
  <c r="V1044" i="1"/>
  <c r="Q1044" i="1"/>
  <c r="V527" i="1"/>
  <c r="V532" i="1"/>
  <c r="V537" i="1"/>
  <c r="O561" i="1"/>
  <c r="T561" i="1" s="1"/>
  <c r="O568" i="1"/>
  <c r="T568" i="1" s="1"/>
  <c r="O575" i="1"/>
  <c r="T575" i="1" s="1"/>
  <c r="W577" i="1"/>
  <c r="U578" i="1"/>
  <c r="O582" i="1"/>
  <c r="O589" i="1"/>
  <c r="T589" i="1" s="1"/>
  <c r="U592" i="1"/>
  <c r="P596" i="1"/>
  <c r="S596" i="1" s="1"/>
  <c r="V599" i="1"/>
  <c r="S601" i="1"/>
  <c r="P603" i="1"/>
  <c r="U603" i="1" s="1"/>
  <c r="P610" i="1"/>
  <c r="U610" i="1" s="1"/>
  <c r="P617" i="1"/>
  <c r="S617" i="1" s="1"/>
  <c r="P624" i="1"/>
  <c r="U629" i="1"/>
  <c r="S631" i="1"/>
  <c r="Q633" i="1"/>
  <c r="V633" i="1" s="1"/>
  <c r="O635" i="1"/>
  <c r="T635" i="1" s="1"/>
  <c r="T642" i="1"/>
  <c r="Q646" i="1"/>
  <c r="V646" i="1" s="1"/>
  <c r="O648" i="1"/>
  <c r="T648" i="1" s="1"/>
  <c r="O650" i="1"/>
  <c r="T650" i="1" s="1"/>
  <c r="O652" i="1"/>
  <c r="S652" i="1" s="1"/>
  <c r="P654" i="1"/>
  <c r="U654" i="1" s="1"/>
  <c r="Q661" i="1"/>
  <c r="V661" i="1" s="1"/>
  <c r="P663" i="1"/>
  <c r="U663" i="1" s="1"/>
  <c r="O670" i="1"/>
  <c r="O672" i="1"/>
  <c r="T672" i="1" s="1"/>
  <c r="W674" i="1"/>
  <c r="Q679" i="1"/>
  <c r="Q686" i="1"/>
  <c r="V686" i="1" s="1"/>
  <c r="P688" i="1"/>
  <c r="U688" i="1" s="1"/>
  <c r="O695" i="1"/>
  <c r="S695" i="1" s="1"/>
  <c r="O697" i="1"/>
  <c r="S697" i="1" s="1"/>
  <c r="W702" i="1"/>
  <c r="V702" i="1"/>
  <c r="U702" i="1"/>
  <c r="T702" i="1"/>
  <c r="W707" i="1"/>
  <c r="V707" i="1"/>
  <c r="U707" i="1"/>
  <c r="T707" i="1"/>
  <c r="Q707" i="1"/>
  <c r="R712" i="1"/>
  <c r="P712" i="1"/>
  <c r="W715" i="1"/>
  <c r="V715" i="1"/>
  <c r="U715" i="1"/>
  <c r="T715" i="1"/>
  <c r="O722" i="1"/>
  <c r="O730" i="1"/>
  <c r="O733" i="1"/>
  <c r="S794" i="1"/>
  <c r="O794" i="1"/>
  <c r="S887" i="1"/>
  <c r="O887" i="1"/>
  <c r="W1040" i="1"/>
  <c r="V1040" i="1"/>
  <c r="U1040" i="1"/>
  <c r="T1040" i="1"/>
  <c r="Q1040" i="1"/>
  <c r="O1047" i="1"/>
  <c r="S1139" i="1"/>
  <c r="O1139" i="1"/>
  <c r="O471" i="1"/>
  <c r="S471" i="1" s="1"/>
  <c r="O476" i="1"/>
  <c r="T476" i="1" s="1"/>
  <c r="O481" i="1"/>
  <c r="T481" i="1" s="1"/>
  <c r="O486" i="1"/>
  <c r="T486" i="1" s="1"/>
  <c r="O491" i="1"/>
  <c r="T491" i="1" s="1"/>
  <c r="O496" i="1"/>
  <c r="T496" i="1" s="1"/>
  <c r="O501" i="1"/>
  <c r="T501" i="1" s="1"/>
  <c r="O506" i="1"/>
  <c r="T506" i="1" s="1"/>
  <c r="O511" i="1"/>
  <c r="T511" i="1" s="1"/>
  <c r="O516" i="1"/>
  <c r="T516" i="1" s="1"/>
  <c r="O521" i="1"/>
  <c r="T521" i="1" s="1"/>
  <c r="O526" i="1"/>
  <c r="T526" i="1" s="1"/>
  <c r="O531" i="1"/>
  <c r="T531" i="1" s="1"/>
  <c r="O536" i="1"/>
  <c r="T536" i="1" s="1"/>
  <c r="O541" i="1"/>
  <c r="T541" i="1" s="1"/>
  <c r="O546" i="1"/>
  <c r="T546" i="1" s="1"/>
  <c r="O551" i="1"/>
  <c r="T551" i="1" s="1"/>
  <c r="O556" i="1"/>
  <c r="T556" i="1" s="1"/>
  <c r="P568" i="1"/>
  <c r="U568" i="1" s="1"/>
  <c r="P575" i="1"/>
  <c r="U575" i="1" s="1"/>
  <c r="V578" i="1"/>
  <c r="P582" i="1"/>
  <c r="U582" i="1" s="1"/>
  <c r="P589" i="1"/>
  <c r="U589" i="1" s="1"/>
  <c r="V592" i="1"/>
  <c r="Q596" i="1"/>
  <c r="V596" i="1" s="1"/>
  <c r="Q603" i="1"/>
  <c r="V603" i="1" s="1"/>
  <c r="T608" i="1"/>
  <c r="Q610" i="1"/>
  <c r="V610" i="1" s="1"/>
  <c r="T615" i="1"/>
  <c r="Q617" i="1"/>
  <c r="V617" i="1" s="1"/>
  <c r="S619" i="1"/>
  <c r="Q624" i="1"/>
  <c r="S624" i="1" s="1"/>
  <c r="O626" i="1"/>
  <c r="V629" i="1"/>
  <c r="P635" i="1"/>
  <c r="U635" i="1" s="1"/>
  <c r="V640" i="1"/>
  <c r="U642" i="1"/>
  <c r="P648" i="1"/>
  <c r="U648" i="1" s="1"/>
  <c r="P650" i="1"/>
  <c r="U650" i="1" s="1"/>
  <c r="P652" i="1"/>
  <c r="P661" i="1"/>
  <c r="T665" i="1"/>
  <c r="P670" i="1"/>
  <c r="U670" i="1" s="1"/>
  <c r="P672" i="1"/>
  <c r="U672" i="1" s="1"/>
  <c r="W675" i="1"/>
  <c r="W677" i="1"/>
  <c r="U677" i="1"/>
  <c r="T677" i="1"/>
  <c r="R679" i="1"/>
  <c r="W679" i="1" s="1"/>
  <c r="P679" i="1"/>
  <c r="U679" i="1" s="1"/>
  <c r="T690" i="1"/>
  <c r="P695" i="1"/>
  <c r="U695" i="1" s="1"/>
  <c r="P697" i="1"/>
  <c r="W700" i="1"/>
  <c r="R702" i="1"/>
  <c r="P702" i="1"/>
  <c r="R707" i="1"/>
  <c r="P707" i="1"/>
  <c r="W710" i="1"/>
  <c r="V710" i="1"/>
  <c r="U710" i="1"/>
  <c r="T710" i="1"/>
  <c r="O717" i="1"/>
  <c r="O725" i="1"/>
  <c r="P730" i="1"/>
  <c r="O752" i="1"/>
  <c r="O758" i="1"/>
  <c r="W769" i="1"/>
  <c r="V769" i="1"/>
  <c r="U769" i="1"/>
  <c r="T769" i="1"/>
  <c r="Q769" i="1"/>
  <c r="O772" i="1"/>
  <c r="O840" i="1"/>
  <c r="T952" i="1"/>
  <c r="R1040" i="1"/>
  <c r="P1040" i="1"/>
  <c r="O1103" i="1"/>
  <c r="S1103" i="1"/>
  <c r="Q561" i="1"/>
  <c r="V561" i="1" s="1"/>
  <c r="Q568" i="1"/>
  <c r="V568" i="1" s="1"/>
  <c r="Q575" i="1"/>
  <c r="V575" i="1" s="1"/>
  <c r="Q582" i="1"/>
  <c r="V582" i="1" s="1"/>
  <c r="S584" i="1"/>
  <c r="Q589" i="1"/>
  <c r="V589" i="1" s="1"/>
  <c r="O605" i="1"/>
  <c r="W607" i="1"/>
  <c r="O619" i="1"/>
  <c r="T619" i="1" s="1"/>
  <c r="P626" i="1"/>
  <c r="U626" i="1" s="1"/>
  <c r="Q635" i="1"/>
  <c r="V635" i="1" s="1"/>
  <c r="O637" i="1"/>
  <c r="T637" i="1" s="1"/>
  <c r="V642" i="1"/>
  <c r="S646" i="1"/>
  <c r="Q650" i="1"/>
  <c r="V650" i="1" s="1"/>
  <c r="Q652" i="1"/>
  <c r="V652" i="1" s="1"/>
  <c r="W654" i="1"/>
  <c r="U665" i="1"/>
  <c r="Q670" i="1"/>
  <c r="V670" i="1" s="1"/>
  <c r="Q672" i="1"/>
  <c r="O679" i="1"/>
  <c r="S679" i="1" s="1"/>
  <c r="U690" i="1"/>
  <c r="Q695" i="1"/>
  <c r="V695" i="1" s="1"/>
  <c r="Q697" i="1"/>
  <c r="V697" i="1" s="1"/>
  <c r="W705" i="1"/>
  <c r="V705" i="1"/>
  <c r="U705" i="1"/>
  <c r="T705" i="1"/>
  <c r="O712" i="1"/>
  <c r="P725" i="1"/>
  <c r="O755" i="1"/>
  <c r="R769" i="1"/>
  <c r="P769" i="1"/>
  <c r="P772" i="1"/>
  <c r="W847" i="1"/>
  <c r="V847" i="1"/>
  <c r="U847" i="1"/>
  <c r="T847" i="1"/>
  <c r="Q847" i="1"/>
  <c r="T865" i="1"/>
  <c r="R878" i="1"/>
  <c r="P878" i="1"/>
  <c r="R1124" i="1"/>
  <c r="P1124" i="1"/>
  <c r="W572" i="1"/>
  <c r="O584" i="1"/>
  <c r="T584" i="1" s="1"/>
  <c r="P591" i="1"/>
  <c r="P598" i="1"/>
  <c r="P605" i="1"/>
  <c r="U605" i="1" s="1"/>
  <c r="P612" i="1"/>
  <c r="U612" i="1" s="1"/>
  <c r="V615" i="1"/>
  <c r="P619" i="1"/>
  <c r="U619" i="1" s="1"/>
  <c r="T624" i="1"/>
  <c r="W630" i="1"/>
  <c r="P637" i="1"/>
  <c r="U637" i="1" s="1"/>
  <c r="O639" i="1"/>
  <c r="T639" i="1" s="1"/>
  <c r="V644" i="1"/>
  <c r="T646" i="1"/>
  <c r="W655" i="1"/>
  <c r="W657" i="1"/>
  <c r="V657" i="1"/>
  <c r="U657" i="1"/>
  <c r="U659" i="1"/>
  <c r="T659" i="1"/>
  <c r="Q659" i="1"/>
  <c r="V659" i="1" s="1"/>
  <c r="V665" i="1"/>
  <c r="O668" i="1"/>
  <c r="V679" i="1"/>
  <c r="V690" i="1"/>
  <c r="O693" i="1"/>
  <c r="O702" i="1"/>
  <c r="O707" i="1"/>
  <c r="P720" i="1"/>
  <c r="Q725" i="1"/>
  <c r="W750" i="1"/>
  <c r="V750" i="1"/>
  <c r="U750" i="1"/>
  <c r="T750" i="1"/>
  <c r="Q750" i="1"/>
  <c r="R755" i="1"/>
  <c r="Q772" i="1"/>
  <c r="W776" i="1"/>
  <c r="V776" i="1"/>
  <c r="U776" i="1"/>
  <c r="T776" i="1"/>
  <c r="Q776" i="1"/>
  <c r="W785" i="1"/>
  <c r="V785" i="1"/>
  <c r="Q785" i="1"/>
  <c r="V865" i="1"/>
  <c r="S878" i="1"/>
  <c r="O878" i="1"/>
  <c r="W885" i="1"/>
  <c r="V885" i="1"/>
  <c r="U885" i="1"/>
  <c r="T885" i="1"/>
  <c r="Q885" i="1"/>
  <c r="Q1081" i="1"/>
  <c r="W1081" i="1"/>
  <c r="V1081" i="1"/>
  <c r="U1081" i="1"/>
  <c r="T1081" i="1"/>
  <c r="T596" i="1"/>
  <c r="T603" i="1"/>
  <c r="T610" i="1"/>
  <c r="Q612" i="1"/>
  <c r="V612" i="1" s="1"/>
  <c r="T617" i="1"/>
  <c r="U624" i="1"/>
  <c r="U633" i="1"/>
  <c r="Q637" i="1"/>
  <c r="V637" i="1" s="1"/>
  <c r="U646" i="1"/>
  <c r="T652" i="1"/>
  <c r="Q666" i="1"/>
  <c r="O675" i="1"/>
  <c r="T684" i="1"/>
  <c r="Q684" i="1"/>
  <c r="V684" i="1" s="1"/>
  <c r="Q691" i="1"/>
  <c r="V691" i="1" s="1"/>
  <c r="Q702" i="1"/>
  <c r="Q720" i="1"/>
  <c r="U772" i="1"/>
  <c r="W782" i="1"/>
  <c r="V782" i="1"/>
  <c r="U782" i="1"/>
  <c r="T782" i="1"/>
  <c r="Q782" i="1"/>
  <c r="W798" i="1"/>
  <c r="V798" i="1"/>
  <c r="Q798" i="1"/>
  <c r="W802" i="1"/>
  <c r="V802" i="1"/>
  <c r="Q802" i="1"/>
  <c r="R885" i="1"/>
  <c r="P885" i="1"/>
  <c r="W949" i="1"/>
  <c r="V949" i="1"/>
  <c r="U949" i="1"/>
  <c r="T949" i="1"/>
  <c r="Q949" i="1"/>
  <c r="W1032" i="1"/>
  <c r="V1032" i="1"/>
  <c r="U1032" i="1"/>
  <c r="T1032" i="1"/>
  <c r="Q1032" i="1"/>
  <c r="S1060" i="1"/>
  <c r="O1060" i="1"/>
  <c r="P1081" i="1"/>
  <c r="R1081" i="1"/>
  <c r="S579" i="1"/>
  <c r="T582" i="1"/>
  <c r="W602" i="1"/>
  <c r="O614" i="1"/>
  <c r="T614" i="1" s="1"/>
  <c r="U617" i="1"/>
  <c r="W632" i="1"/>
  <c r="W645" i="1"/>
  <c r="S657" i="1"/>
  <c r="O659" i="1"/>
  <c r="S659" i="1" s="1"/>
  <c r="T661" i="1"/>
  <c r="T670" i="1"/>
  <c r="V682" i="1"/>
  <c r="T682" i="1"/>
  <c r="R684" i="1"/>
  <c r="W684" i="1" s="1"/>
  <c r="P684" i="1"/>
  <c r="U684" i="1" s="1"/>
  <c r="T695" i="1"/>
  <c r="Q715" i="1"/>
  <c r="V772" i="1"/>
  <c r="R782" i="1"/>
  <c r="P782" i="1"/>
  <c r="R798" i="1"/>
  <c r="P798" i="1"/>
  <c r="S822" i="1"/>
  <c r="O822" i="1"/>
  <c r="W828" i="1"/>
  <c r="V828" i="1"/>
  <c r="U828" i="1"/>
  <c r="Q828" i="1"/>
  <c r="S862" i="1"/>
  <c r="O862" i="1"/>
  <c r="R913" i="1"/>
  <c r="P913" i="1"/>
  <c r="Q1061" i="1"/>
  <c r="W1061" i="1"/>
  <c r="U1061" i="1"/>
  <c r="T1061" i="1"/>
  <c r="V1061" i="1"/>
  <c r="S1151" i="1"/>
  <c r="O1151" i="1"/>
  <c r="Q1209" i="1"/>
  <c r="W1209" i="1"/>
  <c r="V1209" i="1"/>
  <c r="U1209" i="1"/>
  <c r="T1209" i="1"/>
  <c r="O1217" i="1"/>
  <c r="S1217" i="1"/>
  <c r="S1244" i="1"/>
  <c r="O1244" i="1"/>
  <c r="Q1483" i="1"/>
  <c r="W1483" i="1"/>
  <c r="V1483" i="1"/>
  <c r="U1483" i="1"/>
  <c r="T1483" i="1"/>
  <c r="W835" i="1"/>
  <c r="U835" i="1"/>
  <c r="W837" i="1"/>
  <c r="V837" i="1"/>
  <c r="U837" i="1"/>
  <c r="T837" i="1"/>
  <c r="Q837" i="1"/>
  <c r="W872" i="1"/>
  <c r="V872" i="1"/>
  <c r="U872" i="1"/>
  <c r="T872" i="1"/>
  <c r="Q872" i="1"/>
  <c r="W939" i="1"/>
  <c r="V939" i="1"/>
  <c r="S941" i="1"/>
  <c r="O941" i="1"/>
  <c r="S971" i="1"/>
  <c r="O971" i="1"/>
  <c r="R997" i="1"/>
  <c r="P997" i="1"/>
  <c r="W1023" i="1"/>
  <c r="V1023" i="1"/>
  <c r="U1023" i="1"/>
  <c r="T1023" i="1"/>
  <c r="Q1023" i="1"/>
  <c r="S1040" i="1"/>
  <c r="O1040" i="1"/>
  <c r="S1066" i="1"/>
  <c r="O1066" i="1"/>
  <c r="W1120" i="1"/>
  <c r="V1120" i="1"/>
  <c r="U1120" i="1"/>
  <c r="T1120" i="1"/>
  <c r="Q1120" i="1"/>
  <c r="S867" i="1"/>
  <c r="O867" i="1"/>
  <c r="W870" i="1"/>
  <c r="V870" i="1"/>
  <c r="U870" i="1"/>
  <c r="W877" i="1"/>
  <c r="V877" i="1"/>
  <c r="U877" i="1"/>
  <c r="T877" i="1"/>
  <c r="Q877" i="1"/>
  <c r="W923" i="1"/>
  <c r="V923" i="1"/>
  <c r="U923" i="1"/>
  <c r="T923" i="1"/>
  <c r="Q923" i="1"/>
  <c r="W936" i="1"/>
  <c r="V936" i="1"/>
  <c r="U936" i="1"/>
  <c r="T936" i="1"/>
  <c r="Q936" i="1"/>
  <c r="O952" i="1"/>
  <c r="W960" i="1"/>
  <c r="V960" i="1"/>
  <c r="U960" i="1"/>
  <c r="T960" i="1"/>
  <c r="Q960" i="1"/>
  <c r="U975" i="1"/>
  <c r="T975" i="1"/>
  <c r="Q975" i="1"/>
  <c r="W986" i="1"/>
  <c r="V986" i="1"/>
  <c r="U986" i="1"/>
  <c r="T986" i="1"/>
  <c r="Q986" i="1"/>
  <c r="S997" i="1"/>
  <c r="O997" i="1"/>
  <c r="S1006" i="1"/>
  <c r="O1006" i="1"/>
  <c r="R1023" i="1"/>
  <c r="P1023" i="1"/>
  <c r="Q1041" i="1"/>
  <c r="W1041" i="1"/>
  <c r="U1041" i="1"/>
  <c r="T1041" i="1"/>
  <c r="W1050" i="1"/>
  <c r="V1050" i="1"/>
  <c r="U1050" i="1"/>
  <c r="T1050" i="1"/>
  <c r="Q1050" i="1"/>
  <c r="W1054" i="1"/>
  <c r="U1054" i="1"/>
  <c r="T1054" i="1"/>
  <c r="V1054" i="1"/>
  <c r="Q1054" i="1"/>
  <c r="O1083" i="1"/>
  <c r="S1083" i="1"/>
  <c r="R1100" i="1"/>
  <c r="P1100" i="1"/>
  <c r="R1120" i="1"/>
  <c r="P1120" i="1"/>
  <c r="R1127" i="1"/>
  <c r="P1127" i="1"/>
  <c r="S1167" i="1"/>
  <c r="O1167" i="1"/>
  <c r="S802" i="1"/>
  <c r="O802" i="1"/>
  <c r="S804" i="1"/>
  <c r="O804" i="1"/>
  <c r="S837" i="1"/>
  <c r="O837" i="1"/>
  <c r="S844" i="1"/>
  <c r="O844" i="1"/>
  <c r="S872" i="1"/>
  <c r="O872" i="1"/>
  <c r="W875" i="1"/>
  <c r="V875" i="1"/>
  <c r="U875" i="1"/>
  <c r="W882" i="1"/>
  <c r="V882" i="1"/>
  <c r="U882" i="1"/>
  <c r="T882" i="1"/>
  <c r="Q882" i="1"/>
  <c r="R923" i="1"/>
  <c r="P923" i="1"/>
  <c r="S926" i="1"/>
  <c r="O926" i="1"/>
  <c r="R960" i="1"/>
  <c r="P960" i="1"/>
  <c r="W969" i="1"/>
  <c r="V969" i="1"/>
  <c r="U969" i="1"/>
  <c r="T969" i="1"/>
  <c r="Q969" i="1"/>
  <c r="O1009" i="1"/>
  <c r="O1032" i="1"/>
  <c r="P1041" i="1"/>
  <c r="R1041" i="1"/>
  <c r="R1050" i="1"/>
  <c r="P1050" i="1"/>
  <c r="O1057" i="1"/>
  <c r="S1120" i="1"/>
  <c r="O1120" i="1"/>
  <c r="S1323" i="1"/>
  <c r="O1323" i="1"/>
  <c r="P802" i="1"/>
  <c r="P804" i="1"/>
  <c r="P806" i="1"/>
  <c r="P837" i="1"/>
  <c r="S877" i="1"/>
  <c r="O877" i="1"/>
  <c r="W880" i="1"/>
  <c r="V880" i="1"/>
  <c r="U880" i="1"/>
  <c r="P926" i="1"/>
  <c r="O939" i="1"/>
  <c r="S960" i="1"/>
  <c r="O960" i="1"/>
  <c r="R998" i="1"/>
  <c r="P998" i="1"/>
  <c r="W1013" i="1"/>
  <c r="Q1013" i="1"/>
  <c r="W1024" i="1"/>
  <c r="T1024" i="1"/>
  <c r="Q1024" i="1"/>
  <c r="S1050" i="1"/>
  <c r="O1050" i="1"/>
  <c r="R1059" i="1"/>
  <c r="R1117" i="1"/>
  <c r="P1117" i="1"/>
  <c r="O1127" i="1"/>
  <c r="R1162" i="1"/>
  <c r="P1162" i="1"/>
  <c r="S789" i="1"/>
  <c r="O789" i="1"/>
  <c r="Q806" i="1"/>
  <c r="O810" i="1"/>
  <c r="S812" i="1"/>
  <c r="O812" i="1"/>
  <c r="S814" i="1"/>
  <c r="O814" i="1"/>
  <c r="W840" i="1"/>
  <c r="U840" i="1"/>
  <c r="W842" i="1"/>
  <c r="V842" i="1"/>
  <c r="U842" i="1"/>
  <c r="T842" i="1"/>
  <c r="Q842" i="1"/>
  <c r="U844" i="1"/>
  <c r="O863" i="1"/>
  <c r="O870" i="1"/>
  <c r="P877" i="1"/>
  <c r="S882" i="1"/>
  <c r="O882" i="1"/>
  <c r="Q926" i="1"/>
  <c r="W947" i="1"/>
  <c r="V947" i="1"/>
  <c r="U947" i="1"/>
  <c r="T947" i="1"/>
  <c r="Q947" i="1"/>
  <c r="O972" i="1"/>
  <c r="W987" i="1"/>
  <c r="Q987" i="1"/>
  <c r="W995" i="1"/>
  <c r="V995" i="1"/>
  <c r="U995" i="1"/>
  <c r="T995" i="1"/>
  <c r="Q995" i="1"/>
  <c r="O998" i="1"/>
  <c r="S998" i="1"/>
  <c r="V1041" i="1"/>
  <c r="Q1051" i="1"/>
  <c r="W1051" i="1"/>
  <c r="U1051" i="1"/>
  <c r="T1051" i="1"/>
  <c r="W1060" i="1"/>
  <c r="V1060" i="1"/>
  <c r="U1060" i="1"/>
  <c r="T1060" i="1"/>
  <c r="Q1060" i="1"/>
  <c r="W1064" i="1"/>
  <c r="U1064" i="1"/>
  <c r="T1064" i="1"/>
  <c r="V1064" i="1"/>
  <c r="Q1064" i="1"/>
  <c r="W1092" i="1"/>
  <c r="T1092" i="1"/>
  <c r="V1092" i="1"/>
  <c r="U1092" i="1"/>
  <c r="Q1092" i="1"/>
  <c r="S1100" i="1"/>
  <c r="W1158" i="1"/>
  <c r="V1158" i="1"/>
  <c r="S1162" i="1"/>
  <c r="O1162" i="1"/>
  <c r="O778" i="1"/>
  <c r="Q808" i="1"/>
  <c r="Q835" i="1"/>
  <c r="V844" i="1"/>
  <c r="S849" i="1"/>
  <c r="O849" i="1"/>
  <c r="P882" i="1"/>
  <c r="W887" i="1"/>
  <c r="V887" i="1"/>
  <c r="U887" i="1"/>
  <c r="T887" i="1"/>
  <c r="Q887" i="1"/>
  <c r="T889" i="1"/>
  <c r="Q939" i="1"/>
  <c r="R947" i="1"/>
  <c r="P947" i="1"/>
  <c r="O950" i="1"/>
  <c r="V975" i="1"/>
  <c r="S1030" i="1"/>
  <c r="O1030" i="1"/>
  <c r="W1042" i="1"/>
  <c r="V1042" i="1"/>
  <c r="U1042" i="1"/>
  <c r="T1042" i="1"/>
  <c r="Q1042" i="1"/>
  <c r="P1051" i="1"/>
  <c r="R1051" i="1"/>
  <c r="R1060" i="1"/>
  <c r="P1060" i="1"/>
  <c r="R1092" i="1"/>
  <c r="P1092" i="1"/>
  <c r="W1168" i="1"/>
  <c r="V1168" i="1"/>
  <c r="U1168" i="1"/>
  <c r="T1168" i="1"/>
  <c r="Q1168" i="1"/>
  <c r="R1171" i="1"/>
  <c r="P1171" i="1"/>
  <c r="W1195" i="1"/>
  <c r="V1195" i="1"/>
  <c r="U1195" i="1"/>
  <c r="T1195" i="1"/>
  <c r="Q1195" i="1"/>
  <c r="Q1284" i="1"/>
  <c r="W1284" i="1"/>
  <c r="V1284" i="1"/>
  <c r="U1284" i="1"/>
  <c r="T1284" i="1"/>
  <c r="R1168" i="1"/>
  <c r="P1168" i="1"/>
  <c r="O1171" i="1"/>
  <c r="S1171" i="1"/>
  <c r="W1400" i="1"/>
  <c r="V1400" i="1"/>
  <c r="U1400" i="1"/>
  <c r="Q1400" i="1"/>
  <c r="T1400" i="1"/>
  <c r="Q1438" i="1"/>
  <c r="W1438" i="1"/>
  <c r="V1438" i="1"/>
  <c r="U1438" i="1"/>
  <c r="T1438" i="1"/>
  <c r="R1400" i="1"/>
  <c r="P1400" i="1"/>
  <c r="S1418" i="1"/>
  <c r="O1418" i="1"/>
  <c r="P727" i="1"/>
  <c r="P732" i="1"/>
  <c r="P737" i="1"/>
  <c r="P742" i="1"/>
  <c r="P747" i="1"/>
  <c r="P752" i="1"/>
  <c r="P757" i="1"/>
  <c r="P762" i="1"/>
  <c r="P767" i="1"/>
  <c r="S769" i="1"/>
  <c r="O769" i="1"/>
  <c r="P780" i="1"/>
  <c r="P793" i="1"/>
  <c r="U806" i="1"/>
  <c r="T808" i="1"/>
  <c r="T810" i="1"/>
  <c r="T812" i="1"/>
  <c r="T814" i="1"/>
  <c r="S816" i="1"/>
  <c r="Q820" i="1"/>
  <c r="Q822" i="1"/>
  <c r="Q824" i="1"/>
  <c r="V835" i="1"/>
  <c r="P840" i="1"/>
  <c r="V849" i="1"/>
  <c r="S854" i="1"/>
  <c r="O854" i="1"/>
  <c r="Q868" i="1"/>
  <c r="T870" i="1"/>
  <c r="P873" i="1"/>
  <c r="Q880" i="1"/>
  <c r="W889" i="1"/>
  <c r="W892" i="1"/>
  <c r="V892" i="1"/>
  <c r="U892" i="1"/>
  <c r="T892" i="1"/>
  <c r="Q892" i="1"/>
  <c r="T894" i="1"/>
  <c r="R921" i="1"/>
  <c r="P921" i="1"/>
  <c r="V926" i="1"/>
  <c r="S934" i="1"/>
  <c r="O934" i="1"/>
  <c r="U939" i="1"/>
  <c r="S967" i="1"/>
  <c r="O967" i="1"/>
  <c r="R984" i="1"/>
  <c r="P984" i="1"/>
  <c r="R987" i="1"/>
  <c r="T1013" i="1"/>
  <c r="R1021" i="1"/>
  <c r="P1021" i="1"/>
  <c r="U1024" i="1"/>
  <c r="W1052" i="1"/>
  <c r="V1052" i="1"/>
  <c r="U1052" i="1"/>
  <c r="T1052" i="1"/>
  <c r="Q1052" i="1"/>
  <c r="P1061" i="1"/>
  <c r="R1061" i="1"/>
  <c r="S1089" i="1"/>
  <c r="O1089" i="1"/>
  <c r="Q737" i="1"/>
  <c r="Q742" i="1"/>
  <c r="Q747" i="1"/>
  <c r="Q752" i="1"/>
  <c r="Q757" i="1"/>
  <c r="Q762" i="1"/>
  <c r="Q767" i="1"/>
  <c r="Q780" i="1"/>
  <c r="S791" i="1"/>
  <c r="Q793" i="1"/>
  <c r="V806" i="1"/>
  <c r="U808" i="1"/>
  <c r="U810" i="1"/>
  <c r="U812" i="1"/>
  <c r="U814" i="1"/>
  <c r="T816" i="1"/>
  <c r="Q840" i="1"/>
  <c r="S847" i="1"/>
  <c r="O847" i="1"/>
  <c r="W849" i="1"/>
  <c r="T863" i="1"/>
  <c r="Q873" i="1"/>
  <c r="T875" i="1"/>
  <c r="O883" i="1"/>
  <c r="W890" i="1"/>
  <c r="V890" i="1"/>
  <c r="U890" i="1"/>
  <c r="U894" i="1"/>
  <c r="S921" i="1"/>
  <c r="O921" i="1"/>
  <c r="Q924" i="1"/>
  <c r="Q937" i="1"/>
  <c r="W945" i="1"/>
  <c r="V945" i="1"/>
  <c r="U945" i="1"/>
  <c r="T945" i="1"/>
  <c r="Q945" i="1"/>
  <c r="O958" i="1"/>
  <c r="S958" i="1"/>
  <c r="T961" i="1"/>
  <c r="S984" i="1"/>
  <c r="O984" i="1"/>
  <c r="W1010" i="1"/>
  <c r="V1010" i="1"/>
  <c r="U1010" i="1"/>
  <c r="T1010" i="1"/>
  <c r="Q1010" i="1"/>
  <c r="U1013" i="1"/>
  <c r="S1021" i="1"/>
  <c r="O1021" i="1"/>
  <c r="V1024" i="1"/>
  <c r="R1052" i="1"/>
  <c r="P1052" i="1"/>
  <c r="W1125" i="1"/>
  <c r="V1125" i="1"/>
  <c r="U1125" i="1"/>
  <c r="T1125" i="1"/>
  <c r="Q1125" i="1"/>
  <c r="Q1158" i="1"/>
  <c r="U1340" i="1"/>
  <c r="T1340" i="1"/>
  <c r="W1340" i="1"/>
  <c r="V1340" i="1"/>
  <c r="Q1340" i="1"/>
  <c r="P771" i="1"/>
  <c r="S784" i="1"/>
  <c r="O784" i="1"/>
  <c r="T791" i="1"/>
  <c r="V808" i="1"/>
  <c r="V810" i="1"/>
  <c r="V812" i="1"/>
  <c r="V814" i="1"/>
  <c r="U816" i="1"/>
  <c r="T818" i="1"/>
  <c r="T820" i="1"/>
  <c r="T822" i="1"/>
  <c r="T824" i="1"/>
  <c r="T833" i="1"/>
  <c r="Q838" i="1"/>
  <c r="W850" i="1"/>
  <c r="U850" i="1"/>
  <c r="W852" i="1"/>
  <c r="V852" i="1"/>
  <c r="U852" i="1"/>
  <c r="T852" i="1"/>
  <c r="Q852" i="1"/>
  <c r="U863" i="1"/>
  <c r="T880" i="1"/>
  <c r="S892" i="1"/>
  <c r="O892" i="1"/>
  <c r="V894" i="1"/>
  <c r="W932" i="1"/>
  <c r="V932" i="1"/>
  <c r="U932" i="1"/>
  <c r="T932" i="1"/>
  <c r="Q932" i="1"/>
  <c r="T950" i="1"/>
  <c r="W999" i="1"/>
  <c r="V999" i="1"/>
  <c r="U999" i="1"/>
  <c r="T999" i="1"/>
  <c r="Q999" i="1"/>
  <c r="R1010" i="1"/>
  <c r="P1010" i="1"/>
  <c r="V1013" i="1"/>
  <c r="W1019" i="1"/>
  <c r="V1019" i="1"/>
  <c r="U1019" i="1"/>
  <c r="T1019" i="1"/>
  <c r="Q1019" i="1"/>
  <c r="U1025" i="1"/>
  <c r="T1025" i="1"/>
  <c r="Q1025" i="1"/>
  <c r="Q1036" i="1"/>
  <c r="W1036" i="1"/>
  <c r="V1036" i="1"/>
  <c r="U1036" i="1"/>
  <c r="T1036" i="1"/>
  <c r="O1043" i="1"/>
  <c r="S1043" i="1"/>
  <c r="S1052" i="1"/>
  <c r="O1052" i="1"/>
  <c r="S1070" i="1"/>
  <c r="O1070" i="1"/>
  <c r="O1093" i="1"/>
  <c r="S1093" i="1"/>
  <c r="R1125" i="1"/>
  <c r="P1125" i="1"/>
  <c r="R1185" i="1"/>
  <c r="P1185" i="1"/>
  <c r="O1331" i="1"/>
  <c r="S1331" i="1"/>
  <c r="R1340" i="1"/>
  <c r="P1340" i="1"/>
  <c r="O699" i="1"/>
  <c r="T699" i="1" s="1"/>
  <c r="O704" i="1"/>
  <c r="O709" i="1"/>
  <c r="O714" i="1"/>
  <c r="O719" i="1"/>
  <c r="O724" i="1"/>
  <c r="O729" i="1"/>
  <c r="O734" i="1"/>
  <c r="O739" i="1"/>
  <c r="O744" i="1"/>
  <c r="O749" i="1"/>
  <c r="O754" i="1"/>
  <c r="O759" i="1"/>
  <c r="O764" i="1"/>
  <c r="T767" i="1"/>
  <c r="O773" i="1"/>
  <c r="P784" i="1"/>
  <c r="U791" i="1"/>
  <c r="O797" i="1"/>
  <c r="S799" i="1"/>
  <c r="O799" i="1"/>
  <c r="V816" i="1"/>
  <c r="U818" i="1"/>
  <c r="U820" i="1"/>
  <c r="U822" i="1"/>
  <c r="U824" i="1"/>
  <c r="U833" i="1"/>
  <c r="T840" i="1"/>
  <c r="P845" i="1"/>
  <c r="S859" i="1"/>
  <c r="O859" i="1"/>
  <c r="V863" i="1"/>
  <c r="T868" i="1"/>
  <c r="P892" i="1"/>
  <c r="W894" i="1"/>
  <c r="W897" i="1"/>
  <c r="V897" i="1"/>
  <c r="U897" i="1"/>
  <c r="T897" i="1"/>
  <c r="Q897" i="1"/>
  <c r="W919" i="1"/>
  <c r="V919" i="1"/>
  <c r="U919" i="1"/>
  <c r="T919" i="1"/>
  <c r="Q919" i="1"/>
  <c r="T924" i="1"/>
  <c r="U950" i="1"/>
  <c r="W961" i="1"/>
  <c r="W973" i="1"/>
  <c r="V973" i="1"/>
  <c r="U973" i="1"/>
  <c r="T973" i="1"/>
  <c r="Q973" i="1"/>
  <c r="W982" i="1"/>
  <c r="V982" i="1"/>
  <c r="U982" i="1"/>
  <c r="T982" i="1"/>
  <c r="Q982" i="1"/>
  <c r="U987" i="1"/>
  <c r="P993" i="1"/>
  <c r="S996" i="1"/>
  <c r="O996" i="1"/>
  <c r="S1010" i="1"/>
  <c r="O1010" i="1"/>
  <c r="R1036" i="1"/>
  <c r="P1036" i="1"/>
  <c r="W1062" i="1"/>
  <c r="V1062" i="1"/>
  <c r="U1062" i="1"/>
  <c r="T1062" i="1"/>
  <c r="Q1062" i="1"/>
  <c r="S1084" i="1"/>
  <c r="O1084" i="1"/>
  <c r="S1087" i="1"/>
  <c r="O1087" i="1"/>
  <c r="W1090" i="1"/>
  <c r="U1090" i="1"/>
  <c r="T1090" i="1"/>
  <c r="Q1090" i="1"/>
  <c r="W1115" i="1"/>
  <c r="V1115" i="1"/>
  <c r="U1115" i="1"/>
  <c r="T1115" i="1"/>
  <c r="Q1115" i="1"/>
  <c r="S1125" i="1"/>
  <c r="O1125" i="1"/>
  <c r="O1150" i="1"/>
  <c r="S1150" i="1"/>
  <c r="T1158" i="1"/>
  <c r="O1185" i="1"/>
  <c r="S1185" i="1"/>
  <c r="R1231" i="1"/>
  <c r="P1231" i="1"/>
  <c r="W1313" i="1"/>
  <c r="V1313" i="1"/>
  <c r="U1313" i="1"/>
  <c r="T1313" i="1"/>
  <c r="Q1313" i="1"/>
  <c r="P704" i="1"/>
  <c r="P709" i="1"/>
  <c r="P714" i="1"/>
  <c r="P719" i="1"/>
  <c r="P724" i="1"/>
  <c r="P729" i="1"/>
  <c r="P734" i="1"/>
  <c r="T737" i="1"/>
  <c r="P739" i="1"/>
  <c r="T742" i="1"/>
  <c r="P744" i="1"/>
  <c r="T747" i="1"/>
  <c r="P749" i="1"/>
  <c r="T752" i="1"/>
  <c r="P754" i="1"/>
  <c r="T757" i="1"/>
  <c r="P759" i="1"/>
  <c r="T762" i="1"/>
  <c r="P764" i="1"/>
  <c r="U767" i="1"/>
  <c r="P773" i="1"/>
  <c r="T780" i="1"/>
  <c r="Q784" i="1"/>
  <c r="P786" i="1"/>
  <c r="V791" i="1"/>
  <c r="T793" i="1"/>
  <c r="P797" i="1"/>
  <c r="P799" i="1"/>
  <c r="P801" i="1"/>
  <c r="O803" i="1"/>
  <c r="V818" i="1"/>
  <c r="V820" i="1"/>
  <c r="V822" i="1"/>
  <c r="V824" i="1"/>
  <c r="S829" i="1"/>
  <c r="O829" i="1"/>
  <c r="V833" i="1"/>
  <c r="V840" i="1"/>
  <c r="O843" i="1"/>
  <c r="S852" i="1"/>
  <c r="O852" i="1"/>
  <c r="T859" i="1"/>
  <c r="U868" i="1"/>
  <c r="T873" i="1"/>
  <c r="O888" i="1"/>
  <c r="O890" i="1"/>
  <c r="W895" i="1"/>
  <c r="V895" i="1"/>
  <c r="U895" i="1"/>
  <c r="R897" i="1"/>
  <c r="P897" i="1"/>
  <c r="W902" i="1"/>
  <c r="V902" i="1"/>
  <c r="U902" i="1"/>
  <c r="T902" i="1"/>
  <c r="Q902" i="1"/>
  <c r="U924" i="1"/>
  <c r="O935" i="1"/>
  <c r="T937" i="1"/>
  <c r="O945" i="1"/>
  <c r="V950" i="1"/>
  <c r="W956" i="1"/>
  <c r="V956" i="1"/>
  <c r="U956" i="1"/>
  <c r="T956" i="1"/>
  <c r="W962" i="1"/>
  <c r="U962" i="1"/>
  <c r="T962" i="1"/>
  <c r="Q962" i="1"/>
  <c r="R973" i="1"/>
  <c r="P973" i="1"/>
  <c r="V987" i="1"/>
  <c r="U1011" i="1"/>
  <c r="Q1011" i="1"/>
  <c r="R1062" i="1"/>
  <c r="P1062" i="1"/>
  <c r="S1112" i="1"/>
  <c r="O1112" i="1"/>
  <c r="R1115" i="1"/>
  <c r="P1115" i="1"/>
  <c r="R1122" i="1"/>
  <c r="P1122" i="1"/>
  <c r="O1134" i="1"/>
  <c r="U1158" i="1"/>
  <c r="R1177" i="1"/>
  <c r="P1177" i="1"/>
  <c r="Q704" i="1"/>
  <c r="Q709" i="1"/>
  <c r="Q714" i="1"/>
  <c r="Q719" i="1"/>
  <c r="Q724" i="1"/>
  <c r="Q729" i="1"/>
  <c r="Q734" i="1"/>
  <c r="U737" i="1"/>
  <c r="Q739" i="1"/>
  <c r="U742" i="1"/>
  <c r="Q744" i="1"/>
  <c r="U747" i="1"/>
  <c r="Q749" i="1"/>
  <c r="U752" i="1"/>
  <c r="Q754" i="1"/>
  <c r="U757" i="1"/>
  <c r="Q759" i="1"/>
  <c r="U762" i="1"/>
  <c r="Q764" i="1"/>
  <c r="V767" i="1"/>
  <c r="S771" i="1"/>
  <c r="Q773" i="1"/>
  <c r="O775" i="1"/>
  <c r="U780" i="1"/>
  <c r="Q786" i="1"/>
  <c r="O788" i="1"/>
  <c r="U793" i="1"/>
  <c r="Q797" i="1"/>
  <c r="Q799" i="1"/>
  <c r="Q801" i="1"/>
  <c r="P803" i="1"/>
  <c r="O805" i="1"/>
  <c r="S807" i="1"/>
  <c r="O807" i="1"/>
  <c r="S809" i="1"/>
  <c r="O809" i="1"/>
  <c r="T829" i="1"/>
  <c r="T838" i="1"/>
  <c r="P843" i="1"/>
  <c r="O850" i="1"/>
  <c r="P852" i="1"/>
  <c r="W855" i="1"/>
  <c r="U855" i="1"/>
  <c r="W857" i="1"/>
  <c r="V857" i="1"/>
  <c r="U857" i="1"/>
  <c r="T857" i="1"/>
  <c r="Q857" i="1"/>
  <c r="U859" i="1"/>
  <c r="V868" i="1"/>
  <c r="U873" i="1"/>
  <c r="T878" i="1"/>
  <c r="P888" i="1"/>
  <c r="P890" i="1"/>
  <c r="S897" i="1"/>
  <c r="O897" i="1"/>
  <c r="R902" i="1"/>
  <c r="P902" i="1"/>
  <c r="W907" i="1"/>
  <c r="V907" i="1"/>
  <c r="U907" i="1"/>
  <c r="T907" i="1"/>
  <c r="Q907" i="1"/>
  <c r="W917" i="1"/>
  <c r="V917" i="1"/>
  <c r="U917" i="1"/>
  <c r="T917" i="1"/>
  <c r="O922" i="1"/>
  <c r="V924" i="1"/>
  <c r="W930" i="1"/>
  <c r="V930" i="1"/>
  <c r="U930" i="1"/>
  <c r="T930" i="1"/>
  <c r="O932" i="1"/>
  <c r="U937" i="1"/>
  <c r="P945" i="1"/>
  <c r="S948" i="1"/>
  <c r="P965" i="1"/>
  <c r="O985" i="1"/>
  <c r="R1011" i="1"/>
  <c r="P1011" i="1"/>
  <c r="O1019" i="1"/>
  <c r="O1022" i="1"/>
  <c r="W1039" i="1"/>
  <c r="U1039" i="1"/>
  <c r="T1039" i="1"/>
  <c r="V1039" i="1"/>
  <c r="Q1039" i="1"/>
  <c r="Q1046" i="1"/>
  <c r="W1046" i="1"/>
  <c r="V1046" i="1"/>
  <c r="U1046" i="1"/>
  <c r="T1046" i="1"/>
  <c r="O1053" i="1"/>
  <c r="S1053" i="1"/>
  <c r="S1062" i="1"/>
  <c r="O1062" i="1"/>
  <c r="O1068" i="1"/>
  <c r="S1068" i="1"/>
  <c r="S1096" i="1"/>
  <c r="O1096" i="1"/>
  <c r="W1109" i="1"/>
  <c r="U1109" i="1"/>
  <c r="T1109" i="1"/>
  <c r="Q1109" i="1"/>
  <c r="V1109" i="1"/>
  <c r="S1115" i="1"/>
  <c r="O1115" i="1"/>
  <c r="S1208" i="1"/>
  <c r="O1208" i="1"/>
  <c r="S1276" i="1"/>
  <c r="O1276" i="1"/>
  <c r="P1294" i="1"/>
  <c r="R1294" i="1"/>
  <c r="V737" i="1"/>
  <c r="V742" i="1"/>
  <c r="V747" i="1"/>
  <c r="V752" i="1"/>
  <c r="V757" i="1"/>
  <c r="V762" i="1"/>
  <c r="P775" i="1"/>
  <c r="V780" i="1"/>
  <c r="T784" i="1"/>
  <c r="P788" i="1"/>
  <c r="V793" i="1"/>
  <c r="Q803" i="1"/>
  <c r="P805" i="1"/>
  <c r="P807" i="1"/>
  <c r="P809" i="1"/>
  <c r="P811" i="1"/>
  <c r="W825" i="1"/>
  <c r="U825" i="1"/>
  <c r="W827" i="1"/>
  <c r="V827" i="1"/>
  <c r="U827" i="1"/>
  <c r="T827" i="1"/>
  <c r="Q827" i="1"/>
  <c r="U829" i="1"/>
  <c r="U838" i="1"/>
  <c r="Q843" i="1"/>
  <c r="P850" i="1"/>
  <c r="V859" i="1"/>
  <c r="S864" i="1"/>
  <c r="O864" i="1"/>
  <c r="V873" i="1"/>
  <c r="U878" i="1"/>
  <c r="Q888" i="1"/>
  <c r="Q890" i="1"/>
  <c r="W900" i="1"/>
  <c r="V900" i="1"/>
  <c r="U900" i="1"/>
  <c r="T900" i="1"/>
  <c r="S902" i="1"/>
  <c r="O902" i="1"/>
  <c r="R907" i="1"/>
  <c r="P907" i="1"/>
  <c r="W912" i="1"/>
  <c r="V912" i="1"/>
  <c r="U912" i="1"/>
  <c r="T912" i="1"/>
  <c r="Q912" i="1"/>
  <c r="U925" i="1"/>
  <c r="T925" i="1"/>
  <c r="Q925" i="1"/>
  <c r="P932" i="1"/>
  <c r="V937" i="1"/>
  <c r="W943" i="1"/>
  <c r="V943" i="1"/>
  <c r="U943" i="1"/>
  <c r="T943" i="1"/>
  <c r="S956" i="1"/>
  <c r="O956" i="1"/>
  <c r="W974" i="1"/>
  <c r="T974" i="1"/>
  <c r="Q974" i="1"/>
  <c r="W1000" i="1"/>
  <c r="Q1000" i="1"/>
  <c r="V1025" i="1"/>
  <c r="P1109" i="1"/>
  <c r="R1109" i="1"/>
  <c r="U1145" i="1"/>
  <c r="W1145" i="1"/>
  <c r="V1145" i="1"/>
  <c r="T1145" i="1"/>
  <c r="Q1145" i="1"/>
  <c r="R1183" i="1"/>
  <c r="P1183" i="1"/>
  <c r="Q775" i="1"/>
  <c r="O777" i="1"/>
  <c r="U784" i="1"/>
  <c r="S786" i="1"/>
  <c r="T797" i="1"/>
  <c r="T799" i="1"/>
  <c r="S801" i="1"/>
  <c r="Q805" i="1"/>
  <c r="Q807" i="1"/>
  <c r="Q809" i="1"/>
  <c r="P813" i="1"/>
  <c r="O815" i="1"/>
  <c r="S817" i="1"/>
  <c r="O817" i="1"/>
  <c r="S819" i="1"/>
  <c r="O819" i="1"/>
  <c r="V829" i="1"/>
  <c r="S834" i="1"/>
  <c r="O834" i="1"/>
  <c r="V838" i="1"/>
  <c r="Q850" i="1"/>
  <c r="S857" i="1"/>
  <c r="O857" i="1"/>
  <c r="W859" i="1"/>
  <c r="T864" i="1"/>
  <c r="V878" i="1"/>
  <c r="O895" i="1"/>
  <c r="W905" i="1"/>
  <c r="V905" i="1"/>
  <c r="U905" i="1"/>
  <c r="T905" i="1"/>
  <c r="S907" i="1"/>
  <c r="O907" i="1"/>
  <c r="R912" i="1"/>
  <c r="P912" i="1"/>
  <c r="W915" i="1"/>
  <c r="V915" i="1"/>
  <c r="U915" i="1"/>
  <c r="P919" i="1"/>
  <c r="W954" i="1"/>
  <c r="V954" i="1"/>
  <c r="U954" i="1"/>
  <c r="T954" i="1"/>
  <c r="S965" i="1"/>
  <c r="S991" i="1"/>
  <c r="O991" i="1"/>
  <c r="T1011" i="1"/>
  <c r="W1025" i="1"/>
  <c r="W1034" i="1"/>
  <c r="U1034" i="1"/>
  <c r="V1034" i="1"/>
  <c r="T1034" i="1"/>
  <c r="Q1034" i="1"/>
  <c r="V1090" i="1"/>
  <c r="W1107" i="1"/>
  <c r="U1107" i="1"/>
  <c r="T1107" i="1"/>
  <c r="R1145" i="1"/>
  <c r="P1145" i="1"/>
  <c r="S1202" i="1"/>
  <c r="O1202" i="1"/>
  <c r="W1205" i="1"/>
  <c r="V1205" i="1"/>
  <c r="U1205" i="1"/>
  <c r="T1205" i="1"/>
  <c r="Q1205" i="1"/>
  <c r="P686" i="1"/>
  <c r="P691" i="1"/>
  <c r="T704" i="1"/>
  <c r="T709" i="1"/>
  <c r="T714" i="1"/>
  <c r="T719" i="1"/>
  <c r="T724" i="1"/>
  <c r="T729" i="1"/>
  <c r="T734" i="1"/>
  <c r="T739" i="1"/>
  <c r="T744" i="1"/>
  <c r="T749" i="1"/>
  <c r="T754" i="1"/>
  <c r="T759" i="1"/>
  <c r="T764" i="1"/>
  <c r="T773" i="1"/>
  <c r="S779" i="1"/>
  <c r="O779" i="1"/>
  <c r="V784" i="1"/>
  <c r="T786" i="1"/>
  <c r="U797" i="1"/>
  <c r="U799" i="1"/>
  <c r="T801" i="1"/>
  <c r="Q813" i="1"/>
  <c r="S827" i="1"/>
  <c r="O827" i="1"/>
  <c r="W829" i="1"/>
  <c r="P857" i="1"/>
  <c r="W860" i="1"/>
  <c r="U860" i="1"/>
  <c r="W862" i="1"/>
  <c r="V862" i="1"/>
  <c r="U862" i="1"/>
  <c r="T862" i="1"/>
  <c r="Q862" i="1"/>
  <c r="U864" i="1"/>
  <c r="T890" i="1"/>
  <c r="W910" i="1"/>
  <c r="V910" i="1"/>
  <c r="U910" i="1"/>
  <c r="T910" i="1"/>
  <c r="S912" i="1"/>
  <c r="O912" i="1"/>
  <c r="O943" i="1"/>
  <c r="S943" i="1"/>
  <c r="S946" i="1"/>
  <c r="O946" i="1"/>
  <c r="Q956" i="1"/>
  <c r="V962" i="1"/>
  <c r="V1011" i="1"/>
  <c r="S1017" i="1"/>
  <c r="O1017" i="1"/>
  <c r="R1034" i="1"/>
  <c r="P1034" i="1"/>
  <c r="O1037" i="1"/>
  <c r="W1049" i="1"/>
  <c r="U1049" i="1"/>
  <c r="T1049" i="1"/>
  <c r="V1049" i="1"/>
  <c r="Q1049" i="1"/>
  <c r="Q1056" i="1"/>
  <c r="W1056" i="1"/>
  <c r="V1056" i="1"/>
  <c r="U1056" i="1"/>
  <c r="T1056" i="1"/>
  <c r="O1063" i="1"/>
  <c r="S1063" i="1"/>
  <c r="Q1132" i="1"/>
  <c r="W1132" i="1"/>
  <c r="V1132" i="1"/>
  <c r="U1132" i="1"/>
  <c r="T1132" i="1"/>
  <c r="R1255" i="1"/>
  <c r="P1255" i="1"/>
  <c r="Q777" i="1"/>
  <c r="Q790" i="1"/>
  <c r="O792" i="1"/>
  <c r="V797" i="1"/>
  <c r="T803" i="1"/>
  <c r="T805" i="1"/>
  <c r="T807" i="1"/>
  <c r="S811" i="1"/>
  <c r="Q815" i="1"/>
  <c r="Q817" i="1"/>
  <c r="O825" i="1"/>
  <c r="W830" i="1"/>
  <c r="U830" i="1"/>
  <c r="W832" i="1"/>
  <c r="V832" i="1"/>
  <c r="U832" i="1"/>
  <c r="T832" i="1"/>
  <c r="Q832" i="1"/>
  <c r="U834" i="1"/>
  <c r="T843" i="1"/>
  <c r="Q848" i="1"/>
  <c r="T850" i="1"/>
  <c r="V864" i="1"/>
  <c r="T869" i="1"/>
  <c r="T888" i="1"/>
  <c r="Q893" i="1"/>
  <c r="Q895" i="1"/>
  <c r="O900" i="1"/>
  <c r="W928" i="1"/>
  <c r="V928" i="1"/>
  <c r="U928" i="1"/>
  <c r="W963" i="1"/>
  <c r="Q963" i="1"/>
  <c r="S980" i="1"/>
  <c r="O980" i="1"/>
  <c r="O1008" i="1"/>
  <c r="S1008" i="1"/>
  <c r="W1011" i="1"/>
  <c r="S1034" i="1"/>
  <c r="O1034" i="1"/>
  <c r="R1039" i="1"/>
  <c r="W1077" i="1"/>
  <c r="V1077" i="1"/>
  <c r="U1077" i="1"/>
  <c r="T1077" i="1"/>
  <c r="Q1077" i="1"/>
  <c r="R1132" i="1"/>
  <c r="P1132" i="1"/>
  <c r="R1143" i="1"/>
  <c r="P1143" i="1"/>
  <c r="S1255" i="1"/>
  <c r="O1255" i="1"/>
  <c r="O1258" i="1"/>
  <c r="T1177" i="1"/>
  <c r="Q1177" i="1"/>
  <c r="W1177" i="1"/>
  <c r="R1202" i="1"/>
  <c r="P1202" i="1"/>
  <c r="W1231" i="1"/>
  <c r="T1231" i="1"/>
  <c r="Q1231" i="1"/>
  <c r="V1231" i="1"/>
  <c r="U1231" i="1"/>
  <c r="S1260" i="1"/>
  <c r="O1260" i="1"/>
  <c r="R1323" i="1"/>
  <c r="P1323" i="1"/>
  <c r="S961" i="1"/>
  <c r="O961" i="1"/>
  <c r="S1011" i="1"/>
  <c r="O1011" i="1"/>
  <c r="S1041" i="1"/>
  <c r="O1041" i="1"/>
  <c r="S1051" i="1"/>
  <c r="O1051" i="1"/>
  <c r="S1061" i="1"/>
  <c r="O1061" i="1"/>
  <c r="S1109" i="1"/>
  <c r="O1109" i="1"/>
  <c r="U1131" i="1"/>
  <c r="T1131" i="1"/>
  <c r="Q1131" i="1"/>
  <c r="W1138" i="1"/>
  <c r="V1138" i="1"/>
  <c r="U1138" i="1"/>
  <c r="T1138" i="1"/>
  <c r="Q1138" i="1"/>
  <c r="O1145" i="1"/>
  <c r="S1145" i="1"/>
  <c r="V1160" i="1"/>
  <c r="U1160" i="1"/>
  <c r="W1160" i="1"/>
  <c r="T1160" i="1"/>
  <c r="S1231" i="1"/>
  <c r="O1231" i="1"/>
  <c r="O1345" i="1"/>
  <c r="S1345" i="1"/>
  <c r="R1446" i="1"/>
  <c r="P1446" i="1"/>
  <c r="R1483" i="1"/>
  <c r="P1483" i="1"/>
  <c r="R1499" i="1"/>
  <c r="P1499" i="1"/>
  <c r="S1091" i="1"/>
  <c r="O1091" i="1"/>
  <c r="W1114" i="1"/>
  <c r="U1114" i="1"/>
  <c r="T1114" i="1"/>
  <c r="Q1114" i="1"/>
  <c r="R1138" i="1"/>
  <c r="P1138" i="1"/>
  <c r="P1167" i="1"/>
  <c r="T1187" i="1"/>
  <c r="Q1187" i="1"/>
  <c r="W1187" i="1"/>
  <c r="V1187" i="1"/>
  <c r="U1187" i="1"/>
  <c r="T1197" i="1"/>
  <c r="Q1197" i="1"/>
  <c r="W1197" i="1"/>
  <c r="V1197" i="1"/>
  <c r="U1197" i="1"/>
  <c r="R1263" i="1"/>
  <c r="P1263" i="1"/>
  <c r="O1278" i="1"/>
  <c r="S976" i="1"/>
  <c r="O976" i="1"/>
  <c r="S1026" i="1"/>
  <c r="O1026" i="1"/>
  <c r="W1074" i="1"/>
  <c r="U1074" i="1"/>
  <c r="T1074" i="1"/>
  <c r="S1076" i="1"/>
  <c r="O1076" i="1"/>
  <c r="W1087" i="1"/>
  <c r="T1087" i="1"/>
  <c r="W1089" i="1"/>
  <c r="U1089" i="1"/>
  <c r="T1089" i="1"/>
  <c r="W1112" i="1"/>
  <c r="U1112" i="1"/>
  <c r="T1112" i="1"/>
  <c r="W1153" i="1"/>
  <c r="V1153" i="1"/>
  <c r="U1153" i="1"/>
  <c r="T1153" i="1"/>
  <c r="Q1153" i="1"/>
  <c r="O1160" i="1"/>
  <c r="S1160" i="1"/>
  <c r="W1175" i="1"/>
  <c r="V1175" i="1"/>
  <c r="U1175" i="1"/>
  <c r="T1175" i="1"/>
  <c r="R1197" i="1"/>
  <c r="P1197" i="1"/>
  <c r="S1384" i="1"/>
  <c r="O1384" i="1"/>
  <c r="S1411" i="1"/>
  <c r="O1411" i="1"/>
  <c r="S1421" i="1"/>
  <c r="O1421" i="1"/>
  <c r="P976" i="1"/>
  <c r="O989" i="1"/>
  <c r="P1026" i="1"/>
  <c r="S1114" i="1"/>
  <c r="O1114" i="1"/>
  <c r="W1119" i="1"/>
  <c r="V1119" i="1"/>
  <c r="U1119" i="1"/>
  <c r="T1119" i="1"/>
  <c r="Q1119" i="1"/>
  <c r="W1124" i="1"/>
  <c r="V1124" i="1"/>
  <c r="U1124" i="1"/>
  <c r="T1124" i="1"/>
  <c r="Q1124" i="1"/>
  <c r="W1129" i="1"/>
  <c r="V1129" i="1"/>
  <c r="U1129" i="1"/>
  <c r="T1129" i="1"/>
  <c r="Q1129" i="1"/>
  <c r="O1138" i="1"/>
  <c r="R1153" i="1"/>
  <c r="P1153" i="1"/>
  <c r="U1177" i="1"/>
  <c r="S1197" i="1"/>
  <c r="O1197" i="1"/>
  <c r="W1203" i="1"/>
  <c r="V1203" i="1"/>
  <c r="U1203" i="1"/>
  <c r="T1203" i="1"/>
  <c r="Q1203" i="1"/>
  <c r="O1247" i="1"/>
  <c r="S1247" i="1"/>
  <c r="O1263" i="1"/>
  <c r="R1321" i="1"/>
  <c r="O1324" i="1"/>
  <c r="S1324" i="1"/>
  <c r="U1390" i="1"/>
  <c r="T1390" i="1"/>
  <c r="Q1390" i="1"/>
  <c r="W1390" i="1"/>
  <c r="V1390" i="1"/>
  <c r="V1177" i="1"/>
  <c r="R1203" i="1"/>
  <c r="P1203" i="1"/>
  <c r="W1276" i="1"/>
  <c r="V1276" i="1"/>
  <c r="U1276" i="1"/>
  <c r="Q1276" i="1"/>
  <c r="T1276" i="1"/>
  <c r="R1531" i="1"/>
  <c r="P1531" i="1"/>
  <c r="R1552" i="1"/>
  <c r="P1552" i="1"/>
  <c r="Q965" i="1"/>
  <c r="Q978" i="1"/>
  <c r="S1013" i="1"/>
  <c r="Q1028" i="1"/>
  <c r="Q1089" i="1"/>
  <c r="W1117" i="1"/>
  <c r="V1117" i="1"/>
  <c r="U1117" i="1"/>
  <c r="T1117" i="1"/>
  <c r="S1119" i="1"/>
  <c r="O1119" i="1"/>
  <c r="W1122" i="1"/>
  <c r="V1122" i="1"/>
  <c r="U1122" i="1"/>
  <c r="T1122" i="1"/>
  <c r="S1124" i="1"/>
  <c r="O1124" i="1"/>
  <c r="Q1127" i="1"/>
  <c r="W1127" i="1"/>
  <c r="V1127" i="1"/>
  <c r="U1127" i="1"/>
  <c r="T1127" i="1"/>
  <c r="W1134" i="1"/>
  <c r="V1134" i="1"/>
  <c r="U1134" i="1"/>
  <c r="T1134" i="1"/>
  <c r="P1136" i="1"/>
  <c r="W1185" i="1"/>
  <c r="V1185" i="1"/>
  <c r="U1185" i="1"/>
  <c r="T1185" i="1"/>
  <c r="P1187" i="1"/>
  <c r="R1200" i="1"/>
  <c r="O1206" i="1"/>
  <c r="R1217" i="1"/>
  <c r="P1217" i="1"/>
  <c r="T1220" i="1"/>
  <c r="Q1220" i="1"/>
  <c r="W1220" i="1"/>
  <c r="V1220" i="1"/>
  <c r="U1220" i="1"/>
  <c r="R1258" i="1"/>
  <c r="P1258" i="1"/>
  <c r="R1276" i="1"/>
  <c r="P1276" i="1"/>
  <c r="R1372" i="1"/>
  <c r="P1372" i="1"/>
  <c r="S1168" i="1"/>
  <c r="O1168" i="1"/>
  <c r="R1195" i="1"/>
  <c r="P1195" i="1"/>
  <c r="R1313" i="1"/>
  <c r="P1313" i="1"/>
  <c r="R1382" i="1"/>
  <c r="P1382" i="1"/>
  <c r="Q958" i="1"/>
  <c r="U965" i="1"/>
  <c r="U978" i="1"/>
  <c r="V989" i="1"/>
  <c r="U991" i="1"/>
  <c r="S993" i="1"/>
  <c r="U1002" i="1"/>
  <c r="T1004" i="1"/>
  <c r="Q1008" i="1"/>
  <c r="U1015" i="1"/>
  <c r="U1028" i="1"/>
  <c r="S1036" i="1"/>
  <c r="O1036" i="1"/>
  <c r="U1072" i="1"/>
  <c r="W1079" i="1"/>
  <c r="U1079" i="1"/>
  <c r="T1079" i="1"/>
  <c r="S1081" i="1"/>
  <c r="O1081" i="1"/>
  <c r="U1087" i="1"/>
  <c r="S1094" i="1"/>
  <c r="O1094" i="1"/>
  <c r="U1105" i="1"/>
  <c r="V1112" i="1"/>
  <c r="W1149" i="1"/>
  <c r="V1149" i="1"/>
  <c r="U1149" i="1"/>
  <c r="T1149" i="1"/>
  <c r="Q1149" i="1"/>
  <c r="R1166" i="1"/>
  <c r="P1166" i="1"/>
  <c r="U1173" i="1"/>
  <c r="O1183" i="1"/>
  <c r="Q1185" i="1"/>
  <c r="W1193" i="1"/>
  <c r="V1193" i="1"/>
  <c r="U1193" i="1"/>
  <c r="T1193" i="1"/>
  <c r="O1195" i="1"/>
  <c r="S1195" i="1"/>
  <c r="R1201" i="1"/>
  <c r="P1201" i="1"/>
  <c r="Q1310" i="1"/>
  <c r="V1310" i="1"/>
  <c r="U1310" i="1"/>
  <c r="W1310" i="1"/>
  <c r="T1310" i="1"/>
  <c r="R1335" i="1"/>
  <c r="P1335" i="1"/>
  <c r="S1379" i="1"/>
  <c r="O1379" i="1"/>
  <c r="S936" i="1"/>
  <c r="O936" i="1"/>
  <c r="V965" i="1"/>
  <c r="T967" i="1"/>
  <c r="V978" i="1"/>
  <c r="T980" i="1"/>
  <c r="S986" i="1"/>
  <c r="O986" i="1"/>
  <c r="V991" i="1"/>
  <c r="T993" i="1"/>
  <c r="V1002" i="1"/>
  <c r="U1004" i="1"/>
  <c r="V1015" i="1"/>
  <c r="T1017" i="1"/>
  <c r="V1028" i="1"/>
  <c r="T1030" i="1"/>
  <c r="S1046" i="1"/>
  <c r="O1046" i="1"/>
  <c r="S1056" i="1"/>
  <c r="O1056" i="1"/>
  <c r="S1064" i="1"/>
  <c r="O1064" i="1"/>
  <c r="T1070" i="1"/>
  <c r="V1072" i="1"/>
  <c r="V1087" i="1"/>
  <c r="S1101" i="1"/>
  <c r="O1101" i="1"/>
  <c r="V1105" i="1"/>
  <c r="Q1117" i="1"/>
  <c r="Q1122" i="1"/>
  <c r="Q1134" i="1"/>
  <c r="Q1154" i="1"/>
  <c r="V1173" i="1"/>
  <c r="R1256" i="1"/>
  <c r="P1256" i="1"/>
  <c r="Q1270" i="1"/>
  <c r="W1270" i="1"/>
  <c r="V1270" i="1"/>
  <c r="U1270" i="1"/>
  <c r="T1270" i="1"/>
  <c r="O1335" i="1"/>
  <c r="S1335" i="1"/>
  <c r="O925" i="1"/>
  <c r="P936" i="1"/>
  <c r="O949" i="1"/>
  <c r="O962" i="1"/>
  <c r="U967" i="1"/>
  <c r="O975" i="1"/>
  <c r="U980" i="1"/>
  <c r="P986" i="1"/>
  <c r="U993" i="1"/>
  <c r="O999" i="1"/>
  <c r="V1004" i="1"/>
  <c r="O1012" i="1"/>
  <c r="U1017" i="1"/>
  <c r="O1025" i="1"/>
  <c r="U1030" i="1"/>
  <c r="O1044" i="1"/>
  <c r="R1046" i="1"/>
  <c r="O1054" i="1"/>
  <c r="R1056" i="1"/>
  <c r="P1064" i="1"/>
  <c r="U1070" i="1"/>
  <c r="O1077" i="1"/>
  <c r="S1079" i="1"/>
  <c r="O1079" i="1"/>
  <c r="T1085" i="1"/>
  <c r="O1090" i="1"/>
  <c r="T1110" i="1"/>
  <c r="O1166" i="1"/>
  <c r="P1181" i="1"/>
  <c r="O1201" i="1"/>
  <c r="W1251" i="1"/>
  <c r="V1251" i="1"/>
  <c r="U1251" i="1"/>
  <c r="T1251" i="1"/>
  <c r="R1273" i="1"/>
  <c r="P1273" i="1"/>
  <c r="S1294" i="1"/>
  <c r="P938" i="1"/>
  <c r="S951" i="1"/>
  <c r="O951" i="1"/>
  <c r="T958" i="1"/>
  <c r="V967" i="1"/>
  <c r="V980" i="1"/>
  <c r="P988" i="1"/>
  <c r="V993" i="1"/>
  <c r="S1001" i="1"/>
  <c r="O1001" i="1"/>
  <c r="T1008" i="1"/>
  <c r="V1017" i="1"/>
  <c r="V1030" i="1"/>
  <c r="V1070" i="1"/>
  <c r="U1085" i="1"/>
  <c r="W1097" i="1"/>
  <c r="T1097" i="1"/>
  <c r="W1099" i="1"/>
  <c r="U1099" i="1"/>
  <c r="T1099" i="1"/>
  <c r="Q1099" i="1"/>
  <c r="U1110" i="1"/>
  <c r="W1164" i="1"/>
  <c r="V1164" i="1"/>
  <c r="U1164" i="1"/>
  <c r="T1164" i="1"/>
  <c r="Q1164" i="1"/>
  <c r="R1242" i="1"/>
  <c r="P1242" i="1"/>
  <c r="W1311" i="1"/>
  <c r="V1311" i="1"/>
  <c r="U1311" i="1"/>
  <c r="T1311" i="1"/>
  <c r="Q1311" i="1"/>
  <c r="O869" i="1"/>
  <c r="O874" i="1"/>
  <c r="O879" i="1"/>
  <c r="O884" i="1"/>
  <c r="O889" i="1"/>
  <c r="O894" i="1"/>
  <c r="O899" i="1"/>
  <c r="O904" i="1"/>
  <c r="O909" i="1"/>
  <c r="O914" i="1"/>
  <c r="S923" i="1"/>
  <c r="O927" i="1"/>
  <c r="Q938" i="1"/>
  <c r="O940" i="1"/>
  <c r="P951" i="1"/>
  <c r="U958" i="1"/>
  <c r="O964" i="1"/>
  <c r="S973" i="1"/>
  <c r="O977" i="1"/>
  <c r="Q988" i="1"/>
  <c r="O990" i="1"/>
  <c r="P1001" i="1"/>
  <c r="U1008" i="1"/>
  <c r="O1014" i="1"/>
  <c r="S1023" i="1"/>
  <c r="O1027" i="1"/>
  <c r="S1038" i="1"/>
  <c r="S1048" i="1"/>
  <c r="S1058" i="1"/>
  <c r="P1075" i="1"/>
  <c r="Q1079" i="1"/>
  <c r="V1085" i="1"/>
  <c r="S1106" i="1"/>
  <c r="O1106" i="1"/>
  <c r="S1108" i="1"/>
  <c r="V1110" i="1"/>
  <c r="P1130" i="1"/>
  <c r="T1152" i="1"/>
  <c r="Q1152" i="1"/>
  <c r="T1154" i="1"/>
  <c r="P1193" i="1"/>
  <c r="O1273" i="1"/>
  <c r="R1311" i="1"/>
  <c r="P1311" i="1"/>
  <c r="U1319" i="1"/>
  <c r="T1319" i="1"/>
  <c r="W1319" i="1"/>
  <c r="V1319" i="1"/>
  <c r="Q1319" i="1"/>
  <c r="P829" i="1"/>
  <c r="P834" i="1"/>
  <c r="P844" i="1"/>
  <c r="P849" i="1"/>
  <c r="P854" i="1"/>
  <c r="P859" i="1"/>
  <c r="P864" i="1"/>
  <c r="P869" i="1"/>
  <c r="P874" i="1"/>
  <c r="P879" i="1"/>
  <c r="S916" i="1"/>
  <c r="O916" i="1"/>
  <c r="Q951" i="1"/>
  <c r="P953" i="1"/>
  <c r="V958" i="1"/>
  <c r="P964" i="1"/>
  <c r="S966" i="1"/>
  <c r="O966" i="1"/>
  <c r="P977" i="1"/>
  <c r="P990" i="1"/>
  <c r="Q1001" i="1"/>
  <c r="P1003" i="1"/>
  <c r="V1008" i="1"/>
  <c r="S1016" i="1"/>
  <c r="O1016" i="1"/>
  <c r="P1027" i="1"/>
  <c r="Q1075" i="1"/>
  <c r="S1099" i="1"/>
  <c r="O1099" i="1"/>
  <c r="U1154" i="1"/>
  <c r="Q1193" i="1"/>
  <c r="W1199" i="1"/>
  <c r="V1199" i="1"/>
  <c r="U1199" i="1"/>
  <c r="T1199" i="1"/>
  <c r="Q1199" i="1"/>
  <c r="T1207" i="1"/>
  <c r="Q1207" i="1"/>
  <c r="W1207" i="1"/>
  <c r="V1207" i="1"/>
  <c r="U1207" i="1"/>
  <c r="R1271" i="1"/>
  <c r="P1271" i="1"/>
  <c r="W1283" i="1"/>
  <c r="V1283" i="1"/>
  <c r="U1283" i="1"/>
  <c r="T1283" i="1"/>
  <c r="Q1283" i="1"/>
  <c r="R1319" i="1"/>
  <c r="P1319" i="1"/>
  <c r="Q914" i="1"/>
  <c r="Q927" i="1"/>
  <c r="O929" i="1"/>
  <c r="S938" i="1"/>
  <c r="Q964" i="1"/>
  <c r="Q977" i="1"/>
  <c r="O979" i="1"/>
  <c r="S988" i="1"/>
  <c r="Q1014" i="1"/>
  <c r="Q1027" i="1"/>
  <c r="O1029" i="1"/>
  <c r="W1069" i="1"/>
  <c r="U1069" i="1"/>
  <c r="T1069" i="1"/>
  <c r="S1071" i="1"/>
  <c r="O1071" i="1"/>
  <c r="V1079" i="1"/>
  <c r="W1104" i="1"/>
  <c r="U1104" i="1"/>
  <c r="T1104" i="1"/>
  <c r="Q1104" i="1"/>
  <c r="T1147" i="1"/>
  <c r="Q1147" i="1"/>
  <c r="W1147" i="1"/>
  <c r="V1147" i="1"/>
  <c r="U1147" i="1"/>
  <c r="V1154" i="1"/>
  <c r="W1189" i="1"/>
  <c r="V1189" i="1"/>
  <c r="U1189" i="1"/>
  <c r="T1189" i="1"/>
  <c r="P1191" i="1"/>
  <c r="Q1251" i="1"/>
  <c r="W1326" i="1"/>
  <c r="T1326" i="1"/>
  <c r="V1326" i="1"/>
  <c r="S931" i="1"/>
  <c r="O931" i="1"/>
  <c r="T938" i="1"/>
  <c r="T951" i="1"/>
  <c r="S981" i="1"/>
  <c r="O981" i="1"/>
  <c r="T988" i="1"/>
  <c r="T1001" i="1"/>
  <c r="S1031" i="1"/>
  <c r="O1031" i="1"/>
  <c r="R1071" i="1"/>
  <c r="W1084" i="1"/>
  <c r="U1084" i="1"/>
  <c r="T1084" i="1"/>
  <c r="S1086" i="1"/>
  <c r="O1086" i="1"/>
  <c r="V1099" i="1"/>
  <c r="W1102" i="1"/>
  <c r="U1102" i="1"/>
  <c r="T1102" i="1"/>
  <c r="S1111" i="1"/>
  <c r="O1111" i="1"/>
  <c r="S1113" i="1"/>
  <c r="U1140" i="1"/>
  <c r="W1140" i="1"/>
  <c r="V1140" i="1"/>
  <c r="T1140" i="1"/>
  <c r="Q1140" i="1"/>
  <c r="R1147" i="1"/>
  <c r="P1147" i="1"/>
  <c r="O1271" i="1"/>
  <c r="R1347" i="1"/>
  <c r="T914" i="1"/>
  <c r="Q929" i="1"/>
  <c r="Q942" i="1"/>
  <c r="O944" i="1"/>
  <c r="T964" i="1"/>
  <c r="Q979" i="1"/>
  <c r="Q992" i="1"/>
  <c r="T1014" i="1"/>
  <c r="Q1029" i="1"/>
  <c r="S1069" i="1"/>
  <c r="O1069" i="1"/>
  <c r="T1071" i="1"/>
  <c r="S1073" i="1"/>
  <c r="T1075" i="1"/>
  <c r="R1086" i="1"/>
  <c r="Q1097" i="1"/>
  <c r="S1104" i="1"/>
  <c r="O1104" i="1"/>
  <c r="W1143" i="1"/>
  <c r="V1143" i="1"/>
  <c r="P1152" i="1"/>
  <c r="T1162" i="1"/>
  <c r="Q1162" i="1"/>
  <c r="W1162" i="1"/>
  <c r="V1162" i="1"/>
  <c r="U1162" i="1"/>
  <c r="S1246" i="1"/>
  <c r="O1246" i="1"/>
  <c r="R1260" i="1"/>
  <c r="P1260" i="1"/>
  <c r="S1347" i="1"/>
  <c r="S1562" i="1"/>
  <c r="O1562" i="1"/>
  <c r="W1233" i="1"/>
  <c r="Q1233" i="1"/>
  <c r="W1249" i="1"/>
  <c r="Q1249" i="1"/>
  <c r="W1281" i="1"/>
  <c r="V1281" i="1"/>
  <c r="U1281" i="1"/>
  <c r="T1281" i="1"/>
  <c r="Q1334" i="1"/>
  <c r="W1334" i="1"/>
  <c r="V1334" i="1"/>
  <c r="U1334" i="1"/>
  <c r="T1334" i="1"/>
  <c r="T1362" i="1"/>
  <c r="Q1362" i="1"/>
  <c r="W1362" i="1"/>
  <c r="U1362" i="1"/>
  <c r="S1396" i="1"/>
  <c r="O1396" i="1"/>
  <c r="S1424" i="1"/>
  <c r="O1424" i="1"/>
  <c r="R1434" i="1"/>
  <c r="P1434" i="1"/>
  <c r="S1463" i="1"/>
  <c r="O1463" i="1"/>
  <c r="R1493" i="1"/>
  <c r="P1493" i="1"/>
  <c r="R1222" i="1"/>
  <c r="P1222" i="1"/>
  <c r="R1233" i="1"/>
  <c r="P1233" i="1"/>
  <c r="U1244" i="1"/>
  <c r="T1244" i="1"/>
  <c r="Q1244" i="1"/>
  <c r="O1253" i="1"/>
  <c r="W1278" i="1"/>
  <c r="V1278" i="1"/>
  <c r="U1278" i="1"/>
  <c r="T1278" i="1"/>
  <c r="Q1278" i="1"/>
  <c r="O1326" i="1"/>
  <c r="R1367" i="1"/>
  <c r="P1367" i="1"/>
  <c r="S1548" i="1"/>
  <c r="O1548" i="1"/>
  <c r="S1215" i="1"/>
  <c r="O1215" i="1"/>
  <c r="S1233" i="1"/>
  <c r="O1233" i="1"/>
  <c r="W1256" i="1"/>
  <c r="U1256" i="1"/>
  <c r="T1256" i="1"/>
  <c r="W1258" i="1"/>
  <c r="V1258" i="1"/>
  <c r="U1258" i="1"/>
  <c r="T1258" i="1"/>
  <c r="W1263" i="1"/>
  <c r="V1263" i="1"/>
  <c r="U1263" i="1"/>
  <c r="T1263" i="1"/>
  <c r="Q1263" i="1"/>
  <c r="R1403" i="1"/>
  <c r="P1403" i="1"/>
  <c r="Q1458" i="1"/>
  <c r="W1458" i="1"/>
  <c r="V1458" i="1"/>
  <c r="T1458" i="1"/>
  <c r="U1458" i="1"/>
  <c r="R1471" i="1"/>
  <c r="P1471" i="1"/>
  <c r="S1730" i="1"/>
  <c r="O1730" i="1"/>
  <c r="R1758" i="1"/>
  <c r="P1758" i="1"/>
  <c r="R1838" i="1"/>
  <c r="P1838" i="1"/>
  <c r="R1866" i="1"/>
  <c r="P1866" i="1"/>
  <c r="R1209" i="1"/>
  <c r="P1209" i="1"/>
  <c r="S1220" i="1"/>
  <c r="O1220" i="1"/>
  <c r="V1229" i="1"/>
  <c r="U1229" i="1"/>
  <c r="T1229" i="1"/>
  <c r="W1236" i="1"/>
  <c r="Q1236" i="1"/>
  <c r="W1238" i="1"/>
  <c r="V1238" i="1"/>
  <c r="O1242" i="1"/>
  <c r="S1242" i="1"/>
  <c r="Q1247" i="1"/>
  <c r="S1284" i="1"/>
  <c r="O1284" i="1"/>
  <c r="W1308" i="1"/>
  <c r="V1308" i="1"/>
  <c r="U1308" i="1"/>
  <c r="T1308" i="1"/>
  <c r="Q1308" i="1"/>
  <c r="W1388" i="1"/>
  <c r="V1388" i="1"/>
  <c r="U1388" i="1"/>
  <c r="T1388" i="1"/>
  <c r="Q1388" i="1"/>
  <c r="Q1211" i="1"/>
  <c r="W1218" i="1"/>
  <c r="U1218" i="1"/>
  <c r="T1218" i="1"/>
  <c r="Q1218" i="1"/>
  <c r="T1247" i="1"/>
  <c r="Q1256" i="1"/>
  <c r="Q1258" i="1"/>
  <c r="O1261" i="1"/>
  <c r="W1274" i="1"/>
  <c r="Q1274" i="1"/>
  <c r="Q1295" i="1"/>
  <c r="W1295" i="1"/>
  <c r="V1295" i="1"/>
  <c r="U1295" i="1"/>
  <c r="T1295" i="1"/>
  <c r="W1306" i="1"/>
  <c r="V1306" i="1"/>
  <c r="U1306" i="1"/>
  <c r="T1306" i="1"/>
  <c r="O1319" i="1"/>
  <c r="Q1327" i="1"/>
  <c r="W1327" i="1"/>
  <c r="V1327" i="1"/>
  <c r="U1327" i="1"/>
  <c r="T1327" i="1"/>
  <c r="O1368" i="1"/>
  <c r="W1376" i="1"/>
  <c r="T1376" i="1"/>
  <c r="Q1376" i="1"/>
  <c r="V1376" i="1"/>
  <c r="U1376" i="1"/>
  <c r="W1223" i="1"/>
  <c r="Q1223" i="1"/>
  <c r="W1227" i="1"/>
  <c r="V1227" i="1"/>
  <c r="U1227" i="1"/>
  <c r="S1238" i="1"/>
  <c r="O1238" i="1"/>
  <c r="S1240" i="1"/>
  <c r="O1240" i="1"/>
  <c r="U1245" i="1"/>
  <c r="T1245" i="1"/>
  <c r="U1247" i="1"/>
  <c r="V1249" i="1"/>
  <c r="O1254" i="1"/>
  <c r="W1303" i="1"/>
  <c r="V1303" i="1"/>
  <c r="U1303" i="1"/>
  <c r="T1303" i="1"/>
  <c r="Q1303" i="1"/>
  <c r="T1348" i="1"/>
  <c r="Q1348" i="1"/>
  <c r="W1348" i="1"/>
  <c r="V1348" i="1"/>
  <c r="S1397" i="1"/>
  <c r="O1397" i="1"/>
  <c r="R1439" i="1"/>
  <c r="P1439" i="1"/>
  <c r="W1456" i="1"/>
  <c r="V1456" i="1"/>
  <c r="U1456" i="1"/>
  <c r="T1456" i="1"/>
  <c r="Q1456" i="1"/>
  <c r="V1170" i="1"/>
  <c r="U1170" i="1"/>
  <c r="T1179" i="1"/>
  <c r="U1183" i="1"/>
  <c r="O1229" i="1"/>
  <c r="O1234" i="1"/>
  <c r="O1236" i="1"/>
  <c r="P1238" i="1"/>
  <c r="V1247" i="1"/>
  <c r="U1269" i="1"/>
  <c r="T1269" i="1"/>
  <c r="O1279" i="1"/>
  <c r="Q1448" i="1"/>
  <c r="V1448" i="1"/>
  <c r="U1448" i="1"/>
  <c r="T1448" i="1"/>
  <c r="W1448" i="1"/>
  <c r="T1142" i="1"/>
  <c r="Q1142" i="1"/>
  <c r="O1153" i="1"/>
  <c r="V1155" i="1"/>
  <c r="U1155" i="1"/>
  <c r="T1172" i="1"/>
  <c r="Q1172" i="1"/>
  <c r="U1179" i="1"/>
  <c r="V1183" i="1"/>
  <c r="T1211" i="1"/>
  <c r="W1216" i="1"/>
  <c r="V1216" i="1"/>
  <c r="U1216" i="1"/>
  <c r="T1216" i="1"/>
  <c r="O1218" i="1"/>
  <c r="P1234" i="1"/>
  <c r="P1236" i="1"/>
  <c r="Q1238" i="1"/>
  <c r="S1245" i="1"/>
  <c r="O1245" i="1"/>
  <c r="V1256" i="1"/>
  <c r="O1274" i="1"/>
  <c r="W1301" i="1"/>
  <c r="V1301" i="1"/>
  <c r="U1301" i="1"/>
  <c r="Q1301" i="1"/>
  <c r="S1340" i="1"/>
  <c r="W1377" i="1"/>
  <c r="T1377" i="1"/>
  <c r="Q1377" i="1"/>
  <c r="R1479" i="1"/>
  <c r="T1157" i="1"/>
  <c r="Q1157" i="1"/>
  <c r="V1179" i="1"/>
  <c r="P1205" i="1"/>
  <c r="O1207" i="1"/>
  <c r="U1211" i="1"/>
  <c r="P1218" i="1"/>
  <c r="S1225" i="1"/>
  <c r="O1225" i="1"/>
  <c r="P1227" i="1"/>
  <c r="Q1229" i="1"/>
  <c r="Q1234" i="1"/>
  <c r="P1245" i="1"/>
  <c r="W1248" i="1"/>
  <c r="Q1248" i="1"/>
  <c r="R1274" i="1"/>
  <c r="Q1285" i="1"/>
  <c r="V1285" i="1"/>
  <c r="U1285" i="1"/>
  <c r="W1288" i="1"/>
  <c r="V1288" i="1"/>
  <c r="U1288" i="1"/>
  <c r="T1288" i="1"/>
  <c r="Q1288" i="1"/>
  <c r="U1333" i="1"/>
  <c r="T1333" i="1"/>
  <c r="S1338" i="1"/>
  <c r="O1338" i="1"/>
  <c r="U1348" i="1"/>
  <c r="W1432" i="1"/>
  <c r="V1432" i="1"/>
  <c r="U1432" i="1"/>
  <c r="T1432" i="1"/>
  <c r="Q1432" i="1"/>
  <c r="O1676" i="1"/>
  <c r="S1676" i="1"/>
  <c r="P1207" i="1"/>
  <c r="V1211" i="1"/>
  <c r="W1214" i="1"/>
  <c r="V1214" i="1"/>
  <c r="U1214" i="1"/>
  <c r="V1218" i="1"/>
  <c r="P1223" i="1"/>
  <c r="Q1225" i="1"/>
  <c r="Q1227" i="1"/>
  <c r="T1238" i="1"/>
  <c r="Q1245" i="1"/>
  <c r="P1259" i="1"/>
  <c r="O1269" i="1"/>
  <c r="R1288" i="1"/>
  <c r="P1288" i="1"/>
  <c r="P1303" i="1"/>
  <c r="Q1306" i="1"/>
  <c r="O1330" i="1"/>
  <c r="S1330" i="1"/>
  <c r="S1377" i="1"/>
  <c r="O1377" i="1"/>
  <c r="R1432" i="1"/>
  <c r="P1432" i="1"/>
  <c r="O1116" i="1"/>
  <c r="O1121" i="1"/>
  <c r="O1126" i="1"/>
  <c r="O1142" i="1"/>
  <c r="P1155" i="1"/>
  <c r="Q1170" i="1"/>
  <c r="O1172" i="1"/>
  <c r="O1176" i="1"/>
  <c r="O1178" i="1"/>
  <c r="W1180" i="1"/>
  <c r="V1180" i="1"/>
  <c r="U1180" i="1"/>
  <c r="T1182" i="1"/>
  <c r="Q1182" i="1"/>
  <c r="W1212" i="1"/>
  <c r="Q1212" i="1"/>
  <c r="O1216" i="1"/>
  <c r="O1221" i="1"/>
  <c r="R1225" i="1"/>
  <c r="W1229" i="1"/>
  <c r="P1232" i="1"/>
  <c r="T1234" i="1"/>
  <c r="T1236" i="1"/>
  <c r="U1238" i="1"/>
  <c r="W1243" i="1"/>
  <c r="V1243" i="1"/>
  <c r="U1243" i="1"/>
  <c r="P1269" i="1"/>
  <c r="T1274" i="1"/>
  <c r="O1296" i="1"/>
  <c r="O1298" i="1"/>
  <c r="O1301" i="1"/>
  <c r="S1309" i="1"/>
  <c r="O1309" i="1"/>
  <c r="O1328" i="1"/>
  <c r="P1330" i="1"/>
  <c r="W1341" i="1"/>
  <c r="Q1341" i="1"/>
  <c r="V1341" i="1"/>
  <c r="U1341" i="1"/>
  <c r="T1341" i="1"/>
  <c r="O1361" i="1"/>
  <c r="U1377" i="1"/>
  <c r="U1645" i="1"/>
  <c r="T1645" i="1"/>
  <c r="Q1645" i="1"/>
  <c r="V1645" i="1"/>
  <c r="W1645" i="1"/>
  <c r="S1648" i="1"/>
  <c r="O1648" i="1"/>
  <c r="S1140" i="1"/>
  <c r="P1142" i="1"/>
  <c r="Q1155" i="1"/>
  <c r="P1172" i="1"/>
  <c r="S1205" i="1"/>
  <c r="P1221" i="1"/>
  <c r="T1223" i="1"/>
  <c r="T1225" i="1"/>
  <c r="Q1232" i="1"/>
  <c r="U1234" i="1"/>
  <c r="U1236" i="1"/>
  <c r="V1245" i="1"/>
  <c r="Q1269" i="1"/>
  <c r="U1274" i="1"/>
  <c r="T1285" i="1"/>
  <c r="P1296" i="1"/>
  <c r="P1298" i="1"/>
  <c r="P1301" i="1"/>
  <c r="T1309" i="1"/>
  <c r="Q1320" i="1"/>
  <c r="W1320" i="1"/>
  <c r="V1320" i="1"/>
  <c r="U1320" i="1"/>
  <c r="T1320" i="1"/>
  <c r="P1328" i="1"/>
  <c r="P1361" i="1"/>
  <c r="W1374" i="1"/>
  <c r="V1374" i="1"/>
  <c r="U1374" i="1"/>
  <c r="T1374" i="1"/>
  <c r="Q1374" i="1"/>
  <c r="V1377" i="1"/>
  <c r="U1580" i="1"/>
  <c r="T1580" i="1"/>
  <c r="Q1580" i="1"/>
  <c r="W1580" i="1"/>
  <c r="V1580" i="1"/>
  <c r="R1640" i="1"/>
  <c r="P1640" i="1"/>
  <c r="P1133" i="1"/>
  <c r="T1137" i="1"/>
  <c r="Q1137" i="1"/>
  <c r="P1157" i="1"/>
  <c r="S1170" i="1"/>
  <c r="Q1178" i="1"/>
  <c r="O1188" i="1"/>
  <c r="W1190" i="1"/>
  <c r="V1190" i="1"/>
  <c r="U1190" i="1"/>
  <c r="T1192" i="1"/>
  <c r="Q1192" i="1"/>
  <c r="S1210" i="1"/>
  <c r="O1210" i="1"/>
  <c r="P1214" i="1"/>
  <c r="Q1216" i="1"/>
  <c r="Q1221" i="1"/>
  <c r="U1223" i="1"/>
  <c r="U1225" i="1"/>
  <c r="T1227" i="1"/>
  <c r="V1234" i="1"/>
  <c r="V1236" i="1"/>
  <c r="W1245" i="1"/>
  <c r="V1274" i="1"/>
  <c r="W1285" i="1"/>
  <c r="W1299" i="1"/>
  <c r="U1299" i="1"/>
  <c r="Q1299" i="1"/>
  <c r="U1309" i="1"/>
  <c r="P1333" i="1"/>
  <c r="W1462" i="1"/>
  <c r="V1462" i="1"/>
  <c r="U1462" i="1"/>
  <c r="T1462" i="1"/>
  <c r="Q1462" i="1"/>
  <c r="R1477" i="1"/>
  <c r="P1477" i="1"/>
  <c r="R1523" i="1"/>
  <c r="S1155" i="1"/>
  <c r="V1165" i="1"/>
  <c r="U1165" i="1"/>
  <c r="T1170" i="1"/>
  <c r="W1208" i="1"/>
  <c r="T1208" i="1"/>
  <c r="V1223" i="1"/>
  <c r="V1225" i="1"/>
  <c r="S1230" i="1"/>
  <c r="O1230" i="1"/>
  <c r="W1246" i="1"/>
  <c r="Q1246" i="1"/>
  <c r="W1286" i="1"/>
  <c r="V1286" i="1"/>
  <c r="U1286" i="1"/>
  <c r="T1286" i="1"/>
  <c r="Q1286" i="1"/>
  <c r="T1301" i="1"/>
  <c r="V1309" i="1"/>
  <c r="Q1333" i="1"/>
  <c r="R1369" i="1"/>
  <c r="P1369" i="1"/>
  <c r="S1374" i="1"/>
  <c r="O1374" i="1"/>
  <c r="R1395" i="1"/>
  <c r="P1395" i="1"/>
  <c r="O1405" i="1"/>
  <c r="S1405" i="1"/>
  <c r="S1414" i="1"/>
  <c r="O1414" i="1"/>
  <c r="S1436" i="1"/>
  <c r="O1436" i="1"/>
  <c r="U1142" i="1"/>
  <c r="O1148" i="1"/>
  <c r="V1150" i="1"/>
  <c r="U1150" i="1"/>
  <c r="T1155" i="1"/>
  <c r="U1157" i="1"/>
  <c r="T1167" i="1"/>
  <c r="Q1167" i="1"/>
  <c r="W1170" i="1"/>
  <c r="V1172" i="1"/>
  <c r="Q1180" i="1"/>
  <c r="P1182" i="1"/>
  <c r="O1198" i="1"/>
  <c r="W1200" i="1"/>
  <c r="V1200" i="1"/>
  <c r="U1200" i="1"/>
  <c r="T1202" i="1"/>
  <c r="Q1202" i="1"/>
  <c r="T1221" i="1"/>
  <c r="T1232" i="1"/>
  <c r="R1246" i="1"/>
  <c r="P1246" i="1"/>
  <c r="T1248" i="1"/>
  <c r="W1255" i="1"/>
  <c r="V1255" i="1"/>
  <c r="U1255" i="1"/>
  <c r="T1255" i="1"/>
  <c r="V1269" i="1"/>
  <c r="U1280" i="1"/>
  <c r="R1286" i="1"/>
  <c r="P1286" i="1"/>
  <c r="U1294" i="1"/>
  <c r="T1294" i="1"/>
  <c r="W1309" i="1"/>
  <c r="W1393" i="1"/>
  <c r="V1393" i="1"/>
  <c r="U1393" i="1"/>
  <c r="Q1393" i="1"/>
  <c r="T1393" i="1"/>
  <c r="W1446" i="1"/>
  <c r="V1446" i="1"/>
  <c r="U1446" i="1"/>
  <c r="T1446" i="1"/>
  <c r="Q1446" i="1"/>
  <c r="W1564" i="1"/>
  <c r="V1564" i="1"/>
  <c r="U1564" i="1"/>
  <c r="T1564" i="1"/>
  <c r="Q1564" i="1"/>
  <c r="R1569" i="1"/>
  <c r="P1569" i="1"/>
  <c r="O1575" i="1"/>
  <c r="S1575" i="1"/>
  <c r="S1584" i="1"/>
  <c r="O1584" i="1"/>
  <c r="S1608" i="1"/>
  <c r="O1608" i="1"/>
  <c r="U1655" i="1"/>
  <c r="T1655" i="1"/>
  <c r="Q1655" i="1"/>
  <c r="V1655" i="1"/>
  <c r="O1889" i="1"/>
  <c r="S1889" i="1"/>
  <c r="S1937" i="1"/>
  <c r="O1937" i="1"/>
  <c r="S1569" i="1"/>
  <c r="O1569" i="1"/>
  <c r="R1655" i="1"/>
  <c r="P1655" i="1"/>
  <c r="W1416" i="1"/>
  <c r="V1416" i="1"/>
  <c r="U1416" i="1"/>
  <c r="T1416" i="1"/>
  <c r="V1419" i="1"/>
  <c r="U1419" i="1"/>
  <c r="T1419" i="1"/>
  <c r="W1426" i="1"/>
  <c r="V1426" i="1"/>
  <c r="U1426" i="1"/>
  <c r="T1426" i="1"/>
  <c r="R1438" i="1"/>
  <c r="P1438" i="1"/>
  <c r="W1444" i="1"/>
  <c r="U1444" i="1"/>
  <c r="T1444" i="1"/>
  <c r="W1501" i="1"/>
  <c r="V1501" i="1"/>
  <c r="U1501" i="1"/>
  <c r="T1501" i="1"/>
  <c r="Q1501" i="1"/>
  <c r="W1544" i="1"/>
  <c r="V1544" i="1"/>
  <c r="U1544" i="1"/>
  <c r="T1544" i="1"/>
  <c r="Q1544" i="1"/>
  <c r="W1550" i="1"/>
  <c r="V1550" i="1"/>
  <c r="U1550" i="1"/>
  <c r="T1550" i="1"/>
  <c r="Q1550" i="1"/>
  <c r="V1603" i="1"/>
  <c r="U1603" i="1"/>
  <c r="T1603" i="1"/>
  <c r="Q1603" i="1"/>
  <c r="W1603" i="1"/>
  <c r="R1416" i="1"/>
  <c r="P1416" i="1"/>
  <c r="W1452" i="1"/>
  <c r="V1452" i="1"/>
  <c r="U1452" i="1"/>
  <c r="Q1452" i="1"/>
  <c r="R1501" i="1"/>
  <c r="P1501" i="1"/>
  <c r="W1519" i="1"/>
  <c r="V1519" i="1"/>
  <c r="U1519" i="1"/>
  <c r="T1519" i="1"/>
  <c r="R1544" i="1"/>
  <c r="P1544" i="1"/>
  <c r="R1550" i="1"/>
  <c r="P1550" i="1"/>
  <c r="W1655" i="1"/>
  <c r="Q1757" i="1"/>
  <c r="W1757" i="1"/>
  <c r="V1757" i="1"/>
  <c r="U1757" i="1"/>
  <c r="T1757" i="1"/>
  <c r="O1400" i="1"/>
  <c r="S1400" i="1"/>
  <c r="O1438" i="1"/>
  <c r="R1452" i="1"/>
  <c r="P1452" i="1"/>
  <c r="R1462" i="1"/>
  <c r="W1509" i="1"/>
  <c r="V1509" i="1"/>
  <c r="U1509" i="1"/>
  <c r="T1509" i="1"/>
  <c r="Q1509" i="1"/>
  <c r="V1515" i="1"/>
  <c r="U1515" i="1"/>
  <c r="T1515" i="1"/>
  <c r="W1515" i="1"/>
  <c r="Q1515" i="1"/>
  <c r="O1550" i="1"/>
  <c r="S1550" i="1"/>
  <c r="V1573" i="1"/>
  <c r="U1573" i="1"/>
  <c r="T1573" i="1"/>
  <c r="W1573" i="1"/>
  <c r="Q1573" i="1"/>
  <c r="U1600" i="1"/>
  <c r="T1600" i="1"/>
  <c r="Q1600" i="1"/>
  <c r="W1600" i="1"/>
  <c r="V1600" i="1"/>
  <c r="V1618" i="1"/>
  <c r="U1618" i="1"/>
  <c r="T1618" i="1"/>
  <c r="W1618" i="1"/>
  <c r="Q1618" i="1"/>
  <c r="V1653" i="1"/>
  <c r="U1653" i="1"/>
  <c r="T1653" i="1"/>
  <c r="W1653" i="1"/>
  <c r="Q1653" i="1"/>
  <c r="W1876" i="1"/>
  <c r="V1876" i="1"/>
  <c r="T1876" i="1"/>
  <c r="Q1876" i="1"/>
  <c r="U1876" i="1"/>
  <c r="U1383" i="1"/>
  <c r="T1383" i="1"/>
  <c r="Q1383" i="1"/>
  <c r="R1390" i="1"/>
  <c r="P1390" i="1"/>
  <c r="O1403" i="1"/>
  <c r="W1414" i="1"/>
  <c r="V1414" i="1"/>
  <c r="U1414" i="1"/>
  <c r="Q1414" i="1"/>
  <c r="Q1416" i="1"/>
  <c r="O1419" i="1"/>
  <c r="O1426" i="1"/>
  <c r="O1444" i="1"/>
  <c r="R1473" i="1"/>
  <c r="P1473" i="1"/>
  <c r="R1509" i="1"/>
  <c r="P1509" i="1"/>
  <c r="R1515" i="1"/>
  <c r="P1515" i="1"/>
  <c r="W1534" i="1"/>
  <c r="V1534" i="1"/>
  <c r="U1534" i="1"/>
  <c r="T1534" i="1"/>
  <c r="Q1534" i="1"/>
  <c r="O1544" i="1"/>
  <c r="W1548" i="1"/>
  <c r="V1548" i="1"/>
  <c r="U1548" i="1"/>
  <c r="T1548" i="1"/>
  <c r="Q1548" i="1"/>
  <c r="W1558" i="1"/>
  <c r="V1558" i="1"/>
  <c r="U1558" i="1"/>
  <c r="R1566" i="1"/>
  <c r="P1566" i="1"/>
  <c r="R1573" i="1"/>
  <c r="P1573" i="1"/>
  <c r="R1600" i="1"/>
  <c r="P1600" i="1"/>
  <c r="R1855" i="1"/>
  <c r="P1855" i="1"/>
  <c r="P1869" i="1"/>
  <c r="R1869" i="1"/>
  <c r="O1887" i="1"/>
  <c r="S1887" i="1"/>
  <c r="R1383" i="1"/>
  <c r="P1383" i="1"/>
  <c r="W1395" i="1"/>
  <c r="V1395" i="1"/>
  <c r="U1395" i="1"/>
  <c r="T1395" i="1"/>
  <c r="V1398" i="1"/>
  <c r="U1398" i="1"/>
  <c r="T1398" i="1"/>
  <c r="P1419" i="1"/>
  <c r="P1426" i="1"/>
  <c r="P1444" i="1"/>
  <c r="W1487" i="1"/>
  <c r="V1487" i="1"/>
  <c r="U1487" i="1"/>
  <c r="T1487" i="1"/>
  <c r="Q1493" i="1"/>
  <c r="W1493" i="1"/>
  <c r="V1493" i="1"/>
  <c r="U1493" i="1"/>
  <c r="T1493" i="1"/>
  <c r="W1499" i="1"/>
  <c r="V1499" i="1"/>
  <c r="U1499" i="1"/>
  <c r="T1499" i="1"/>
  <c r="Q1499" i="1"/>
  <c r="O1515" i="1"/>
  <c r="S1515" i="1"/>
  <c r="Q1519" i="1"/>
  <c r="W1523" i="1"/>
  <c r="V1523" i="1"/>
  <c r="U1523" i="1"/>
  <c r="S1566" i="1"/>
  <c r="O1566" i="1"/>
  <c r="R1730" i="1"/>
  <c r="P1730" i="1"/>
  <c r="P1816" i="1"/>
  <c r="R1816" i="1"/>
  <c r="R1376" i="1"/>
  <c r="P1376" i="1"/>
  <c r="W1381" i="1"/>
  <c r="V1381" i="1"/>
  <c r="U1381" i="1"/>
  <c r="T1381" i="1"/>
  <c r="Q1381" i="1"/>
  <c r="V1383" i="1"/>
  <c r="W1386" i="1"/>
  <c r="V1386" i="1"/>
  <c r="U1386" i="1"/>
  <c r="T1386" i="1"/>
  <c r="Q1386" i="1"/>
  <c r="Q1433" i="1"/>
  <c r="W1433" i="1"/>
  <c r="V1433" i="1"/>
  <c r="U1433" i="1"/>
  <c r="T1433" i="1"/>
  <c r="V1444" i="1"/>
  <c r="T1473" i="1"/>
  <c r="Q1540" i="1"/>
  <c r="W1540" i="1"/>
  <c r="V1540" i="1"/>
  <c r="U1540" i="1"/>
  <c r="T1540" i="1"/>
  <c r="V1361" i="1"/>
  <c r="T1369" i="1"/>
  <c r="Q1369" i="1"/>
  <c r="W1383" i="1"/>
  <c r="W1391" i="1"/>
  <c r="T1391" i="1"/>
  <c r="Q1395" i="1"/>
  <c r="O1398" i="1"/>
  <c r="V1412" i="1"/>
  <c r="U1412" i="1"/>
  <c r="T1412" i="1"/>
  <c r="P1414" i="1"/>
  <c r="W1442" i="1"/>
  <c r="U1442" i="1"/>
  <c r="T1442" i="1"/>
  <c r="U1473" i="1"/>
  <c r="W1481" i="1"/>
  <c r="V1481" i="1"/>
  <c r="U1481" i="1"/>
  <c r="T1481" i="1"/>
  <c r="O1487" i="1"/>
  <c r="O1493" i="1"/>
  <c r="O1499" i="1"/>
  <c r="S1507" i="1"/>
  <c r="O1507" i="1"/>
  <c r="W1513" i="1"/>
  <c r="V1513" i="1"/>
  <c r="U1513" i="1"/>
  <c r="T1513" i="1"/>
  <c r="Q1513" i="1"/>
  <c r="O1523" i="1"/>
  <c r="O1531" i="1"/>
  <c r="P1548" i="1"/>
  <c r="P1558" i="1"/>
  <c r="W1567" i="1"/>
  <c r="V1567" i="1"/>
  <c r="U1567" i="1"/>
  <c r="T1567" i="1"/>
  <c r="Q1567" i="1"/>
  <c r="W1571" i="1"/>
  <c r="V1571" i="1"/>
  <c r="U1571" i="1"/>
  <c r="T1571" i="1"/>
  <c r="Q1571" i="1"/>
  <c r="V1598" i="1"/>
  <c r="U1598" i="1"/>
  <c r="T1598" i="1"/>
  <c r="W1598" i="1"/>
  <c r="Q1598" i="1"/>
  <c r="W1651" i="1"/>
  <c r="V1651" i="1"/>
  <c r="U1651" i="1"/>
  <c r="T1651" i="1"/>
  <c r="Q1651" i="1"/>
  <c r="R1751" i="1"/>
  <c r="P1751" i="1"/>
  <c r="W1379" i="1"/>
  <c r="V1379" i="1"/>
  <c r="U1379" i="1"/>
  <c r="T1379" i="1"/>
  <c r="Q1379" i="1"/>
  <c r="W1384" i="1"/>
  <c r="T1384" i="1"/>
  <c r="W1409" i="1"/>
  <c r="V1409" i="1"/>
  <c r="U1409" i="1"/>
  <c r="T1409" i="1"/>
  <c r="T1414" i="1"/>
  <c r="W1419" i="1"/>
  <c r="W1436" i="1"/>
  <c r="V1436" i="1"/>
  <c r="U1436" i="1"/>
  <c r="T1436" i="1"/>
  <c r="Q1436" i="1"/>
  <c r="V1473" i="1"/>
  <c r="R1513" i="1"/>
  <c r="P1513" i="1"/>
  <c r="Q1558" i="1"/>
  <c r="R1567" i="1"/>
  <c r="P1567" i="1"/>
  <c r="R1571" i="1"/>
  <c r="P1571" i="1"/>
  <c r="R1598" i="1"/>
  <c r="P1598" i="1"/>
  <c r="R1630" i="1"/>
  <c r="P1630" i="1"/>
  <c r="V1648" i="1"/>
  <c r="U1648" i="1"/>
  <c r="T1648" i="1"/>
  <c r="W1648" i="1"/>
  <c r="Q1648" i="1"/>
  <c r="T1355" i="1"/>
  <c r="Q1355" i="1"/>
  <c r="R1362" i="1"/>
  <c r="P1362" i="1"/>
  <c r="Q1398" i="1"/>
  <c r="R1409" i="1"/>
  <c r="P1409" i="1"/>
  <c r="W1434" i="1"/>
  <c r="V1434" i="1"/>
  <c r="U1434" i="1"/>
  <c r="T1434" i="1"/>
  <c r="W1471" i="1"/>
  <c r="V1471" i="1"/>
  <c r="U1471" i="1"/>
  <c r="T1471" i="1"/>
  <c r="W1473" i="1"/>
  <c r="Q1487" i="1"/>
  <c r="Q1523" i="1"/>
  <c r="T1552" i="1"/>
  <c r="Q1552" i="1"/>
  <c r="W1552" i="1"/>
  <c r="V1552" i="1"/>
  <c r="U1552" i="1"/>
  <c r="O1630" i="1"/>
  <c r="S1630" i="1"/>
  <c r="R1648" i="1"/>
  <c r="P1648" i="1"/>
  <c r="R1731" i="1"/>
  <c r="P1731" i="1"/>
  <c r="W1367" i="1"/>
  <c r="V1367" i="1"/>
  <c r="U1367" i="1"/>
  <c r="T1367" i="1"/>
  <c r="Q1367" i="1"/>
  <c r="W1372" i="1"/>
  <c r="V1372" i="1"/>
  <c r="U1372" i="1"/>
  <c r="T1372" i="1"/>
  <c r="W1398" i="1"/>
  <c r="W1407" i="1"/>
  <c r="V1407" i="1"/>
  <c r="U1407" i="1"/>
  <c r="Q1407" i="1"/>
  <c r="R1448" i="1"/>
  <c r="P1448" i="1"/>
  <c r="W1464" i="1"/>
  <c r="V1464" i="1"/>
  <c r="U1464" i="1"/>
  <c r="T1464" i="1"/>
  <c r="Q1464" i="1"/>
  <c r="Q1517" i="1"/>
  <c r="W1517" i="1"/>
  <c r="V1517" i="1"/>
  <c r="U1517" i="1"/>
  <c r="T1523" i="1"/>
  <c r="W1532" i="1"/>
  <c r="V1532" i="1"/>
  <c r="U1532" i="1"/>
  <c r="T1532" i="1"/>
  <c r="Q1532" i="1"/>
  <c r="W1546" i="1"/>
  <c r="V1546" i="1"/>
  <c r="U1546" i="1"/>
  <c r="T1546" i="1"/>
  <c r="Q1546" i="1"/>
  <c r="R1580" i="1"/>
  <c r="P1580" i="1"/>
  <c r="R1668" i="1"/>
  <c r="P1668" i="1"/>
  <c r="U1695" i="1"/>
  <c r="T1695" i="1"/>
  <c r="Q1695" i="1"/>
  <c r="W1695" i="1"/>
  <c r="V1695" i="1"/>
  <c r="Q1428" i="1"/>
  <c r="W1428" i="1"/>
  <c r="S1448" i="1"/>
  <c r="O1448" i="1"/>
  <c r="R1517" i="1"/>
  <c r="P1517" i="1"/>
  <c r="V1529" i="1"/>
  <c r="U1529" i="1"/>
  <c r="T1529" i="1"/>
  <c r="R1532" i="1"/>
  <c r="P1532" i="1"/>
  <c r="O1552" i="1"/>
  <c r="S1640" i="1"/>
  <c r="U1690" i="1"/>
  <c r="T1690" i="1"/>
  <c r="Q1690" i="1"/>
  <c r="W1690" i="1"/>
  <c r="V1690" i="1"/>
  <c r="U1240" i="1"/>
  <c r="T1253" i="1"/>
  <c r="W1266" i="1"/>
  <c r="V1266" i="1"/>
  <c r="U1266" i="1"/>
  <c r="W1268" i="1"/>
  <c r="V1268" i="1"/>
  <c r="U1268" i="1"/>
  <c r="T1268" i="1"/>
  <c r="Q1268" i="1"/>
  <c r="W1291" i="1"/>
  <c r="V1291" i="1"/>
  <c r="U1291" i="1"/>
  <c r="W1293" i="1"/>
  <c r="V1293" i="1"/>
  <c r="U1293" i="1"/>
  <c r="T1293" i="1"/>
  <c r="Q1293" i="1"/>
  <c r="W1316" i="1"/>
  <c r="V1316" i="1"/>
  <c r="U1316" i="1"/>
  <c r="W1318" i="1"/>
  <c r="V1318" i="1"/>
  <c r="U1318" i="1"/>
  <c r="T1318" i="1"/>
  <c r="Q1318" i="1"/>
  <c r="W1346" i="1"/>
  <c r="V1346" i="1"/>
  <c r="U1346" i="1"/>
  <c r="T1346" i="1"/>
  <c r="Q1346" i="1"/>
  <c r="W1353" i="1"/>
  <c r="V1353" i="1"/>
  <c r="U1353" i="1"/>
  <c r="T1353" i="1"/>
  <c r="Q1353" i="1"/>
  <c r="V1355" i="1"/>
  <c r="W1360" i="1"/>
  <c r="V1360" i="1"/>
  <c r="U1360" i="1"/>
  <c r="T1360" i="1"/>
  <c r="Q1360" i="1"/>
  <c r="W1365" i="1"/>
  <c r="V1365" i="1"/>
  <c r="U1365" i="1"/>
  <c r="T1365" i="1"/>
  <c r="Q1384" i="1"/>
  <c r="O1389" i="1"/>
  <c r="S1404" i="1"/>
  <c r="O1404" i="1"/>
  <c r="W1423" i="1"/>
  <c r="V1423" i="1"/>
  <c r="U1423" i="1"/>
  <c r="T1423" i="1"/>
  <c r="R1428" i="1"/>
  <c r="P1428" i="1"/>
  <c r="V1442" i="1"/>
  <c r="W1491" i="1"/>
  <c r="V1491" i="1"/>
  <c r="U1491" i="1"/>
  <c r="T1491" i="1"/>
  <c r="Q1491" i="1"/>
  <c r="W1497" i="1"/>
  <c r="V1497" i="1"/>
  <c r="U1497" i="1"/>
  <c r="T1497" i="1"/>
  <c r="Q1497" i="1"/>
  <c r="Q1503" i="1"/>
  <c r="W1503" i="1"/>
  <c r="V1503" i="1"/>
  <c r="U1503" i="1"/>
  <c r="T1503" i="1"/>
  <c r="W1511" i="1"/>
  <c r="V1511" i="1"/>
  <c r="U1511" i="1"/>
  <c r="T1511" i="1"/>
  <c r="Q1511" i="1"/>
  <c r="T1538" i="1"/>
  <c r="Q1538" i="1"/>
  <c r="W1538" i="1"/>
  <c r="V1538" i="1"/>
  <c r="U1538" i="1"/>
  <c r="W1596" i="1"/>
  <c r="Q1596" i="1"/>
  <c r="V1596" i="1"/>
  <c r="U1596" i="1"/>
  <c r="T1596" i="1"/>
  <c r="U1605" i="1"/>
  <c r="T1605" i="1"/>
  <c r="Q1605" i="1"/>
  <c r="W1605" i="1"/>
  <c r="V1605" i="1"/>
  <c r="V1628" i="1"/>
  <c r="U1628" i="1"/>
  <c r="T1628" i="1"/>
  <c r="W1628" i="1"/>
  <c r="Q1628" i="1"/>
  <c r="R1660" i="1"/>
  <c r="P1660" i="1"/>
  <c r="U1665" i="1"/>
  <c r="T1665" i="1"/>
  <c r="Q1665" i="1"/>
  <c r="V1665" i="1"/>
  <c r="W1665" i="1"/>
  <c r="R1690" i="1"/>
  <c r="P1690" i="1"/>
  <c r="S1235" i="1"/>
  <c r="O1235" i="1"/>
  <c r="V1240" i="1"/>
  <c r="U1253" i="1"/>
  <c r="T1261" i="1"/>
  <c r="T1279" i="1"/>
  <c r="P1284" i="1"/>
  <c r="T1304" i="1"/>
  <c r="P1309" i="1"/>
  <c r="V1332" i="1"/>
  <c r="U1332" i="1"/>
  <c r="T1332" i="1"/>
  <c r="Q1332" i="1"/>
  <c r="V1339" i="1"/>
  <c r="U1339" i="1"/>
  <c r="T1339" i="1"/>
  <c r="Q1339" i="1"/>
  <c r="R1346" i="1"/>
  <c r="P1346" i="1"/>
  <c r="W1351" i="1"/>
  <c r="V1351" i="1"/>
  <c r="U1351" i="1"/>
  <c r="T1351" i="1"/>
  <c r="R1353" i="1"/>
  <c r="P1353" i="1"/>
  <c r="W1355" i="1"/>
  <c r="W1358" i="1"/>
  <c r="V1358" i="1"/>
  <c r="U1358" i="1"/>
  <c r="T1358" i="1"/>
  <c r="P1374" i="1"/>
  <c r="P1377" i="1"/>
  <c r="P1389" i="1"/>
  <c r="R1423" i="1"/>
  <c r="P1423" i="1"/>
  <c r="Q1434" i="1"/>
  <c r="R1437" i="1"/>
  <c r="P1437" i="1"/>
  <c r="W1454" i="1"/>
  <c r="V1454" i="1"/>
  <c r="U1454" i="1"/>
  <c r="Q1454" i="1"/>
  <c r="R1464" i="1"/>
  <c r="Q1471" i="1"/>
  <c r="R1491" i="1"/>
  <c r="P1491" i="1"/>
  <c r="R1503" i="1"/>
  <c r="P1503" i="1"/>
  <c r="O1517" i="1"/>
  <c r="O1521" i="1"/>
  <c r="P1564" i="1"/>
  <c r="P1596" i="1"/>
  <c r="R1596" i="1"/>
  <c r="R1610" i="1"/>
  <c r="P1610" i="1"/>
  <c r="O1660" i="1"/>
  <c r="S1660" i="1"/>
  <c r="V1253" i="1"/>
  <c r="U1261" i="1"/>
  <c r="U1279" i="1"/>
  <c r="U1304" i="1"/>
  <c r="V1325" i="1"/>
  <c r="U1325" i="1"/>
  <c r="T1325" i="1"/>
  <c r="Q1325" i="1"/>
  <c r="R1332" i="1"/>
  <c r="P1332" i="1"/>
  <c r="R1339" i="1"/>
  <c r="P1339" i="1"/>
  <c r="W1344" i="1"/>
  <c r="V1344" i="1"/>
  <c r="U1344" i="1"/>
  <c r="T1344" i="1"/>
  <c r="W1349" i="1"/>
  <c r="V1349" i="1"/>
  <c r="W1356" i="1"/>
  <c r="V1356" i="1"/>
  <c r="O1360" i="1"/>
  <c r="S1360" i="1"/>
  <c r="U1391" i="1"/>
  <c r="P1407" i="1"/>
  <c r="W1412" i="1"/>
  <c r="O1428" i="1"/>
  <c r="W1431" i="1"/>
  <c r="V1431" i="1"/>
  <c r="U1431" i="1"/>
  <c r="T1431" i="1"/>
  <c r="Q1431" i="1"/>
  <c r="R1454" i="1"/>
  <c r="P1454" i="1"/>
  <c r="W1489" i="1"/>
  <c r="V1489" i="1"/>
  <c r="U1489" i="1"/>
  <c r="T1489" i="1"/>
  <c r="T1517" i="1"/>
  <c r="P1527" i="1"/>
  <c r="O1529" i="1"/>
  <c r="P1546" i="1"/>
  <c r="O1610" i="1"/>
  <c r="S1610" i="1"/>
  <c r="S1250" i="1"/>
  <c r="O1250" i="1"/>
  <c r="V1261" i="1"/>
  <c r="O1268" i="1"/>
  <c r="V1279" i="1"/>
  <c r="O1293" i="1"/>
  <c r="V1304" i="1"/>
  <c r="O1318" i="1"/>
  <c r="R1325" i="1"/>
  <c r="P1325" i="1"/>
  <c r="W1337" i="1"/>
  <c r="V1337" i="1"/>
  <c r="U1337" i="1"/>
  <c r="T1337" i="1"/>
  <c r="W1342" i="1"/>
  <c r="V1342" i="1"/>
  <c r="P1360" i="1"/>
  <c r="Q1372" i="1"/>
  <c r="U1384" i="1"/>
  <c r="V1391" i="1"/>
  <c r="W1402" i="1"/>
  <c r="V1402" i="1"/>
  <c r="U1402" i="1"/>
  <c r="T1402" i="1"/>
  <c r="V1405" i="1"/>
  <c r="U1405" i="1"/>
  <c r="T1405" i="1"/>
  <c r="T1407" i="1"/>
  <c r="W1421" i="1"/>
  <c r="V1421" i="1"/>
  <c r="U1421" i="1"/>
  <c r="Q1421" i="1"/>
  <c r="T1428" i="1"/>
  <c r="U1575" i="1"/>
  <c r="T1575" i="1"/>
  <c r="Q1575" i="1"/>
  <c r="W1575" i="1"/>
  <c r="V1575" i="1"/>
  <c r="R1620" i="1"/>
  <c r="P1620" i="1"/>
  <c r="U1625" i="1"/>
  <c r="T1625" i="1"/>
  <c r="Q1625" i="1"/>
  <c r="V1625" i="1"/>
  <c r="W1625" i="1"/>
  <c r="V1638" i="1"/>
  <c r="U1638" i="1"/>
  <c r="T1638" i="1"/>
  <c r="W1638" i="1"/>
  <c r="Q1638" i="1"/>
  <c r="W1666" i="1"/>
  <c r="U1666" i="1"/>
  <c r="T1666" i="1"/>
  <c r="V1666" i="1"/>
  <c r="O1669" i="1"/>
  <c r="U1685" i="1"/>
  <c r="T1685" i="1"/>
  <c r="Q1685" i="1"/>
  <c r="W1685" i="1"/>
  <c r="V1685" i="1"/>
  <c r="W1271" i="1"/>
  <c r="V1271" i="1"/>
  <c r="U1271" i="1"/>
  <c r="W1273" i="1"/>
  <c r="V1273" i="1"/>
  <c r="U1273" i="1"/>
  <c r="T1273" i="1"/>
  <c r="Q1273" i="1"/>
  <c r="W1296" i="1"/>
  <c r="V1296" i="1"/>
  <c r="U1296" i="1"/>
  <c r="W1298" i="1"/>
  <c r="V1298" i="1"/>
  <c r="U1298" i="1"/>
  <c r="T1298" i="1"/>
  <c r="Q1298" i="1"/>
  <c r="W1321" i="1"/>
  <c r="V1321" i="1"/>
  <c r="U1321" i="1"/>
  <c r="W1323" i="1"/>
  <c r="V1323" i="1"/>
  <c r="U1323" i="1"/>
  <c r="T1323" i="1"/>
  <c r="O1325" i="1"/>
  <c r="S1325" i="1"/>
  <c r="W1328" i="1"/>
  <c r="V1328" i="1"/>
  <c r="W1330" i="1"/>
  <c r="V1330" i="1"/>
  <c r="U1330" i="1"/>
  <c r="T1330" i="1"/>
  <c r="W1335" i="1"/>
  <c r="V1335" i="1"/>
  <c r="V1384" i="1"/>
  <c r="R1402" i="1"/>
  <c r="P1402" i="1"/>
  <c r="U1428" i="1"/>
  <c r="Q1529" i="1"/>
  <c r="W1569" i="1"/>
  <c r="V1569" i="1"/>
  <c r="U1569" i="1"/>
  <c r="T1569" i="1"/>
  <c r="Q1569" i="1"/>
  <c r="R1575" i="1"/>
  <c r="P1575" i="1"/>
  <c r="R1608" i="1"/>
  <c r="P1608" i="1"/>
  <c r="R1666" i="1"/>
  <c r="P1666" i="1"/>
  <c r="S1674" i="1"/>
  <c r="O1674" i="1"/>
  <c r="R1605" i="1"/>
  <c r="P1605" i="1"/>
  <c r="R1650" i="1"/>
  <c r="P1650" i="1"/>
  <c r="R1710" i="1"/>
  <c r="P1710" i="1"/>
  <c r="W1728" i="1"/>
  <c r="V1728" i="1"/>
  <c r="U1728" i="1"/>
  <c r="T1728" i="1"/>
  <c r="Q1728" i="1"/>
  <c r="W1760" i="1"/>
  <c r="V1760" i="1"/>
  <c r="U1760" i="1"/>
  <c r="T1760" i="1"/>
  <c r="Q1760" i="1"/>
  <c r="O1605" i="1"/>
  <c r="S1605" i="1"/>
  <c r="U1620" i="1"/>
  <c r="T1620" i="1"/>
  <c r="Q1620" i="1"/>
  <c r="U1640" i="1"/>
  <c r="T1640" i="1"/>
  <c r="Q1640" i="1"/>
  <c r="V1658" i="1"/>
  <c r="U1658" i="1"/>
  <c r="T1658" i="1"/>
  <c r="W1658" i="1"/>
  <c r="Q1658" i="1"/>
  <c r="S1733" i="1"/>
  <c r="O1733" i="1"/>
  <c r="S1843" i="1"/>
  <c r="O1843" i="1"/>
  <c r="R1863" i="1"/>
  <c r="P1863" i="1"/>
  <c r="O1871" i="1"/>
  <c r="S1871" i="1"/>
  <c r="R1458" i="1"/>
  <c r="P1458" i="1"/>
  <c r="W1536" i="1"/>
  <c r="V1536" i="1"/>
  <c r="U1536" i="1"/>
  <c r="T1536" i="1"/>
  <c r="R1538" i="1"/>
  <c r="P1538" i="1"/>
  <c r="U1554" i="1"/>
  <c r="R1603" i="1"/>
  <c r="P1603" i="1"/>
  <c r="U1615" i="1"/>
  <c r="T1615" i="1"/>
  <c r="Q1615" i="1"/>
  <c r="V1615" i="1"/>
  <c r="W1620" i="1"/>
  <c r="U1635" i="1"/>
  <c r="T1635" i="1"/>
  <c r="Q1635" i="1"/>
  <c r="V1635" i="1"/>
  <c r="W1640" i="1"/>
  <c r="W1656" i="1"/>
  <c r="U1656" i="1"/>
  <c r="T1656" i="1"/>
  <c r="V1656" i="1"/>
  <c r="R1685" i="1"/>
  <c r="P1685" i="1"/>
  <c r="S1690" i="1"/>
  <c r="O1690" i="1"/>
  <c r="O1462" i="1"/>
  <c r="O1464" i="1"/>
  <c r="W1466" i="1"/>
  <c r="V1466" i="1"/>
  <c r="U1466" i="1"/>
  <c r="T1466" i="1"/>
  <c r="O1501" i="1"/>
  <c r="O1503" i="1"/>
  <c r="O1532" i="1"/>
  <c r="V1554" i="1"/>
  <c r="O1567" i="1"/>
  <c r="O1573" i="1"/>
  <c r="V1578" i="1"/>
  <c r="U1578" i="1"/>
  <c r="T1578" i="1"/>
  <c r="Q1578" i="1"/>
  <c r="O1596" i="1"/>
  <c r="S1603" i="1"/>
  <c r="O1603" i="1"/>
  <c r="R1615" i="1"/>
  <c r="P1615" i="1"/>
  <c r="W1626" i="1"/>
  <c r="U1626" i="1"/>
  <c r="T1626" i="1"/>
  <c r="R1635" i="1"/>
  <c r="P1635" i="1"/>
  <c r="W1646" i="1"/>
  <c r="U1646" i="1"/>
  <c r="T1646" i="1"/>
  <c r="S1685" i="1"/>
  <c r="O1685" i="1"/>
  <c r="W1688" i="1"/>
  <c r="V1688" i="1"/>
  <c r="U1688" i="1"/>
  <c r="T1688" i="1"/>
  <c r="Q1688" i="1"/>
  <c r="V1811" i="1"/>
  <c r="Q1811" i="1"/>
  <c r="W1811" i="1"/>
  <c r="U1811" i="1"/>
  <c r="T1811" i="1"/>
  <c r="O1402" i="1"/>
  <c r="O1409" i="1"/>
  <c r="O1416" i="1"/>
  <c r="O1423" i="1"/>
  <c r="O1456" i="1"/>
  <c r="O1458" i="1"/>
  <c r="R1468" i="1"/>
  <c r="P1468" i="1"/>
  <c r="O1534" i="1"/>
  <c r="O1538" i="1"/>
  <c r="W1554" i="1"/>
  <c r="W1561" i="1"/>
  <c r="Q1561" i="1"/>
  <c r="U1585" i="1"/>
  <c r="T1585" i="1"/>
  <c r="Q1585" i="1"/>
  <c r="V1613" i="1"/>
  <c r="U1613" i="1"/>
  <c r="T1613" i="1"/>
  <c r="O1615" i="1"/>
  <c r="S1615" i="1"/>
  <c r="O1618" i="1"/>
  <c r="O1628" i="1"/>
  <c r="V1633" i="1"/>
  <c r="U1633" i="1"/>
  <c r="T1633" i="1"/>
  <c r="O1635" i="1"/>
  <c r="S1635" i="1"/>
  <c r="O1638" i="1"/>
  <c r="O1656" i="1"/>
  <c r="S1656" i="1"/>
  <c r="P1456" i="1"/>
  <c r="W1476" i="1"/>
  <c r="V1476" i="1"/>
  <c r="U1476" i="1"/>
  <c r="T1476" i="1"/>
  <c r="P1530" i="1"/>
  <c r="P1534" i="1"/>
  <c r="T1559" i="1"/>
  <c r="Q1559" i="1"/>
  <c r="P1565" i="1"/>
  <c r="W1576" i="1"/>
  <c r="Q1576" i="1"/>
  <c r="V1583" i="1"/>
  <c r="U1583" i="1"/>
  <c r="T1583" i="1"/>
  <c r="R1585" i="1"/>
  <c r="P1585" i="1"/>
  <c r="W1601" i="1"/>
  <c r="Q1601" i="1"/>
  <c r="T1601" i="1"/>
  <c r="W1615" i="1"/>
  <c r="P1618" i="1"/>
  <c r="P1628" i="1"/>
  <c r="W1635" i="1"/>
  <c r="P1638" i="1"/>
  <c r="O1646" i="1"/>
  <c r="S1646" i="1"/>
  <c r="P1656" i="1"/>
  <c r="R1748" i="1"/>
  <c r="P1748" i="1"/>
  <c r="Q1752" i="1"/>
  <c r="T1752" i="1"/>
  <c r="U1752" i="1"/>
  <c r="W1752" i="1"/>
  <c r="V1752" i="1"/>
  <c r="S1797" i="1"/>
  <c r="O1797" i="1"/>
  <c r="R2110" i="1"/>
  <c r="P2110" i="1"/>
  <c r="Q2314" i="1"/>
  <c r="W2314" i="1"/>
  <c r="V2314" i="1"/>
  <c r="U2314" i="1"/>
  <c r="T2314" i="1"/>
  <c r="U2337" i="1"/>
  <c r="T2337" i="1"/>
  <c r="W2337" i="1"/>
  <c r="V2337" i="1"/>
  <c r="Q2337" i="1"/>
  <c r="O2384" i="1"/>
  <c r="S2384" i="1"/>
  <c r="R1478" i="1"/>
  <c r="P1478" i="1"/>
  <c r="W1520" i="1"/>
  <c r="V1520" i="1"/>
  <c r="V1522" i="1"/>
  <c r="U1522" i="1"/>
  <c r="T1522" i="1"/>
  <c r="R1524" i="1"/>
  <c r="P1524" i="1"/>
  <c r="W1557" i="1"/>
  <c r="V1557" i="1"/>
  <c r="U1557" i="1"/>
  <c r="T1557" i="1"/>
  <c r="R1576" i="1"/>
  <c r="P1576" i="1"/>
  <c r="R1601" i="1"/>
  <c r="P1601" i="1"/>
  <c r="W1616" i="1"/>
  <c r="U1616" i="1"/>
  <c r="T1616" i="1"/>
  <c r="V1616" i="1"/>
  <c r="W1636" i="1"/>
  <c r="U1636" i="1"/>
  <c r="T1636" i="1"/>
  <c r="V1636" i="1"/>
  <c r="W1683" i="1"/>
  <c r="V1683" i="1"/>
  <c r="U1683" i="1"/>
  <c r="T1683" i="1"/>
  <c r="Q1683" i="1"/>
  <c r="W1686" i="1"/>
  <c r="Q1686" i="1"/>
  <c r="V1686" i="1"/>
  <c r="U1686" i="1"/>
  <c r="R2035" i="1"/>
  <c r="P2035" i="1"/>
  <c r="R2048" i="1"/>
  <c r="P2048" i="1"/>
  <c r="P1427" i="1"/>
  <c r="P1429" i="1"/>
  <c r="R1433" i="1"/>
  <c r="P1433" i="1"/>
  <c r="P1466" i="1"/>
  <c r="T1468" i="1"/>
  <c r="Q1472" i="1"/>
  <c r="Q1474" i="1"/>
  <c r="O1482" i="1"/>
  <c r="O1484" i="1"/>
  <c r="W1486" i="1"/>
  <c r="V1486" i="1"/>
  <c r="U1486" i="1"/>
  <c r="T1486" i="1"/>
  <c r="Q1526" i="1"/>
  <c r="Q1536" i="1"/>
  <c r="R1561" i="1"/>
  <c r="W1578" i="1"/>
  <c r="P1581" i="1"/>
  <c r="S1585" i="1"/>
  <c r="U1590" i="1"/>
  <c r="T1590" i="1"/>
  <c r="Q1590" i="1"/>
  <c r="O1604" i="1"/>
  <c r="Q1626" i="1"/>
  <c r="R1646" i="1"/>
  <c r="O1649" i="1"/>
  <c r="R1683" i="1"/>
  <c r="P1683" i="1"/>
  <c r="O1709" i="1"/>
  <c r="O1362" i="1"/>
  <c r="O1369" i="1"/>
  <c r="O1376" i="1"/>
  <c r="O1383" i="1"/>
  <c r="S1395" i="1"/>
  <c r="P1397" i="1"/>
  <c r="P1404" i="1"/>
  <c r="P1411" i="1"/>
  <c r="P1418" i="1"/>
  <c r="Q1427" i="1"/>
  <c r="Q1429" i="1"/>
  <c r="O1437" i="1"/>
  <c r="O1439" i="1"/>
  <c r="W1441" i="1"/>
  <c r="V1441" i="1"/>
  <c r="U1441" i="1"/>
  <c r="T1441" i="1"/>
  <c r="Q1466" i="1"/>
  <c r="U1468" i="1"/>
  <c r="O1476" i="1"/>
  <c r="O1478" i="1"/>
  <c r="P1482" i="1"/>
  <c r="P1484" i="1"/>
  <c r="R1488" i="1"/>
  <c r="P1488" i="1"/>
  <c r="O1518" i="1"/>
  <c r="O1524" i="1"/>
  <c r="S1530" i="1"/>
  <c r="O1553" i="1"/>
  <c r="P1555" i="1"/>
  <c r="O1559" i="1"/>
  <c r="S1565" i="1"/>
  <c r="V1585" i="1"/>
  <c r="R1590" i="1"/>
  <c r="P1590" i="1"/>
  <c r="Q1611" i="1"/>
  <c r="P1613" i="1"/>
  <c r="O1616" i="1"/>
  <c r="S1616" i="1"/>
  <c r="Q1631" i="1"/>
  <c r="P1633" i="1"/>
  <c r="O1636" i="1"/>
  <c r="S1636" i="1"/>
  <c r="V1646" i="1"/>
  <c r="S1748" i="1"/>
  <c r="R1806" i="1"/>
  <c r="P1806" i="1"/>
  <c r="O1265" i="1"/>
  <c r="O1270" i="1"/>
  <c r="O1275" i="1"/>
  <c r="O1280" i="1"/>
  <c r="O1285" i="1"/>
  <c r="O1290" i="1"/>
  <c r="O1295" i="1"/>
  <c r="O1300" i="1"/>
  <c r="O1305" i="1"/>
  <c r="O1310" i="1"/>
  <c r="O1315" i="1"/>
  <c r="O1320" i="1"/>
  <c r="O1327" i="1"/>
  <c r="O1334" i="1"/>
  <c r="O1341" i="1"/>
  <c r="O1348" i="1"/>
  <c r="P1355" i="1"/>
  <c r="Q1397" i="1"/>
  <c r="Q1404" i="1"/>
  <c r="Q1411" i="1"/>
  <c r="Q1418" i="1"/>
  <c r="O1431" i="1"/>
  <c r="O1433" i="1"/>
  <c r="R1443" i="1"/>
  <c r="P1443" i="1"/>
  <c r="V1468" i="1"/>
  <c r="P1476" i="1"/>
  <c r="T1478" i="1"/>
  <c r="Q1482" i="1"/>
  <c r="Q1484" i="1"/>
  <c r="O1492" i="1"/>
  <c r="O1494" i="1"/>
  <c r="W1496" i="1"/>
  <c r="V1496" i="1"/>
  <c r="U1496" i="1"/>
  <c r="T1496" i="1"/>
  <c r="O1516" i="1"/>
  <c r="P1518" i="1"/>
  <c r="P1520" i="1"/>
  <c r="O1522" i="1"/>
  <c r="T1524" i="1"/>
  <c r="T1530" i="1"/>
  <c r="W1541" i="1"/>
  <c r="V1541" i="1"/>
  <c r="O1551" i="1"/>
  <c r="P1553" i="1"/>
  <c r="Q1555" i="1"/>
  <c r="O1557" i="1"/>
  <c r="P1559" i="1"/>
  <c r="T1561" i="1"/>
  <c r="T1565" i="1"/>
  <c r="T1576" i="1"/>
  <c r="P1583" i="1"/>
  <c r="W1585" i="1"/>
  <c r="V1588" i="1"/>
  <c r="U1588" i="1"/>
  <c r="T1588" i="1"/>
  <c r="W1588" i="1"/>
  <c r="U1601" i="1"/>
  <c r="R1611" i="1"/>
  <c r="Q1613" i="1"/>
  <c r="P1616" i="1"/>
  <c r="O1619" i="1"/>
  <c r="S1626" i="1"/>
  <c r="R1631" i="1"/>
  <c r="Q1633" i="1"/>
  <c r="P1636" i="1"/>
  <c r="O1639" i="1"/>
  <c r="R1670" i="1"/>
  <c r="P1670" i="1"/>
  <c r="O1683" i="1"/>
  <c r="O1704" i="1"/>
  <c r="U1740" i="1"/>
  <c r="T1740" i="1"/>
  <c r="Q1740" i="1"/>
  <c r="W1740" i="1"/>
  <c r="O1806" i="1"/>
  <c r="S1806" i="1"/>
  <c r="R2038" i="1"/>
  <c r="P2038" i="1"/>
  <c r="S2043" i="1"/>
  <c r="O2043" i="1"/>
  <c r="P1265" i="1"/>
  <c r="P1270" i="1"/>
  <c r="P1275" i="1"/>
  <c r="P1280" i="1"/>
  <c r="P1285" i="1"/>
  <c r="P1290" i="1"/>
  <c r="P1295" i="1"/>
  <c r="P1300" i="1"/>
  <c r="P1305" i="1"/>
  <c r="P1310" i="1"/>
  <c r="P1315" i="1"/>
  <c r="P1320" i="1"/>
  <c r="P1327" i="1"/>
  <c r="P1334" i="1"/>
  <c r="P1341" i="1"/>
  <c r="P1348" i="1"/>
  <c r="O1413" i="1"/>
  <c r="P1420" i="1"/>
  <c r="P1431" i="1"/>
  <c r="Q1437" i="1"/>
  <c r="Q1439" i="1"/>
  <c r="W1451" i="1"/>
  <c r="V1451" i="1"/>
  <c r="U1451" i="1"/>
  <c r="T1451" i="1"/>
  <c r="W1468" i="1"/>
  <c r="T1472" i="1"/>
  <c r="T1474" i="1"/>
  <c r="Q1476" i="1"/>
  <c r="U1478" i="1"/>
  <c r="O1488" i="1"/>
  <c r="P1492" i="1"/>
  <c r="P1494" i="1"/>
  <c r="R1498" i="1"/>
  <c r="P1498" i="1"/>
  <c r="W1506" i="1"/>
  <c r="V1506" i="1"/>
  <c r="U1506" i="1"/>
  <c r="P1516" i="1"/>
  <c r="Q1518" i="1"/>
  <c r="Q1520" i="1"/>
  <c r="P1522" i="1"/>
  <c r="U1524" i="1"/>
  <c r="T1526" i="1"/>
  <c r="U1530" i="1"/>
  <c r="T1545" i="1"/>
  <c r="Q1545" i="1"/>
  <c r="P1551" i="1"/>
  <c r="Q1553" i="1"/>
  <c r="P1557" i="1"/>
  <c r="U1559" i="1"/>
  <c r="U1561" i="1"/>
  <c r="U1565" i="1"/>
  <c r="U1576" i="1"/>
  <c r="Q1583" i="1"/>
  <c r="S1590" i="1"/>
  <c r="V1601" i="1"/>
  <c r="Q1616" i="1"/>
  <c r="V1626" i="1"/>
  <c r="Q1636" i="1"/>
  <c r="O1670" i="1"/>
  <c r="S1670" i="1"/>
  <c r="R1675" i="1"/>
  <c r="P1675" i="1"/>
  <c r="U1735" i="1"/>
  <c r="T1735" i="1"/>
  <c r="Q1735" i="1"/>
  <c r="O1745" i="1"/>
  <c r="R1783" i="1"/>
  <c r="P1783" i="1"/>
  <c r="R1786" i="1"/>
  <c r="P1786" i="1"/>
  <c r="S1917" i="1"/>
  <c r="O1917" i="1"/>
  <c r="R1923" i="1"/>
  <c r="P1923" i="1"/>
  <c r="V1950" i="1"/>
  <c r="U1950" i="1"/>
  <c r="W1950" i="1"/>
  <c r="T1950" i="1"/>
  <c r="Q1950" i="1"/>
  <c r="O1378" i="1"/>
  <c r="P1385" i="1"/>
  <c r="S1390" i="1"/>
  <c r="P1392" i="1"/>
  <c r="P1399" i="1"/>
  <c r="P1406" i="1"/>
  <c r="P1413" i="1"/>
  <c r="T1418" i="1"/>
  <c r="T1427" i="1"/>
  <c r="T1429" i="1"/>
  <c r="P1447" i="1"/>
  <c r="P1449" i="1"/>
  <c r="R1453" i="1"/>
  <c r="P1453" i="1"/>
  <c r="U1472" i="1"/>
  <c r="U1474" i="1"/>
  <c r="V1478" i="1"/>
  <c r="P1486" i="1"/>
  <c r="T1488" i="1"/>
  <c r="V1508" i="1"/>
  <c r="U1508" i="1"/>
  <c r="T1508" i="1"/>
  <c r="R1510" i="1"/>
  <c r="P1510" i="1"/>
  <c r="Q1516" i="1"/>
  <c r="Q1522" i="1"/>
  <c r="V1524" i="1"/>
  <c r="U1526" i="1"/>
  <c r="V1530" i="1"/>
  <c r="W1543" i="1"/>
  <c r="V1543" i="1"/>
  <c r="U1543" i="1"/>
  <c r="T1543" i="1"/>
  <c r="R1547" i="1"/>
  <c r="Q1551" i="1"/>
  <c r="S1555" i="1"/>
  <c r="Q1557" i="1"/>
  <c r="V1559" i="1"/>
  <c r="V1561" i="1"/>
  <c r="V1565" i="1"/>
  <c r="V1576" i="1"/>
  <c r="V1590" i="1"/>
  <c r="T1611" i="1"/>
  <c r="W1613" i="1"/>
  <c r="T1631" i="1"/>
  <c r="W1633" i="1"/>
  <c r="S1644" i="1"/>
  <c r="O1644" i="1"/>
  <c r="W1681" i="1"/>
  <c r="T1681" i="1"/>
  <c r="Q1681" i="1"/>
  <c r="U1681" i="1"/>
  <c r="S1740" i="1"/>
  <c r="O1740" i="1"/>
  <c r="S1783" i="1"/>
  <c r="O1783" i="1"/>
  <c r="O1945" i="1"/>
  <c r="S1945" i="1"/>
  <c r="O1343" i="1"/>
  <c r="S1355" i="1"/>
  <c r="T1397" i="1"/>
  <c r="T1404" i="1"/>
  <c r="Q1406" i="1"/>
  <c r="T1411" i="1"/>
  <c r="U1418" i="1"/>
  <c r="U1427" i="1"/>
  <c r="U1429" i="1"/>
  <c r="T1443" i="1"/>
  <c r="W1461" i="1"/>
  <c r="V1461" i="1"/>
  <c r="U1461" i="1"/>
  <c r="T1461" i="1"/>
  <c r="V1472" i="1"/>
  <c r="V1474" i="1"/>
  <c r="W1478" i="1"/>
  <c r="T1482" i="1"/>
  <c r="T1484" i="1"/>
  <c r="Q1486" i="1"/>
  <c r="U1488" i="1"/>
  <c r="O1498" i="1"/>
  <c r="O1510" i="1"/>
  <c r="S1510" i="1"/>
  <c r="T1518" i="1"/>
  <c r="S1520" i="1"/>
  <c r="W1524" i="1"/>
  <c r="V1526" i="1"/>
  <c r="O1545" i="1"/>
  <c r="S1545" i="1"/>
  <c r="T1553" i="1"/>
  <c r="T1555" i="1"/>
  <c r="W1559" i="1"/>
  <c r="V1568" i="1"/>
  <c r="Q1568" i="1"/>
  <c r="W1583" i="1"/>
  <c r="O1588" i="1"/>
  <c r="W1590" i="1"/>
  <c r="U1611" i="1"/>
  <c r="O1624" i="1"/>
  <c r="U1631" i="1"/>
  <c r="T1686" i="1"/>
  <c r="V1740" i="1"/>
  <c r="P1771" i="1"/>
  <c r="R1965" i="1"/>
  <c r="P1965" i="1"/>
  <c r="Q1371" i="1"/>
  <c r="U1411" i="1"/>
  <c r="S1420" i="1"/>
  <c r="Q1441" i="1"/>
  <c r="U1443" i="1"/>
  <c r="R1463" i="1"/>
  <c r="P1463" i="1"/>
  <c r="V1488" i="1"/>
  <c r="T1498" i="1"/>
  <c r="T1520" i="1"/>
  <c r="W1522" i="1"/>
  <c r="W1527" i="1"/>
  <c r="V1527" i="1"/>
  <c r="W1531" i="1"/>
  <c r="Q1531" i="1"/>
  <c r="T1547" i="1"/>
  <c r="U1555" i="1"/>
  <c r="W1566" i="1"/>
  <c r="T1566" i="1"/>
  <c r="Q1566" i="1"/>
  <c r="P1588" i="1"/>
  <c r="V1611" i="1"/>
  <c r="V1631" i="1"/>
  <c r="U1660" i="1"/>
  <c r="T1660" i="1"/>
  <c r="Q1660" i="1"/>
  <c r="V1668" i="1"/>
  <c r="U1668" i="1"/>
  <c r="T1668" i="1"/>
  <c r="W1668" i="1"/>
  <c r="Q1668" i="1"/>
  <c r="O1681" i="1"/>
  <c r="S1681" i="1"/>
  <c r="V1735" i="1"/>
  <c r="W1738" i="1"/>
  <c r="V1738" i="1"/>
  <c r="U1738" i="1"/>
  <c r="T1738" i="1"/>
  <c r="Q1738" i="1"/>
  <c r="O1894" i="1"/>
  <c r="S1894" i="1"/>
  <c r="S1903" i="1"/>
  <c r="O1903" i="1"/>
  <c r="V1608" i="1"/>
  <c r="U1608" i="1"/>
  <c r="T1608" i="1"/>
  <c r="U1610" i="1"/>
  <c r="T1610" i="1"/>
  <c r="Q1610" i="1"/>
  <c r="U1630" i="1"/>
  <c r="T1630" i="1"/>
  <c r="Q1630" i="1"/>
  <c r="U1650" i="1"/>
  <c r="T1650" i="1"/>
  <c r="Q1650" i="1"/>
  <c r="U1670" i="1"/>
  <c r="T1670" i="1"/>
  <c r="Q1670" i="1"/>
  <c r="W1696" i="1"/>
  <c r="Q1696" i="1"/>
  <c r="R1705" i="1"/>
  <c r="P1705" i="1"/>
  <c r="S1761" i="1"/>
  <c r="O1761" i="1"/>
  <c r="S1767" i="1"/>
  <c r="O1767" i="1"/>
  <c r="W1775" i="1"/>
  <c r="V1775" i="1"/>
  <c r="U1775" i="1"/>
  <c r="T1775" i="1"/>
  <c r="Q1775" i="1"/>
  <c r="R1927" i="1"/>
  <c r="P1927" i="1"/>
  <c r="R1933" i="1"/>
  <c r="P1933" i="1"/>
  <c r="R1943" i="1"/>
  <c r="P1943" i="1"/>
  <c r="W1703" i="1"/>
  <c r="V1703" i="1"/>
  <c r="U1703" i="1"/>
  <c r="T1703" i="1"/>
  <c r="S1705" i="1"/>
  <c r="O1705" i="1"/>
  <c r="U1710" i="1"/>
  <c r="T1710" i="1"/>
  <c r="Q1710" i="1"/>
  <c r="O1749" i="1"/>
  <c r="S1749" i="1"/>
  <c r="W1790" i="1"/>
  <c r="V1790" i="1"/>
  <c r="U1790" i="1"/>
  <c r="T1790" i="1"/>
  <c r="Q1790" i="1"/>
  <c r="W1856" i="1"/>
  <c r="V1856" i="1"/>
  <c r="T1856" i="1"/>
  <c r="U1856" i="1"/>
  <c r="Q1856" i="1"/>
  <c r="O1861" i="1"/>
  <c r="S1861" i="1"/>
  <c r="R1919" i="1"/>
  <c r="P1919" i="1"/>
  <c r="P1925" i="1"/>
  <c r="R1925" i="1"/>
  <c r="V2003" i="1"/>
  <c r="U2003" i="1"/>
  <c r="T2003" i="1"/>
  <c r="W2003" i="1"/>
  <c r="Q2003" i="1"/>
  <c r="Q1762" i="1"/>
  <c r="V1762" i="1"/>
  <c r="U1762" i="1"/>
  <c r="W1773" i="1"/>
  <c r="T1773" i="1"/>
  <c r="Q1773" i="1"/>
  <c r="V1781" i="1"/>
  <c r="W1781" i="1"/>
  <c r="U1781" i="1"/>
  <c r="T1781" i="1"/>
  <c r="Q1781" i="1"/>
  <c r="W1834" i="1"/>
  <c r="V1834" i="1"/>
  <c r="T1834" i="1"/>
  <c r="Q1834" i="1"/>
  <c r="U1834" i="1"/>
  <c r="W1847" i="1"/>
  <c r="V1847" i="1"/>
  <c r="U1847" i="1"/>
  <c r="T1847" i="1"/>
  <c r="Q1847" i="1"/>
  <c r="R1856" i="1"/>
  <c r="P1856" i="1"/>
  <c r="R1893" i="1"/>
  <c r="P1893" i="1"/>
  <c r="P1696" i="1"/>
  <c r="W1708" i="1"/>
  <c r="V1708" i="1"/>
  <c r="U1708" i="1"/>
  <c r="T1708" i="1"/>
  <c r="S1710" i="1"/>
  <c r="O1710" i="1"/>
  <c r="U1715" i="1"/>
  <c r="T1715" i="1"/>
  <c r="Q1715" i="1"/>
  <c r="O1734" i="1"/>
  <c r="R1753" i="1"/>
  <c r="P1753" i="1"/>
  <c r="W1756" i="1"/>
  <c r="Q1756" i="1"/>
  <c r="R1762" i="1"/>
  <c r="P1762" i="1"/>
  <c r="R1773" i="1"/>
  <c r="P1773" i="1"/>
  <c r="R1781" i="1"/>
  <c r="P1781" i="1"/>
  <c r="R1793" i="1"/>
  <c r="P1793" i="1"/>
  <c r="V1831" i="1"/>
  <c r="T1831" i="1"/>
  <c r="Q1831" i="1"/>
  <c r="W1831" i="1"/>
  <c r="U1831" i="1"/>
  <c r="R1847" i="1"/>
  <c r="P1847" i="1"/>
  <c r="W1873" i="1"/>
  <c r="V1873" i="1"/>
  <c r="T1873" i="1"/>
  <c r="Q1873" i="1"/>
  <c r="U1873" i="1"/>
  <c r="R1985" i="1"/>
  <c r="P1985" i="1"/>
  <c r="V1997" i="1"/>
  <c r="T1997" i="1"/>
  <c r="U1997" i="1"/>
  <c r="Q1997" i="1"/>
  <c r="W1997" i="1"/>
  <c r="R2125" i="1"/>
  <c r="P2125" i="1"/>
  <c r="O1668" i="1"/>
  <c r="U1675" i="1"/>
  <c r="T1675" i="1"/>
  <c r="Q1675" i="1"/>
  <c r="O1703" i="1"/>
  <c r="V1710" i="1"/>
  <c r="R1715" i="1"/>
  <c r="P1715" i="1"/>
  <c r="O1739" i="1"/>
  <c r="W1765" i="1"/>
  <c r="V1765" i="1"/>
  <c r="U1765" i="1"/>
  <c r="T1765" i="1"/>
  <c r="Q1765" i="1"/>
  <c r="S1807" i="1"/>
  <c r="O1807" i="1"/>
  <c r="R1823" i="1"/>
  <c r="P1823" i="1"/>
  <c r="S1834" i="1"/>
  <c r="O1834" i="1"/>
  <c r="W1854" i="1"/>
  <c r="U1854" i="1"/>
  <c r="V1854" i="1"/>
  <c r="T1854" i="1"/>
  <c r="Q1854" i="1"/>
  <c r="Q2095" i="1"/>
  <c r="W2095" i="1"/>
  <c r="U2095" i="1"/>
  <c r="T2095" i="1"/>
  <c r="V2095" i="1"/>
  <c r="W1713" i="1"/>
  <c r="V1713" i="1"/>
  <c r="U1713" i="1"/>
  <c r="T1713" i="1"/>
  <c r="S1715" i="1"/>
  <c r="O1715" i="1"/>
  <c r="U1720" i="1"/>
  <c r="T1720" i="1"/>
  <c r="Q1720" i="1"/>
  <c r="S1750" i="1"/>
  <c r="O1750" i="1"/>
  <c r="T1762" i="1"/>
  <c r="R1765" i="1"/>
  <c r="P1765" i="1"/>
  <c r="R1790" i="1"/>
  <c r="S1967" i="1"/>
  <c r="O1967" i="1"/>
  <c r="R1994" i="1"/>
  <c r="P1994" i="1"/>
  <c r="Q2025" i="1"/>
  <c r="W2025" i="1"/>
  <c r="V2025" i="1"/>
  <c r="U2025" i="1"/>
  <c r="T2025" i="1"/>
  <c r="R2095" i="1"/>
  <c r="P2095" i="1"/>
  <c r="U2109" i="1"/>
  <c r="T2109" i="1"/>
  <c r="Q2109" i="1"/>
  <c r="V2109" i="1"/>
  <c r="W1673" i="1"/>
  <c r="V1673" i="1"/>
  <c r="U1673" i="1"/>
  <c r="T1673" i="1"/>
  <c r="S1675" i="1"/>
  <c r="O1675" i="1"/>
  <c r="Q1703" i="1"/>
  <c r="O1708" i="1"/>
  <c r="R1720" i="1"/>
  <c r="P1720" i="1"/>
  <c r="W1747" i="1"/>
  <c r="V1747" i="1"/>
  <c r="U1747" i="1"/>
  <c r="T1747" i="1"/>
  <c r="Q1747" i="1"/>
  <c r="R1776" i="1"/>
  <c r="P1776" i="1"/>
  <c r="W1788" i="1"/>
  <c r="U1788" i="1"/>
  <c r="T1788" i="1"/>
  <c r="V1788" i="1"/>
  <c r="Q1788" i="1"/>
  <c r="W1818" i="1"/>
  <c r="U1818" i="1"/>
  <c r="T1818" i="1"/>
  <c r="V1818" i="1"/>
  <c r="Q1818" i="1"/>
  <c r="R2045" i="1"/>
  <c r="P2045" i="1"/>
  <c r="O1664" i="1"/>
  <c r="S1666" i="1"/>
  <c r="V1675" i="1"/>
  <c r="U1680" i="1"/>
  <c r="T1680" i="1"/>
  <c r="Q1680" i="1"/>
  <c r="O1694" i="1"/>
  <c r="P1706" i="1"/>
  <c r="W1715" i="1"/>
  <c r="W1718" i="1"/>
  <c r="V1718" i="1"/>
  <c r="U1718" i="1"/>
  <c r="T1718" i="1"/>
  <c r="S1720" i="1"/>
  <c r="O1720" i="1"/>
  <c r="U1725" i="1"/>
  <c r="T1725" i="1"/>
  <c r="Q1725" i="1"/>
  <c r="T1750" i="1"/>
  <c r="R1756" i="1"/>
  <c r="U1773" i="1"/>
  <c r="R1788" i="1"/>
  <c r="P1788" i="1"/>
  <c r="S1802" i="1"/>
  <c r="O1802" i="1"/>
  <c r="R1818" i="1"/>
  <c r="P1818" i="1"/>
  <c r="O1826" i="1"/>
  <c r="R1829" i="1"/>
  <c r="P1829" i="1"/>
  <c r="T1868" i="1"/>
  <c r="Q1868" i="1"/>
  <c r="W1868" i="1"/>
  <c r="V1868" i="1"/>
  <c r="S1878" i="1"/>
  <c r="O1878" i="1"/>
  <c r="V1962" i="1"/>
  <c r="T1962" i="1"/>
  <c r="U1962" i="1"/>
  <c r="Q1962" i="1"/>
  <c r="W1983" i="1"/>
  <c r="V1983" i="1"/>
  <c r="U1983" i="1"/>
  <c r="T1983" i="1"/>
  <c r="Q1983" i="1"/>
  <c r="S2204" i="1"/>
  <c r="O2204" i="1"/>
  <c r="O2297" i="1"/>
  <c r="S2297" i="1"/>
  <c r="R2305" i="1"/>
  <c r="P2305" i="1"/>
  <c r="S1655" i="1"/>
  <c r="W1675" i="1"/>
  <c r="R1680" i="1"/>
  <c r="P1680" i="1"/>
  <c r="Q1708" i="1"/>
  <c r="O1713" i="1"/>
  <c r="V1720" i="1"/>
  <c r="R1725" i="1"/>
  <c r="P1725" i="1"/>
  <c r="U1750" i="1"/>
  <c r="T1756" i="1"/>
  <c r="R1763" i="1"/>
  <c r="P1763" i="1"/>
  <c r="V1773" i="1"/>
  <c r="O1776" i="1"/>
  <c r="S1973" i="1"/>
  <c r="O1973" i="1"/>
  <c r="W1678" i="1"/>
  <c r="V1678" i="1"/>
  <c r="U1678" i="1"/>
  <c r="T1678" i="1"/>
  <c r="S1680" i="1"/>
  <c r="O1680" i="1"/>
  <c r="W1720" i="1"/>
  <c r="W1723" i="1"/>
  <c r="V1723" i="1"/>
  <c r="U1723" i="1"/>
  <c r="T1723" i="1"/>
  <c r="S1725" i="1"/>
  <c r="O1725" i="1"/>
  <c r="U1730" i="1"/>
  <c r="T1730" i="1"/>
  <c r="Q1730" i="1"/>
  <c r="P1747" i="1"/>
  <c r="V1750" i="1"/>
  <c r="U1756" i="1"/>
  <c r="W1785" i="1"/>
  <c r="V1785" i="1"/>
  <c r="U1785" i="1"/>
  <c r="T1785" i="1"/>
  <c r="Q1785" i="1"/>
  <c r="Q1824" i="1"/>
  <c r="U1824" i="1"/>
  <c r="T1824" i="1"/>
  <c r="W1824" i="1"/>
  <c r="V1824" i="1"/>
  <c r="W1923" i="1"/>
  <c r="U1923" i="1"/>
  <c r="V1923" i="1"/>
  <c r="T1923" i="1"/>
  <c r="U2019" i="1"/>
  <c r="Q2019" i="1"/>
  <c r="W2019" i="1"/>
  <c r="T2019" i="1"/>
  <c r="W2109" i="1"/>
  <c r="Q2196" i="1"/>
  <c r="W2196" i="1"/>
  <c r="V2196" i="1"/>
  <c r="U2196" i="1"/>
  <c r="T2196" i="1"/>
  <c r="Q2223" i="1"/>
  <c r="U2223" i="1"/>
  <c r="V2223" i="1"/>
  <c r="T2223" i="1"/>
  <c r="W2223" i="1"/>
  <c r="R2347" i="1"/>
  <c r="P2347" i="1"/>
  <c r="U2397" i="1"/>
  <c r="T2397" i="1"/>
  <c r="W2397" i="1"/>
  <c r="V2397" i="1"/>
  <c r="Q2397" i="1"/>
  <c r="W1954" i="1"/>
  <c r="V1954" i="1"/>
  <c r="U1954" i="1"/>
  <c r="T1954" i="1"/>
  <c r="Q1954" i="1"/>
  <c r="W1733" i="1"/>
  <c r="V1733" i="1"/>
  <c r="U1733" i="1"/>
  <c r="T1733" i="1"/>
  <c r="S1735" i="1"/>
  <c r="O1735" i="1"/>
  <c r="R1745" i="1"/>
  <c r="P1745" i="1"/>
  <c r="S1777" i="1"/>
  <c r="O1777" i="1"/>
  <c r="W1800" i="1"/>
  <c r="V1800" i="1"/>
  <c r="U1800" i="1"/>
  <c r="T1800" i="1"/>
  <c r="Q1800" i="1"/>
  <c r="R1858" i="1"/>
  <c r="P1858" i="1"/>
  <c r="S1869" i="1"/>
  <c r="O1869" i="1"/>
  <c r="O1909" i="1"/>
  <c r="S1909" i="1"/>
  <c r="R1915" i="1"/>
  <c r="W1962" i="1"/>
  <c r="V2019" i="1"/>
  <c r="V2093" i="1"/>
  <c r="U2093" i="1"/>
  <c r="T2093" i="1"/>
  <c r="W2093" i="1"/>
  <c r="Q2093" i="1"/>
  <c r="R1844" i="1"/>
  <c r="P1844" i="1"/>
  <c r="S1951" i="1"/>
  <c r="O1951" i="1"/>
  <c r="R2006" i="1"/>
  <c r="P2006" i="1"/>
  <c r="Q2030" i="1"/>
  <c r="W2030" i="1"/>
  <c r="U2030" i="1"/>
  <c r="T2030" i="1"/>
  <c r="V2030" i="1"/>
  <c r="U1570" i="1"/>
  <c r="Q1570" i="1"/>
  <c r="T1586" i="1"/>
  <c r="V1623" i="1"/>
  <c r="U1623" i="1"/>
  <c r="T1623" i="1"/>
  <c r="R1625" i="1"/>
  <c r="P1625" i="1"/>
  <c r="V1643" i="1"/>
  <c r="U1643" i="1"/>
  <c r="T1643" i="1"/>
  <c r="R1645" i="1"/>
  <c r="P1645" i="1"/>
  <c r="V1663" i="1"/>
  <c r="U1663" i="1"/>
  <c r="T1663" i="1"/>
  <c r="R1665" i="1"/>
  <c r="P1665" i="1"/>
  <c r="T1676" i="1"/>
  <c r="R1695" i="1"/>
  <c r="P1695" i="1"/>
  <c r="S1760" i="1"/>
  <c r="O1760" i="1"/>
  <c r="R1841" i="1"/>
  <c r="P1841" i="1"/>
  <c r="W1882" i="1"/>
  <c r="U1882" i="1"/>
  <c r="T1882" i="1"/>
  <c r="V1882" i="1"/>
  <c r="Q1882" i="1"/>
  <c r="O1568" i="1"/>
  <c r="O1578" i="1"/>
  <c r="S1580" i="1"/>
  <c r="U1586" i="1"/>
  <c r="O1614" i="1"/>
  <c r="O1634" i="1"/>
  <c r="O1654" i="1"/>
  <c r="U1676" i="1"/>
  <c r="W1693" i="1"/>
  <c r="V1693" i="1"/>
  <c r="U1693" i="1"/>
  <c r="T1693" i="1"/>
  <c r="S1695" i="1"/>
  <c r="O1695" i="1"/>
  <c r="U1700" i="1"/>
  <c r="T1700" i="1"/>
  <c r="Q1700" i="1"/>
  <c r="S1792" i="1"/>
  <c r="O1792" i="1"/>
  <c r="W1795" i="1"/>
  <c r="V1795" i="1"/>
  <c r="U1795" i="1"/>
  <c r="T1795" i="1"/>
  <c r="Q1795" i="1"/>
  <c r="W1836" i="1"/>
  <c r="V1836" i="1"/>
  <c r="T1836" i="1"/>
  <c r="U1836" i="1"/>
  <c r="P1897" i="1"/>
  <c r="S1960" i="1"/>
  <c r="O1987" i="1"/>
  <c r="O2011" i="1"/>
  <c r="O1533" i="1"/>
  <c r="V1586" i="1"/>
  <c r="V1593" i="1"/>
  <c r="U1593" i="1"/>
  <c r="T1593" i="1"/>
  <c r="U1595" i="1"/>
  <c r="T1595" i="1"/>
  <c r="Q1595" i="1"/>
  <c r="S1625" i="1"/>
  <c r="S1665" i="1"/>
  <c r="V1676" i="1"/>
  <c r="W1691" i="1"/>
  <c r="Q1691" i="1"/>
  <c r="R1700" i="1"/>
  <c r="P1700" i="1"/>
  <c r="Q1733" i="1"/>
  <c r="W1761" i="1"/>
  <c r="V1761" i="1"/>
  <c r="U1761" i="1"/>
  <c r="T1761" i="1"/>
  <c r="Q1761" i="1"/>
  <c r="T1828" i="1"/>
  <c r="Q1828" i="1"/>
  <c r="P1839" i="1"/>
  <c r="R1839" i="1"/>
  <c r="R2014" i="1"/>
  <c r="P2014" i="1"/>
  <c r="P1570" i="1"/>
  <c r="R1595" i="1"/>
  <c r="P1595" i="1"/>
  <c r="O1623" i="1"/>
  <c r="O1643" i="1"/>
  <c r="O1663" i="1"/>
  <c r="O1679" i="1"/>
  <c r="W1698" i="1"/>
  <c r="V1698" i="1"/>
  <c r="U1698" i="1"/>
  <c r="T1698" i="1"/>
  <c r="S1700" i="1"/>
  <c r="O1700" i="1"/>
  <c r="U1705" i="1"/>
  <c r="T1705" i="1"/>
  <c r="Q1705" i="1"/>
  <c r="O1724" i="1"/>
  <c r="P1743" i="1"/>
  <c r="V1749" i="1"/>
  <c r="U1749" i="1"/>
  <c r="T1749" i="1"/>
  <c r="Q1749" i="1"/>
  <c r="S1758" i="1"/>
  <c r="R1767" i="1"/>
  <c r="P1767" i="1"/>
  <c r="P1850" i="1"/>
  <c r="R1850" i="1"/>
  <c r="P1880" i="1"/>
  <c r="R1880" i="1"/>
  <c r="S1882" i="1"/>
  <c r="R1895" i="1"/>
  <c r="Q1746" i="1"/>
  <c r="W1751" i="1"/>
  <c r="S1762" i="1"/>
  <c r="O1762" i="1"/>
  <c r="S1782" i="1"/>
  <c r="O1782" i="1"/>
  <c r="S1796" i="1"/>
  <c r="Q1801" i="1"/>
  <c r="Q1808" i="1"/>
  <c r="W1823" i="1"/>
  <c r="V1823" i="1"/>
  <c r="T1823" i="1"/>
  <c r="R1828" i="1"/>
  <c r="P1828" i="1"/>
  <c r="V1858" i="1"/>
  <c r="U1858" i="1"/>
  <c r="Q1858" i="1"/>
  <c r="T1908" i="1"/>
  <c r="Q1908" i="1"/>
  <c r="W1908" i="1"/>
  <c r="U1927" i="1"/>
  <c r="W1927" i="1"/>
  <c r="V1927" i="1"/>
  <c r="W1976" i="1"/>
  <c r="V1976" i="1"/>
  <c r="U1976" i="1"/>
  <c r="T1976" i="1"/>
  <c r="Q1976" i="1"/>
  <c r="Q1982" i="1"/>
  <c r="W1982" i="1"/>
  <c r="T1982" i="1"/>
  <c r="V1993" i="1"/>
  <c r="U1993" i="1"/>
  <c r="W1993" i="1"/>
  <c r="T1993" i="1"/>
  <c r="O2025" i="1"/>
  <c r="S2025" i="1"/>
  <c r="R2106" i="1"/>
  <c r="P2106" i="1"/>
  <c r="R2115" i="1"/>
  <c r="P2115" i="1"/>
  <c r="R2128" i="1"/>
  <c r="P2128" i="1"/>
  <c r="Q2264" i="1"/>
  <c r="U2264" i="1"/>
  <c r="T2264" i="1"/>
  <c r="W2264" i="1"/>
  <c r="V2264" i="1"/>
  <c r="S2336" i="1"/>
  <c r="O2336" i="1"/>
  <c r="P2375" i="1"/>
  <c r="R2375" i="1"/>
  <c r="O1954" i="1"/>
  <c r="S1954" i="1"/>
  <c r="O2040" i="1"/>
  <c r="S2040" i="1"/>
  <c r="S2109" i="1"/>
  <c r="O2109" i="1"/>
  <c r="R2126" i="1"/>
  <c r="P2126" i="1"/>
  <c r="Q2176" i="1"/>
  <c r="W2176" i="1"/>
  <c r="U2176" i="1"/>
  <c r="T2176" i="1"/>
  <c r="V2176" i="1"/>
  <c r="S2247" i="1"/>
  <c r="O2247" i="1"/>
  <c r="R2313" i="1"/>
  <c r="P2313" i="1"/>
  <c r="R2367" i="1"/>
  <c r="P2367" i="1"/>
  <c r="W1780" i="1"/>
  <c r="V1780" i="1"/>
  <c r="U1780" i="1"/>
  <c r="T1780" i="1"/>
  <c r="Q1780" i="1"/>
  <c r="S1787" i="1"/>
  <c r="O1787" i="1"/>
  <c r="W1843" i="1"/>
  <c r="U1843" i="1"/>
  <c r="R1873" i="1"/>
  <c r="P1873" i="1"/>
  <c r="P1877" i="1"/>
  <c r="P1882" i="1"/>
  <c r="R1900" i="1"/>
  <c r="P1900" i="1"/>
  <c r="W1903" i="1"/>
  <c r="U1903" i="1"/>
  <c r="W1911" i="1"/>
  <c r="V1911" i="1"/>
  <c r="T1911" i="1"/>
  <c r="U1911" i="1"/>
  <c r="Q1911" i="1"/>
  <c r="S1927" i="1"/>
  <c r="O1927" i="1"/>
  <c r="O2050" i="1"/>
  <c r="S2050" i="1"/>
  <c r="W2089" i="1"/>
  <c r="U2089" i="1"/>
  <c r="Q2089" i="1"/>
  <c r="V2089" i="1"/>
  <c r="S2098" i="1"/>
  <c r="O2098" i="1"/>
  <c r="W2228" i="1"/>
  <c r="V2228" i="1"/>
  <c r="U2228" i="1"/>
  <c r="T2228" i="1"/>
  <c r="Q2228" i="1"/>
  <c r="Q2442" i="1"/>
  <c r="T2442" i="1"/>
  <c r="W2442" i="1"/>
  <c r="U2442" i="1"/>
  <c r="P2448" i="1"/>
  <c r="R2448" i="1"/>
  <c r="T2451" i="1"/>
  <c r="W2451" i="1"/>
  <c r="Q2451" i="1"/>
  <c r="V2451" i="1"/>
  <c r="U2451" i="1"/>
  <c r="R2457" i="1"/>
  <c r="P2457" i="1"/>
  <c r="T1746" i="1"/>
  <c r="P1750" i="1"/>
  <c r="S1752" i="1"/>
  <c r="O1752" i="1"/>
  <c r="P1760" i="1"/>
  <c r="W1778" i="1"/>
  <c r="U1778" i="1"/>
  <c r="T1778" i="1"/>
  <c r="T1801" i="1"/>
  <c r="R1843" i="1"/>
  <c r="P1843" i="1"/>
  <c r="U1897" i="1"/>
  <c r="W1897" i="1"/>
  <c r="V1897" i="1"/>
  <c r="R1903" i="1"/>
  <c r="P1903" i="1"/>
  <c r="U1908" i="1"/>
  <c r="W1933" i="1"/>
  <c r="U1933" i="1"/>
  <c r="R1951" i="1"/>
  <c r="P1951" i="1"/>
  <c r="R1973" i="1"/>
  <c r="P1973" i="1"/>
  <c r="S1999" i="1"/>
  <c r="O1999" i="1"/>
  <c r="W2006" i="1"/>
  <c r="Q2006" i="1"/>
  <c r="V2006" i="1"/>
  <c r="P2019" i="1"/>
  <c r="Q2035" i="1"/>
  <c r="W2035" i="1"/>
  <c r="T2035" i="1"/>
  <c r="U2035" i="1"/>
  <c r="S2096" i="1"/>
  <c r="O2096" i="1"/>
  <c r="Q1701" i="1"/>
  <c r="Q1706" i="1"/>
  <c r="Q1711" i="1"/>
  <c r="Q1716" i="1"/>
  <c r="Q1721" i="1"/>
  <c r="Q1726" i="1"/>
  <c r="Q1731" i="1"/>
  <c r="Q1736" i="1"/>
  <c r="Q1741" i="1"/>
  <c r="Q1771" i="1"/>
  <c r="W1783" i="1"/>
  <c r="U1783" i="1"/>
  <c r="T1783" i="1"/>
  <c r="W1801" i="1"/>
  <c r="Q1816" i="1"/>
  <c r="S1853" i="1"/>
  <c r="O1853" i="1"/>
  <c r="W1858" i="1"/>
  <c r="S1892" i="1"/>
  <c r="O1892" i="1"/>
  <c r="S1897" i="1"/>
  <c r="O1897" i="1"/>
  <c r="U1917" i="1"/>
  <c r="W1917" i="1"/>
  <c r="V1917" i="1"/>
  <c r="T1927" i="1"/>
  <c r="S1933" i="1"/>
  <c r="O1933" i="1"/>
  <c r="V1943" i="1"/>
  <c r="U1943" i="1"/>
  <c r="W1943" i="1"/>
  <c r="Q1943" i="1"/>
  <c r="P1946" i="1"/>
  <c r="R1946" i="1"/>
  <c r="Q1993" i="1"/>
  <c r="O2035" i="1"/>
  <c r="S2035" i="1"/>
  <c r="V2043" i="1"/>
  <c r="U2043" i="1"/>
  <c r="T2043" i="1"/>
  <c r="W2043" i="1"/>
  <c r="Q2043" i="1"/>
  <c r="T2210" i="1"/>
  <c r="Q2210" i="1"/>
  <c r="V2210" i="1"/>
  <c r="U2210" i="1"/>
  <c r="W2210" i="1"/>
  <c r="R2245" i="1"/>
  <c r="P2245" i="1"/>
  <c r="R2350" i="1"/>
  <c r="P2350" i="1"/>
  <c r="S1747" i="1"/>
  <c r="O1747" i="1"/>
  <c r="W1793" i="1"/>
  <c r="U1793" i="1"/>
  <c r="T1793" i="1"/>
  <c r="S1836" i="1"/>
  <c r="O1836" i="1"/>
  <c r="W1851" i="1"/>
  <c r="V1851" i="1"/>
  <c r="T1851" i="1"/>
  <c r="U1851" i="1"/>
  <c r="Q1851" i="1"/>
  <c r="V1864" i="1"/>
  <c r="U1864" i="1"/>
  <c r="T1864" i="1"/>
  <c r="T1898" i="1"/>
  <c r="Q1898" i="1"/>
  <c r="W1898" i="1"/>
  <c r="R1904" i="1"/>
  <c r="P1904" i="1"/>
  <c r="S1923" i="1"/>
  <c r="O1923" i="1"/>
  <c r="W1931" i="1"/>
  <c r="V1931" i="1"/>
  <c r="T1931" i="1"/>
  <c r="U1931" i="1"/>
  <c r="Q1931" i="1"/>
  <c r="R1952" i="1"/>
  <c r="P1952" i="1"/>
  <c r="Q1974" i="1"/>
  <c r="W1974" i="1"/>
  <c r="V1974" i="1"/>
  <c r="U1974" i="1"/>
  <c r="T1974" i="1"/>
  <c r="P1989" i="1"/>
  <c r="R1989" i="1"/>
  <c r="R2003" i="1"/>
  <c r="P2003" i="1"/>
  <c r="R2030" i="1"/>
  <c r="P2030" i="1"/>
  <c r="S2036" i="1"/>
  <c r="O2036" i="1"/>
  <c r="R2235" i="1"/>
  <c r="P2235" i="1"/>
  <c r="O2272" i="1"/>
  <c r="S2272" i="1"/>
  <c r="S2394" i="1"/>
  <c r="O2394" i="1"/>
  <c r="S1952" i="1"/>
  <c r="O1952" i="1"/>
  <c r="T1980" i="1"/>
  <c r="Q1980" i="1"/>
  <c r="W1980" i="1"/>
  <c r="U1980" i="1"/>
  <c r="W2001" i="1"/>
  <c r="U2001" i="1"/>
  <c r="Q2001" i="1"/>
  <c r="V2001" i="1"/>
  <c r="S2021" i="1"/>
  <c r="O2021" i="1"/>
  <c r="O2030" i="1"/>
  <c r="S2030" i="1"/>
  <c r="R2080" i="1"/>
  <c r="P2080" i="1"/>
  <c r="R2148" i="1"/>
  <c r="P2148" i="1"/>
  <c r="S2160" i="1"/>
  <c r="O2160" i="1"/>
  <c r="T1743" i="1"/>
  <c r="P1749" i="1"/>
  <c r="W1755" i="1"/>
  <c r="V1755" i="1"/>
  <c r="U1755" i="1"/>
  <c r="T1755" i="1"/>
  <c r="R1757" i="1"/>
  <c r="P1757" i="1"/>
  <c r="W1767" i="1"/>
  <c r="W1798" i="1"/>
  <c r="U1798" i="1"/>
  <c r="T1798" i="1"/>
  <c r="S1812" i="1"/>
  <c r="O1812" i="1"/>
  <c r="U1821" i="1"/>
  <c r="S1864" i="1"/>
  <c r="O1864" i="1"/>
  <c r="W1901" i="1"/>
  <c r="V1901" i="1"/>
  <c r="T1901" i="1"/>
  <c r="U1901" i="1"/>
  <c r="Q1901" i="1"/>
  <c r="P1939" i="1"/>
  <c r="V1969" i="1"/>
  <c r="W1969" i="1"/>
  <c r="U1969" i="1"/>
  <c r="T1969" i="1"/>
  <c r="O1986" i="1"/>
  <c r="V2033" i="1"/>
  <c r="U2033" i="1"/>
  <c r="T2033" i="1"/>
  <c r="W2033" i="1"/>
  <c r="Q2033" i="1"/>
  <c r="W2064" i="1"/>
  <c r="V2064" i="1"/>
  <c r="T2064" i="1"/>
  <c r="Q2064" i="1"/>
  <c r="O2070" i="1"/>
  <c r="S2070" i="1"/>
  <c r="R2157" i="1"/>
  <c r="P2157" i="1"/>
  <c r="O2182" i="1"/>
  <c r="R2194" i="1"/>
  <c r="P2194" i="1"/>
  <c r="S2293" i="1"/>
  <c r="O2293" i="1"/>
  <c r="P1735" i="1"/>
  <c r="P1740" i="1"/>
  <c r="U1743" i="1"/>
  <c r="T1745" i="1"/>
  <c r="O1751" i="1"/>
  <c r="O1753" i="1"/>
  <c r="S1757" i="1"/>
  <c r="O1757" i="1"/>
  <c r="R1772" i="1"/>
  <c r="P1772" i="1"/>
  <c r="V1783" i="1"/>
  <c r="O1786" i="1"/>
  <c r="R1795" i="1"/>
  <c r="W1805" i="1"/>
  <c r="V1805" i="1"/>
  <c r="U1805" i="1"/>
  <c r="T1805" i="1"/>
  <c r="Q1805" i="1"/>
  <c r="W1821" i="1"/>
  <c r="W1832" i="1"/>
  <c r="U1832" i="1"/>
  <c r="T1832" i="1"/>
  <c r="P1834" i="1"/>
  <c r="S1839" i="1"/>
  <c r="R1861" i="1"/>
  <c r="R1888" i="1"/>
  <c r="P1888" i="1"/>
  <c r="O1893" i="1"/>
  <c r="U1898" i="1"/>
  <c r="S1939" i="1"/>
  <c r="O1966" i="1"/>
  <c r="O1971" i="1"/>
  <c r="Q1975" i="1"/>
  <c r="V1975" i="1"/>
  <c r="R2009" i="1"/>
  <c r="R2031" i="1"/>
  <c r="P2031" i="1"/>
  <c r="V1743" i="1"/>
  <c r="U1745" i="1"/>
  <c r="T1763" i="1"/>
  <c r="W1770" i="1"/>
  <c r="V1770" i="1"/>
  <c r="U1770" i="1"/>
  <c r="T1770" i="1"/>
  <c r="S1772" i="1"/>
  <c r="O1772" i="1"/>
  <c r="T1776" i="1"/>
  <c r="W1803" i="1"/>
  <c r="U1803" i="1"/>
  <c r="T1803" i="1"/>
  <c r="S1817" i="1"/>
  <c r="O1817" i="1"/>
  <c r="W1849" i="1"/>
  <c r="V1849" i="1"/>
  <c r="U1849" i="1"/>
  <c r="T1849" i="1"/>
  <c r="Q1849" i="1"/>
  <c r="Q1857" i="1"/>
  <c r="U1857" i="1"/>
  <c r="T1857" i="1"/>
  <c r="Q1864" i="1"/>
  <c r="W1886" i="1"/>
  <c r="V1886" i="1"/>
  <c r="T1886" i="1"/>
  <c r="U1886" i="1"/>
  <c r="V1898" i="1"/>
  <c r="R1910" i="1"/>
  <c r="P1910" i="1"/>
  <c r="W1913" i="1"/>
  <c r="U1913" i="1"/>
  <c r="S1947" i="1"/>
  <c r="P1980" i="1"/>
  <c r="W1984" i="1"/>
  <c r="V1984" i="1"/>
  <c r="P2024" i="1"/>
  <c r="P2124" i="1"/>
  <c r="R2124" i="1"/>
  <c r="V1745" i="1"/>
  <c r="Q1751" i="1"/>
  <c r="Q1753" i="1"/>
  <c r="U1763" i="1"/>
  <c r="T1772" i="1"/>
  <c r="U1776" i="1"/>
  <c r="Q1786" i="1"/>
  <c r="Q1793" i="1"/>
  <c r="R1800" i="1"/>
  <c r="W1810" i="1"/>
  <c r="V1810" i="1"/>
  <c r="U1810" i="1"/>
  <c r="T1810" i="1"/>
  <c r="Q1810" i="1"/>
  <c r="W1827" i="1"/>
  <c r="V1827" i="1"/>
  <c r="U1827" i="1"/>
  <c r="T1827" i="1"/>
  <c r="Q1827" i="1"/>
  <c r="W1864" i="1"/>
  <c r="T1879" i="1"/>
  <c r="Q1879" i="1"/>
  <c r="W1879" i="1"/>
  <c r="W1884" i="1"/>
  <c r="V1884" i="1"/>
  <c r="T1884" i="1"/>
  <c r="Q1884" i="1"/>
  <c r="U1907" i="1"/>
  <c r="W1907" i="1"/>
  <c r="V1907" i="1"/>
  <c r="R1913" i="1"/>
  <c r="P1913" i="1"/>
  <c r="W1921" i="1"/>
  <c r="V1921" i="1"/>
  <c r="T1921" i="1"/>
  <c r="U1921" i="1"/>
  <c r="Q1921" i="1"/>
  <c r="S1949" i="1"/>
  <c r="U1958" i="1"/>
  <c r="T1958" i="1"/>
  <c r="W1958" i="1"/>
  <c r="Q1958" i="1"/>
  <c r="Q2004" i="1"/>
  <c r="W2004" i="1"/>
  <c r="V2004" i="1"/>
  <c r="U2004" i="1"/>
  <c r="R2071" i="1"/>
  <c r="P2071" i="1"/>
  <c r="V2138" i="1"/>
  <c r="U2138" i="1"/>
  <c r="T2138" i="1"/>
  <c r="W2138" i="1"/>
  <c r="Q2138" i="1"/>
  <c r="R2141" i="1"/>
  <c r="P2141" i="1"/>
  <c r="O2171" i="1"/>
  <c r="S2171" i="1"/>
  <c r="S2180" i="1"/>
  <c r="O2180" i="1"/>
  <c r="W2192" i="1"/>
  <c r="V2192" i="1"/>
  <c r="U2192" i="1"/>
  <c r="T2192" i="1"/>
  <c r="Q2192" i="1"/>
  <c r="W1808" i="1"/>
  <c r="U1808" i="1"/>
  <c r="T1808" i="1"/>
  <c r="W1815" i="1"/>
  <c r="V1815" i="1"/>
  <c r="U1815" i="1"/>
  <c r="T1815" i="1"/>
  <c r="Q1815" i="1"/>
  <c r="S1822" i="1"/>
  <c r="O1822" i="1"/>
  <c r="R1825" i="1"/>
  <c r="P1825" i="1"/>
  <c r="W1862" i="1"/>
  <c r="V1862" i="1"/>
  <c r="U1862" i="1"/>
  <c r="T1862" i="1"/>
  <c r="Q1862" i="1"/>
  <c r="S1886" i="1"/>
  <c r="O1886" i="1"/>
  <c r="S1913" i="1"/>
  <c r="O1913" i="1"/>
  <c r="V1980" i="1"/>
  <c r="V1998" i="1"/>
  <c r="U1998" i="1"/>
  <c r="Q1998" i="1"/>
  <c r="T2001" i="1"/>
  <c r="R2016" i="1"/>
  <c r="P2016" i="1"/>
  <c r="S2018" i="1"/>
  <c r="O2018" i="1"/>
  <c r="V2074" i="1"/>
  <c r="T2074" i="1"/>
  <c r="W2074" i="1"/>
  <c r="U2074" i="1"/>
  <c r="Q2074" i="1"/>
  <c r="S2149" i="1"/>
  <c r="O2149" i="1"/>
  <c r="P2180" i="1"/>
  <c r="Q2206" i="1"/>
  <c r="V2206" i="1"/>
  <c r="U2206" i="1"/>
  <c r="T2206" i="1"/>
  <c r="W2206" i="1"/>
  <c r="Q1755" i="1"/>
  <c r="P1768" i="1"/>
  <c r="V1772" i="1"/>
  <c r="Q1791" i="1"/>
  <c r="V1793" i="1"/>
  <c r="Q1798" i="1"/>
  <c r="R1805" i="1"/>
  <c r="W1813" i="1"/>
  <c r="U1813" i="1"/>
  <c r="T1813" i="1"/>
  <c r="P1832" i="1"/>
  <c r="P1849" i="1"/>
  <c r="S1907" i="1"/>
  <c r="O1907" i="1"/>
  <c r="Q1913" i="1"/>
  <c r="S1929" i="1"/>
  <c r="U1937" i="1"/>
  <c r="W1937" i="1"/>
  <c r="V1937" i="1"/>
  <c r="T1987" i="1"/>
  <c r="Q1987" i="1"/>
  <c r="W1987" i="1"/>
  <c r="V1987" i="1"/>
  <c r="U1987" i="1"/>
  <c r="O2004" i="1"/>
  <c r="S2004" i="1"/>
  <c r="S2016" i="1"/>
  <c r="O2016" i="1"/>
  <c r="U2064" i="1"/>
  <c r="T1753" i="1"/>
  <c r="Q1768" i="1"/>
  <c r="W1772" i="1"/>
  <c r="T1786" i="1"/>
  <c r="P1803" i="1"/>
  <c r="W1820" i="1"/>
  <c r="V1820" i="1"/>
  <c r="U1820" i="1"/>
  <c r="T1820" i="1"/>
  <c r="Q1820" i="1"/>
  <c r="Q1832" i="1"/>
  <c r="S1842" i="1"/>
  <c r="O1842" i="1"/>
  <c r="S1849" i="1"/>
  <c r="Q1852" i="1"/>
  <c r="Q1886" i="1"/>
  <c r="P1899" i="1"/>
  <c r="U1902" i="1"/>
  <c r="Q1902" i="1"/>
  <c r="W1902" i="1"/>
  <c r="V1902" i="1"/>
  <c r="P1907" i="1"/>
  <c r="T1913" i="1"/>
  <c r="Q1967" i="1"/>
  <c r="W1967" i="1"/>
  <c r="V1967" i="1"/>
  <c r="U1967" i="1"/>
  <c r="T1975" i="1"/>
  <c r="R1978" i="1"/>
  <c r="P1978" i="1"/>
  <c r="S2074" i="1"/>
  <c r="O2074" i="1"/>
  <c r="Q2125" i="1"/>
  <c r="W2125" i="1"/>
  <c r="V2125" i="1"/>
  <c r="T2125" i="1"/>
  <c r="U2125" i="1"/>
  <c r="S2136" i="1"/>
  <c r="O2136" i="1"/>
  <c r="V1912" i="1"/>
  <c r="W1991" i="1"/>
  <c r="V1991" i="1"/>
  <c r="V2013" i="1"/>
  <c r="U2013" i="1"/>
  <c r="T2013" i="1"/>
  <c r="W2013" i="1"/>
  <c r="Q2013" i="1"/>
  <c r="W2054" i="1"/>
  <c r="V2054" i="1"/>
  <c r="U2054" i="1"/>
  <c r="T2054" i="1"/>
  <c r="S2079" i="1"/>
  <c r="O2079" i="1"/>
  <c r="S2119" i="1"/>
  <c r="O2119" i="1"/>
  <c r="U2171" i="1"/>
  <c r="T2171" i="1"/>
  <c r="Q2171" i="1"/>
  <c r="W2171" i="1"/>
  <c r="V2171" i="1"/>
  <c r="R2228" i="1"/>
  <c r="P2228" i="1"/>
  <c r="U2307" i="1"/>
  <c r="T2307" i="1"/>
  <c r="V2307" i="1"/>
  <c r="Q2307" i="1"/>
  <c r="W2307" i="1"/>
  <c r="W1841" i="1"/>
  <c r="V1841" i="1"/>
  <c r="T1841" i="1"/>
  <c r="R1878" i="1"/>
  <c r="P1878" i="1"/>
  <c r="W1891" i="1"/>
  <c r="V1891" i="1"/>
  <c r="T1891" i="1"/>
  <c r="W1912" i="1"/>
  <c r="R1945" i="1"/>
  <c r="P1945" i="1"/>
  <c r="R1960" i="1"/>
  <c r="P1960" i="1"/>
  <c r="W1996" i="1"/>
  <c r="U1996" i="1"/>
  <c r="T1996" i="1"/>
  <c r="S1998" i="1"/>
  <c r="O1998" i="1"/>
  <c r="W2011" i="1"/>
  <c r="T2011" i="1"/>
  <c r="Q2011" i="1"/>
  <c r="Q2040" i="1"/>
  <c r="W2040" i="1"/>
  <c r="V2040" i="1"/>
  <c r="U2040" i="1"/>
  <c r="R2054" i="1"/>
  <c r="P2054" i="1"/>
  <c r="V2098" i="1"/>
  <c r="U2098" i="1"/>
  <c r="T2098" i="1"/>
  <c r="W2098" i="1"/>
  <c r="Q2098" i="1"/>
  <c r="W2106" i="1"/>
  <c r="V2106" i="1"/>
  <c r="U2106" i="1"/>
  <c r="Q2106" i="1"/>
  <c r="S2108" i="1"/>
  <c r="O2108" i="1"/>
  <c r="S2146" i="1"/>
  <c r="O2146" i="1"/>
  <c r="U2302" i="1"/>
  <c r="T2302" i="1"/>
  <c r="Q2302" i="1"/>
  <c r="W2302" i="1"/>
  <c r="R2307" i="1"/>
  <c r="P2307" i="1"/>
  <c r="O2357" i="1"/>
  <c r="S2357" i="1"/>
  <c r="W1871" i="1"/>
  <c r="V1871" i="1"/>
  <c r="T1871" i="1"/>
  <c r="R1967" i="1"/>
  <c r="P1967" i="1"/>
  <c r="O1980" i="1"/>
  <c r="S1980" i="1"/>
  <c r="U1999" i="1"/>
  <c r="Q1999" i="1"/>
  <c r="Q2014" i="1"/>
  <c r="W2014" i="1"/>
  <c r="O2045" i="1"/>
  <c r="S2045" i="1"/>
  <c r="Q2080" i="1"/>
  <c r="V2080" i="1"/>
  <c r="U2080" i="1"/>
  <c r="R2169" i="1"/>
  <c r="P2169" i="1"/>
  <c r="U2214" i="1"/>
  <c r="T2214" i="1"/>
  <c r="Q2214" i="1"/>
  <c r="W2214" i="1"/>
  <c r="V2214" i="1"/>
  <c r="P2345" i="1"/>
  <c r="R2345" i="1"/>
  <c r="O2492" i="1"/>
  <c r="S2492" i="1"/>
  <c r="T1867" i="1"/>
  <c r="U1899" i="1"/>
  <c r="U1909" i="1"/>
  <c r="U1919" i="1"/>
  <c r="U1929" i="1"/>
  <c r="U1939" i="1"/>
  <c r="W1946" i="1"/>
  <c r="Q1946" i="1"/>
  <c r="U1965" i="1"/>
  <c r="T1965" i="1"/>
  <c r="P1971" i="1"/>
  <c r="W1973" i="1"/>
  <c r="U1989" i="1"/>
  <c r="T1991" i="1"/>
  <c r="V1996" i="1"/>
  <c r="S2009" i="1"/>
  <c r="O2009" i="1"/>
  <c r="S2038" i="1"/>
  <c r="O2038" i="1"/>
  <c r="Q2060" i="1"/>
  <c r="V2060" i="1"/>
  <c r="T2060" i="1"/>
  <c r="R2074" i="1"/>
  <c r="P2074" i="1"/>
  <c r="T2080" i="1"/>
  <c r="Q2110" i="1"/>
  <c r="W2110" i="1"/>
  <c r="V2110" i="1"/>
  <c r="T2110" i="1"/>
  <c r="S2167" i="1"/>
  <c r="O2167" i="1"/>
  <c r="S2192" i="1"/>
  <c r="O2192" i="1"/>
  <c r="S2203" i="1"/>
  <c r="O2203" i="1"/>
  <c r="Q2215" i="1"/>
  <c r="V2215" i="1"/>
  <c r="T2215" i="1"/>
  <c r="S2220" i="1"/>
  <c r="O2220" i="1"/>
  <c r="V1867" i="1"/>
  <c r="U1869" i="1"/>
  <c r="Q1871" i="1"/>
  <c r="W1899" i="1"/>
  <c r="W1909" i="1"/>
  <c r="W1919" i="1"/>
  <c r="W1929" i="1"/>
  <c r="W1939" i="1"/>
  <c r="T1952" i="1"/>
  <c r="O1965" i="1"/>
  <c r="S1965" i="1"/>
  <c r="R1974" i="1"/>
  <c r="P1974" i="1"/>
  <c r="W1989" i="1"/>
  <c r="T1999" i="1"/>
  <c r="T2014" i="1"/>
  <c r="W2046" i="1"/>
  <c r="V2046" i="1"/>
  <c r="U2046" i="1"/>
  <c r="T2046" i="1"/>
  <c r="Q2046" i="1"/>
  <c r="W2066" i="1"/>
  <c r="U2066" i="1"/>
  <c r="Q2066" i="1"/>
  <c r="R2068" i="1"/>
  <c r="P2068" i="1"/>
  <c r="W2091" i="1"/>
  <c r="V2091" i="1"/>
  <c r="T2091" i="1"/>
  <c r="W2104" i="1"/>
  <c r="V2104" i="1"/>
  <c r="T2104" i="1"/>
  <c r="Q2104" i="1"/>
  <c r="U2164" i="1"/>
  <c r="T2164" i="1"/>
  <c r="Q2164" i="1"/>
  <c r="W2164" i="1"/>
  <c r="V2164" i="1"/>
  <c r="P2206" i="1"/>
  <c r="R2206" i="1"/>
  <c r="S2366" i="1"/>
  <c r="O2366" i="1"/>
  <c r="W2552" i="1"/>
  <c r="V2552" i="1"/>
  <c r="T2552" i="1"/>
  <c r="U2552" i="1"/>
  <c r="Q2552" i="1"/>
  <c r="R2576" i="1"/>
  <c r="P2576" i="1"/>
  <c r="O1829" i="1"/>
  <c r="P1836" i="1"/>
  <c r="O1838" i="1"/>
  <c r="R1853" i="1"/>
  <c r="P1853" i="1"/>
  <c r="W1866" i="1"/>
  <c r="V1866" i="1"/>
  <c r="T1866" i="1"/>
  <c r="O1877" i="1"/>
  <c r="O1888" i="1"/>
  <c r="O1950" i="1"/>
  <c r="S1950" i="1"/>
  <c r="U1952" i="1"/>
  <c r="O1963" i="1"/>
  <c r="W1981" i="1"/>
  <c r="Q1981" i="1"/>
  <c r="V1999" i="1"/>
  <c r="U2014" i="1"/>
  <c r="Q2020" i="1"/>
  <c r="V2020" i="1"/>
  <c r="U2020" i="1"/>
  <c r="W2026" i="1"/>
  <c r="U2026" i="1"/>
  <c r="T2026" i="1"/>
  <c r="V2028" i="1"/>
  <c r="U2028" i="1"/>
  <c r="T2028" i="1"/>
  <c r="W2028" i="1"/>
  <c r="Q2028" i="1"/>
  <c r="U2060" i="1"/>
  <c r="R2091" i="1"/>
  <c r="P2091" i="1"/>
  <c r="U2110" i="1"/>
  <c r="R2113" i="1"/>
  <c r="P2113" i="1"/>
  <c r="R2156" i="1"/>
  <c r="P2156" i="1"/>
  <c r="W2212" i="1"/>
  <c r="V2212" i="1"/>
  <c r="Q2212" i="1"/>
  <c r="U2212" i="1"/>
  <c r="T2212" i="1"/>
  <c r="P2249" i="1"/>
  <c r="R2249" i="1"/>
  <c r="W2263" i="1"/>
  <c r="Q2263" i="1"/>
  <c r="V2263" i="1"/>
  <c r="T2263" i="1"/>
  <c r="S2385" i="1"/>
  <c r="O2385" i="1"/>
  <c r="W2453" i="1"/>
  <c r="T2453" i="1"/>
  <c r="Q2453" i="1"/>
  <c r="U2453" i="1"/>
  <c r="V2453" i="1"/>
  <c r="S2485" i="1"/>
  <c r="O2485" i="1"/>
  <c r="S1946" i="1"/>
  <c r="P1950" i="1"/>
  <c r="V1952" i="1"/>
  <c r="R1959" i="1"/>
  <c r="P1959" i="1"/>
  <c r="Q1961" i="1"/>
  <c r="Q1965" i="1"/>
  <c r="U1972" i="1"/>
  <c r="T1972" i="1"/>
  <c r="O1974" i="1"/>
  <c r="R1981" i="1"/>
  <c r="P1981" i="1"/>
  <c r="W1999" i="1"/>
  <c r="Q2005" i="1"/>
  <c r="V2005" i="1"/>
  <c r="T2005" i="1"/>
  <c r="V2014" i="1"/>
  <c r="R2020" i="1"/>
  <c r="P2020" i="1"/>
  <c r="O2039" i="1"/>
  <c r="R2043" i="1"/>
  <c r="W2060" i="1"/>
  <c r="R2083" i="1"/>
  <c r="P2083" i="1"/>
  <c r="S2091" i="1"/>
  <c r="O2091" i="1"/>
  <c r="R2094" i="1"/>
  <c r="P2094" i="1"/>
  <c r="W2134" i="1"/>
  <c r="U2134" i="1"/>
  <c r="Q2134" i="1"/>
  <c r="O2156" i="1"/>
  <c r="S2156" i="1"/>
  <c r="S2164" i="1"/>
  <c r="O2164" i="1"/>
  <c r="O2200" i="1"/>
  <c r="Q1829" i="1"/>
  <c r="T1838" i="1"/>
  <c r="P1840" i="1"/>
  <c r="P1851" i="1"/>
  <c r="R1868" i="1"/>
  <c r="P1868" i="1"/>
  <c r="U1871" i="1"/>
  <c r="P1879" i="1"/>
  <c r="W1881" i="1"/>
  <c r="V1881" i="1"/>
  <c r="T1881" i="1"/>
  <c r="P1890" i="1"/>
  <c r="P1894" i="1"/>
  <c r="W1896" i="1"/>
  <c r="V1896" i="1"/>
  <c r="T1896" i="1"/>
  <c r="R1898" i="1"/>
  <c r="P1898" i="1"/>
  <c r="W1906" i="1"/>
  <c r="V1906" i="1"/>
  <c r="T1906" i="1"/>
  <c r="R1908" i="1"/>
  <c r="P1908" i="1"/>
  <c r="W1916" i="1"/>
  <c r="V1916" i="1"/>
  <c r="T1916" i="1"/>
  <c r="R1918" i="1"/>
  <c r="P1918" i="1"/>
  <c r="W1926" i="1"/>
  <c r="V1926" i="1"/>
  <c r="T1926" i="1"/>
  <c r="R1928" i="1"/>
  <c r="P1928" i="1"/>
  <c r="W1936" i="1"/>
  <c r="V1936" i="1"/>
  <c r="T1936" i="1"/>
  <c r="R1938" i="1"/>
  <c r="P1938" i="1"/>
  <c r="T1946" i="1"/>
  <c r="Q2000" i="1"/>
  <c r="U2000" i="1"/>
  <c r="T2000" i="1"/>
  <c r="R2005" i="1"/>
  <c r="P2005" i="1"/>
  <c r="Q2015" i="1"/>
  <c r="W2015" i="1"/>
  <c r="U2015" i="1"/>
  <c r="T2015" i="1"/>
  <c r="S2028" i="1"/>
  <c r="O2028" i="1"/>
  <c r="P2033" i="1"/>
  <c r="V2078" i="1"/>
  <c r="U2078" i="1"/>
  <c r="T2078" i="1"/>
  <c r="W2078" i="1"/>
  <c r="Q2078" i="1"/>
  <c r="Q2091" i="1"/>
  <c r="R2111" i="1"/>
  <c r="P2111" i="1"/>
  <c r="R2123" i="1"/>
  <c r="P2123" i="1"/>
  <c r="S2150" i="1"/>
  <c r="O2150" i="1"/>
  <c r="P2200" i="1"/>
  <c r="Q2239" i="1"/>
  <c r="T2239" i="1"/>
  <c r="V2239" i="1"/>
  <c r="U2239" i="1"/>
  <c r="W2239" i="1"/>
  <c r="R2416" i="1"/>
  <c r="P2416" i="1"/>
  <c r="W2419" i="1"/>
  <c r="V2419" i="1"/>
  <c r="U2419" i="1"/>
  <c r="T2419" i="1"/>
  <c r="Q2419" i="1"/>
  <c r="P2425" i="1"/>
  <c r="P1777" i="1"/>
  <c r="P1782" i="1"/>
  <c r="P1787" i="1"/>
  <c r="P1792" i="1"/>
  <c r="P1797" i="1"/>
  <c r="P1802" i="1"/>
  <c r="P1807" i="1"/>
  <c r="P1812" i="1"/>
  <c r="P1817" i="1"/>
  <c r="P1822" i="1"/>
  <c r="U1838" i="1"/>
  <c r="P1842" i="1"/>
  <c r="Q1853" i="1"/>
  <c r="U1888" i="1"/>
  <c r="P1892" i="1"/>
  <c r="Q1894" i="1"/>
  <c r="P1914" i="1"/>
  <c r="P1924" i="1"/>
  <c r="P1934" i="1"/>
  <c r="O1944" i="1"/>
  <c r="U1946" i="1"/>
  <c r="O1959" i="1"/>
  <c r="S1961" i="1"/>
  <c r="V1965" i="1"/>
  <c r="U1979" i="1"/>
  <c r="T1979" i="1"/>
  <c r="O1981" i="1"/>
  <c r="S1985" i="1"/>
  <c r="R1988" i="1"/>
  <c r="P1988" i="1"/>
  <c r="Q1990" i="1"/>
  <c r="R2000" i="1"/>
  <c r="P2000" i="1"/>
  <c r="R2015" i="1"/>
  <c r="P2015" i="1"/>
  <c r="T2020" i="1"/>
  <c r="O2026" i="1"/>
  <c r="P2028" i="1"/>
  <c r="P2066" i="1"/>
  <c r="U2091" i="1"/>
  <c r="S2198" i="1"/>
  <c r="O2198" i="1"/>
  <c r="R2207" i="1"/>
  <c r="P2207" i="1"/>
  <c r="U2215" i="1"/>
  <c r="P2239" i="1"/>
  <c r="R2239" i="1"/>
  <c r="O2343" i="1"/>
  <c r="S2343" i="1"/>
  <c r="R1833" i="1"/>
  <c r="P1833" i="1"/>
  <c r="V1838" i="1"/>
  <c r="W1846" i="1"/>
  <c r="V1846" i="1"/>
  <c r="T1846" i="1"/>
  <c r="T1853" i="1"/>
  <c r="O1868" i="1"/>
  <c r="R1883" i="1"/>
  <c r="P1883" i="1"/>
  <c r="V1888" i="1"/>
  <c r="Q1892" i="1"/>
  <c r="O1898" i="1"/>
  <c r="O1902" i="1"/>
  <c r="O1908" i="1"/>
  <c r="O1912" i="1"/>
  <c r="O1918" i="1"/>
  <c r="P1920" i="1"/>
  <c r="O1922" i="1"/>
  <c r="O1928" i="1"/>
  <c r="P1930" i="1"/>
  <c r="O1932" i="1"/>
  <c r="O1938" i="1"/>
  <c r="R1940" i="1"/>
  <c r="P1944" i="1"/>
  <c r="V1946" i="1"/>
  <c r="Q1959" i="1"/>
  <c r="T1961" i="1"/>
  <c r="W1965" i="1"/>
  <c r="S1968" i="1"/>
  <c r="O1968" i="1"/>
  <c r="O1972" i="1"/>
  <c r="Q1995" i="1"/>
  <c r="W1995" i="1"/>
  <c r="V1995" i="1"/>
  <c r="U1995" i="1"/>
  <c r="R2010" i="1"/>
  <c r="P2010" i="1"/>
  <c r="W2020" i="1"/>
  <c r="W2029" i="1"/>
  <c r="U2029" i="1"/>
  <c r="T2029" i="1"/>
  <c r="S2056" i="1"/>
  <c r="O2056" i="1"/>
  <c r="T2066" i="1"/>
  <c r="U2104" i="1"/>
  <c r="O2118" i="1"/>
  <c r="R2162" i="1"/>
  <c r="P2162" i="1"/>
  <c r="W2215" i="1"/>
  <c r="P2289" i="1"/>
  <c r="R2289" i="1"/>
  <c r="Q2402" i="1"/>
  <c r="T2402" i="1"/>
  <c r="W2402" i="1"/>
  <c r="V2402" i="1"/>
  <c r="U2402" i="1"/>
  <c r="V1826" i="1"/>
  <c r="T1826" i="1"/>
  <c r="T1829" i="1"/>
  <c r="U1853" i="1"/>
  <c r="Q1866" i="1"/>
  <c r="T1877" i="1"/>
  <c r="S1904" i="1"/>
  <c r="S1914" i="1"/>
  <c r="Q1918" i="1"/>
  <c r="Q1928" i="1"/>
  <c r="Q1938" i="1"/>
  <c r="Q1944" i="1"/>
  <c r="S1953" i="1"/>
  <c r="O1953" i="1"/>
  <c r="T1959" i="1"/>
  <c r="U1961" i="1"/>
  <c r="W1977" i="1"/>
  <c r="V1977" i="1"/>
  <c r="T1981" i="1"/>
  <c r="W1986" i="1"/>
  <c r="U1986" i="1"/>
  <c r="T1986" i="1"/>
  <c r="U2005" i="1"/>
  <c r="V2015" i="1"/>
  <c r="W2021" i="1"/>
  <c r="V2021" i="1"/>
  <c r="T2021" i="1"/>
  <c r="S2023" i="1"/>
  <c r="O2023" i="1"/>
  <c r="Q2026" i="1"/>
  <c r="O2053" i="1"/>
  <c r="V2066" i="1"/>
  <c r="W2076" i="1"/>
  <c r="V2076" i="1"/>
  <c r="U2076" i="1"/>
  <c r="T2076" i="1"/>
  <c r="Q2076" i="1"/>
  <c r="R2140" i="1"/>
  <c r="P2140" i="1"/>
  <c r="P2201" i="1"/>
  <c r="R2201" i="1"/>
  <c r="R2328" i="1"/>
  <c r="P2328" i="1"/>
  <c r="S2341" i="1"/>
  <c r="O2341" i="1"/>
  <c r="O1833" i="1"/>
  <c r="R1848" i="1"/>
  <c r="P1848" i="1"/>
  <c r="W1861" i="1"/>
  <c r="V1861" i="1"/>
  <c r="T1861" i="1"/>
  <c r="O1883" i="1"/>
  <c r="T1904" i="1"/>
  <c r="Q1912" i="1"/>
  <c r="T1914" i="1"/>
  <c r="Q1922" i="1"/>
  <c r="T1924" i="1"/>
  <c r="Q1932" i="1"/>
  <c r="T1934" i="1"/>
  <c r="U1944" i="1"/>
  <c r="W1951" i="1"/>
  <c r="T1951" i="1"/>
  <c r="R1953" i="1"/>
  <c r="O1957" i="1"/>
  <c r="V1961" i="1"/>
  <c r="R1966" i="1"/>
  <c r="P1966" i="1"/>
  <c r="Q1972" i="1"/>
  <c r="O1979" i="1"/>
  <c r="U1981" i="1"/>
  <c r="T1988" i="1"/>
  <c r="T1990" i="1"/>
  <c r="V2000" i="1"/>
  <c r="W2005" i="1"/>
  <c r="V2018" i="1"/>
  <c r="U2018" i="1"/>
  <c r="T2018" i="1"/>
  <c r="W2018" i="1"/>
  <c r="R2023" i="1"/>
  <c r="T2069" i="1"/>
  <c r="P2078" i="1"/>
  <c r="T2134" i="1"/>
  <c r="S2174" i="1"/>
  <c r="O2174" i="1"/>
  <c r="U2263" i="1"/>
  <c r="R2282" i="1"/>
  <c r="P2282" i="1"/>
  <c r="S2395" i="1"/>
  <c r="O2395" i="1"/>
  <c r="V2023" i="1"/>
  <c r="U2023" i="1"/>
  <c r="T2023" i="1"/>
  <c r="W2023" i="1"/>
  <c r="R2025" i="1"/>
  <c r="P2025" i="1"/>
  <c r="U2051" i="1"/>
  <c r="V2059" i="1"/>
  <c r="V2108" i="1"/>
  <c r="U2108" i="1"/>
  <c r="T2108" i="1"/>
  <c r="W2108" i="1"/>
  <c r="Q2145" i="1"/>
  <c r="V2145" i="1"/>
  <c r="W2158" i="1"/>
  <c r="W2165" i="1"/>
  <c r="Q2173" i="1"/>
  <c r="W2173" i="1"/>
  <c r="V2173" i="1"/>
  <c r="T2173" i="1"/>
  <c r="V2220" i="1"/>
  <c r="T2220" i="1"/>
  <c r="Q2220" i="1"/>
  <c r="W2220" i="1"/>
  <c r="U2220" i="1"/>
  <c r="Q2234" i="1"/>
  <c r="U2234" i="1"/>
  <c r="T2234" i="1"/>
  <c r="U2247" i="1"/>
  <c r="T2247" i="1"/>
  <c r="Q2247" i="1"/>
  <c r="W2247" i="1"/>
  <c r="W2268" i="1"/>
  <c r="V2268" i="1"/>
  <c r="U2268" i="1"/>
  <c r="T2268" i="1"/>
  <c r="W2293" i="1"/>
  <c r="V2293" i="1"/>
  <c r="U2293" i="1"/>
  <c r="T2293" i="1"/>
  <c r="T2421" i="1"/>
  <c r="W2421" i="1"/>
  <c r="V2421" i="1"/>
  <c r="U2421" i="1"/>
  <c r="R2436" i="1"/>
  <c r="P2436" i="1"/>
  <c r="R2445" i="1"/>
  <c r="P2445" i="1"/>
  <c r="V2068" i="1"/>
  <c r="U2068" i="1"/>
  <c r="T2068" i="1"/>
  <c r="W2068" i="1"/>
  <c r="R2070" i="1"/>
  <c r="P2070" i="1"/>
  <c r="V2123" i="1"/>
  <c r="U2123" i="1"/>
  <c r="T2123" i="1"/>
  <c r="W2123" i="1"/>
  <c r="R2145" i="1"/>
  <c r="P2145" i="1"/>
  <c r="W2152" i="1"/>
  <c r="Q2152" i="1"/>
  <c r="U2152" i="1"/>
  <c r="Q2159" i="1"/>
  <c r="W2159" i="1"/>
  <c r="V2159" i="1"/>
  <c r="T2159" i="1"/>
  <c r="Q2166" i="1"/>
  <c r="W2166" i="1"/>
  <c r="V2166" i="1"/>
  <c r="T2166" i="1"/>
  <c r="R2173" i="1"/>
  <c r="P2173" i="1"/>
  <c r="R2220" i="1"/>
  <c r="P2220" i="1"/>
  <c r="R2247" i="1"/>
  <c r="P2247" i="1"/>
  <c r="R2293" i="1"/>
  <c r="P2293" i="1"/>
  <c r="O2333" i="1"/>
  <c r="S2333" i="1"/>
  <c r="Q2359" i="1"/>
  <c r="W2359" i="1"/>
  <c r="T2359" i="1"/>
  <c r="U2359" i="1"/>
  <c r="P2011" i="1"/>
  <c r="O2015" i="1"/>
  <c r="S2015" i="1"/>
  <c r="V2041" i="1"/>
  <c r="V2058" i="1"/>
  <c r="U2058" i="1"/>
  <c r="T2058" i="1"/>
  <c r="W2058" i="1"/>
  <c r="R2060" i="1"/>
  <c r="P2060" i="1"/>
  <c r="P2064" i="1"/>
  <c r="T2070" i="1"/>
  <c r="W2081" i="1"/>
  <c r="V2081" i="1"/>
  <c r="P2093" i="1"/>
  <c r="P2104" i="1"/>
  <c r="V2114" i="1"/>
  <c r="P2121" i="1"/>
  <c r="V2143" i="1"/>
  <c r="U2143" i="1"/>
  <c r="T2143" i="1"/>
  <c r="W2143" i="1"/>
  <c r="T2145" i="1"/>
  <c r="U2173" i="1"/>
  <c r="R2212" i="1"/>
  <c r="P2212" i="1"/>
  <c r="Q2224" i="1"/>
  <c r="W2224" i="1"/>
  <c r="V2224" i="1"/>
  <c r="U2224" i="1"/>
  <c r="T2224" i="1"/>
  <c r="V2247" i="1"/>
  <c r="Q2268" i="1"/>
  <c r="Q2324" i="1"/>
  <c r="W2324" i="1"/>
  <c r="V2324" i="1"/>
  <c r="T2324" i="1"/>
  <c r="U2324" i="1"/>
  <c r="Q2334" i="1"/>
  <c r="W2334" i="1"/>
  <c r="U2334" i="1"/>
  <c r="V2334" i="1"/>
  <c r="T2334" i="1"/>
  <c r="R2379" i="1"/>
  <c r="Q2421" i="1"/>
  <c r="W2513" i="1"/>
  <c r="Q2513" i="1"/>
  <c r="V2513" i="1"/>
  <c r="T2513" i="1"/>
  <c r="O2060" i="1"/>
  <c r="S2060" i="1"/>
  <c r="U2070" i="1"/>
  <c r="R2085" i="1"/>
  <c r="P2085" i="1"/>
  <c r="W2096" i="1"/>
  <c r="V2096" i="1"/>
  <c r="P2108" i="1"/>
  <c r="R2134" i="1"/>
  <c r="U2145" i="1"/>
  <c r="T2150" i="1"/>
  <c r="Q2150" i="1"/>
  <c r="U2150" i="1"/>
  <c r="U2204" i="1"/>
  <c r="T2204" i="1"/>
  <c r="W2204" i="1"/>
  <c r="V2204" i="1"/>
  <c r="Q2204" i="1"/>
  <c r="S2212" i="1"/>
  <c r="O2212" i="1"/>
  <c r="O2277" i="1"/>
  <c r="S2277" i="1"/>
  <c r="Q2293" i="1"/>
  <c r="Q2309" i="1"/>
  <c r="W2309" i="1"/>
  <c r="R2319" i="1"/>
  <c r="P2324" i="1"/>
  <c r="R2324" i="1"/>
  <c r="W2532" i="1"/>
  <c r="T2532" i="1"/>
  <c r="V2532" i="1"/>
  <c r="U2532" i="1"/>
  <c r="Q2532" i="1"/>
  <c r="O1983" i="1"/>
  <c r="O2013" i="1"/>
  <c r="Q2023" i="1"/>
  <c r="V2048" i="1"/>
  <c r="U2048" i="1"/>
  <c r="T2048" i="1"/>
  <c r="W2048" i="1"/>
  <c r="R2050" i="1"/>
  <c r="P2050" i="1"/>
  <c r="Q2056" i="1"/>
  <c r="V2070" i="1"/>
  <c r="V2083" i="1"/>
  <c r="U2083" i="1"/>
  <c r="T2083" i="1"/>
  <c r="W2083" i="1"/>
  <c r="R2100" i="1"/>
  <c r="P2100" i="1"/>
  <c r="Q2108" i="1"/>
  <c r="W2111" i="1"/>
  <c r="V2111" i="1"/>
  <c r="Q2119" i="1"/>
  <c r="R2130" i="1"/>
  <c r="P2130" i="1"/>
  <c r="W2145" i="1"/>
  <c r="R2150" i="1"/>
  <c r="P2150" i="1"/>
  <c r="W2157" i="1"/>
  <c r="T2157" i="1"/>
  <c r="Q2157" i="1"/>
  <c r="U2157" i="1"/>
  <c r="U2159" i="1"/>
  <c r="U2166" i="1"/>
  <c r="U2194" i="1"/>
  <c r="T2194" i="1"/>
  <c r="W2194" i="1"/>
  <c r="V2194" i="1"/>
  <c r="Q2194" i="1"/>
  <c r="R2196" i="1"/>
  <c r="R2204" i="1"/>
  <c r="P2204" i="1"/>
  <c r="V2234" i="1"/>
  <c r="V2245" i="1"/>
  <c r="U2245" i="1"/>
  <c r="T2245" i="1"/>
  <c r="W2245" i="1"/>
  <c r="Q2245" i="1"/>
  <c r="W2508" i="1"/>
  <c r="Q2508" i="1"/>
  <c r="U2508" i="1"/>
  <c r="R3112" i="1"/>
  <c r="P3112" i="1"/>
  <c r="P2508" i="1"/>
  <c r="R2508" i="1"/>
  <c r="P2551" i="1"/>
  <c r="R2551" i="1"/>
  <c r="S2582" i="1"/>
  <c r="O2582" i="1"/>
  <c r="O2746" i="1"/>
  <c r="S2746" i="1"/>
  <c r="S3112" i="1"/>
  <c r="O3112" i="1"/>
  <c r="V2038" i="1"/>
  <c r="U2038" i="1"/>
  <c r="T2038" i="1"/>
  <c r="W2038" i="1"/>
  <c r="R2040" i="1"/>
  <c r="P2040" i="1"/>
  <c r="V2113" i="1"/>
  <c r="U2113" i="1"/>
  <c r="T2113" i="1"/>
  <c r="W2113" i="1"/>
  <c r="V2128" i="1"/>
  <c r="U2128" i="1"/>
  <c r="T2128" i="1"/>
  <c r="W2128" i="1"/>
  <c r="W2148" i="1"/>
  <c r="V2148" i="1"/>
  <c r="U2148" i="1"/>
  <c r="T2148" i="1"/>
  <c r="V2152" i="1"/>
  <c r="W2162" i="1"/>
  <c r="V2162" i="1"/>
  <c r="U2162" i="1"/>
  <c r="T2162" i="1"/>
  <c r="R2164" i="1"/>
  <c r="P2164" i="1"/>
  <c r="W2169" i="1"/>
  <c r="V2169" i="1"/>
  <c r="U2169" i="1"/>
  <c r="T2169" i="1"/>
  <c r="V2235" i="1"/>
  <c r="Q2235" i="1"/>
  <c r="W2235" i="1"/>
  <c r="T2235" i="1"/>
  <c r="S2245" i="1"/>
  <c r="O2245" i="1"/>
  <c r="Q2259" i="1"/>
  <c r="W2259" i="1"/>
  <c r="Q2289" i="1"/>
  <c r="V2289" i="1"/>
  <c r="W2289" i="1"/>
  <c r="U2289" i="1"/>
  <c r="T2289" i="1"/>
  <c r="P2314" i="1"/>
  <c r="R2314" i="1"/>
  <c r="U2367" i="1"/>
  <c r="T2367" i="1"/>
  <c r="W2367" i="1"/>
  <c r="V2367" i="1"/>
  <c r="U2377" i="1"/>
  <c r="T2377" i="1"/>
  <c r="W2377" i="1"/>
  <c r="V2377" i="1"/>
  <c r="Q2377" i="1"/>
  <c r="S2425" i="1"/>
  <c r="O2425" i="1"/>
  <c r="T2431" i="1"/>
  <c r="W2431" i="1"/>
  <c r="U2431" i="1"/>
  <c r="V2431" i="1"/>
  <c r="Q2431" i="1"/>
  <c r="P2541" i="1"/>
  <c r="R2541" i="1"/>
  <c r="O2551" i="1"/>
  <c r="S2551" i="1"/>
  <c r="R2898" i="1"/>
  <c r="P2898" i="1"/>
  <c r="W2971" i="1"/>
  <c r="V2971" i="1"/>
  <c r="U2971" i="1"/>
  <c r="T2971" i="1"/>
  <c r="Q2971" i="1"/>
  <c r="S2976" i="1"/>
  <c r="O2976" i="1"/>
  <c r="R2993" i="1"/>
  <c r="P2993" i="1"/>
  <c r="W3017" i="1"/>
  <c r="V3017" i="1"/>
  <c r="U3017" i="1"/>
  <c r="T3017" i="1"/>
  <c r="Q3017" i="1"/>
  <c r="V2130" i="1"/>
  <c r="W2150" i="1"/>
  <c r="W2155" i="1"/>
  <c r="V2155" i="1"/>
  <c r="U2155" i="1"/>
  <c r="T2155" i="1"/>
  <c r="P2171" i="1"/>
  <c r="W2190" i="1"/>
  <c r="V2190" i="1"/>
  <c r="U2190" i="1"/>
  <c r="T2190" i="1"/>
  <c r="R2199" i="1"/>
  <c r="P2199" i="1"/>
  <c r="W2202" i="1"/>
  <c r="V2202" i="1"/>
  <c r="U2202" i="1"/>
  <c r="T2202" i="1"/>
  <c r="Q2202" i="1"/>
  <c r="S2205" i="1"/>
  <c r="O2205" i="1"/>
  <c r="R2210" i="1"/>
  <c r="P2210" i="1"/>
  <c r="Q2216" i="1"/>
  <c r="T2216" i="1"/>
  <c r="V2216" i="1"/>
  <c r="U2216" i="1"/>
  <c r="O2352" i="1"/>
  <c r="S2352" i="1"/>
  <c r="R2362" i="1"/>
  <c r="P2362" i="1"/>
  <c r="P2365" i="1"/>
  <c r="R2365" i="1"/>
  <c r="W2423" i="1"/>
  <c r="T2423" i="1"/>
  <c r="Q2423" i="1"/>
  <c r="V2423" i="1"/>
  <c r="U2423" i="1"/>
  <c r="P2502" i="1"/>
  <c r="R2502" i="1"/>
  <c r="W2522" i="1"/>
  <c r="U2522" i="1"/>
  <c r="Q2522" i="1"/>
  <c r="T2522" i="1"/>
  <c r="V2522" i="1"/>
  <c r="S2539" i="1"/>
  <c r="O2539" i="1"/>
  <c r="O2071" i="1"/>
  <c r="V2073" i="1"/>
  <c r="U2073" i="1"/>
  <c r="T2073" i="1"/>
  <c r="W2073" i="1"/>
  <c r="R2075" i="1"/>
  <c r="P2075" i="1"/>
  <c r="W2086" i="1"/>
  <c r="V2086" i="1"/>
  <c r="O2113" i="1"/>
  <c r="O2124" i="1"/>
  <c r="Q2135" i="1"/>
  <c r="V2135" i="1"/>
  <c r="U2232" i="1"/>
  <c r="T2232" i="1"/>
  <c r="W2232" i="1"/>
  <c r="V2232" i="1"/>
  <c r="Q2232" i="1"/>
  <c r="U2235" i="1"/>
  <c r="T2309" i="1"/>
  <c r="Q2367" i="1"/>
  <c r="S2405" i="1"/>
  <c r="O2405" i="1"/>
  <c r="T2411" i="1"/>
  <c r="W2411" i="1"/>
  <c r="V2411" i="1"/>
  <c r="U2411" i="1"/>
  <c r="Q2411" i="1"/>
  <c r="R2490" i="1"/>
  <c r="P2490" i="1"/>
  <c r="P2549" i="1"/>
  <c r="O2069" i="1"/>
  <c r="O2075" i="1"/>
  <c r="S2075" i="1"/>
  <c r="R2090" i="1"/>
  <c r="P2090" i="1"/>
  <c r="W2101" i="1"/>
  <c r="V2101" i="1"/>
  <c r="Q2124" i="1"/>
  <c r="R2135" i="1"/>
  <c r="P2135" i="1"/>
  <c r="O2153" i="1"/>
  <c r="O2210" i="1"/>
  <c r="W2243" i="1"/>
  <c r="V2243" i="1"/>
  <c r="U2243" i="1"/>
  <c r="T2243" i="1"/>
  <c r="Q2243" i="1"/>
  <c r="U2309" i="1"/>
  <c r="R2476" i="1"/>
  <c r="P2476" i="1"/>
  <c r="O2496" i="1"/>
  <c r="S2496" i="1"/>
  <c r="S2514" i="1"/>
  <c r="O2514" i="1"/>
  <c r="U1941" i="1"/>
  <c r="T1978" i="1"/>
  <c r="T1985" i="1"/>
  <c r="T1992" i="1"/>
  <c r="V2008" i="1"/>
  <c r="U2008" i="1"/>
  <c r="T2008" i="1"/>
  <c r="O2020" i="1"/>
  <c r="S2020" i="1"/>
  <c r="Q2024" i="1"/>
  <c r="T2036" i="1"/>
  <c r="Q2038" i="1"/>
  <c r="U2044" i="1"/>
  <c r="V2063" i="1"/>
  <c r="U2063" i="1"/>
  <c r="T2063" i="1"/>
  <c r="W2063" i="1"/>
  <c r="R2065" i="1"/>
  <c r="P2065" i="1"/>
  <c r="P2069" i="1"/>
  <c r="Q2071" i="1"/>
  <c r="T2075" i="1"/>
  <c r="T2079" i="1"/>
  <c r="U2081" i="1"/>
  <c r="V2088" i="1"/>
  <c r="U2088" i="1"/>
  <c r="T2088" i="1"/>
  <c r="W2088" i="1"/>
  <c r="T2096" i="1"/>
  <c r="R2105" i="1"/>
  <c r="P2105" i="1"/>
  <c r="Q2113" i="1"/>
  <c r="W2116" i="1"/>
  <c r="V2116" i="1"/>
  <c r="Q2128" i="1"/>
  <c r="U2139" i="1"/>
  <c r="Q2148" i="1"/>
  <c r="P2153" i="1"/>
  <c r="O2155" i="1"/>
  <c r="Q2162" i="1"/>
  <c r="Q2169" i="1"/>
  <c r="Q2186" i="1"/>
  <c r="W2186" i="1"/>
  <c r="V2186" i="1"/>
  <c r="O2202" i="1"/>
  <c r="O2208" i="1"/>
  <c r="V2230" i="1"/>
  <c r="W2230" i="1"/>
  <c r="U2230" i="1"/>
  <c r="T2230" i="1"/>
  <c r="S2282" i="1"/>
  <c r="V2309" i="1"/>
  <c r="R2353" i="1"/>
  <c r="P2353" i="1"/>
  <c r="S2362" i="1"/>
  <c r="W2383" i="1"/>
  <c r="U2383" i="1"/>
  <c r="Q2383" i="1"/>
  <c r="T2383" i="1"/>
  <c r="V2383" i="1"/>
  <c r="W2403" i="1"/>
  <c r="T2403" i="1"/>
  <c r="Q2403" i="1"/>
  <c r="U2403" i="1"/>
  <c r="V2403" i="1"/>
  <c r="P2061" i="1"/>
  <c r="O2065" i="1"/>
  <c r="S2065" i="1"/>
  <c r="U2075" i="1"/>
  <c r="T2090" i="1"/>
  <c r="V2103" i="1"/>
  <c r="U2103" i="1"/>
  <c r="T2103" i="1"/>
  <c r="W2103" i="1"/>
  <c r="R2120" i="1"/>
  <c r="P2120" i="1"/>
  <c r="V2133" i="1"/>
  <c r="U2133" i="1"/>
  <c r="T2133" i="1"/>
  <c r="W2133" i="1"/>
  <c r="T2135" i="1"/>
  <c r="V2139" i="1"/>
  <c r="P2151" i="1"/>
  <c r="P2155" i="1"/>
  <c r="Q2175" i="1"/>
  <c r="W2175" i="1"/>
  <c r="V2175" i="1"/>
  <c r="U2175" i="1"/>
  <c r="P2190" i="1"/>
  <c r="P2202" i="1"/>
  <c r="W2216" i="1"/>
  <c r="O2232" i="1"/>
  <c r="U2257" i="1"/>
  <c r="T2257" i="1"/>
  <c r="W2257" i="1"/>
  <c r="V2257" i="1"/>
  <c r="T2259" i="1"/>
  <c r="V2265" i="1"/>
  <c r="Q2265" i="1"/>
  <c r="R2447" i="1"/>
  <c r="P2447" i="1"/>
  <c r="U1957" i="1"/>
  <c r="U1964" i="1"/>
  <c r="U1971" i="1"/>
  <c r="V1978" i="1"/>
  <c r="V1985" i="1"/>
  <c r="V1992" i="1"/>
  <c r="U1994" i="1"/>
  <c r="O2010" i="1"/>
  <c r="S2010" i="1"/>
  <c r="U2034" i="1"/>
  <c r="V2036" i="1"/>
  <c r="V2053" i="1"/>
  <c r="U2053" i="1"/>
  <c r="T2053" i="1"/>
  <c r="W2053" i="1"/>
  <c r="R2055" i="1"/>
  <c r="P2055" i="1"/>
  <c r="Q2061" i="1"/>
  <c r="T2065" i="1"/>
  <c r="V2075" i="1"/>
  <c r="V2079" i="1"/>
  <c r="U2090" i="1"/>
  <c r="U2094" i="1"/>
  <c r="T2105" i="1"/>
  <c r="U2111" i="1"/>
  <c r="V2118" i="1"/>
  <c r="U2118" i="1"/>
  <c r="T2118" i="1"/>
  <c r="W2118" i="1"/>
  <c r="T2124" i="1"/>
  <c r="U2135" i="1"/>
  <c r="R2144" i="1"/>
  <c r="Q2155" i="1"/>
  <c r="Q2172" i="1"/>
  <c r="W2182" i="1"/>
  <c r="V2182" i="1"/>
  <c r="U2182" i="1"/>
  <c r="U2184" i="1"/>
  <c r="T2184" i="1"/>
  <c r="W2184" i="1"/>
  <c r="Q2190" i="1"/>
  <c r="U2222" i="1"/>
  <c r="T2222" i="1"/>
  <c r="Q2222" i="1"/>
  <c r="W2222" i="1"/>
  <c r="V2222" i="1"/>
  <c r="P2232" i="1"/>
  <c r="U2259" i="1"/>
  <c r="O2403" i="1"/>
  <c r="S2403" i="1"/>
  <c r="W2503" i="1"/>
  <c r="Q2503" i="1"/>
  <c r="V2503" i="1"/>
  <c r="U2503" i="1"/>
  <c r="T2503" i="1"/>
  <c r="V1971" i="1"/>
  <c r="O2055" i="1"/>
  <c r="S2055" i="1"/>
  <c r="U2065" i="1"/>
  <c r="T2071" i="1"/>
  <c r="Q2073" i="1"/>
  <c r="W2075" i="1"/>
  <c r="Q2086" i="1"/>
  <c r="V2090" i="1"/>
  <c r="U2105" i="1"/>
  <c r="W2135" i="1"/>
  <c r="Q2140" i="1"/>
  <c r="V2140" i="1"/>
  <c r="V2200" i="1"/>
  <c r="U2200" i="1"/>
  <c r="T2200" i="1"/>
  <c r="W2200" i="1"/>
  <c r="R2222" i="1"/>
  <c r="P2222" i="1"/>
  <c r="Q2233" i="1"/>
  <c r="W2233" i="1"/>
  <c r="V2233" i="1"/>
  <c r="U2233" i="1"/>
  <c r="Q2249" i="1"/>
  <c r="W2249" i="1"/>
  <c r="V2249" i="1"/>
  <c r="V2259" i="1"/>
  <c r="Q2338" i="1"/>
  <c r="W2343" i="1"/>
  <c r="V2343" i="1"/>
  <c r="U2343" i="1"/>
  <c r="T2343" i="1"/>
  <c r="R2348" i="1"/>
  <c r="P2348" i="1"/>
  <c r="S2353" i="1"/>
  <c r="W2384" i="1"/>
  <c r="U2384" i="1"/>
  <c r="T2384" i="1"/>
  <c r="Q2384" i="1"/>
  <c r="R2388" i="1"/>
  <c r="P2388" i="1"/>
  <c r="S2080" i="1"/>
  <c r="S2085" i="1"/>
  <c r="S2090" i="1"/>
  <c r="S2095" i="1"/>
  <c r="S2100" i="1"/>
  <c r="S2105" i="1"/>
  <c r="S2110" i="1"/>
  <c r="S2115" i="1"/>
  <c r="S2120" i="1"/>
  <c r="S2125" i="1"/>
  <c r="S2130" i="1"/>
  <c r="S2135" i="1"/>
  <c r="S2140" i="1"/>
  <c r="S2145" i="1"/>
  <c r="R2152" i="1"/>
  <c r="R2159" i="1"/>
  <c r="S2173" i="1"/>
  <c r="R2175" i="1"/>
  <c r="S2218" i="1"/>
  <c r="V2225" i="1"/>
  <c r="Q2225" i="1"/>
  <c r="R2233" i="1"/>
  <c r="S2235" i="1"/>
  <c r="Q2237" i="1"/>
  <c r="S2241" i="1"/>
  <c r="R2243" i="1"/>
  <c r="U2277" i="1"/>
  <c r="T2277" i="1"/>
  <c r="W2277" i="1"/>
  <c r="W2395" i="1"/>
  <c r="V2395" i="1"/>
  <c r="T2395" i="1"/>
  <c r="Q2395" i="1"/>
  <c r="O2528" i="1"/>
  <c r="S2528" i="1"/>
  <c r="U2199" i="1"/>
  <c r="T2199" i="1"/>
  <c r="W2207" i="1"/>
  <c r="V2207" i="1"/>
  <c r="W2308" i="1"/>
  <c r="U2308" i="1"/>
  <c r="T2308" i="1"/>
  <c r="Q2308" i="1"/>
  <c r="R2378" i="1"/>
  <c r="P2378" i="1"/>
  <c r="W2387" i="1"/>
  <c r="U2387" i="1"/>
  <c r="Q2387" i="1"/>
  <c r="W2390" i="1"/>
  <c r="V2390" i="1"/>
  <c r="T2390" i="1"/>
  <c r="P2395" i="1"/>
  <c r="R2395" i="1"/>
  <c r="P2398" i="1"/>
  <c r="R2398" i="1"/>
  <c r="T2401" i="1"/>
  <c r="W2401" i="1"/>
  <c r="Q2401" i="1"/>
  <c r="S2455" i="1"/>
  <c r="O2455" i="1"/>
  <c r="T2461" i="1"/>
  <c r="W2461" i="1"/>
  <c r="V2461" i="1"/>
  <c r="U2461" i="1"/>
  <c r="S2559" i="1"/>
  <c r="O2559" i="1"/>
  <c r="U2209" i="1"/>
  <c r="T2209" i="1"/>
  <c r="W2217" i="1"/>
  <c r="V2217" i="1"/>
  <c r="R2223" i="1"/>
  <c r="P2223" i="1"/>
  <c r="R2225" i="1"/>
  <c r="U2267" i="1"/>
  <c r="T2267" i="1"/>
  <c r="P2277" i="1"/>
  <c r="W2318" i="1"/>
  <c r="V2318" i="1"/>
  <c r="U2318" i="1"/>
  <c r="T2318" i="1"/>
  <c r="Q2318" i="1"/>
  <c r="R2323" i="1"/>
  <c r="P2323" i="1"/>
  <c r="U2332" i="1"/>
  <c r="T2332" i="1"/>
  <c r="R2335" i="1"/>
  <c r="P2335" i="1"/>
  <c r="Q2369" i="1"/>
  <c r="W2369" i="1"/>
  <c r="T2369" i="1"/>
  <c r="V2369" i="1"/>
  <c r="U2369" i="1"/>
  <c r="P2478" i="1"/>
  <c r="R2478" i="1"/>
  <c r="P2556" i="1"/>
  <c r="R2556" i="1"/>
  <c r="S2745" i="1"/>
  <c r="O2745" i="1"/>
  <c r="R2995" i="1"/>
  <c r="P2995" i="1"/>
  <c r="R3125" i="1"/>
  <c r="P3125" i="1"/>
  <c r="R2269" i="1"/>
  <c r="R2299" i="1"/>
  <c r="R2318" i="1"/>
  <c r="P2318" i="1"/>
  <c r="S2327" i="1"/>
  <c r="R2332" i="1"/>
  <c r="P2332" i="1"/>
  <c r="Q2364" i="1"/>
  <c r="W2364" i="1"/>
  <c r="T2364" i="1"/>
  <c r="V2364" i="1"/>
  <c r="U2401" i="1"/>
  <c r="R2407" i="1"/>
  <c r="P2407" i="1"/>
  <c r="O2453" i="1"/>
  <c r="S2453" i="1"/>
  <c r="S2475" i="1"/>
  <c r="O2475" i="1"/>
  <c r="T2481" i="1"/>
  <c r="W2481" i="1"/>
  <c r="W2485" i="1"/>
  <c r="U2485" i="1"/>
  <c r="Q2485" i="1"/>
  <c r="T2485" i="1"/>
  <c r="U2501" i="1"/>
  <c r="T2501" i="1"/>
  <c r="V2501" i="1"/>
  <c r="Q2501" i="1"/>
  <c r="R2554" i="1"/>
  <c r="P2554" i="1"/>
  <c r="O2556" i="1"/>
  <c r="S2556" i="1"/>
  <c r="Q2219" i="1"/>
  <c r="W2219" i="1"/>
  <c r="V2219" i="1"/>
  <c r="U2219" i="1"/>
  <c r="T2219" i="1"/>
  <c r="O2221" i="1"/>
  <c r="O2223" i="1"/>
  <c r="O2265" i="1"/>
  <c r="Q2304" i="1"/>
  <c r="U2304" i="1"/>
  <c r="T2304" i="1"/>
  <c r="V2308" i="1"/>
  <c r="Q2313" i="1"/>
  <c r="U2347" i="1"/>
  <c r="T2347" i="1"/>
  <c r="W2347" i="1"/>
  <c r="P2364" i="1"/>
  <c r="R2364" i="1"/>
  <c r="T2387" i="1"/>
  <c r="Q2390" i="1"/>
  <c r="R2393" i="1"/>
  <c r="P2393" i="1"/>
  <c r="V2401" i="1"/>
  <c r="O2407" i="1"/>
  <c r="S2407" i="1"/>
  <c r="O2413" i="1"/>
  <c r="S2413" i="1"/>
  <c r="O2421" i="1"/>
  <c r="O2441" i="1"/>
  <c r="Q2461" i="1"/>
  <c r="W2473" i="1"/>
  <c r="T2473" i="1"/>
  <c r="Q2473" i="1"/>
  <c r="V2473" i="1"/>
  <c r="P2475" i="1"/>
  <c r="S2495" i="1"/>
  <c r="O2495" i="1"/>
  <c r="W2557" i="1"/>
  <c r="V2557" i="1"/>
  <c r="U2557" i="1"/>
  <c r="T2557" i="1"/>
  <c r="Q2557" i="1"/>
  <c r="P2234" i="1"/>
  <c r="R2234" i="1"/>
  <c r="U2297" i="1"/>
  <c r="T2297" i="1"/>
  <c r="W2297" i="1"/>
  <c r="S2316" i="1"/>
  <c r="O2316" i="1"/>
  <c r="W2328" i="1"/>
  <c r="V2328" i="1"/>
  <c r="R2338" i="1"/>
  <c r="P2338" i="1"/>
  <c r="R2384" i="1"/>
  <c r="P2384" i="1"/>
  <c r="W2388" i="1"/>
  <c r="Q2388" i="1"/>
  <c r="U2388" i="1"/>
  <c r="V2388" i="1"/>
  <c r="O2427" i="1"/>
  <c r="S2427" i="1"/>
  <c r="W2439" i="1"/>
  <c r="V2439" i="1"/>
  <c r="O2447" i="1"/>
  <c r="S2447" i="1"/>
  <c r="V2470" i="1"/>
  <c r="U2470" i="1"/>
  <c r="Q2470" i="1"/>
  <c r="R2513" i="1"/>
  <c r="P2513" i="1"/>
  <c r="O2521" i="1"/>
  <c r="S2521" i="1"/>
  <c r="P2625" i="1"/>
  <c r="R2625" i="1"/>
  <c r="W2660" i="1"/>
  <c r="V2660" i="1"/>
  <c r="T2660" i="1"/>
  <c r="Q2660" i="1"/>
  <c r="U2660" i="1"/>
  <c r="V2121" i="1"/>
  <c r="V2126" i="1"/>
  <c r="V2131" i="1"/>
  <c r="V2136" i="1"/>
  <c r="V2141" i="1"/>
  <c r="V2146" i="1"/>
  <c r="V2153" i="1"/>
  <c r="V2160" i="1"/>
  <c r="V2167" i="1"/>
  <c r="W2177" i="1"/>
  <c r="V2177" i="1"/>
  <c r="V2180" i="1"/>
  <c r="U2237" i="1"/>
  <c r="T2237" i="1"/>
  <c r="U2262" i="1"/>
  <c r="T2262" i="1"/>
  <c r="R2298" i="1"/>
  <c r="P2298" i="1"/>
  <c r="U2317" i="1"/>
  <c r="T2317" i="1"/>
  <c r="P2329" i="1"/>
  <c r="R2329" i="1"/>
  <c r="O2423" i="1"/>
  <c r="S2423" i="1"/>
  <c r="T2439" i="1"/>
  <c r="O2457" i="1"/>
  <c r="S2457" i="1"/>
  <c r="O2463" i="1"/>
  <c r="S2463" i="1"/>
  <c r="W2491" i="1"/>
  <c r="V2491" i="1"/>
  <c r="T2491" i="1"/>
  <c r="Q2491" i="1"/>
  <c r="O2697" i="1"/>
  <c r="S2697" i="1"/>
  <c r="O2222" i="1"/>
  <c r="V2260" i="1"/>
  <c r="Q2260" i="1"/>
  <c r="U2287" i="1"/>
  <c r="T2287" i="1"/>
  <c r="R2368" i="1"/>
  <c r="P2368" i="1"/>
  <c r="T2386" i="1"/>
  <c r="W2386" i="1"/>
  <c r="Q2386" i="1"/>
  <c r="V2392" i="1"/>
  <c r="U2392" i="1"/>
  <c r="T2392" i="1"/>
  <c r="V2420" i="1"/>
  <c r="U2420" i="1"/>
  <c r="Q2420" i="1"/>
  <c r="T2420" i="1"/>
  <c r="R2437" i="1"/>
  <c r="P2437" i="1"/>
  <c r="U2439" i="1"/>
  <c r="Q2452" i="1"/>
  <c r="T2452" i="1"/>
  <c r="W2452" i="1"/>
  <c r="S2483" i="1"/>
  <c r="O2483" i="1"/>
  <c r="O2503" i="1"/>
  <c r="S2503" i="1"/>
  <c r="U2506" i="1"/>
  <c r="W2506" i="1"/>
  <c r="T2506" i="1"/>
  <c r="P2166" i="1"/>
  <c r="U2179" i="1"/>
  <c r="T2179" i="1"/>
  <c r="W2187" i="1"/>
  <c r="V2187" i="1"/>
  <c r="O2214" i="1"/>
  <c r="R2216" i="1"/>
  <c r="R2260" i="1"/>
  <c r="P2260" i="1"/>
  <c r="Q2279" i="1"/>
  <c r="W2279" i="1"/>
  <c r="R2283" i="1"/>
  <c r="P2283" i="1"/>
  <c r="R2303" i="1"/>
  <c r="P2303" i="1"/>
  <c r="Q2344" i="1"/>
  <c r="W2344" i="1"/>
  <c r="Q2349" i="1"/>
  <c r="W2349" i="1"/>
  <c r="T2349" i="1"/>
  <c r="W2429" i="1"/>
  <c r="V2429" i="1"/>
  <c r="T2429" i="1"/>
  <c r="V2440" i="1"/>
  <c r="U2440" i="1"/>
  <c r="Q2440" i="1"/>
  <c r="W2440" i="1"/>
  <c r="T2440" i="1"/>
  <c r="O2471" i="1"/>
  <c r="R2477" i="1"/>
  <c r="P2477" i="1"/>
  <c r="P2497" i="1"/>
  <c r="R2497" i="1"/>
  <c r="P2506" i="1"/>
  <c r="R2506" i="1"/>
  <c r="S2525" i="1"/>
  <c r="O2525" i="1"/>
  <c r="O2536" i="1"/>
  <c r="S2536" i="1"/>
  <c r="P2214" i="1"/>
  <c r="U2258" i="1"/>
  <c r="T2258" i="1"/>
  <c r="Q2262" i="1"/>
  <c r="O2287" i="1"/>
  <c r="S2287" i="1"/>
  <c r="P2294" i="1"/>
  <c r="R2294" i="1"/>
  <c r="S2307" i="1"/>
  <c r="P2317" i="1"/>
  <c r="U2322" i="1"/>
  <c r="T2322" i="1"/>
  <c r="W2322" i="1"/>
  <c r="V2322" i="1"/>
  <c r="R2334" i="1"/>
  <c r="R2339" i="1"/>
  <c r="O2351" i="1"/>
  <c r="Q2354" i="1"/>
  <c r="W2354" i="1"/>
  <c r="T2354" i="1"/>
  <c r="V2354" i="1"/>
  <c r="O2356" i="1"/>
  <c r="S2358" i="1"/>
  <c r="R2426" i="1"/>
  <c r="P2426" i="1"/>
  <c r="S2437" i="1"/>
  <c r="O2443" i="1"/>
  <c r="S2443" i="1"/>
  <c r="R2466" i="1"/>
  <c r="P2466" i="1"/>
  <c r="R2491" i="1"/>
  <c r="U2189" i="1"/>
  <c r="T2189" i="1"/>
  <c r="W2197" i="1"/>
  <c r="V2197" i="1"/>
  <c r="P2237" i="1"/>
  <c r="U2252" i="1"/>
  <c r="T2252" i="1"/>
  <c r="Q2254" i="1"/>
  <c r="W2254" i="1"/>
  <c r="V2254" i="1"/>
  <c r="O2260" i="1"/>
  <c r="W2273" i="1"/>
  <c r="V2273" i="1"/>
  <c r="V2275" i="1"/>
  <c r="W2275" i="1"/>
  <c r="P2287" i="1"/>
  <c r="O2312" i="1"/>
  <c r="S2312" i="1"/>
  <c r="Q2317" i="1"/>
  <c r="R2322" i="1"/>
  <c r="P2322" i="1"/>
  <c r="P2354" i="1"/>
  <c r="R2354" i="1"/>
  <c r="O2363" i="1"/>
  <c r="S2363" i="1"/>
  <c r="S2368" i="1"/>
  <c r="R2373" i="1"/>
  <c r="P2373" i="1"/>
  <c r="O2382" i="1"/>
  <c r="S2382" i="1"/>
  <c r="U2386" i="1"/>
  <c r="Q2432" i="1"/>
  <c r="T2432" i="1"/>
  <c r="W2432" i="1"/>
  <c r="U2432" i="1"/>
  <c r="W2469" i="1"/>
  <c r="V2469" i="1"/>
  <c r="T2469" i="1"/>
  <c r="Q2469" i="1"/>
  <c r="Q2472" i="1"/>
  <c r="T2472" i="1"/>
  <c r="U2472" i="1"/>
  <c r="W2487" i="1"/>
  <c r="V2487" i="1"/>
  <c r="T2487" i="1"/>
  <c r="Q2487" i="1"/>
  <c r="U2491" i="1"/>
  <c r="Q2506" i="1"/>
  <c r="O2547" i="1"/>
  <c r="S2547" i="1"/>
  <c r="V2410" i="1"/>
  <c r="U2410" i="1"/>
  <c r="Q2410" i="1"/>
  <c r="V2460" i="1"/>
  <c r="U2460" i="1"/>
  <c r="Q2460" i="1"/>
  <c r="O2473" i="1"/>
  <c r="S2473" i="1"/>
  <c r="Q2484" i="1"/>
  <c r="W2484" i="1"/>
  <c r="U2484" i="1"/>
  <c r="T2484" i="1"/>
  <c r="O2491" i="1"/>
  <c r="S2491" i="1"/>
  <c r="U2516" i="1"/>
  <c r="W2516" i="1"/>
  <c r="T2516" i="1"/>
  <c r="R2624" i="1"/>
  <c r="P2624" i="1"/>
  <c r="T2664" i="1"/>
  <c r="W2664" i="1"/>
  <c r="V2664" i="1"/>
  <c r="U2664" i="1"/>
  <c r="Q2664" i="1"/>
  <c r="S2850" i="1"/>
  <c r="O2850" i="1"/>
  <c r="U2362" i="1"/>
  <c r="T2362" i="1"/>
  <c r="W2413" i="1"/>
  <c r="T2413" i="1"/>
  <c r="Q2413" i="1"/>
  <c r="S2415" i="1"/>
  <c r="O2415" i="1"/>
  <c r="W2463" i="1"/>
  <c r="T2463" i="1"/>
  <c r="Q2463" i="1"/>
  <c r="S2465" i="1"/>
  <c r="O2465" i="1"/>
  <c r="P2484" i="1"/>
  <c r="R2484" i="1"/>
  <c r="S2508" i="1"/>
  <c r="O2532" i="1"/>
  <c r="S2532" i="1"/>
  <c r="U2551" i="1"/>
  <c r="T2551" i="1"/>
  <c r="V2551" i="1"/>
  <c r="Q2551" i="1"/>
  <c r="O2812" i="1"/>
  <c r="S2812" i="1"/>
  <c r="S2833" i="1"/>
  <c r="O2833" i="1"/>
  <c r="Q2339" i="1"/>
  <c r="W2339" i="1"/>
  <c r="R2343" i="1"/>
  <c r="P2343" i="1"/>
  <c r="R2358" i="1"/>
  <c r="P2358" i="1"/>
  <c r="S2377" i="1"/>
  <c r="W2382" i="1"/>
  <c r="V2382" i="1"/>
  <c r="T2382" i="1"/>
  <c r="Q2382" i="1"/>
  <c r="T2385" i="1"/>
  <c r="Q2385" i="1"/>
  <c r="S2390" i="1"/>
  <c r="O2390" i="1"/>
  <c r="V2400" i="1"/>
  <c r="U2400" i="1"/>
  <c r="Q2400" i="1"/>
  <c r="V2450" i="1"/>
  <c r="U2450" i="1"/>
  <c r="Q2450" i="1"/>
  <c r="T2471" i="1"/>
  <c r="W2471" i="1"/>
  <c r="W2479" i="1"/>
  <c r="V2479" i="1"/>
  <c r="V2484" i="1"/>
  <c r="R2494" i="1"/>
  <c r="S2533" i="1"/>
  <c r="O2533" i="1"/>
  <c r="W2551" i="1"/>
  <c r="Q2598" i="1"/>
  <c r="W2598" i="1"/>
  <c r="U2598" i="1"/>
  <c r="T2598" i="1"/>
  <c r="V2598" i="1"/>
  <c r="R2308" i="1"/>
  <c r="P2308" i="1"/>
  <c r="U2312" i="1"/>
  <c r="T2312" i="1"/>
  <c r="U2352" i="1"/>
  <c r="T2352" i="1"/>
  <c r="Q2374" i="1"/>
  <c r="W2374" i="1"/>
  <c r="T2374" i="1"/>
  <c r="V2385" i="1"/>
  <c r="T2400" i="1"/>
  <c r="W2443" i="1"/>
  <c r="T2443" i="1"/>
  <c r="Q2443" i="1"/>
  <c r="S2445" i="1"/>
  <c r="O2445" i="1"/>
  <c r="T2450" i="1"/>
  <c r="U2471" i="1"/>
  <c r="Q2479" i="1"/>
  <c r="W2482" i="1"/>
  <c r="U2482" i="1"/>
  <c r="Q2482" i="1"/>
  <c r="P2542" i="1"/>
  <c r="R2542" i="1"/>
  <c r="P2553" i="1"/>
  <c r="R2553" i="1"/>
  <c r="S2639" i="1"/>
  <c r="O2639" i="1"/>
  <c r="T2729" i="1"/>
  <c r="Q2729" i="1"/>
  <c r="U2729" i="1"/>
  <c r="W2729" i="1"/>
  <c r="V2729" i="1"/>
  <c r="Q2329" i="1"/>
  <c r="W2329" i="1"/>
  <c r="R2333" i="1"/>
  <c r="P2333" i="1"/>
  <c r="T2339" i="1"/>
  <c r="R2363" i="1"/>
  <c r="P2363" i="1"/>
  <c r="U2382" i="1"/>
  <c r="W2385" i="1"/>
  <c r="W2400" i="1"/>
  <c r="R2406" i="1"/>
  <c r="P2406" i="1"/>
  <c r="W2409" i="1"/>
  <c r="V2409" i="1"/>
  <c r="Q2422" i="1"/>
  <c r="T2422" i="1"/>
  <c r="R2427" i="1"/>
  <c r="P2427" i="1"/>
  <c r="W2450" i="1"/>
  <c r="R2456" i="1"/>
  <c r="P2456" i="1"/>
  <c r="W2459" i="1"/>
  <c r="V2459" i="1"/>
  <c r="V2471" i="1"/>
  <c r="R2528" i="1"/>
  <c r="P2528" i="1"/>
  <c r="S2534" i="1"/>
  <c r="O2534" i="1"/>
  <c r="W2537" i="1"/>
  <c r="U2537" i="1"/>
  <c r="T2537" i="1"/>
  <c r="Q2537" i="1"/>
  <c r="V2606" i="1"/>
  <c r="U2606" i="1"/>
  <c r="T2606" i="1"/>
  <c r="Q2606" i="1"/>
  <c r="W2606" i="1"/>
  <c r="S2650" i="1"/>
  <c r="O2650" i="1"/>
  <c r="S2689" i="1"/>
  <c r="O2689" i="1"/>
  <c r="R2304" i="1"/>
  <c r="P2312" i="1"/>
  <c r="S2322" i="1"/>
  <c r="Q2333" i="1"/>
  <c r="V2339" i="1"/>
  <c r="P2352" i="1"/>
  <c r="S2367" i="1"/>
  <c r="S2393" i="1"/>
  <c r="U2396" i="1"/>
  <c r="Q2396" i="1"/>
  <c r="V2430" i="1"/>
  <c r="U2430" i="1"/>
  <c r="Q2430" i="1"/>
  <c r="T2479" i="1"/>
  <c r="T2482" i="1"/>
  <c r="P2498" i="1"/>
  <c r="R2501" i="1"/>
  <c r="P2501" i="1"/>
  <c r="W2507" i="1"/>
  <c r="Q2507" i="1"/>
  <c r="U2507" i="1"/>
  <c r="V2596" i="1"/>
  <c r="U2596" i="1"/>
  <c r="T2596" i="1"/>
  <c r="Q2596" i="1"/>
  <c r="W2596" i="1"/>
  <c r="O2599" i="1"/>
  <c r="S2599" i="1"/>
  <c r="U2227" i="1"/>
  <c r="T2227" i="1"/>
  <c r="R2288" i="1"/>
  <c r="P2288" i="1"/>
  <c r="U2292" i="1"/>
  <c r="T2292" i="1"/>
  <c r="O2298" i="1"/>
  <c r="P2300" i="1"/>
  <c r="Q2312" i="1"/>
  <c r="O2331" i="1"/>
  <c r="S2337" i="1"/>
  <c r="Q2348" i="1"/>
  <c r="Q2352" i="1"/>
  <c r="O2361" i="1"/>
  <c r="U2372" i="1"/>
  <c r="T2372" i="1"/>
  <c r="R2374" i="1"/>
  <c r="P2391" i="1"/>
  <c r="R2396" i="1"/>
  <c r="P2396" i="1"/>
  <c r="W2433" i="1"/>
  <c r="T2433" i="1"/>
  <c r="Q2433" i="1"/>
  <c r="S2435" i="1"/>
  <c r="O2435" i="1"/>
  <c r="U2479" i="1"/>
  <c r="V2482" i="1"/>
  <c r="W2518" i="1"/>
  <c r="Q2518" i="1"/>
  <c r="U2518" i="1"/>
  <c r="T2518" i="1"/>
  <c r="P2577" i="1"/>
  <c r="R2577" i="1"/>
  <c r="P2596" i="1"/>
  <c r="R2596" i="1"/>
  <c r="U2272" i="1"/>
  <c r="T2272" i="1"/>
  <c r="Q2298" i="1"/>
  <c r="P2302" i="1"/>
  <c r="U2327" i="1"/>
  <c r="T2327" i="1"/>
  <c r="T2333" i="1"/>
  <c r="O2346" i="1"/>
  <c r="S2348" i="1"/>
  <c r="P2383" i="1"/>
  <c r="O2386" i="1"/>
  <c r="W2399" i="1"/>
  <c r="V2399" i="1"/>
  <c r="O2401" i="1"/>
  <c r="Q2412" i="1"/>
  <c r="T2412" i="1"/>
  <c r="R2417" i="1"/>
  <c r="P2417" i="1"/>
  <c r="U2422" i="1"/>
  <c r="P2435" i="1"/>
  <c r="R2438" i="1"/>
  <c r="U2443" i="1"/>
  <c r="R2446" i="1"/>
  <c r="P2446" i="1"/>
  <c r="W2449" i="1"/>
  <c r="V2449" i="1"/>
  <c r="O2451" i="1"/>
  <c r="Q2462" i="1"/>
  <c r="T2462" i="1"/>
  <c r="R2467" i="1"/>
  <c r="P2467" i="1"/>
  <c r="V2480" i="1"/>
  <c r="U2480" i="1"/>
  <c r="Q2480" i="1"/>
  <c r="W2483" i="1"/>
  <c r="Q2483" i="1"/>
  <c r="V2483" i="1"/>
  <c r="U2483" i="1"/>
  <c r="S2515" i="1"/>
  <c r="O2515" i="1"/>
  <c r="V2537" i="1"/>
  <c r="V2566" i="1"/>
  <c r="U2566" i="1"/>
  <c r="W2566" i="1"/>
  <c r="T2566" i="1"/>
  <c r="Q2566" i="1"/>
  <c r="S2577" i="1"/>
  <c r="O2577" i="1"/>
  <c r="U2242" i="1"/>
  <c r="T2242" i="1"/>
  <c r="P2262" i="1"/>
  <c r="R2264" i="1"/>
  <c r="O2270" i="1"/>
  <c r="U2282" i="1"/>
  <c r="T2282" i="1"/>
  <c r="V2312" i="1"/>
  <c r="U2333" i="1"/>
  <c r="U2342" i="1"/>
  <c r="T2342" i="1"/>
  <c r="R2344" i="1"/>
  <c r="T2348" i="1"/>
  <c r="V2352" i="1"/>
  <c r="U2357" i="1"/>
  <c r="T2357" i="1"/>
  <c r="R2359" i="1"/>
  <c r="U2374" i="1"/>
  <c r="Q2379" i="1"/>
  <c r="W2379" i="1"/>
  <c r="V2379" i="1"/>
  <c r="T2379" i="1"/>
  <c r="Q2409" i="1"/>
  <c r="V2422" i="1"/>
  <c r="O2433" i="1"/>
  <c r="S2433" i="1"/>
  <c r="T2441" i="1"/>
  <c r="W2441" i="1"/>
  <c r="V2443" i="1"/>
  <c r="Q2459" i="1"/>
  <c r="T2496" i="1"/>
  <c r="U2496" i="1"/>
  <c r="Q2496" i="1"/>
  <c r="S2540" i="1"/>
  <c r="O2540" i="1"/>
  <c r="R2564" i="1"/>
  <c r="P2564" i="1"/>
  <c r="P2566" i="1"/>
  <c r="R2566" i="1"/>
  <c r="S2588" i="1"/>
  <c r="S2624" i="1"/>
  <c r="O2624" i="1"/>
  <c r="R2664" i="1"/>
  <c r="P2664" i="1"/>
  <c r="P2675" i="1"/>
  <c r="R2675" i="1"/>
  <c r="W2691" i="1"/>
  <c r="V2691" i="1"/>
  <c r="U2691" i="1"/>
  <c r="T2691" i="1"/>
  <c r="Q2691" i="1"/>
  <c r="W2850" i="1"/>
  <c r="V2850" i="1"/>
  <c r="U2850" i="1"/>
  <c r="T2850" i="1"/>
  <c r="Q2850" i="1"/>
  <c r="P2855" i="1"/>
  <c r="R2855" i="1"/>
  <c r="O2864" i="1"/>
  <c r="S2864" i="1"/>
  <c r="W2497" i="1"/>
  <c r="U2497" i="1"/>
  <c r="T2497" i="1"/>
  <c r="W2502" i="1"/>
  <c r="Q2502" i="1"/>
  <c r="P2532" i="1"/>
  <c r="R2532" i="1"/>
  <c r="R2638" i="1"/>
  <c r="P2638" i="1"/>
  <c r="R2652" i="1"/>
  <c r="P2652" i="1"/>
  <c r="P2691" i="1"/>
  <c r="R2691" i="1"/>
  <c r="S3114" i="1"/>
  <c r="O3114" i="1"/>
  <c r="R2482" i="1"/>
  <c r="P2482" i="1"/>
  <c r="W2512" i="1"/>
  <c r="U2512" i="1"/>
  <c r="Q2512" i="1"/>
  <c r="W2517" i="1"/>
  <c r="Q2517" i="1"/>
  <c r="U2649" i="1"/>
  <c r="T2649" i="1"/>
  <c r="Q2649" i="1"/>
  <c r="V2649" i="1"/>
  <c r="W2649" i="1"/>
  <c r="S2725" i="1"/>
  <c r="O2725" i="1"/>
  <c r="O2809" i="1"/>
  <c r="S2809" i="1"/>
  <c r="P2892" i="1"/>
  <c r="R2892" i="1"/>
  <c r="S2897" i="1"/>
  <c r="O2897" i="1"/>
  <c r="W2943" i="1"/>
  <c r="V2943" i="1"/>
  <c r="Q2943" i="1"/>
  <c r="U2943" i="1"/>
  <c r="T2943" i="1"/>
  <c r="S3125" i="1"/>
  <c r="O3125" i="1"/>
  <c r="P3143" i="1"/>
  <c r="R3143" i="1"/>
  <c r="O2406" i="1"/>
  <c r="O2416" i="1"/>
  <c r="O2426" i="1"/>
  <c r="O2436" i="1"/>
  <c r="O2446" i="1"/>
  <c r="O2456" i="1"/>
  <c r="O2466" i="1"/>
  <c r="O2476" i="1"/>
  <c r="O2482" i="1"/>
  <c r="S2482" i="1"/>
  <c r="T2495" i="1"/>
  <c r="V2495" i="1"/>
  <c r="U2495" i="1"/>
  <c r="Q2495" i="1"/>
  <c r="S2502" i="1"/>
  <c r="S2535" i="1"/>
  <c r="O2535" i="1"/>
  <c r="P2548" i="1"/>
  <c r="R2548" i="1"/>
  <c r="P2644" i="1"/>
  <c r="R2644" i="1"/>
  <c r="W2688" i="1"/>
  <c r="T2688" i="1"/>
  <c r="U2688" i="1"/>
  <c r="V2688" i="1"/>
  <c r="Q2688" i="1"/>
  <c r="S2708" i="1"/>
  <c r="O2708" i="1"/>
  <c r="P2748" i="1"/>
  <c r="R2748" i="1"/>
  <c r="O2783" i="1"/>
  <c r="S2383" i="1"/>
  <c r="P2387" i="1"/>
  <c r="Q2398" i="1"/>
  <c r="O2400" i="1"/>
  <c r="P2402" i="1"/>
  <c r="Q2408" i="1"/>
  <c r="O2410" i="1"/>
  <c r="P2412" i="1"/>
  <c r="Q2418" i="1"/>
  <c r="O2420" i="1"/>
  <c r="P2422" i="1"/>
  <c r="Q2428" i="1"/>
  <c r="O2430" i="1"/>
  <c r="P2432" i="1"/>
  <c r="Q2438" i="1"/>
  <c r="O2440" i="1"/>
  <c r="P2442" i="1"/>
  <c r="Q2448" i="1"/>
  <c r="O2450" i="1"/>
  <c r="P2452" i="1"/>
  <c r="Q2458" i="1"/>
  <c r="O2460" i="1"/>
  <c r="P2462" i="1"/>
  <c r="O2470" i="1"/>
  <c r="P2472" i="1"/>
  <c r="W2493" i="1"/>
  <c r="V2493" i="1"/>
  <c r="U2493" i="1"/>
  <c r="T2500" i="1"/>
  <c r="Q2500" i="1"/>
  <c r="R2608" i="1"/>
  <c r="P2608" i="1"/>
  <c r="S2635" i="1"/>
  <c r="O2635" i="1"/>
  <c r="S2755" i="1"/>
  <c r="O2755" i="1"/>
  <c r="S2398" i="1"/>
  <c r="S2408" i="1"/>
  <c r="S2418" i="1"/>
  <c r="S2428" i="1"/>
  <c r="S2438" i="1"/>
  <c r="S2448" i="1"/>
  <c r="S2458" i="1"/>
  <c r="S2468" i="1"/>
  <c r="S2478" i="1"/>
  <c r="S2505" i="1"/>
  <c r="O2505" i="1"/>
  <c r="T2510" i="1"/>
  <c r="U2510" i="1"/>
  <c r="T2517" i="1"/>
  <c r="T2520" i="1"/>
  <c r="W2520" i="1"/>
  <c r="U2520" i="1"/>
  <c r="U2556" i="1"/>
  <c r="T2556" i="1"/>
  <c r="W2556" i="1"/>
  <c r="V2556" i="1"/>
  <c r="Q2556" i="1"/>
  <c r="W2577" i="1"/>
  <c r="V2577" i="1"/>
  <c r="Q2577" i="1"/>
  <c r="U2577" i="1"/>
  <c r="T2577" i="1"/>
  <c r="S2661" i="1"/>
  <c r="O2661" i="1"/>
  <c r="O2609" i="1"/>
  <c r="S2609" i="1"/>
  <c r="S2685" i="1"/>
  <c r="O2685" i="1"/>
  <c r="P2704" i="1"/>
  <c r="R2704" i="1"/>
  <c r="O2797" i="1"/>
  <c r="S2797" i="1"/>
  <c r="S2846" i="1"/>
  <c r="O2846" i="1"/>
  <c r="T2887" i="1"/>
  <c r="Q2887" i="1"/>
  <c r="W2887" i="1"/>
  <c r="V2887" i="1"/>
  <c r="U2887" i="1"/>
  <c r="U2389" i="1"/>
  <c r="V2405" i="1"/>
  <c r="U2405" i="1"/>
  <c r="V2415" i="1"/>
  <c r="U2415" i="1"/>
  <c r="V2425" i="1"/>
  <c r="U2425" i="1"/>
  <c r="V2435" i="1"/>
  <c r="U2435" i="1"/>
  <c r="V2445" i="1"/>
  <c r="U2445" i="1"/>
  <c r="V2455" i="1"/>
  <c r="U2455" i="1"/>
  <c r="V2465" i="1"/>
  <c r="U2465" i="1"/>
  <c r="V2475" i="1"/>
  <c r="U2475" i="1"/>
  <c r="T2493" i="1"/>
  <c r="Q2498" i="1"/>
  <c r="W2500" i="1"/>
  <c r="W2505" i="1"/>
  <c r="Q2567" i="1"/>
  <c r="W2567" i="1"/>
  <c r="U2567" i="1"/>
  <c r="T2567" i="1"/>
  <c r="W2612" i="1"/>
  <c r="V2612" i="1"/>
  <c r="T2612" i="1"/>
  <c r="Q2612" i="1"/>
  <c r="S2739" i="1"/>
  <c r="O2739" i="1"/>
  <c r="R2695" i="1"/>
  <c r="P2695" i="1"/>
  <c r="Q2730" i="1"/>
  <c r="U2730" i="1"/>
  <c r="T2730" i="1"/>
  <c r="V2730" i="1"/>
  <c r="W2730" i="1"/>
  <c r="W2562" i="1"/>
  <c r="V2562" i="1"/>
  <c r="Q2562" i="1"/>
  <c r="W2623" i="1"/>
  <c r="V2623" i="1"/>
  <c r="U2623" i="1"/>
  <c r="Q2623" i="1"/>
  <c r="T2623" i="1"/>
  <c r="P2386" i="1"/>
  <c r="U2393" i="1"/>
  <c r="P2401" i="1"/>
  <c r="P2411" i="1"/>
  <c r="P2421" i="1"/>
  <c r="P2431" i="1"/>
  <c r="P2441" i="1"/>
  <c r="P2451" i="1"/>
  <c r="P2461" i="1"/>
  <c r="P2471" i="1"/>
  <c r="P2481" i="1"/>
  <c r="V2498" i="1"/>
  <c r="O2501" i="1"/>
  <c r="S2501" i="1"/>
  <c r="U2511" i="1"/>
  <c r="Q2511" i="1"/>
  <c r="W2515" i="1"/>
  <c r="U2526" i="1"/>
  <c r="V2526" i="1"/>
  <c r="Q2526" i="1"/>
  <c r="R2536" i="1"/>
  <c r="P2552" i="1"/>
  <c r="R2552" i="1"/>
  <c r="P2584" i="1"/>
  <c r="R2584" i="1"/>
  <c r="S2594" i="1"/>
  <c r="Q2618" i="1"/>
  <c r="W2618" i="1"/>
  <c r="V2618" i="1"/>
  <c r="T2618" i="1"/>
  <c r="W2663" i="1"/>
  <c r="Q2663" i="1"/>
  <c r="V2663" i="1"/>
  <c r="U2663" i="1"/>
  <c r="T2663" i="1"/>
  <c r="R2686" i="1"/>
  <c r="P2686" i="1"/>
  <c r="S2730" i="1"/>
  <c r="O2730" i="1"/>
  <c r="V2579" i="1"/>
  <c r="U2579" i="1"/>
  <c r="Q2579" i="1"/>
  <c r="W2579" i="1"/>
  <c r="T2579" i="1"/>
  <c r="R2589" i="1"/>
  <c r="P2589" i="1"/>
  <c r="R3065" i="1"/>
  <c r="P3065" i="1"/>
  <c r="W3147" i="1"/>
  <c r="V3147" i="1"/>
  <c r="U3147" i="1"/>
  <c r="T3147" i="1"/>
  <c r="Q3147" i="1"/>
  <c r="Q2405" i="1"/>
  <c r="T2407" i="1"/>
  <c r="Q2415" i="1"/>
  <c r="T2417" i="1"/>
  <c r="Q2425" i="1"/>
  <c r="T2427" i="1"/>
  <c r="Q2435" i="1"/>
  <c r="T2437" i="1"/>
  <c r="Q2445" i="1"/>
  <c r="T2447" i="1"/>
  <c r="Q2455" i="1"/>
  <c r="T2457" i="1"/>
  <c r="Q2465" i="1"/>
  <c r="T2467" i="1"/>
  <c r="Q2475" i="1"/>
  <c r="T2477" i="1"/>
  <c r="W2492" i="1"/>
  <c r="V2492" i="1"/>
  <c r="R2499" i="1"/>
  <c r="P2499" i="1"/>
  <c r="W2547" i="1"/>
  <c r="Q2547" i="1"/>
  <c r="V2567" i="1"/>
  <c r="O2604" i="1"/>
  <c r="S2604" i="1"/>
  <c r="S2724" i="1"/>
  <c r="U2407" i="1"/>
  <c r="U2417" i="1"/>
  <c r="U2427" i="1"/>
  <c r="U2437" i="1"/>
  <c r="U2447" i="1"/>
  <c r="U2457" i="1"/>
  <c r="U2467" i="1"/>
  <c r="U2477" i="1"/>
  <c r="S2504" i="1"/>
  <c r="O2504" i="1"/>
  <c r="O2537" i="1"/>
  <c r="S2537" i="1"/>
  <c r="P2547" i="1"/>
  <c r="R2547" i="1"/>
  <c r="O2579" i="1"/>
  <c r="S2579" i="1"/>
  <c r="W2610" i="1"/>
  <c r="V2610" i="1"/>
  <c r="U2610" i="1"/>
  <c r="Q2610" i="1"/>
  <c r="T2610" i="1"/>
  <c r="T2624" i="1"/>
  <c r="W2624" i="1"/>
  <c r="Q2624" i="1"/>
  <c r="V2624" i="1"/>
  <c r="U2624" i="1"/>
  <c r="P2681" i="1"/>
  <c r="R2681" i="1"/>
  <c r="U2536" i="1"/>
  <c r="T2536" i="1"/>
  <c r="R2593" i="1"/>
  <c r="P2593" i="1"/>
  <c r="W2686" i="1"/>
  <c r="U2686" i="1"/>
  <c r="T2686" i="1"/>
  <c r="Q2686" i="1"/>
  <c r="V2686" i="1"/>
  <c r="P2709" i="1"/>
  <c r="R2709" i="1"/>
  <c r="R2743" i="1"/>
  <c r="P2743" i="1"/>
  <c r="T2770" i="1"/>
  <c r="Q2770" i="1"/>
  <c r="V2770" i="1"/>
  <c r="U2770" i="1"/>
  <c r="R2801" i="1"/>
  <c r="P2801" i="1"/>
  <c r="P2850" i="1"/>
  <c r="R2850" i="1"/>
  <c r="R2858" i="1"/>
  <c r="P2858" i="1"/>
  <c r="Q3054" i="1"/>
  <c r="T3054" i="1"/>
  <c r="W3054" i="1"/>
  <c r="V3054" i="1"/>
  <c r="S3124" i="1"/>
  <c r="O3124" i="1"/>
  <c r="R2660" i="1"/>
  <c r="P2660" i="1"/>
  <c r="S2695" i="1"/>
  <c r="O2695" i="1"/>
  <c r="W2701" i="1"/>
  <c r="T2701" i="1"/>
  <c r="R2738" i="1"/>
  <c r="P2738" i="1"/>
  <c r="W2770" i="1"/>
  <c r="R2943" i="1"/>
  <c r="P2943" i="1"/>
  <c r="W2958" i="1"/>
  <c r="V2958" i="1"/>
  <c r="U2958" i="1"/>
  <c r="T2958" i="1"/>
  <c r="Q2958" i="1"/>
  <c r="T2961" i="1"/>
  <c r="Q2961" i="1"/>
  <c r="W2961" i="1"/>
  <c r="V2961" i="1"/>
  <c r="U2961" i="1"/>
  <c r="S3143" i="1"/>
  <c r="O3143" i="1"/>
  <c r="S2660" i="1"/>
  <c r="O2660" i="1"/>
  <c r="W2766" i="1"/>
  <c r="U2766" i="1"/>
  <c r="V2766" i="1"/>
  <c r="T2766" i="1"/>
  <c r="W2771" i="1"/>
  <c r="U2771" i="1"/>
  <c r="T2771" i="1"/>
  <c r="V2771" i="1"/>
  <c r="Q2771" i="1"/>
  <c r="O2802" i="1"/>
  <c r="S2802" i="1"/>
  <c r="R2831" i="1"/>
  <c r="P2831" i="1"/>
  <c r="S2883" i="1"/>
  <c r="O2883" i="1"/>
  <c r="V2982" i="1"/>
  <c r="U2982" i="1"/>
  <c r="Q2982" i="1"/>
  <c r="W2982" i="1"/>
  <c r="T2982" i="1"/>
  <c r="O2524" i="1"/>
  <c r="O2530" i="1"/>
  <c r="V2536" i="1"/>
  <c r="V2574" i="1"/>
  <c r="U2574" i="1"/>
  <c r="Q2574" i="1"/>
  <c r="W2574" i="1"/>
  <c r="S2591" i="1"/>
  <c r="O2591" i="1"/>
  <c r="W2594" i="1"/>
  <c r="V2594" i="1"/>
  <c r="Q2594" i="1"/>
  <c r="V2601" i="1"/>
  <c r="U2601" i="1"/>
  <c r="W2601" i="1"/>
  <c r="R2658" i="1"/>
  <c r="P2658" i="1"/>
  <c r="W2733" i="1"/>
  <c r="U2733" i="1"/>
  <c r="T2733" i="1"/>
  <c r="Q2733" i="1"/>
  <c r="V2733" i="1"/>
  <c r="W2756" i="1"/>
  <c r="U2756" i="1"/>
  <c r="T2756" i="1"/>
  <c r="Q2756" i="1"/>
  <c r="V2756" i="1"/>
  <c r="S2759" i="1"/>
  <c r="O2759" i="1"/>
  <c r="R2771" i="1"/>
  <c r="P2771" i="1"/>
  <c r="S2825" i="1"/>
  <c r="O2825" i="1"/>
  <c r="W2828" i="1"/>
  <c r="V2828" i="1"/>
  <c r="U2828" i="1"/>
  <c r="T2828" i="1"/>
  <c r="Q2828" i="1"/>
  <c r="W2890" i="1"/>
  <c r="U2890" i="1"/>
  <c r="T2890" i="1"/>
  <c r="Q2890" i="1"/>
  <c r="W2938" i="1"/>
  <c r="V2938" i="1"/>
  <c r="Q2938" i="1"/>
  <c r="T2938" i="1"/>
  <c r="S2946" i="1"/>
  <c r="O2946" i="1"/>
  <c r="O2510" i="1"/>
  <c r="O2520" i="1"/>
  <c r="W2536" i="1"/>
  <c r="U2541" i="1"/>
  <c r="T2541" i="1"/>
  <c r="O2545" i="1"/>
  <c r="O2571" i="1"/>
  <c r="W2589" i="1"/>
  <c r="V2589" i="1"/>
  <c r="T2589" i="1"/>
  <c r="Q2608" i="1"/>
  <c r="W2608" i="1"/>
  <c r="U2608" i="1"/>
  <c r="T2608" i="1"/>
  <c r="S2658" i="1"/>
  <c r="O2658" i="1"/>
  <c r="R2661" i="1"/>
  <c r="P2661" i="1"/>
  <c r="W2676" i="1"/>
  <c r="Q2676" i="1"/>
  <c r="V2676" i="1"/>
  <c r="U2676" i="1"/>
  <c r="Q2701" i="1"/>
  <c r="P2733" i="1"/>
  <c r="R2733" i="1"/>
  <c r="S2736" i="1"/>
  <c r="O2736" i="1"/>
  <c r="S2815" i="1"/>
  <c r="O2815" i="1"/>
  <c r="S2820" i="1"/>
  <c r="O2820" i="1"/>
  <c r="W2898" i="1"/>
  <c r="U2898" i="1"/>
  <c r="T2898" i="1"/>
  <c r="V2898" i="1"/>
  <c r="Q2898" i="1"/>
  <c r="O2913" i="1"/>
  <c r="S2913" i="1"/>
  <c r="R2938" i="1"/>
  <c r="P2938" i="1"/>
  <c r="W2592" i="1"/>
  <c r="Q2592" i="1"/>
  <c r="R2637" i="1"/>
  <c r="P2637" i="1"/>
  <c r="S2684" i="1"/>
  <c r="O2684" i="1"/>
  <c r="R2688" i="1"/>
  <c r="P2688" i="1"/>
  <c r="P2705" i="1"/>
  <c r="R2705" i="1"/>
  <c r="S2710" i="1"/>
  <c r="O2710" i="1"/>
  <c r="S2750" i="1"/>
  <c r="O2750" i="1"/>
  <c r="T2805" i="1"/>
  <c r="Q2805" i="1"/>
  <c r="W2805" i="1"/>
  <c r="V2805" i="1"/>
  <c r="U2805" i="1"/>
  <c r="P2887" i="1"/>
  <c r="R2887" i="1"/>
  <c r="W2587" i="1"/>
  <c r="U2587" i="1"/>
  <c r="T2587" i="1"/>
  <c r="V2614" i="1"/>
  <c r="W2614" i="1"/>
  <c r="U2614" i="1"/>
  <c r="Q2614" i="1"/>
  <c r="S2634" i="1"/>
  <c r="O2634" i="1"/>
  <c r="S2645" i="1"/>
  <c r="O2645" i="1"/>
  <c r="O2647" i="1"/>
  <c r="S2647" i="1"/>
  <c r="O2673" i="1"/>
  <c r="T2676" i="1"/>
  <c r="O2734" i="1"/>
  <c r="O2866" i="1"/>
  <c r="S2866" i="1"/>
  <c r="W2928" i="1"/>
  <c r="V2928" i="1"/>
  <c r="Q2928" i="1"/>
  <c r="U2928" i="1"/>
  <c r="T2928" i="1"/>
  <c r="O2936" i="1"/>
  <c r="W2523" i="1"/>
  <c r="Q2523" i="1"/>
  <c r="U2531" i="1"/>
  <c r="T2531" i="1"/>
  <c r="W2572" i="1"/>
  <c r="V2572" i="1"/>
  <c r="T2572" i="1"/>
  <c r="Q2572" i="1"/>
  <c r="W2575" i="1"/>
  <c r="V2575" i="1"/>
  <c r="Q2575" i="1"/>
  <c r="R2587" i="1"/>
  <c r="P2587" i="1"/>
  <c r="W2595" i="1"/>
  <c r="Q2595" i="1"/>
  <c r="P2606" i="1"/>
  <c r="V2608" i="1"/>
  <c r="O2619" i="1"/>
  <c r="S2619" i="1"/>
  <c r="P2645" i="1"/>
  <c r="P2647" i="1"/>
  <c r="R2662" i="1"/>
  <c r="P2662" i="1"/>
  <c r="W2731" i="1"/>
  <c r="U2731" i="1"/>
  <c r="T2731" i="1"/>
  <c r="Q2731" i="1"/>
  <c r="V2731" i="1"/>
  <c r="P2753" i="1"/>
  <c r="R2753" i="1"/>
  <c r="O2787" i="1"/>
  <c r="S2787" i="1"/>
  <c r="W2803" i="1"/>
  <c r="U2803" i="1"/>
  <c r="T2803" i="1"/>
  <c r="Q2803" i="1"/>
  <c r="V2803" i="1"/>
  <c r="W2860" i="1"/>
  <c r="U2860" i="1"/>
  <c r="T2860" i="1"/>
  <c r="V2860" i="1"/>
  <c r="Q2860" i="1"/>
  <c r="W2905" i="1"/>
  <c r="U2905" i="1"/>
  <c r="T2905" i="1"/>
  <c r="V2905" i="1"/>
  <c r="Q2905" i="1"/>
  <c r="R2533" i="1"/>
  <c r="W2541" i="1"/>
  <c r="U2546" i="1"/>
  <c r="T2546" i="1"/>
  <c r="O2550" i="1"/>
  <c r="S2552" i="1"/>
  <c r="S2587" i="1"/>
  <c r="O2587" i="1"/>
  <c r="T2601" i="1"/>
  <c r="V2604" i="1"/>
  <c r="U2604" i="1"/>
  <c r="T2604" i="1"/>
  <c r="Q2604" i="1"/>
  <c r="W2654" i="1"/>
  <c r="V2654" i="1"/>
  <c r="U2654" i="1"/>
  <c r="T2654" i="1"/>
  <c r="Q2654" i="1"/>
  <c r="R2671" i="1"/>
  <c r="P2671" i="1"/>
  <c r="P2731" i="1"/>
  <c r="R2731" i="1"/>
  <c r="W2835" i="1"/>
  <c r="V2835" i="1"/>
  <c r="U2835" i="1"/>
  <c r="T2835" i="1"/>
  <c r="Q2835" i="1"/>
  <c r="P2857" i="1"/>
  <c r="R2857" i="1"/>
  <c r="P2860" i="1"/>
  <c r="R2860" i="1"/>
  <c r="R2905" i="1"/>
  <c r="P2905" i="1"/>
  <c r="O2914" i="1"/>
  <c r="S2914" i="1"/>
  <c r="O2529" i="1"/>
  <c r="U2561" i="1"/>
  <c r="T2561" i="1"/>
  <c r="O2563" i="1"/>
  <c r="Q2578" i="1"/>
  <c r="T2578" i="1"/>
  <c r="U2578" i="1"/>
  <c r="Q2587" i="1"/>
  <c r="P2592" i="1"/>
  <c r="S2616" i="1"/>
  <c r="O2622" i="1"/>
  <c r="S2622" i="1"/>
  <c r="S2671" i="1"/>
  <c r="O2671" i="1"/>
  <c r="R2689" i="1"/>
  <c r="P2689" i="1"/>
  <c r="R2708" i="1"/>
  <c r="P2708" i="1"/>
  <c r="S2780" i="1"/>
  <c r="O2780" i="1"/>
  <c r="T2800" i="1"/>
  <c r="Q2800" i="1"/>
  <c r="W2800" i="1"/>
  <c r="V2800" i="1"/>
  <c r="U2800" i="1"/>
  <c r="R2852" i="1"/>
  <c r="P2852" i="1"/>
  <c r="T2902" i="1"/>
  <c r="Q2902" i="1"/>
  <c r="W2902" i="1"/>
  <c r="V2902" i="1"/>
  <c r="U2902" i="1"/>
  <c r="P2523" i="1"/>
  <c r="R2527" i="1"/>
  <c r="R2531" i="1"/>
  <c r="U2592" i="1"/>
  <c r="R2604" i="1"/>
  <c r="V2620" i="1"/>
  <c r="U2620" i="1"/>
  <c r="T2620" i="1"/>
  <c r="W2641" i="1"/>
  <c r="V2641" i="1"/>
  <c r="U2641" i="1"/>
  <c r="Q2641" i="1"/>
  <c r="R2663" i="1"/>
  <c r="P2663" i="1"/>
  <c r="P2685" i="1"/>
  <c r="S2720" i="1"/>
  <c r="O2720" i="1"/>
  <c r="W2751" i="1"/>
  <c r="U2751" i="1"/>
  <c r="Q2751" i="1"/>
  <c r="V2751" i="1"/>
  <c r="T2751" i="1"/>
  <c r="R2811" i="1"/>
  <c r="P2811" i="1"/>
  <c r="W2885" i="1"/>
  <c r="U2885" i="1"/>
  <c r="T2885" i="1"/>
  <c r="V2885" i="1"/>
  <c r="Q2885" i="1"/>
  <c r="R2507" i="1"/>
  <c r="R2517" i="1"/>
  <c r="Q2521" i="1"/>
  <c r="S2527" i="1"/>
  <c r="S2531" i="1"/>
  <c r="Q2542" i="1"/>
  <c r="R2546" i="1"/>
  <c r="Q2561" i="1"/>
  <c r="Q2568" i="1"/>
  <c r="W2568" i="1"/>
  <c r="U2568" i="1"/>
  <c r="T2568" i="1"/>
  <c r="V2581" i="1"/>
  <c r="U2581" i="1"/>
  <c r="W2581" i="1"/>
  <c r="O2583" i="1"/>
  <c r="V2592" i="1"/>
  <c r="W2604" i="1"/>
  <c r="T2614" i="1"/>
  <c r="R2654" i="1"/>
  <c r="P2751" i="1"/>
  <c r="R2751" i="1"/>
  <c r="R2793" i="1"/>
  <c r="P2793" i="1"/>
  <c r="S2819" i="1"/>
  <c r="O2819" i="1"/>
  <c r="O2844" i="1"/>
  <c r="S2844" i="1"/>
  <c r="R2981" i="1"/>
  <c r="P2981" i="1"/>
  <c r="R2597" i="1"/>
  <c r="V2611" i="1"/>
  <c r="U2611" i="1"/>
  <c r="W2619" i="1"/>
  <c r="V2619" i="1"/>
  <c r="U2619" i="1"/>
  <c r="W2638" i="1"/>
  <c r="T2638" i="1"/>
  <c r="W2647" i="1"/>
  <c r="V2647" i="1"/>
  <c r="T2647" i="1"/>
  <c r="U2675" i="1"/>
  <c r="T2675" i="1"/>
  <c r="Q2675" i="1"/>
  <c r="V2675" i="1"/>
  <c r="S2700" i="1"/>
  <c r="O2700" i="1"/>
  <c r="S2735" i="1"/>
  <c r="O2735" i="1"/>
  <c r="T2775" i="1"/>
  <c r="Q2775" i="1"/>
  <c r="W2775" i="1"/>
  <c r="U2775" i="1"/>
  <c r="O2792" i="1"/>
  <c r="S2792" i="1"/>
  <c r="O2964" i="1"/>
  <c r="S2964" i="1"/>
  <c r="T2573" i="1"/>
  <c r="T2613" i="1"/>
  <c r="T2617" i="1"/>
  <c r="W2636" i="1"/>
  <c r="U2636" i="1"/>
  <c r="T2636" i="1"/>
  <c r="Q2636" i="1"/>
  <c r="W2651" i="1"/>
  <c r="T2651" i="1"/>
  <c r="W2673" i="1"/>
  <c r="V2673" i="1"/>
  <c r="U2673" i="1"/>
  <c r="Q2673" i="1"/>
  <c r="R2676" i="1"/>
  <c r="P2676" i="1"/>
  <c r="T2678" i="1"/>
  <c r="R2701" i="1"/>
  <c r="P2701" i="1"/>
  <c r="W2773" i="1"/>
  <c r="U2773" i="1"/>
  <c r="T2773" i="1"/>
  <c r="Q2773" i="1"/>
  <c r="V2773" i="1"/>
  <c r="S2871" i="1"/>
  <c r="O2871" i="1"/>
  <c r="P3088" i="1"/>
  <c r="R3088" i="1"/>
  <c r="U2573" i="1"/>
  <c r="T2611" i="1"/>
  <c r="U2613" i="1"/>
  <c r="U2617" i="1"/>
  <c r="T2619" i="1"/>
  <c r="R2636" i="1"/>
  <c r="P2636" i="1"/>
  <c r="R2639" i="1"/>
  <c r="P2639" i="1"/>
  <c r="R2651" i="1"/>
  <c r="P2651" i="1"/>
  <c r="R2673" i="1"/>
  <c r="P2673" i="1"/>
  <c r="U2678" i="1"/>
  <c r="W2704" i="1"/>
  <c r="V2704" i="1"/>
  <c r="O2741" i="1"/>
  <c r="W2753" i="1"/>
  <c r="U2753" i="1"/>
  <c r="T2753" i="1"/>
  <c r="Q2753" i="1"/>
  <c r="S2756" i="1"/>
  <c r="O2756" i="1"/>
  <c r="O2778" i="1"/>
  <c r="T2790" i="1"/>
  <c r="Q2790" i="1"/>
  <c r="W2790" i="1"/>
  <c r="V2790" i="1"/>
  <c r="S2795" i="1"/>
  <c r="O2795" i="1"/>
  <c r="V2591" i="1"/>
  <c r="U2591" i="1"/>
  <c r="V2616" i="1"/>
  <c r="U2616" i="1"/>
  <c r="W2728" i="1"/>
  <c r="U2728" i="1"/>
  <c r="T2728" i="1"/>
  <c r="Q2728" i="1"/>
  <c r="S2731" i="1"/>
  <c r="O2731" i="1"/>
  <c r="O2757" i="1"/>
  <c r="S2757" i="1"/>
  <c r="O2762" i="1"/>
  <c r="S2762" i="1"/>
  <c r="S2805" i="1"/>
  <c r="O2805" i="1"/>
  <c r="S2810" i="1"/>
  <c r="O2810" i="1"/>
  <c r="S2828" i="1"/>
  <c r="O2828" i="1"/>
  <c r="R2931" i="1"/>
  <c r="P2931" i="1"/>
  <c r="W2953" i="1"/>
  <c r="U2953" i="1"/>
  <c r="T2953" i="1"/>
  <c r="V2953" i="1"/>
  <c r="Q2953" i="1"/>
  <c r="T3050" i="1"/>
  <c r="Q3050" i="1"/>
  <c r="W3050" i="1"/>
  <c r="V3050" i="1"/>
  <c r="U3050" i="1"/>
  <c r="Q2528" i="1"/>
  <c r="Q2533" i="1"/>
  <c r="Q2538" i="1"/>
  <c r="Q2543" i="1"/>
  <c r="Q2548" i="1"/>
  <c r="Q2553" i="1"/>
  <c r="Q2558" i="1"/>
  <c r="Q2563" i="1"/>
  <c r="Q2570" i="1"/>
  <c r="O2572" i="1"/>
  <c r="V2576" i="1"/>
  <c r="U2576" i="1"/>
  <c r="T2583" i="1"/>
  <c r="Q2585" i="1"/>
  <c r="O2612" i="1"/>
  <c r="U2625" i="1"/>
  <c r="T2625" i="1"/>
  <c r="Q2625" i="1"/>
  <c r="U2639" i="1"/>
  <c r="W2667" i="1"/>
  <c r="V2667" i="1"/>
  <c r="T2689" i="1"/>
  <c r="U2699" i="1"/>
  <c r="T2699" i="1"/>
  <c r="Q2699" i="1"/>
  <c r="V2699" i="1"/>
  <c r="R2702" i="1"/>
  <c r="P2702" i="1"/>
  <c r="V2753" i="1"/>
  <c r="W2786" i="1"/>
  <c r="U2786" i="1"/>
  <c r="Q2786" i="1"/>
  <c r="W2818" i="1"/>
  <c r="U2818" i="1"/>
  <c r="T2818" i="1"/>
  <c r="Q2818" i="1"/>
  <c r="T2837" i="1"/>
  <c r="W2837" i="1"/>
  <c r="V2837" i="1"/>
  <c r="U2837" i="1"/>
  <c r="Q2837" i="1"/>
  <c r="T2842" i="1"/>
  <c r="V2842" i="1"/>
  <c r="U2842" i="1"/>
  <c r="W2842" i="1"/>
  <c r="Q2842" i="1"/>
  <c r="S2902" i="1"/>
  <c r="O2902" i="1"/>
  <c r="W2997" i="1"/>
  <c r="Q2997" i="1"/>
  <c r="U2997" i="1"/>
  <c r="T2997" i="1"/>
  <c r="V2997" i="1"/>
  <c r="R3075" i="1"/>
  <c r="P3075" i="1"/>
  <c r="R2699" i="1"/>
  <c r="P2699" i="1"/>
  <c r="W2707" i="1"/>
  <c r="V2707" i="1"/>
  <c r="W2749" i="1"/>
  <c r="Q2749" i="1"/>
  <c r="T2754" i="1"/>
  <c r="Q2754" i="1"/>
  <c r="U2754" i="1"/>
  <c r="W2806" i="1"/>
  <c r="U2806" i="1"/>
  <c r="Q2806" i="1"/>
  <c r="W2826" i="1"/>
  <c r="V2826" i="1"/>
  <c r="U2826" i="1"/>
  <c r="T2826" i="1"/>
  <c r="Q2826" i="1"/>
  <c r="W2966" i="1"/>
  <c r="V2966" i="1"/>
  <c r="U2966" i="1"/>
  <c r="Q2966" i="1"/>
  <c r="W3022" i="1"/>
  <c r="V3022" i="1"/>
  <c r="U3022" i="1"/>
  <c r="T3022" i="1"/>
  <c r="R3030" i="1"/>
  <c r="P3030" i="1"/>
  <c r="R3045" i="1"/>
  <c r="P3045" i="1"/>
  <c r="V3110" i="1"/>
  <c r="U3110" i="1"/>
  <c r="T3110" i="1"/>
  <c r="W3110" i="1"/>
  <c r="Q3110" i="1"/>
  <c r="O2637" i="1"/>
  <c r="S2637" i="1"/>
  <c r="R2649" i="1"/>
  <c r="P2649" i="1"/>
  <c r="W2657" i="1"/>
  <c r="V2657" i="1"/>
  <c r="O2674" i="1"/>
  <c r="V2689" i="1"/>
  <c r="S2702" i="1"/>
  <c r="P2718" i="1"/>
  <c r="W2726" i="1"/>
  <c r="U2726" i="1"/>
  <c r="Q2726" i="1"/>
  <c r="O2737" i="1"/>
  <c r="S2737" i="1"/>
  <c r="T2760" i="1"/>
  <c r="Q2760" i="1"/>
  <c r="V2760" i="1"/>
  <c r="U2760" i="1"/>
  <c r="P2774" i="1"/>
  <c r="S2872" i="1"/>
  <c r="O2872" i="1"/>
  <c r="R2923" i="1"/>
  <c r="P2923" i="1"/>
  <c r="R3072" i="1"/>
  <c r="P3072" i="1"/>
  <c r="O2576" i="1"/>
  <c r="R2694" i="1"/>
  <c r="T2702" i="1"/>
  <c r="O2732" i="1"/>
  <c r="S2732" i="1"/>
  <c r="S2744" i="1"/>
  <c r="S2754" i="1"/>
  <c r="O2754" i="1"/>
  <c r="W2821" i="1"/>
  <c r="U2821" i="1"/>
  <c r="T2821" i="1"/>
  <c r="Q2821" i="1"/>
  <c r="V2821" i="1"/>
  <c r="P2837" i="1"/>
  <c r="O2842" i="1"/>
  <c r="W2883" i="1"/>
  <c r="V2883" i="1"/>
  <c r="U2883" i="1"/>
  <c r="T2883" i="1"/>
  <c r="Q2883" i="1"/>
  <c r="Q3009" i="1"/>
  <c r="V3009" i="1"/>
  <c r="U3009" i="1"/>
  <c r="T3009" i="1"/>
  <c r="W3009" i="1"/>
  <c r="O2578" i="1"/>
  <c r="S2642" i="1"/>
  <c r="U2662" i="1"/>
  <c r="T2662" i="1"/>
  <c r="Q2662" i="1"/>
  <c r="V2662" i="1"/>
  <c r="Q2677" i="1"/>
  <c r="O2687" i="1"/>
  <c r="S2687" i="1"/>
  <c r="U2702" i="1"/>
  <c r="V2728" i="1"/>
  <c r="R2749" i="1"/>
  <c r="R2754" i="1"/>
  <c r="S2760" i="1"/>
  <c r="O2760" i="1"/>
  <c r="O2777" i="1"/>
  <c r="S2777" i="1"/>
  <c r="P2791" i="1"/>
  <c r="W2801" i="1"/>
  <c r="U2801" i="1"/>
  <c r="Q2801" i="1"/>
  <c r="V2801" i="1"/>
  <c r="T2801" i="1"/>
  <c r="W2811" i="1"/>
  <c r="U2811" i="1"/>
  <c r="T2811" i="1"/>
  <c r="Q2811" i="1"/>
  <c r="V2811" i="1"/>
  <c r="R2821" i="1"/>
  <c r="P2821" i="1"/>
  <c r="P2842" i="1"/>
  <c r="R2846" i="1"/>
  <c r="P2846" i="1"/>
  <c r="O2848" i="1"/>
  <c r="S2889" i="1"/>
  <c r="R2984" i="1"/>
  <c r="P2984" i="1"/>
  <c r="T2991" i="1"/>
  <c r="Q2991" i="1"/>
  <c r="W2991" i="1"/>
  <c r="V2991" i="1"/>
  <c r="U2991" i="1"/>
  <c r="V2586" i="1"/>
  <c r="U2586" i="1"/>
  <c r="T2593" i="1"/>
  <c r="T2616" i="1"/>
  <c r="R2623" i="1"/>
  <c r="P2623" i="1"/>
  <c r="V2637" i="1"/>
  <c r="V2652" i="1"/>
  <c r="Q2657" i="1"/>
  <c r="R2665" i="1"/>
  <c r="T2667" i="1"/>
  <c r="V2677" i="1"/>
  <c r="Q2687" i="1"/>
  <c r="T2700" i="1"/>
  <c r="Q2700" i="1"/>
  <c r="W2702" i="1"/>
  <c r="Q2735" i="1"/>
  <c r="W2735" i="1"/>
  <c r="U2735" i="1"/>
  <c r="T2735" i="1"/>
  <c r="S2740" i="1"/>
  <c r="O2740" i="1"/>
  <c r="T2749" i="1"/>
  <c r="W2754" i="1"/>
  <c r="O2772" i="1"/>
  <c r="S2772" i="1"/>
  <c r="V2818" i="1"/>
  <c r="R2835" i="1"/>
  <c r="P2835" i="1"/>
  <c r="S2926" i="1"/>
  <c r="O2926" i="1"/>
  <c r="T2966" i="1"/>
  <c r="W2978" i="1"/>
  <c r="V2978" i="1"/>
  <c r="U2978" i="1"/>
  <c r="T2978" i="1"/>
  <c r="Q2978" i="1"/>
  <c r="W3010" i="1"/>
  <c r="V3010" i="1"/>
  <c r="U3010" i="1"/>
  <c r="T3010" i="1"/>
  <c r="Q3010" i="1"/>
  <c r="Q3022" i="1"/>
  <c r="V2571" i="1"/>
  <c r="U2571" i="1"/>
  <c r="Q2580" i="1"/>
  <c r="T2591" i="1"/>
  <c r="U2593" i="1"/>
  <c r="W2616" i="1"/>
  <c r="R2626" i="1"/>
  <c r="P2626" i="1"/>
  <c r="S2632" i="1"/>
  <c r="V2635" i="1"/>
  <c r="U2635" i="1"/>
  <c r="T2635" i="1"/>
  <c r="W2637" i="1"/>
  <c r="T2650" i="1"/>
  <c r="Q2650" i="1"/>
  <c r="W2652" i="1"/>
  <c r="S2662" i="1"/>
  <c r="T2665" i="1"/>
  <c r="U2667" i="1"/>
  <c r="W2677" i="1"/>
  <c r="P2684" i="1"/>
  <c r="U2687" i="1"/>
  <c r="W2697" i="1"/>
  <c r="V2697" i="1"/>
  <c r="T2697" i="1"/>
  <c r="S2721" i="1"/>
  <c r="W2724" i="1"/>
  <c r="Q2724" i="1"/>
  <c r="T2726" i="1"/>
  <c r="S2729" i="1"/>
  <c r="O2729" i="1"/>
  <c r="U2749" i="1"/>
  <c r="Q2755" i="1"/>
  <c r="U2755" i="1"/>
  <c r="T2755" i="1"/>
  <c r="W2758" i="1"/>
  <c r="U2758" i="1"/>
  <c r="T2758" i="1"/>
  <c r="Q2758" i="1"/>
  <c r="V2758" i="1"/>
  <c r="S2767" i="1"/>
  <c r="V2786" i="1"/>
  <c r="T2806" i="1"/>
  <c r="O2811" i="1"/>
  <c r="O2814" i="1"/>
  <c r="S2835" i="1"/>
  <c r="O2835" i="1"/>
  <c r="W2873" i="1"/>
  <c r="U2873" i="1"/>
  <c r="T2873" i="1"/>
  <c r="Q2873" i="1"/>
  <c r="V2873" i="1"/>
  <c r="R2955" i="1"/>
  <c r="P2955" i="1"/>
  <c r="W2988" i="1"/>
  <c r="V2988" i="1"/>
  <c r="U2988" i="1"/>
  <c r="Q2988" i="1"/>
  <c r="T2988" i="1"/>
  <c r="R3068" i="1"/>
  <c r="P3068" i="1"/>
  <c r="S2670" i="1"/>
  <c r="O2670" i="1"/>
  <c r="S2715" i="1"/>
  <c r="O2715" i="1"/>
  <c r="W2738" i="1"/>
  <c r="U2738" i="1"/>
  <c r="T2738" i="1"/>
  <c r="Q2738" i="1"/>
  <c r="S2765" i="1"/>
  <c r="O2765" i="1"/>
  <c r="W2778" i="1"/>
  <c r="U2778" i="1"/>
  <c r="T2778" i="1"/>
  <c r="Q2778" i="1"/>
  <c r="W2791" i="1"/>
  <c r="U2791" i="1"/>
  <c r="W2793" i="1"/>
  <c r="U2793" i="1"/>
  <c r="T2793" i="1"/>
  <c r="Q2793" i="1"/>
  <c r="W2813" i="1"/>
  <c r="U2813" i="1"/>
  <c r="T2813" i="1"/>
  <c r="Q2813" i="1"/>
  <c r="T2852" i="1"/>
  <c r="W2852" i="1"/>
  <c r="V2852" i="1"/>
  <c r="U2852" i="1"/>
  <c r="S2862" i="1"/>
  <c r="O2862" i="1"/>
  <c r="S2875" i="1"/>
  <c r="O2875" i="1"/>
  <c r="W2951" i="1"/>
  <c r="V2951" i="1"/>
  <c r="U2951" i="1"/>
  <c r="T2951" i="1"/>
  <c r="Q2951" i="1"/>
  <c r="S3055" i="1"/>
  <c r="O3055" i="1"/>
  <c r="V2631" i="1"/>
  <c r="S2665" i="1"/>
  <c r="O2665" i="1"/>
  <c r="T2685" i="1"/>
  <c r="V2738" i="1"/>
  <c r="W2768" i="1"/>
  <c r="U2768" i="1"/>
  <c r="T2768" i="1"/>
  <c r="Q2768" i="1"/>
  <c r="V2778" i="1"/>
  <c r="W2781" i="1"/>
  <c r="U2781" i="1"/>
  <c r="T2785" i="1"/>
  <c r="Q2785" i="1"/>
  <c r="V2793" i="1"/>
  <c r="W2796" i="1"/>
  <c r="U2796" i="1"/>
  <c r="W2798" i="1"/>
  <c r="U2798" i="1"/>
  <c r="T2798" i="1"/>
  <c r="Q2798" i="1"/>
  <c r="V2813" i="1"/>
  <c r="W2816" i="1"/>
  <c r="U2816" i="1"/>
  <c r="T2816" i="1"/>
  <c r="Q2816" i="1"/>
  <c r="R2933" i="1"/>
  <c r="P2933" i="1"/>
  <c r="P2961" i="1"/>
  <c r="R2961" i="1"/>
  <c r="T3015" i="1"/>
  <c r="Q3015" i="1"/>
  <c r="W3015" i="1"/>
  <c r="V3015" i="1"/>
  <c r="T3025" i="1"/>
  <c r="Q3025" i="1"/>
  <c r="W3025" i="1"/>
  <c r="V3025" i="1"/>
  <c r="U3025" i="1"/>
  <c r="T3115" i="1"/>
  <c r="Q3115" i="1"/>
  <c r="W3115" i="1"/>
  <c r="V3115" i="1"/>
  <c r="U3115" i="1"/>
  <c r="T2648" i="1"/>
  <c r="U2685" i="1"/>
  <c r="T2698" i="1"/>
  <c r="W2741" i="1"/>
  <c r="U2741" i="1"/>
  <c r="S2770" i="1"/>
  <c r="O2770" i="1"/>
  <c r="W2783" i="1"/>
  <c r="U2783" i="1"/>
  <c r="T2783" i="1"/>
  <c r="Q2783" i="1"/>
  <c r="T2791" i="1"/>
  <c r="S2800" i="1"/>
  <c r="O2800" i="1"/>
  <c r="W2833" i="1"/>
  <c r="V2833" i="1"/>
  <c r="T2833" i="1"/>
  <c r="W2848" i="1"/>
  <c r="V2848" i="1"/>
  <c r="U2848" i="1"/>
  <c r="T2848" i="1"/>
  <c r="Q2848" i="1"/>
  <c r="S3009" i="1"/>
  <c r="O3009" i="1"/>
  <c r="P3133" i="1"/>
  <c r="R3133" i="1"/>
  <c r="S2630" i="1"/>
  <c r="O2630" i="1"/>
  <c r="U2648" i="1"/>
  <c r="T2661" i="1"/>
  <c r="S2680" i="1"/>
  <c r="O2680" i="1"/>
  <c r="U2698" i="1"/>
  <c r="W2708" i="1"/>
  <c r="U2708" i="1"/>
  <c r="T2708" i="1"/>
  <c r="W2718" i="1"/>
  <c r="U2718" i="1"/>
  <c r="T2718" i="1"/>
  <c r="Q2718" i="1"/>
  <c r="W2743" i="1"/>
  <c r="U2743" i="1"/>
  <c r="T2743" i="1"/>
  <c r="Q2743" i="1"/>
  <c r="S2785" i="1"/>
  <c r="O2785" i="1"/>
  <c r="V2791" i="1"/>
  <c r="W2823" i="1"/>
  <c r="U2823" i="1"/>
  <c r="T2823" i="1"/>
  <c r="Q2823" i="1"/>
  <c r="S2830" i="1"/>
  <c r="O2830" i="1"/>
  <c r="W2858" i="1"/>
  <c r="V2858" i="1"/>
  <c r="U2858" i="1"/>
  <c r="T2858" i="1"/>
  <c r="Q2858" i="1"/>
  <c r="O2881" i="1"/>
  <c r="P2893" i="1"/>
  <c r="R2893" i="1"/>
  <c r="W2903" i="1"/>
  <c r="V2903" i="1"/>
  <c r="U2903" i="1"/>
  <c r="T2903" i="1"/>
  <c r="Q2903" i="1"/>
  <c r="S2928" i="1"/>
  <c r="S2933" i="1"/>
  <c r="S2975" i="1"/>
  <c r="O2975" i="1"/>
  <c r="W3001" i="1"/>
  <c r="V3001" i="1"/>
  <c r="Q3001" i="1"/>
  <c r="O3042" i="1"/>
  <c r="S3042" i="1"/>
  <c r="R3080" i="1"/>
  <c r="P3080" i="1"/>
  <c r="R2828" i="1"/>
  <c r="P2828" i="1"/>
  <c r="S2887" i="1"/>
  <c r="O2887" i="1"/>
  <c r="O2939" i="1"/>
  <c r="S2939" i="1"/>
  <c r="S2985" i="1"/>
  <c r="O2985" i="1"/>
  <c r="S2625" i="1"/>
  <c r="O2625" i="1"/>
  <c r="V2630" i="1"/>
  <c r="T2632" i="1"/>
  <c r="U2643" i="1"/>
  <c r="T2656" i="1"/>
  <c r="T2669" i="1"/>
  <c r="S2675" i="1"/>
  <c r="O2675" i="1"/>
  <c r="V2680" i="1"/>
  <c r="T2682" i="1"/>
  <c r="U2693" i="1"/>
  <c r="T2695" i="1"/>
  <c r="T2706" i="1"/>
  <c r="V2710" i="1"/>
  <c r="T2714" i="1"/>
  <c r="T2716" i="1"/>
  <c r="W2720" i="1"/>
  <c r="W2745" i="1"/>
  <c r="S2775" i="1"/>
  <c r="O2775" i="1"/>
  <c r="T2781" i="1"/>
  <c r="W2788" i="1"/>
  <c r="U2788" i="1"/>
  <c r="T2788" i="1"/>
  <c r="Q2788" i="1"/>
  <c r="V2796" i="1"/>
  <c r="V2823" i="1"/>
  <c r="U2833" i="1"/>
  <c r="R2841" i="1"/>
  <c r="P2841" i="1"/>
  <c r="R2901" i="1"/>
  <c r="P2901" i="1"/>
  <c r="O2918" i="1"/>
  <c r="S2918" i="1"/>
  <c r="R2947" i="1"/>
  <c r="R2953" i="1"/>
  <c r="P2953" i="1"/>
  <c r="P3037" i="1"/>
  <c r="R3037" i="1"/>
  <c r="U3060" i="1"/>
  <c r="T3060" i="1"/>
  <c r="Q3060" i="1"/>
  <c r="U2632" i="1"/>
  <c r="O2638" i="1"/>
  <c r="V2643" i="1"/>
  <c r="O2651" i="1"/>
  <c r="U2656" i="1"/>
  <c r="T2658" i="1"/>
  <c r="O2664" i="1"/>
  <c r="U2669" i="1"/>
  <c r="U2682" i="1"/>
  <c r="O2688" i="1"/>
  <c r="V2693" i="1"/>
  <c r="U2695" i="1"/>
  <c r="O2701" i="1"/>
  <c r="U2706" i="1"/>
  <c r="V2708" i="1"/>
  <c r="W2710" i="1"/>
  <c r="U2714" i="1"/>
  <c r="U2716" i="1"/>
  <c r="W2721" i="1"/>
  <c r="U2721" i="1"/>
  <c r="O2733" i="1"/>
  <c r="T2739" i="1"/>
  <c r="T2741" i="1"/>
  <c r="W2746" i="1"/>
  <c r="U2746" i="1"/>
  <c r="O2758" i="1"/>
  <c r="V2781" i="1"/>
  <c r="S2790" i="1"/>
  <c r="O2790" i="1"/>
  <c r="W2844" i="1"/>
  <c r="U2844" i="1"/>
  <c r="T2844" i="1"/>
  <c r="O2856" i="1"/>
  <c r="T2872" i="1"/>
  <c r="Q2872" i="1"/>
  <c r="S2877" i="1"/>
  <c r="O2877" i="1"/>
  <c r="W2888" i="1"/>
  <c r="V2888" i="1"/>
  <c r="U2888" i="1"/>
  <c r="Q2888" i="1"/>
  <c r="S2898" i="1"/>
  <c r="P2926" i="1"/>
  <c r="S2953" i="1"/>
  <c r="O2953" i="1"/>
  <c r="W2996" i="1"/>
  <c r="V2996" i="1"/>
  <c r="R2999" i="1"/>
  <c r="P2999" i="1"/>
  <c r="R3060" i="1"/>
  <c r="P3060" i="1"/>
  <c r="O3068" i="1"/>
  <c r="S2640" i="1"/>
  <c r="O2640" i="1"/>
  <c r="V2656" i="1"/>
  <c r="T2671" i="1"/>
  <c r="P2677" i="1"/>
  <c r="T2684" i="1"/>
  <c r="S2690" i="1"/>
  <c r="O2690" i="1"/>
  <c r="V2706" i="1"/>
  <c r="V2716" i="1"/>
  <c r="W2723" i="1"/>
  <c r="U2723" i="1"/>
  <c r="T2723" i="1"/>
  <c r="Q2723" i="1"/>
  <c r="U2739" i="1"/>
  <c r="V2741" i="1"/>
  <c r="W2748" i="1"/>
  <c r="U2748" i="1"/>
  <c r="T2748" i="1"/>
  <c r="Q2748" i="1"/>
  <c r="O2773" i="1"/>
  <c r="W2808" i="1"/>
  <c r="U2808" i="1"/>
  <c r="T2808" i="1"/>
  <c r="Q2808" i="1"/>
  <c r="P2882" i="1"/>
  <c r="R2882" i="1"/>
  <c r="S2891" i="1"/>
  <c r="O2891" i="1"/>
  <c r="W2910" i="1"/>
  <c r="U2910" i="1"/>
  <c r="T2910" i="1"/>
  <c r="V2910" i="1"/>
  <c r="Q2910" i="1"/>
  <c r="T2942" i="1"/>
  <c r="Q2942" i="1"/>
  <c r="U2942" i="1"/>
  <c r="W2993" i="1"/>
  <c r="V2993" i="1"/>
  <c r="U2993" i="1"/>
  <c r="Q2993" i="1"/>
  <c r="O2999" i="1"/>
  <c r="S2999" i="1"/>
  <c r="R3007" i="1"/>
  <c r="P3007" i="1"/>
  <c r="O3054" i="1"/>
  <c r="V2621" i="1"/>
  <c r="V2634" i="1"/>
  <c r="S2655" i="1"/>
  <c r="O2655" i="1"/>
  <c r="V2671" i="1"/>
  <c r="V2684" i="1"/>
  <c r="S2705" i="1"/>
  <c r="O2705" i="1"/>
  <c r="W2713" i="1"/>
  <c r="U2713" i="1"/>
  <c r="T2713" i="1"/>
  <c r="W2761" i="1"/>
  <c r="U2761" i="1"/>
  <c r="T2765" i="1"/>
  <c r="Q2765" i="1"/>
  <c r="T2862" i="1"/>
  <c r="Q2862" i="1"/>
  <c r="V2862" i="1"/>
  <c r="U2862" i="1"/>
  <c r="T2907" i="1"/>
  <c r="Q2907" i="1"/>
  <c r="W2907" i="1"/>
  <c r="U2907" i="1"/>
  <c r="W2948" i="1"/>
  <c r="V2948" i="1"/>
  <c r="Q2948" i="1"/>
  <c r="U2948" i="1"/>
  <c r="P2966" i="1"/>
  <c r="R2966" i="1"/>
  <c r="R3063" i="1"/>
  <c r="P3063" i="1"/>
  <c r="R3105" i="1"/>
  <c r="P3105" i="1"/>
  <c r="R3135" i="1"/>
  <c r="P3135" i="1"/>
  <c r="S2627" i="1"/>
  <c r="Q2653" i="1"/>
  <c r="Q2666" i="1"/>
  <c r="S2677" i="1"/>
  <c r="Q2703" i="1"/>
  <c r="T2725" i="1"/>
  <c r="S2727" i="1"/>
  <c r="W2736" i="1"/>
  <c r="U2736" i="1"/>
  <c r="W2763" i="1"/>
  <c r="U2763" i="1"/>
  <c r="T2763" i="1"/>
  <c r="Q2763" i="1"/>
  <c r="W2776" i="1"/>
  <c r="U2776" i="1"/>
  <c r="T2780" i="1"/>
  <c r="Q2780" i="1"/>
  <c r="T2795" i="1"/>
  <c r="Q2795" i="1"/>
  <c r="O2839" i="1"/>
  <c r="S2839" i="1"/>
  <c r="W2870" i="1"/>
  <c r="U2870" i="1"/>
  <c r="T2870" i="1"/>
  <c r="P2907" i="1"/>
  <c r="R2907" i="1"/>
  <c r="O2919" i="1"/>
  <c r="S2919" i="1"/>
  <c r="R2948" i="1"/>
  <c r="P2948" i="1"/>
  <c r="R2969" i="1"/>
  <c r="P2969" i="1"/>
  <c r="S2993" i="1"/>
  <c r="T2996" i="1"/>
  <c r="Q3044" i="1"/>
  <c r="T3044" i="1"/>
  <c r="W3044" i="1"/>
  <c r="U3044" i="1"/>
  <c r="R3049" i="1"/>
  <c r="P3049" i="1"/>
  <c r="W3052" i="1"/>
  <c r="V3052" i="1"/>
  <c r="U3052" i="1"/>
  <c r="T3052" i="1"/>
  <c r="Q3052" i="1"/>
  <c r="W3060" i="1"/>
  <c r="R3084" i="1"/>
  <c r="P3084" i="1"/>
  <c r="W2900" i="1"/>
  <c r="U2900" i="1"/>
  <c r="T2900" i="1"/>
  <c r="R2928" i="1"/>
  <c r="P2928" i="1"/>
  <c r="W2933" i="1"/>
  <c r="V2933" i="1"/>
  <c r="Q2933" i="1"/>
  <c r="O2952" i="1"/>
  <c r="S2952" i="1"/>
  <c r="S2955" i="1"/>
  <c r="O2955" i="1"/>
  <c r="R3001" i="1"/>
  <c r="P3001" i="1"/>
  <c r="R3009" i="1"/>
  <c r="P3009" i="1"/>
  <c r="R3054" i="1"/>
  <c r="P3054" i="1"/>
  <c r="S3075" i="1"/>
  <c r="O3075" i="1"/>
  <c r="S2852" i="1"/>
  <c r="O2852" i="1"/>
  <c r="W2875" i="1"/>
  <c r="U2875" i="1"/>
  <c r="T2875" i="1"/>
  <c r="T2877" i="1"/>
  <c r="Q2877" i="1"/>
  <c r="V2900" i="1"/>
  <c r="T2912" i="1"/>
  <c r="Q2912" i="1"/>
  <c r="T2985" i="1"/>
  <c r="Q2985" i="1"/>
  <c r="W2985" i="1"/>
  <c r="V2985" i="1"/>
  <c r="U2985" i="1"/>
  <c r="W3092" i="1"/>
  <c r="V3092" i="1"/>
  <c r="U3092" i="1"/>
  <c r="T3092" i="1"/>
  <c r="Q3092" i="1"/>
  <c r="O2837" i="1"/>
  <c r="T2892" i="1"/>
  <c r="Q2892" i="1"/>
  <c r="O2941" i="1"/>
  <c r="S2948" i="1"/>
  <c r="R2964" i="1"/>
  <c r="P2964" i="1"/>
  <c r="R2985" i="1"/>
  <c r="P2985" i="1"/>
  <c r="W3007" i="1"/>
  <c r="V3007" i="1"/>
  <c r="U3007" i="1"/>
  <c r="Q3007" i="1"/>
  <c r="T3007" i="1"/>
  <c r="R3013" i="1"/>
  <c r="P3013" i="1"/>
  <c r="Q3084" i="1"/>
  <c r="T3084" i="1"/>
  <c r="W3084" i="1"/>
  <c r="V3084" i="1"/>
  <c r="T3105" i="1"/>
  <c r="Q3105" i="1"/>
  <c r="O3110" i="1"/>
  <c r="S3110" i="1"/>
  <c r="S2892" i="1"/>
  <c r="O2892" i="1"/>
  <c r="T2917" i="1"/>
  <c r="Q2917" i="1"/>
  <c r="W2977" i="1"/>
  <c r="V2977" i="1"/>
  <c r="U2977" i="1"/>
  <c r="T2977" i="1"/>
  <c r="Q3034" i="1"/>
  <c r="T3034" i="1"/>
  <c r="W3034" i="1"/>
  <c r="V3034" i="1"/>
  <c r="U3034" i="1"/>
  <c r="S3105" i="1"/>
  <c r="O3105" i="1"/>
  <c r="R3113" i="1"/>
  <c r="P3113" i="1"/>
  <c r="P2830" i="1"/>
  <c r="R2839" i="1"/>
  <c r="O2841" i="1"/>
  <c r="W2865" i="1"/>
  <c r="U2865" i="1"/>
  <c r="T2865" i="1"/>
  <c r="T2867" i="1"/>
  <c r="Q2867" i="1"/>
  <c r="P2871" i="1"/>
  <c r="P2875" i="1"/>
  <c r="U2877" i="1"/>
  <c r="O2901" i="1"/>
  <c r="S2903" i="1"/>
  <c r="W2908" i="1"/>
  <c r="V2908" i="1"/>
  <c r="U2912" i="1"/>
  <c r="T2922" i="1"/>
  <c r="Q2922" i="1"/>
  <c r="S2934" i="1"/>
  <c r="P2946" i="1"/>
  <c r="T2954" i="1"/>
  <c r="Q2954" i="1"/>
  <c r="T2980" i="1"/>
  <c r="Q2980" i="1"/>
  <c r="W2980" i="1"/>
  <c r="U2980" i="1"/>
  <c r="U2986" i="1"/>
  <c r="T2986" i="1"/>
  <c r="Q2986" i="1"/>
  <c r="V3005" i="1"/>
  <c r="U3005" i="1"/>
  <c r="T3005" i="1"/>
  <c r="R3034" i="1"/>
  <c r="P3034" i="1"/>
  <c r="Q3040" i="1"/>
  <c r="O3084" i="1"/>
  <c r="U3105" i="1"/>
  <c r="Q2830" i="1"/>
  <c r="Q2875" i="1"/>
  <c r="V2877" i="1"/>
  <c r="P2888" i="1"/>
  <c r="U2892" i="1"/>
  <c r="V2912" i="1"/>
  <c r="W2915" i="1"/>
  <c r="U2915" i="1"/>
  <c r="T2915" i="1"/>
  <c r="T2927" i="1"/>
  <c r="Q2927" i="1"/>
  <c r="T2962" i="1"/>
  <c r="Q2962" i="1"/>
  <c r="R2980" i="1"/>
  <c r="P2980" i="1"/>
  <c r="R2986" i="1"/>
  <c r="P2986" i="1"/>
  <c r="S3034" i="1"/>
  <c r="O3034" i="1"/>
  <c r="T3040" i="1"/>
  <c r="R3093" i="1"/>
  <c r="P3093" i="1"/>
  <c r="R3108" i="1"/>
  <c r="P3108" i="1"/>
  <c r="Q3129" i="1"/>
  <c r="T3129" i="1"/>
  <c r="W3129" i="1"/>
  <c r="V3129" i="1"/>
  <c r="U3129" i="1"/>
  <c r="Q3134" i="1"/>
  <c r="T3134" i="1"/>
  <c r="W3134" i="1"/>
  <c r="V3134" i="1"/>
  <c r="U3134" i="1"/>
  <c r="O2832" i="1"/>
  <c r="T2839" i="1"/>
  <c r="O2843" i="1"/>
  <c r="O2863" i="1"/>
  <c r="S2867" i="1"/>
  <c r="O2867" i="1"/>
  <c r="W2877" i="1"/>
  <c r="P2890" i="1"/>
  <c r="V2892" i="1"/>
  <c r="P2910" i="1"/>
  <c r="W2912" i="1"/>
  <c r="R2917" i="1"/>
  <c r="T2932" i="1"/>
  <c r="Q2932" i="1"/>
  <c r="Q2977" i="1"/>
  <c r="W2983" i="1"/>
  <c r="V2983" i="1"/>
  <c r="U2983" i="1"/>
  <c r="T2983" i="1"/>
  <c r="Q2983" i="1"/>
  <c r="O2989" i="1"/>
  <c r="W3003" i="1"/>
  <c r="V3003" i="1"/>
  <c r="U3003" i="1"/>
  <c r="Q3003" i="1"/>
  <c r="R3008" i="1"/>
  <c r="P3008" i="1"/>
  <c r="T3035" i="1"/>
  <c r="Q3035" i="1"/>
  <c r="V3035" i="1"/>
  <c r="U3035" i="1"/>
  <c r="U3040" i="1"/>
  <c r="R3064" i="1"/>
  <c r="P3064" i="1"/>
  <c r="W3082" i="1"/>
  <c r="V3082" i="1"/>
  <c r="U3082" i="1"/>
  <c r="T3082" i="1"/>
  <c r="W3105" i="1"/>
  <c r="U2839" i="1"/>
  <c r="O2845" i="1"/>
  <c r="O2865" i="1"/>
  <c r="R2867" i="1"/>
  <c r="S2869" i="1"/>
  <c r="V2875" i="1"/>
  <c r="O2886" i="1"/>
  <c r="W2892" i="1"/>
  <c r="T2897" i="1"/>
  <c r="Q2897" i="1"/>
  <c r="P2908" i="1"/>
  <c r="W2913" i="1"/>
  <c r="V2913" i="1"/>
  <c r="U2917" i="1"/>
  <c r="R2922" i="1"/>
  <c r="T2937" i="1"/>
  <c r="Q2937" i="1"/>
  <c r="S2944" i="1"/>
  <c r="R2954" i="1"/>
  <c r="O2959" i="1"/>
  <c r="O2962" i="1"/>
  <c r="S2962" i="1"/>
  <c r="V2980" i="1"/>
  <c r="S2986" i="1"/>
  <c r="P2989" i="1"/>
  <c r="R3019" i="1"/>
  <c r="P3019" i="1"/>
  <c r="R3035" i="1"/>
  <c r="P3035" i="1"/>
  <c r="V3040" i="1"/>
  <c r="R3043" i="1"/>
  <c r="P3043" i="1"/>
  <c r="Q2810" i="1"/>
  <c r="Q2815" i="1"/>
  <c r="Q2820" i="1"/>
  <c r="Q2825" i="1"/>
  <c r="T2830" i="1"/>
  <c r="Q2832" i="1"/>
  <c r="Q2834" i="1"/>
  <c r="Q2843" i="1"/>
  <c r="P2845" i="1"/>
  <c r="S2847" i="1"/>
  <c r="O2847" i="1"/>
  <c r="W2855" i="1"/>
  <c r="U2855" i="1"/>
  <c r="T2855" i="1"/>
  <c r="T2857" i="1"/>
  <c r="Q2857" i="1"/>
  <c r="P2861" i="1"/>
  <c r="Q2863" i="1"/>
  <c r="P2865" i="1"/>
  <c r="U2867" i="1"/>
  <c r="W2880" i="1"/>
  <c r="U2880" i="1"/>
  <c r="T2880" i="1"/>
  <c r="T2882" i="1"/>
  <c r="Q2882" i="1"/>
  <c r="P2886" i="1"/>
  <c r="S2888" i="1"/>
  <c r="W2895" i="1"/>
  <c r="U2895" i="1"/>
  <c r="T2895" i="1"/>
  <c r="S2899" i="1"/>
  <c r="Q2908" i="1"/>
  <c r="V2917" i="1"/>
  <c r="U2922" i="1"/>
  <c r="R2927" i="1"/>
  <c r="U2954" i="1"/>
  <c r="V2986" i="1"/>
  <c r="T2995" i="1"/>
  <c r="Q2995" i="1"/>
  <c r="U2995" i="1"/>
  <c r="S3000" i="1"/>
  <c r="O3000" i="1"/>
  <c r="Q3005" i="1"/>
  <c r="O3008" i="1"/>
  <c r="Q3014" i="1"/>
  <c r="T3014" i="1"/>
  <c r="U3014" i="1"/>
  <c r="S3035" i="1"/>
  <c r="O3035" i="1"/>
  <c r="S3043" i="1"/>
  <c r="O3043" i="1"/>
  <c r="R3048" i="1"/>
  <c r="O3064" i="1"/>
  <c r="S3074" i="1"/>
  <c r="O3074" i="1"/>
  <c r="W3080" i="1"/>
  <c r="Q3080" i="1"/>
  <c r="S3085" i="1"/>
  <c r="O3085" i="1"/>
  <c r="W3137" i="1"/>
  <c r="V3137" i="1"/>
  <c r="U3137" i="1"/>
  <c r="T3137" i="1"/>
  <c r="Q3137" i="1"/>
  <c r="O3140" i="1"/>
  <c r="V2830" i="1"/>
  <c r="U2832" i="1"/>
  <c r="S2857" i="1"/>
  <c r="O2857" i="1"/>
  <c r="W2867" i="1"/>
  <c r="S2882" i="1"/>
  <c r="O2882" i="1"/>
  <c r="T2908" i="1"/>
  <c r="Q2915" i="1"/>
  <c r="W2918" i="1"/>
  <c r="V2918" i="1"/>
  <c r="Q2918" i="1"/>
  <c r="W2922" i="1"/>
  <c r="V2927" i="1"/>
  <c r="W2954" i="1"/>
  <c r="V2962" i="1"/>
  <c r="T2975" i="1"/>
  <c r="Q2975" i="1"/>
  <c r="W2975" i="1"/>
  <c r="V2975" i="1"/>
  <c r="R2978" i="1"/>
  <c r="P2978" i="1"/>
  <c r="U2987" i="1"/>
  <c r="T2987" i="1"/>
  <c r="W3005" i="1"/>
  <c r="P3017" i="1"/>
  <c r="R3017" i="1"/>
  <c r="W3027" i="1"/>
  <c r="V3027" i="1"/>
  <c r="U3027" i="1"/>
  <c r="T3027" i="1"/>
  <c r="Q3027" i="1"/>
  <c r="Q3059" i="1"/>
  <c r="T3059" i="1"/>
  <c r="V3059" i="1"/>
  <c r="U3059" i="1"/>
  <c r="W3059" i="1"/>
  <c r="Q3082" i="1"/>
  <c r="Q3124" i="1"/>
  <c r="T3124" i="1"/>
  <c r="W3124" i="1"/>
  <c r="V3124" i="1"/>
  <c r="U3124" i="1"/>
  <c r="S3135" i="1"/>
  <c r="O3135" i="1"/>
  <c r="T2825" i="1"/>
  <c r="V2832" i="1"/>
  <c r="T2843" i="1"/>
  <c r="T2845" i="1"/>
  <c r="T2863" i="1"/>
  <c r="V2865" i="1"/>
  <c r="U2908" i="1"/>
  <c r="V2915" i="1"/>
  <c r="R2918" i="1"/>
  <c r="P2918" i="1"/>
  <c r="W2923" i="1"/>
  <c r="V2923" i="1"/>
  <c r="Q2923" i="1"/>
  <c r="W2927" i="1"/>
  <c r="T2947" i="1"/>
  <c r="Q2947" i="1"/>
  <c r="W2955" i="1"/>
  <c r="Q2955" i="1"/>
  <c r="V2960" i="1"/>
  <c r="U2960" i="1"/>
  <c r="T2960" i="1"/>
  <c r="W2962" i="1"/>
  <c r="S2965" i="1"/>
  <c r="O2965" i="1"/>
  <c r="O2981" i="1"/>
  <c r="W3030" i="1"/>
  <c r="V3030" i="1"/>
  <c r="Q3030" i="1"/>
  <c r="S3038" i="1"/>
  <c r="T3075" i="1"/>
  <c r="Q3075" i="1"/>
  <c r="W3075" i="1"/>
  <c r="V3075" i="1"/>
  <c r="O3080" i="1"/>
  <c r="S3145" i="1"/>
  <c r="O3145" i="1"/>
  <c r="W2968" i="1"/>
  <c r="U2968" i="1"/>
  <c r="R3014" i="1"/>
  <c r="P3014" i="1"/>
  <c r="R3023" i="1"/>
  <c r="P3023" i="1"/>
  <c r="W3032" i="1"/>
  <c r="V3032" i="1"/>
  <c r="U3032" i="1"/>
  <c r="T3032" i="1"/>
  <c r="R3059" i="1"/>
  <c r="P3059" i="1"/>
  <c r="R3103" i="1"/>
  <c r="P3103" i="1"/>
  <c r="R3115" i="1"/>
  <c r="P3115" i="1"/>
  <c r="S3134" i="1"/>
  <c r="O3134" i="1"/>
  <c r="Q3139" i="1"/>
  <c r="T3139" i="1"/>
  <c r="W3139" i="1"/>
  <c r="V3139" i="1"/>
  <c r="U3139" i="1"/>
  <c r="Q3039" i="1"/>
  <c r="T3039" i="1"/>
  <c r="V3039" i="1"/>
  <c r="U3039" i="1"/>
  <c r="W3057" i="1"/>
  <c r="V3057" i="1"/>
  <c r="U3057" i="1"/>
  <c r="T3057" i="1"/>
  <c r="Q3057" i="1"/>
  <c r="Q3094" i="1"/>
  <c r="T3094" i="1"/>
  <c r="S3115" i="1"/>
  <c r="O3115" i="1"/>
  <c r="R3139" i="1"/>
  <c r="P3139" i="1"/>
  <c r="T2970" i="1"/>
  <c r="Q2970" i="1"/>
  <c r="W3012" i="1"/>
  <c r="V3012" i="1"/>
  <c r="U3012" i="1"/>
  <c r="T3012" i="1"/>
  <c r="R3039" i="1"/>
  <c r="P3039" i="1"/>
  <c r="T3055" i="1"/>
  <c r="Q3055" i="1"/>
  <c r="R3073" i="1"/>
  <c r="P3073" i="1"/>
  <c r="T3085" i="1"/>
  <c r="Q3085" i="1"/>
  <c r="R3094" i="1"/>
  <c r="P3094" i="1"/>
  <c r="O2950" i="1"/>
  <c r="O2968" i="1"/>
  <c r="Q3019" i="1"/>
  <c r="T3019" i="1"/>
  <c r="V3019" i="1"/>
  <c r="U3019" i="1"/>
  <c r="O3028" i="1"/>
  <c r="O3032" i="1"/>
  <c r="W3037" i="1"/>
  <c r="V3037" i="1"/>
  <c r="U3037" i="1"/>
  <c r="T3037" i="1"/>
  <c r="Q3037" i="1"/>
  <c r="Q3064" i="1"/>
  <c r="T3064" i="1"/>
  <c r="R3085" i="1"/>
  <c r="P3085" i="1"/>
  <c r="O3122" i="1"/>
  <c r="Q3144" i="1"/>
  <c r="T3144" i="1"/>
  <c r="Q2959" i="1"/>
  <c r="W2963" i="1"/>
  <c r="U2963" i="1"/>
  <c r="Q2976" i="1"/>
  <c r="T2990" i="1"/>
  <c r="Q2990" i="1"/>
  <c r="Q3012" i="1"/>
  <c r="R3044" i="1"/>
  <c r="P3044" i="1"/>
  <c r="R3053" i="1"/>
  <c r="P3053" i="1"/>
  <c r="U3055" i="1"/>
  <c r="W3062" i="1"/>
  <c r="V3062" i="1"/>
  <c r="U3062" i="1"/>
  <c r="T3062" i="1"/>
  <c r="W3085" i="1"/>
  <c r="Q3090" i="1"/>
  <c r="O2907" i="1"/>
  <c r="O2912" i="1"/>
  <c r="O2917" i="1"/>
  <c r="O2922" i="1"/>
  <c r="O2927" i="1"/>
  <c r="O2932" i="1"/>
  <c r="O2937" i="1"/>
  <c r="O2942" i="1"/>
  <c r="O2947" i="1"/>
  <c r="U2950" i="1"/>
  <c r="O2954" i="1"/>
  <c r="U2957" i="1"/>
  <c r="O2961" i="1"/>
  <c r="T2968" i="1"/>
  <c r="U2970" i="1"/>
  <c r="O2980" i="1"/>
  <c r="W2998" i="1"/>
  <c r="V2998" i="1"/>
  <c r="U2998" i="1"/>
  <c r="Q3024" i="1"/>
  <c r="T3024" i="1"/>
  <c r="V3055" i="1"/>
  <c r="R3083" i="1"/>
  <c r="P3083" i="1"/>
  <c r="O3088" i="1"/>
  <c r="O3092" i="1"/>
  <c r="T3095" i="1"/>
  <c r="Q3095" i="1"/>
  <c r="R3104" i="1"/>
  <c r="P3104" i="1"/>
  <c r="T2920" i="1"/>
  <c r="T2925" i="1"/>
  <c r="T2930" i="1"/>
  <c r="T2935" i="1"/>
  <c r="T2940" i="1"/>
  <c r="T2945" i="1"/>
  <c r="V2950" i="1"/>
  <c r="V2957" i="1"/>
  <c r="T2965" i="1"/>
  <c r="Q2965" i="1"/>
  <c r="V2968" i="1"/>
  <c r="V2970" i="1"/>
  <c r="T2972" i="1"/>
  <c r="O2988" i="1"/>
  <c r="O2994" i="1"/>
  <c r="O2996" i="1"/>
  <c r="T3000" i="1"/>
  <c r="Q3000" i="1"/>
  <c r="O3015" i="1"/>
  <c r="R3024" i="1"/>
  <c r="P3024" i="1"/>
  <c r="R3033" i="1"/>
  <c r="P3033" i="1"/>
  <c r="O3040" i="1"/>
  <c r="W3042" i="1"/>
  <c r="V3042" i="1"/>
  <c r="U3042" i="1"/>
  <c r="T3042" i="1"/>
  <c r="O3044" i="1"/>
  <c r="O3053" i="1"/>
  <c r="W3055" i="1"/>
  <c r="W3064" i="1"/>
  <c r="Q3074" i="1"/>
  <c r="T3074" i="1"/>
  <c r="R3095" i="1"/>
  <c r="P3095" i="1"/>
  <c r="U2920" i="1"/>
  <c r="U2925" i="1"/>
  <c r="U2930" i="1"/>
  <c r="U2935" i="1"/>
  <c r="U2940" i="1"/>
  <c r="U2945" i="1"/>
  <c r="T2952" i="1"/>
  <c r="T2959" i="1"/>
  <c r="W2970" i="1"/>
  <c r="U2972" i="1"/>
  <c r="T2976" i="1"/>
  <c r="P2988" i="1"/>
  <c r="Q2992" i="1"/>
  <c r="P2994" i="1"/>
  <c r="P2996" i="1"/>
  <c r="P3015" i="1"/>
  <c r="P3040" i="1"/>
  <c r="Q3049" i="1"/>
  <c r="T3049" i="1"/>
  <c r="V3049" i="1"/>
  <c r="U3049" i="1"/>
  <c r="T3065" i="1"/>
  <c r="Q3065" i="1"/>
  <c r="R3074" i="1"/>
  <c r="P3074" i="1"/>
  <c r="T3090" i="1"/>
  <c r="S3095" i="1"/>
  <c r="O3095" i="1"/>
  <c r="V2952" i="1"/>
  <c r="V2959" i="1"/>
  <c r="Q2963" i="1"/>
  <c r="V2976" i="1"/>
  <c r="U2990" i="1"/>
  <c r="Q3002" i="1"/>
  <c r="U3008" i="1"/>
  <c r="U3024" i="1"/>
  <c r="Q3029" i="1"/>
  <c r="T3029" i="1"/>
  <c r="V3029" i="1"/>
  <c r="U3029" i="1"/>
  <c r="W3047" i="1"/>
  <c r="V3047" i="1"/>
  <c r="U3047" i="1"/>
  <c r="T3047" i="1"/>
  <c r="Q3047" i="1"/>
  <c r="Q3062" i="1"/>
  <c r="S3065" i="1"/>
  <c r="O3065" i="1"/>
  <c r="V3090" i="1"/>
  <c r="V3095" i="1"/>
  <c r="S3128" i="1"/>
  <c r="S3133" i="1"/>
  <c r="O3133" i="1"/>
  <c r="W2973" i="1"/>
  <c r="V2973" i="1"/>
  <c r="U2973" i="1"/>
  <c r="V2990" i="1"/>
  <c r="Q2998" i="1"/>
  <c r="P3000" i="1"/>
  <c r="S3006" i="1"/>
  <c r="O3013" i="1"/>
  <c r="V3024" i="1"/>
  <c r="R3029" i="1"/>
  <c r="P3029" i="1"/>
  <c r="T3045" i="1"/>
  <c r="Q3045" i="1"/>
  <c r="U3065" i="1"/>
  <c r="W3072" i="1"/>
  <c r="V3072" i="1"/>
  <c r="U3072" i="1"/>
  <c r="T3072" i="1"/>
  <c r="U3074" i="1"/>
  <c r="W3095" i="1"/>
  <c r="R3114" i="1"/>
  <c r="P3114" i="1"/>
  <c r="P3145" i="1"/>
  <c r="W3132" i="1"/>
  <c r="V3132" i="1"/>
  <c r="U3132" i="1"/>
  <c r="T3132" i="1"/>
  <c r="R3134" i="1"/>
  <c r="P3134" i="1"/>
  <c r="W3142" i="1"/>
  <c r="V3142" i="1"/>
  <c r="U3142" i="1"/>
  <c r="T3142" i="1"/>
  <c r="R3144" i="1"/>
  <c r="P3144" i="1"/>
  <c r="W3102" i="1"/>
  <c r="V3102" i="1"/>
  <c r="U3102" i="1"/>
  <c r="T3102" i="1"/>
  <c r="Q3104" i="1"/>
  <c r="T3104" i="1"/>
  <c r="W3112" i="1"/>
  <c r="V3112" i="1"/>
  <c r="U3112" i="1"/>
  <c r="T3112" i="1"/>
  <c r="Q3114" i="1"/>
  <c r="T3114" i="1"/>
  <c r="W3122" i="1"/>
  <c r="V3122" i="1"/>
  <c r="U3122" i="1"/>
  <c r="T3122" i="1"/>
  <c r="R3124" i="1"/>
  <c r="P3124" i="1"/>
  <c r="O3144" i="1"/>
  <c r="W3127" i="1"/>
  <c r="V3127" i="1"/>
  <c r="U3127" i="1"/>
  <c r="T3127" i="1"/>
  <c r="R3129" i="1"/>
  <c r="P3129" i="1"/>
  <c r="W3067" i="1"/>
  <c r="V3067" i="1"/>
  <c r="U3067" i="1"/>
  <c r="T3067" i="1"/>
  <c r="Q3069" i="1"/>
  <c r="T3069" i="1"/>
  <c r="W3077" i="1"/>
  <c r="V3077" i="1"/>
  <c r="U3077" i="1"/>
  <c r="T3077" i="1"/>
  <c r="Q3079" i="1"/>
  <c r="T3079" i="1"/>
  <c r="W3087" i="1"/>
  <c r="V3087" i="1"/>
  <c r="U3087" i="1"/>
  <c r="T3087" i="1"/>
  <c r="Q3089" i="1"/>
  <c r="T3089" i="1"/>
  <c r="W3097" i="1"/>
  <c r="V3097" i="1"/>
  <c r="U3097" i="1"/>
  <c r="T3097" i="1"/>
  <c r="Q3099" i="1"/>
  <c r="T3099" i="1"/>
  <c r="W3107" i="1"/>
  <c r="V3107" i="1"/>
  <c r="U3107" i="1"/>
  <c r="T3107" i="1"/>
  <c r="Q3109" i="1"/>
  <c r="T3109" i="1"/>
  <c r="W3117" i="1"/>
  <c r="V3117" i="1"/>
  <c r="U3117" i="1"/>
  <c r="T3117" i="1"/>
  <c r="Q3119" i="1"/>
  <c r="T3119" i="1"/>
  <c r="O3139" i="1"/>
  <c r="O3063" i="1"/>
  <c r="R3069" i="1"/>
  <c r="P3069" i="1"/>
  <c r="O3073" i="1"/>
  <c r="R3079" i="1"/>
  <c r="P3079" i="1"/>
  <c r="O3083" i="1"/>
  <c r="R3089" i="1"/>
  <c r="P3089" i="1"/>
  <c r="O3093" i="1"/>
  <c r="R3099" i="1"/>
  <c r="P3099" i="1"/>
  <c r="O3103" i="1"/>
  <c r="R3109" i="1"/>
  <c r="P3109" i="1"/>
  <c r="O3113" i="1"/>
  <c r="R3119" i="1"/>
  <c r="P3119" i="1"/>
  <c r="O3129" i="1"/>
  <c r="O3137" i="1"/>
  <c r="O3147" i="1"/>
  <c r="P3137" i="1"/>
  <c r="P3147" i="1"/>
  <c r="R3123" i="1"/>
  <c r="P3127" i="1"/>
  <c r="U3069" i="1"/>
  <c r="U3079" i="1"/>
  <c r="U3089" i="1"/>
  <c r="U3099" i="1"/>
  <c r="U3109" i="1"/>
  <c r="U3119" i="1"/>
  <c r="Q3127" i="1"/>
  <c r="Q3067" i="1"/>
  <c r="V3069" i="1"/>
  <c r="Q3077" i="1"/>
  <c r="V3079" i="1"/>
  <c r="Q3087" i="1"/>
  <c r="V3089" i="1"/>
  <c r="Q3097" i="1"/>
  <c r="V3099" i="1"/>
  <c r="Q3107" i="1"/>
  <c r="V3109" i="1"/>
  <c r="Q3117" i="1"/>
  <c r="V3119" i="1"/>
  <c r="S489" i="1" l="1"/>
  <c r="V545" i="1"/>
  <c r="T633" i="1"/>
  <c r="S634" i="1"/>
  <c r="V696" i="1"/>
  <c r="S696" i="1"/>
  <c r="S532" i="1"/>
  <c r="S623" i="1"/>
  <c r="U524" i="1"/>
  <c r="T445" i="1"/>
  <c r="T534" i="1"/>
  <c r="V487" i="1"/>
  <c r="S362" i="1"/>
  <c r="T555" i="1"/>
  <c r="S393" i="1"/>
  <c r="T293" i="1"/>
  <c r="S580" i="1"/>
  <c r="T544" i="1"/>
  <c r="S625" i="1"/>
  <c r="S325" i="1"/>
  <c r="S295" i="1"/>
  <c r="V89" i="1"/>
  <c r="S242" i="1"/>
  <c r="V242" i="1"/>
  <c r="S250" i="1"/>
  <c r="T166" i="1"/>
  <c r="S298" i="1"/>
  <c r="S305" i="1"/>
  <c r="T208" i="1"/>
  <c r="S432" i="1"/>
  <c r="T228" i="1"/>
  <c r="V279" i="1"/>
  <c r="S370" i="1"/>
  <c r="S104" i="1"/>
  <c r="S9" i="1"/>
  <c r="S49" i="1"/>
  <c r="S87" i="1"/>
  <c r="S96" i="1"/>
  <c r="U682" i="1"/>
  <c r="T613" i="1"/>
  <c r="S468" i="1"/>
  <c r="S620" i="1"/>
  <c r="S546" i="1"/>
  <c r="U449" i="1"/>
  <c r="S608" i="1"/>
  <c r="T549" i="1"/>
  <c r="S507" i="1"/>
  <c r="S439" i="1"/>
  <c r="S342" i="1"/>
  <c r="T269" i="1"/>
  <c r="S269" i="1"/>
  <c r="U596" i="1"/>
  <c r="S424" i="1"/>
  <c r="S372" i="1"/>
  <c r="S492" i="1"/>
  <c r="V84" i="1"/>
  <c r="U317" i="1"/>
  <c r="T59" i="1"/>
  <c r="V628" i="1"/>
  <c r="S628" i="1"/>
  <c r="S163" i="1"/>
  <c r="S437" i="1"/>
  <c r="S261" i="1"/>
  <c r="S294" i="1"/>
  <c r="V60" i="1"/>
  <c r="S418" i="1"/>
  <c r="U156" i="1"/>
  <c r="S405" i="1"/>
  <c r="S171" i="1"/>
  <c r="S273" i="1"/>
  <c r="S82" i="1"/>
  <c r="S52" i="1"/>
  <c r="S91" i="1"/>
  <c r="S10" i="1"/>
  <c r="V677" i="1"/>
  <c r="S466" i="1"/>
  <c r="V375" i="1"/>
  <c r="S210" i="1"/>
  <c r="S410" i="1"/>
  <c r="V223" i="1"/>
  <c r="S333" i="1"/>
  <c r="S614" i="1"/>
  <c r="T693" i="1"/>
  <c r="S693" i="1"/>
  <c r="S575" i="1"/>
  <c r="S650" i="1"/>
  <c r="T500" i="1"/>
  <c r="S684" i="1"/>
  <c r="S324" i="1"/>
  <c r="S640" i="1"/>
  <c r="S397" i="1"/>
  <c r="T421" i="1"/>
  <c r="S215" i="1"/>
  <c r="S442" i="1"/>
  <c r="U225" i="1"/>
  <c r="S311" i="1"/>
  <c r="V221" i="1"/>
  <c r="U246" i="1"/>
  <c r="S180" i="1"/>
  <c r="T251" i="1"/>
  <c r="S94" i="1"/>
  <c r="T204" i="1"/>
  <c r="S244" i="1"/>
  <c r="S77" i="1"/>
  <c r="S86" i="1"/>
  <c r="S266" i="1"/>
  <c r="T566" i="1"/>
  <c r="S699" i="1"/>
  <c r="T606" i="1"/>
  <c r="S379" i="1"/>
  <c r="U379" i="1"/>
  <c r="T573" i="1"/>
  <c r="S426" i="1"/>
  <c r="S480" i="1"/>
  <c r="U413" i="1"/>
  <c r="S461" i="1"/>
  <c r="T378" i="1"/>
  <c r="U651" i="1"/>
  <c r="T154" i="1"/>
  <c r="T54" i="1"/>
  <c r="V433" i="1"/>
  <c r="S433" i="1"/>
  <c r="V478" i="1"/>
  <c r="S478" i="1"/>
  <c r="V653" i="1"/>
  <c r="S653" i="1"/>
  <c r="V570" i="1"/>
  <c r="S570" i="1"/>
  <c r="S312" i="1"/>
  <c r="V271" i="1"/>
  <c r="S271" i="1"/>
  <c r="S265" i="1"/>
  <c r="S334" i="1"/>
  <c r="S530" i="1"/>
  <c r="S72" i="1"/>
  <c r="S81" i="1"/>
  <c r="U460" i="1"/>
  <c r="S662" i="1"/>
  <c r="U374" i="1"/>
  <c r="S374" i="1"/>
  <c r="S501" i="1"/>
  <c r="T316" i="1"/>
  <c r="S536" i="1"/>
  <c r="V187" i="1"/>
  <c r="S187" i="1"/>
  <c r="S602" i="1"/>
  <c r="V577" i="1"/>
  <c r="S577" i="1"/>
  <c r="S380" i="1"/>
  <c r="S277" i="1"/>
  <c r="U464" i="1"/>
  <c r="T254" i="1"/>
  <c r="S315" i="1"/>
  <c r="S588" i="1"/>
  <c r="S539" i="1"/>
  <c r="S186" i="1"/>
  <c r="S224" i="1"/>
  <c r="S76" i="1"/>
  <c r="S97" i="1"/>
  <c r="S661" i="1"/>
  <c r="U661" i="1"/>
  <c r="T697" i="1"/>
  <c r="S599" i="1"/>
  <c r="S446" i="1"/>
  <c r="V671" i="1"/>
  <c r="S671" i="1"/>
  <c r="S369" i="1"/>
  <c r="U369" i="1"/>
  <c r="S429" i="1"/>
  <c r="S592" i="1"/>
  <c r="S529" i="1"/>
  <c r="S585" i="1"/>
  <c r="T270" i="1"/>
  <c r="S412" i="1"/>
  <c r="T149" i="1"/>
  <c r="V331" i="1"/>
  <c r="S331" i="1"/>
  <c r="S301" i="1"/>
  <c r="V285" i="1"/>
  <c r="S285" i="1"/>
  <c r="T205" i="1"/>
  <c r="S235" i="1"/>
  <c r="S26" i="1"/>
  <c r="S2" i="1"/>
  <c r="S161" i="1"/>
  <c r="S62" i="1"/>
  <c r="S71" i="1"/>
  <c r="T668" i="1"/>
  <c r="S668" i="1"/>
  <c r="S648" i="1"/>
  <c r="U359" i="1"/>
  <c r="S359" i="1"/>
  <c r="S678" i="1"/>
  <c r="S571" i="1"/>
  <c r="W694" i="1"/>
  <c r="T477" i="1"/>
  <c r="S537" i="1"/>
  <c r="S384" i="1"/>
  <c r="S267" i="1"/>
  <c r="S503" i="1"/>
  <c r="S398" i="1"/>
  <c r="S447" i="1"/>
  <c r="V313" i="1"/>
  <c r="S313" i="1"/>
  <c r="V641" i="1"/>
  <c r="S641" i="1"/>
  <c r="U75" i="1"/>
  <c r="S22" i="1"/>
  <c r="S219" i="1"/>
  <c r="S280" i="1"/>
  <c r="S157" i="1"/>
  <c r="S66" i="1"/>
  <c r="S56" i="1"/>
  <c r="S589" i="1"/>
  <c r="S92" i="1"/>
  <c r="S681" i="1"/>
  <c r="S644" i="1"/>
  <c r="V692" i="1"/>
  <c r="S609" i="1"/>
  <c r="S416" i="1"/>
  <c r="S597" i="1"/>
  <c r="U475" i="1"/>
  <c r="V263" i="1"/>
  <c r="S490" i="1"/>
  <c r="S438" i="1"/>
  <c r="S367" i="1"/>
  <c r="S481" i="1"/>
  <c r="S245" i="1"/>
  <c r="T144" i="1"/>
  <c r="T44" i="1"/>
  <c r="S361" i="1"/>
  <c r="S183" i="1"/>
  <c r="S411" i="1"/>
  <c r="T423" i="1"/>
  <c r="S330" i="1"/>
  <c r="U243" i="1"/>
  <c r="S69" i="1"/>
  <c r="S30" i="1"/>
  <c r="S152" i="1"/>
  <c r="S47" i="1"/>
  <c r="S13" i="1"/>
  <c r="S70" i="1"/>
  <c r="S698" i="1"/>
  <c r="V407" i="1"/>
  <c r="S515" i="1"/>
  <c r="T425" i="1"/>
  <c r="U349" i="1"/>
  <c r="S349" i="1"/>
  <c r="S581" i="1"/>
  <c r="S441" i="1"/>
  <c r="T519" i="1"/>
  <c r="T260" i="1"/>
  <c r="S512" i="1"/>
  <c r="S376" i="1"/>
  <c r="S483" i="1"/>
  <c r="T357" i="1"/>
  <c r="S352" i="1"/>
  <c r="S363" i="1"/>
  <c r="V351" i="1"/>
  <c r="S351" i="1"/>
  <c r="S198" i="1"/>
  <c r="S255" i="1"/>
  <c r="U182" i="1"/>
  <c r="S209" i="1"/>
  <c r="S318" i="1"/>
  <c r="S296" i="1"/>
  <c r="S240" i="1"/>
  <c r="U248" i="1"/>
  <c r="S21" i="1"/>
  <c r="S249" i="1"/>
  <c r="S147" i="1"/>
  <c r="S385" i="1"/>
  <c r="S65" i="1"/>
  <c r="S629" i="1"/>
  <c r="S561" i="1"/>
  <c r="U598" i="1"/>
  <c r="S598" i="1"/>
  <c r="T679" i="1"/>
  <c r="S453" i="1"/>
  <c r="S586" i="1"/>
  <c r="S660" i="1"/>
  <c r="S551" i="1"/>
  <c r="V320" i="1"/>
  <c r="T471" i="1"/>
  <c r="T284" i="1"/>
  <c r="U165" i="1"/>
  <c r="S165" i="1"/>
  <c r="T139" i="1"/>
  <c r="T39" i="1"/>
  <c r="V473" i="1"/>
  <c r="S473" i="1"/>
  <c r="S354" i="1"/>
  <c r="S231" i="1"/>
  <c r="V203" i="1"/>
  <c r="S409" i="1"/>
  <c r="V624" i="1"/>
  <c r="S142" i="1"/>
  <c r="S216" i="1"/>
  <c r="S151" i="1"/>
  <c r="S184" i="1"/>
  <c r="S51" i="1"/>
  <c r="S172" i="1"/>
  <c r="T172" i="1"/>
  <c r="S297" i="1"/>
  <c r="V700" i="1"/>
  <c r="S521" i="1"/>
  <c r="S414" i="1"/>
  <c r="S701" i="1"/>
  <c r="U290" i="1"/>
  <c r="S290" i="1"/>
  <c r="S422" i="1"/>
  <c r="S371" i="1"/>
  <c r="T482" i="1"/>
  <c r="S347" i="1"/>
  <c r="V222" i="1"/>
  <c r="S222" i="1"/>
  <c r="S391" i="1"/>
  <c r="T169" i="1"/>
  <c r="S173" i="1"/>
  <c r="S402" i="1"/>
  <c r="T510" i="1"/>
  <c r="T218" i="1"/>
  <c r="S50" i="1"/>
  <c r="S137" i="1"/>
  <c r="S146" i="1"/>
  <c r="S174" i="1"/>
  <c r="S234" i="1"/>
  <c r="S639" i="1"/>
  <c r="U691" i="1"/>
  <c r="S691" i="1"/>
  <c r="S591" i="1"/>
  <c r="U591" i="1"/>
  <c r="S568" i="1"/>
  <c r="U329" i="1"/>
  <c r="S329" i="1"/>
  <c r="S314" i="1"/>
  <c r="S513" i="1"/>
  <c r="S212" i="1"/>
  <c r="S399" i="1"/>
  <c r="T327" i="1"/>
  <c r="S220" i="1"/>
  <c r="S28" i="1"/>
  <c r="S132" i="1"/>
  <c r="S179" i="1"/>
  <c r="S141" i="1"/>
  <c r="S150" i="1"/>
  <c r="V306" i="1"/>
  <c r="S306" i="1"/>
  <c r="S229" i="1"/>
  <c r="S686" i="1"/>
  <c r="U686" i="1"/>
  <c r="S672" i="1"/>
  <c r="S511" i="1"/>
  <c r="U495" i="1"/>
  <c r="S632" i="1"/>
  <c r="T299" i="1"/>
  <c r="S299" i="1"/>
  <c r="S366" i="1"/>
  <c r="S550" i="1"/>
  <c r="S339" i="1"/>
  <c r="S663" i="1"/>
  <c r="T206" i="1"/>
  <c r="S287" i="1"/>
  <c r="S191" i="1"/>
  <c r="S57" i="1"/>
  <c r="S136" i="1"/>
  <c r="S145" i="1"/>
  <c r="T605" i="1"/>
  <c r="S605" i="1"/>
  <c r="T618" i="1"/>
  <c r="S637" i="1"/>
  <c r="T576" i="1"/>
  <c r="S576" i="1"/>
  <c r="S564" i="1"/>
  <c r="S508" i="1"/>
  <c r="S541" i="1"/>
  <c r="S526" i="1"/>
  <c r="S688" i="1"/>
  <c r="S506" i="1"/>
  <c r="S309" i="1"/>
  <c r="T465" i="1"/>
  <c r="S611" i="1"/>
  <c r="S394" i="1"/>
  <c r="S289" i="1"/>
  <c r="S408" i="1"/>
  <c r="V264" i="1"/>
  <c r="S264" i="1"/>
  <c r="V202" i="1"/>
  <c r="S202" i="1"/>
  <c r="S185" i="1"/>
  <c r="T129" i="1"/>
  <c r="S493" i="1"/>
  <c r="S450" i="1"/>
  <c r="T45" i="1"/>
  <c r="S195" i="1"/>
  <c r="S178" i="1"/>
  <c r="S8" i="1"/>
  <c r="S122" i="1"/>
  <c r="S131" i="1"/>
  <c r="S61" i="1"/>
  <c r="S140" i="1"/>
  <c r="T675" i="1"/>
  <c r="S675" i="1"/>
  <c r="S556" i="1"/>
  <c r="S643" i="1"/>
  <c r="T625" i="1"/>
  <c r="S292" i="1"/>
  <c r="T595" i="1"/>
  <c r="S595" i="1"/>
  <c r="S282" i="1"/>
  <c r="T261" i="1"/>
  <c r="S247" i="1"/>
  <c r="U275" i="1"/>
  <c r="S420" i="1"/>
  <c r="T40" i="1"/>
  <c r="S308" i="1"/>
  <c r="T398" i="1"/>
  <c r="S117" i="1"/>
  <c r="S126" i="1"/>
  <c r="S135" i="1"/>
  <c r="S626" i="1"/>
  <c r="T626" i="1"/>
  <c r="S193" i="1"/>
  <c r="V666" i="1"/>
  <c r="S666" i="1"/>
  <c r="S491" i="1"/>
  <c r="S616" i="1"/>
  <c r="S516" i="1"/>
  <c r="U680" i="1"/>
  <c r="S680" i="1"/>
  <c r="S476" i="1"/>
  <c r="S457" i="1"/>
  <c r="S486" i="1"/>
  <c r="S463" i="1"/>
  <c r="S552" i="1"/>
  <c r="T403" i="1"/>
  <c r="T259" i="1"/>
  <c r="S259" i="1"/>
  <c r="S200" i="1"/>
  <c r="T26" i="1"/>
  <c r="S230" i="1"/>
  <c r="S162" i="1"/>
  <c r="T363" i="1"/>
  <c r="S164" i="1"/>
  <c r="S196" i="1"/>
  <c r="S112" i="1"/>
  <c r="S121" i="1"/>
  <c r="S42" i="1"/>
  <c r="S19" i="1"/>
</calcChain>
</file>

<file path=xl/sharedStrings.xml><?xml version="1.0" encoding="utf-8"?>
<sst xmlns="http://schemas.openxmlformats.org/spreadsheetml/2006/main" count="54" uniqueCount="50">
  <si>
    <t xml:space="preserve">AR6, 100-year GWP </t>
  </si>
  <si>
    <t>Sum of land prep through harvesting GWP (kg CO2e/kg wet biomass)</t>
  </si>
  <si>
    <t>Transportation GWP (kg CO2e/kg-km)</t>
  </si>
  <si>
    <t>Gasification GWP (kg CO2e/kg H2)</t>
  </si>
  <si>
    <t>CO2 T&amp;S GWP (kg CO2e/kg CO2)
transport distance is for 100 mi</t>
  </si>
  <si>
    <t>Moisture content of biomass (kg water/kg biomass)</t>
  </si>
  <si>
    <t>MC using</t>
  </si>
  <si>
    <t>Sum of land prep through harvesting GWP (kg CO2e/dry ton biomass)</t>
  </si>
  <si>
    <t>Average MC</t>
  </si>
  <si>
    <t>Average LCA</t>
  </si>
  <si>
    <t>Dry tons per plant</t>
  </si>
  <si>
    <t>Land Prep to Roadside</t>
  </si>
  <si>
    <t>Transportation LCA (roadside-plant gate) (CO2e)</t>
  </si>
  <si>
    <t>Gasification (CO2e)</t>
  </si>
  <si>
    <t>T&amp;S</t>
  </si>
  <si>
    <t>total LCA?</t>
  </si>
  <si>
    <t>Willow</t>
  </si>
  <si>
    <t>Pine</t>
  </si>
  <si>
    <t>Poplar</t>
  </si>
  <si>
    <t>Pruning residues, citrus</t>
  </si>
  <si>
    <t>Pruning residues, noncitrus</t>
  </si>
  <si>
    <t>Pruning residues, tree nuts</t>
  </si>
  <si>
    <t>Eucalyptus</t>
  </si>
  <si>
    <t>Barley straw</t>
  </si>
  <si>
    <t>Biomass sorghum</t>
  </si>
  <si>
    <t>Corn stover</t>
  </si>
  <si>
    <t>Cotton field residues</t>
  </si>
  <si>
    <t>Cotton gin trash</t>
  </si>
  <si>
    <t>Energy cane</t>
  </si>
  <si>
    <t>Miscanthus</t>
  </si>
  <si>
    <t>Oats straw</t>
  </si>
  <si>
    <t>Sorghum stubble</t>
  </si>
  <si>
    <t>Switchgrass</t>
  </si>
  <si>
    <t>Wheat straw</t>
  </si>
  <si>
    <t>Plastic</t>
  </si>
  <si>
    <t>Paper/Cardboard</t>
  </si>
  <si>
    <t>MSW</t>
  </si>
  <si>
    <t>Fire reduction thinnings</t>
  </si>
  <si>
    <t>Forest processing waste</t>
  </si>
  <si>
    <t>Logging residues</t>
  </si>
  <si>
    <t>Other forest waste</t>
  </si>
  <si>
    <t>Small diameter trees</t>
  </si>
  <si>
    <t>* All biomass types filled out included grinding, torrefaction (with natural gas), and pelletization</t>
  </si>
  <si>
    <t>Average Gasification GWP Woody</t>
  </si>
  <si>
    <t>LCA: Transport-Storage CO2</t>
  </si>
  <si>
    <t>Average Gasification GWP herb</t>
  </si>
  <si>
    <t>Average Gasification GWP paper, cardboard, plastics</t>
  </si>
  <si>
    <t>Plastic = LDPE</t>
  </si>
  <si>
    <t>Average Gasification GWP forest</t>
  </si>
  <si>
    <t>Paper= newspaper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</si>
</sst>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2" borderId="0" xfId="0" applyNumberFormat="1" applyFill="1" applyAlignment="1">
      <alignment wrapText="1"/>
    </xf>
    <xf numFmtId="2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GIS%20Work%20Files/GIS%20drive%2010_24/GIS%20Drive%20Files/GassificationTool_Jan2026.xlsm" TargetMode="External"/><Relationship Id="rId2" Type="http://schemas.openxmlformats.org/officeDocument/2006/relationships/externalLinkPath" Target="file:///E:\GIS%20Work%20Files\GIS%20drive%2010_24\GIS%20Drive%20Files\GassificationTool_Jan2026.xlsm" TargetMode="External"/><Relationship Id="rId1" Type="http://schemas.openxmlformats.org/officeDocument/2006/relationships/externalLinkPath" Target="/GIS%20Work%20Files/GIS%20drive%2010_24/GIS%20Drive%20Files/GassificationTool_Jan20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PROJECTS/DOE/Market%20Based%20-%20Update%202009%20-%20Bituminous%20Baseline%20Vol%201/estimate%20files/Case%209/Bituminous%20Baseline%20-%20Case%209%20-%20SubPC%20-%202009-Jun-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ldoe.sharepoint.com/Common/Subsurface/205.010%20-%20HEEI%20CO2/CO2_S_COM%20results/CO2_S_COM_v4_HEEI_real_dj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mykeylogic.sharepoint.com/PROD75-FS6/Common/Common/TEA/MESA/CLIN2/Sub_Clin%20201/Activity%20008%20-%20Gasification/Sub-Activity%2017/H2%20Sub-Activity/Models/Gasification/201_001_Case%206%202x3%20WGS%20(75%25%20recovery)_TL_RevE_20210412_egl.xlsm?985A9235" TargetMode="External"/><Relationship Id="rId1" Type="http://schemas.openxmlformats.org/officeDocument/2006/relationships/externalLinkPath" Target="file:///\\985A9235\201_001_Case%206%202x3%20WGS%20(75%25%20recovery)_TL_RevE_20210412_egl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Common/TEA/MESA/CLIN2/Sub_Clin%20201/Activity%20008%20-%20Gasification/Sub-Activity%2017/H2%20Sub-Activity/Models/SMR/201_001_Case%201_RevF_20210310_sdm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Users/bwall/Desktop/200629%20-%20MESA/2300.202/2300.202.031%20-%20Hydrogen%20Earthshot%20Technology%20Initiative%20Analysis/CO2%20pipeline%20transport%20LC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Users/bwall/Desktop/200629%20-%20MESA/2300.202/2300.202.031%20-%20Hydrogen%20Earthshot%20Technology%20Initiative%20Analysis/201.008.017_LCOH%20Spreadsheet_RevU_20211007_egl.xlsm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https://netldoe.sharepoint.com/Common/Subsurface/205.001%20-%20Onshore%20Storage%20of%20CO2/Sub-Activity%2026%20CCUS%20Ecosystem/Task%202%20-%20Upgrade%20CTS%20Tool/Existing%20CTS%20Tools/from%20HyBlend%20(CO2_T_COM%20only)/CO2_T_COM%20screening%20tool%20DRAFT%20v3_2.xlsx?25369161" TargetMode="External"/><Relationship Id="rId1" Type="http://schemas.openxmlformats.org/officeDocument/2006/relationships/externalLinkPath" Target="file:///\\25369161\CO2_T_COM%20screening%20tool%20DRAFT%20v3_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Common/TEA/MESA/CLIN2/Sub_Clin%20201/Activity%20001%20-%20Multi%20Program%20Support/Task%201%20-%20Bit%20Baseline/Models/PC/201_001_B11A_TL_RevBW_20181107_MJT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ldoe.sharepoint.com/Common/Subsurface/205.010%20-%20HEEI%20CO2/CO2_T_COM%20results/CO2_T_COM_v3b_2021_08_16_djm_tw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sion"/>
      <sheetName val="Tab Key"/>
      <sheetName val="CO2 Cases"/>
      <sheetName val="T+S Costs"/>
      <sheetName val="Source Site Coordinates"/>
      <sheetName val="Transport Dist Calculator"/>
      <sheetName val="Source Types"/>
      <sheetName val="Input Output Interface"/>
      <sheetName val="Overview READ FIRST"/>
      <sheetName val="Inputs_Outputs"/>
      <sheetName val="Map of Counties w 1 plant"/>
      <sheetName val="Map of Transportation Costs"/>
      <sheetName val="Map of Plant LCA"/>
      <sheetName val="Map of Plant LCOH"/>
      <sheetName val="All Data "/>
      <sheetName val="Prices by Scenario"/>
      <sheetName val="Choices"/>
      <sheetName val="Transportation"/>
      <sheetName val="LOCH Calc COE Calc"/>
      <sheetName val="Abbv List"/>
      <sheetName val="READ_ME_FIRST"/>
      <sheetName val="User Guide"/>
      <sheetName val="LCA"/>
      <sheetName val="Net-Zero O&amp;M"/>
      <sheetName val="Net-Zero Cap"/>
      <sheetName val="Escalation Rates"/>
      <sheetName val="CIS"/>
      <sheetName val="CO2_T_COM Results"/>
      <sheetName val="CO2_S_COM Results"/>
      <sheetName val="75 oil CO2_E_COM cases"/>
      <sheetName val="OilFldData orig"/>
      <sheetName val="45Q worksheet"/>
      <sheetName val="CO2 Source Annual Cash 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 t="str">
            <v>Paper</v>
          </cell>
        </row>
      </sheetData>
      <sheetData sheetId="10"/>
      <sheetData sheetId="11"/>
      <sheetData sheetId="12"/>
      <sheetData sheetId="13"/>
      <sheetData sheetId="14">
        <row r="7">
          <cell r="BB7" t="str">
            <v>TX</v>
          </cell>
          <cell r="BC7">
            <v>3507068</v>
          </cell>
          <cell r="BE7">
            <v>5.5E-2</v>
          </cell>
          <cell r="BF7">
            <v>4767.5627999999997</v>
          </cell>
          <cell r="BH7">
            <v>13</v>
          </cell>
        </row>
        <row r="8">
          <cell r="BB8" t="str">
            <v>TX</v>
          </cell>
          <cell r="BC8">
            <v>3383090</v>
          </cell>
          <cell r="BE8">
            <v>5.5E-2</v>
          </cell>
          <cell r="BF8">
            <v>4767.5627999999997</v>
          </cell>
          <cell r="BH8">
            <v>12</v>
          </cell>
        </row>
        <row r="9">
          <cell r="BB9" t="str">
            <v>TX</v>
          </cell>
          <cell r="BC9">
            <v>3352017</v>
          </cell>
          <cell r="BE9">
            <v>5.5E-2</v>
          </cell>
          <cell r="BF9">
            <v>4767.5627999999997</v>
          </cell>
          <cell r="BH9">
            <v>12</v>
          </cell>
        </row>
        <row r="10">
          <cell r="BB10" t="str">
            <v>TX</v>
          </cell>
          <cell r="BC10">
            <v>3332212</v>
          </cell>
          <cell r="BE10">
            <v>5.5E-2</v>
          </cell>
          <cell r="BF10">
            <v>4767.5627999999997</v>
          </cell>
          <cell r="BH10">
            <v>12</v>
          </cell>
        </row>
        <row r="11">
          <cell r="BB11" t="str">
            <v>TX</v>
          </cell>
          <cell r="BC11">
            <v>3008098</v>
          </cell>
          <cell r="BE11">
            <v>5.5000000000000007E-2</v>
          </cell>
          <cell r="BF11">
            <v>4767.5627999999997</v>
          </cell>
          <cell r="BH11">
            <v>11</v>
          </cell>
        </row>
        <row r="12">
          <cell r="BB12" t="str">
            <v>FL</v>
          </cell>
          <cell r="BC12">
            <v>2734119</v>
          </cell>
          <cell r="BE12">
            <v>5.5000000000000007E-2</v>
          </cell>
          <cell r="BF12">
            <v>4767.5627999999997</v>
          </cell>
          <cell r="BH12">
            <v>10</v>
          </cell>
        </row>
        <row r="13">
          <cell r="BB13" t="str">
            <v>TX</v>
          </cell>
          <cell r="BC13">
            <v>2682088</v>
          </cell>
          <cell r="BE13">
            <v>5.5E-2</v>
          </cell>
          <cell r="BF13">
            <v>4767.5627999999997</v>
          </cell>
          <cell r="BH13">
            <v>9</v>
          </cell>
        </row>
        <row r="14">
          <cell r="BB14" t="str">
            <v>FL</v>
          </cell>
          <cell r="BC14">
            <v>2568335</v>
          </cell>
          <cell r="BE14">
            <v>5.4999999999999993E-2</v>
          </cell>
          <cell r="BF14">
            <v>4767.5627999999997</v>
          </cell>
          <cell r="BH14">
            <v>9</v>
          </cell>
        </row>
        <row r="15">
          <cell r="BB15" t="str">
            <v>TX</v>
          </cell>
          <cell r="BC15">
            <v>2530385</v>
          </cell>
          <cell r="BE15">
            <v>5.4999999999999993E-2</v>
          </cell>
          <cell r="BF15">
            <v>4767.5627999999997</v>
          </cell>
          <cell r="BH15">
            <v>9</v>
          </cell>
        </row>
        <row r="16">
          <cell r="BB16" t="str">
            <v>TX</v>
          </cell>
          <cell r="BC16">
            <v>2463229</v>
          </cell>
          <cell r="BE16">
            <v>5.5E-2</v>
          </cell>
          <cell r="BF16">
            <v>4767.5627999999997</v>
          </cell>
          <cell r="BH16">
            <v>9</v>
          </cell>
        </row>
        <row r="17">
          <cell r="BB17" t="str">
            <v>FL</v>
          </cell>
          <cell r="BC17">
            <v>2428714</v>
          </cell>
          <cell r="BE17">
            <v>5.4999999999999993E-2</v>
          </cell>
          <cell r="BF17">
            <v>4767.5627999999997</v>
          </cell>
          <cell r="BH17">
            <v>9</v>
          </cell>
        </row>
        <row r="18">
          <cell r="BB18" t="str">
            <v>TX</v>
          </cell>
          <cell r="BC18">
            <v>2368305</v>
          </cell>
          <cell r="BE18">
            <v>5.5E-2</v>
          </cell>
          <cell r="BF18">
            <v>4767.5627999999997</v>
          </cell>
          <cell r="BH18">
            <v>8</v>
          </cell>
        </row>
        <row r="19">
          <cell r="BB19" t="str">
            <v>GA</v>
          </cell>
          <cell r="BC19">
            <v>2063959</v>
          </cell>
          <cell r="BE19">
            <v>5.5E-2</v>
          </cell>
          <cell r="BF19">
            <v>4767.5627999999997</v>
          </cell>
          <cell r="BH19">
            <v>7</v>
          </cell>
        </row>
        <row r="20">
          <cell r="BB20" t="str">
            <v>FL</v>
          </cell>
          <cell r="BC20">
            <v>2049081</v>
          </cell>
          <cell r="BE20">
            <v>5.5E-2</v>
          </cell>
          <cell r="BF20">
            <v>4767.5627999999997</v>
          </cell>
          <cell r="BH20">
            <v>7</v>
          </cell>
        </row>
        <row r="21">
          <cell r="BB21" t="str">
            <v>FL</v>
          </cell>
          <cell r="BC21">
            <v>1974358</v>
          </cell>
          <cell r="BE21">
            <v>5.5E-2</v>
          </cell>
          <cell r="BF21">
            <v>4767.5627999999997</v>
          </cell>
          <cell r="BH21">
            <v>7</v>
          </cell>
        </row>
        <row r="22">
          <cell r="BB22" t="str">
            <v>GA</v>
          </cell>
          <cell r="BC22">
            <v>1971568</v>
          </cell>
          <cell r="BE22">
            <v>5.5E-2</v>
          </cell>
          <cell r="BF22">
            <v>4767.5627999999997</v>
          </cell>
          <cell r="BH22">
            <v>7</v>
          </cell>
        </row>
        <row r="23">
          <cell r="BB23" t="str">
            <v>GA</v>
          </cell>
          <cell r="BC23">
            <v>1943319</v>
          </cell>
          <cell r="BE23">
            <v>5.5E-2</v>
          </cell>
          <cell r="BF23">
            <v>4767.5627999999997</v>
          </cell>
          <cell r="BH23">
            <v>7</v>
          </cell>
        </row>
        <row r="24">
          <cell r="BB24" t="str">
            <v>GA</v>
          </cell>
          <cell r="BC24">
            <v>1917085</v>
          </cell>
          <cell r="BE24">
            <v>5.5E-2</v>
          </cell>
          <cell r="BF24">
            <v>4767.5627999999997</v>
          </cell>
          <cell r="BH24">
            <v>7</v>
          </cell>
        </row>
        <row r="25">
          <cell r="BB25" t="str">
            <v>GA</v>
          </cell>
          <cell r="BC25">
            <v>1866842</v>
          </cell>
          <cell r="BE25">
            <v>5.5E-2</v>
          </cell>
          <cell r="BF25">
            <v>4767.5627999999997</v>
          </cell>
          <cell r="BH25">
            <v>6</v>
          </cell>
        </row>
        <row r="26">
          <cell r="BB26" t="str">
            <v>GA</v>
          </cell>
          <cell r="BC26">
            <v>1851194</v>
          </cell>
          <cell r="BE26">
            <v>5.5E-2</v>
          </cell>
          <cell r="BF26">
            <v>4767.5627999999997</v>
          </cell>
          <cell r="BH26">
            <v>6</v>
          </cell>
        </row>
        <row r="27">
          <cell r="BB27" t="str">
            <v>FL</v>
          </cell>
          <cell r="BC27">
            <v>1762386</v>
          </cell>
          <cell r="BE27">
            <v>5.5E-2</v>
          </cell>
          <cell r="BF27">
            <v>4767.5627999999997</v>
          </cell>
          <cell r="BH27">
            <v>6</v>
          </cell>
        </row>
        <row r="28">
          <cell r="BB28" t="str">
            <v>TX</v>
          </cell>
          <cell r="BC28">
            <v>1716861</v>
          </cell>
          <cell r="BE28">
            <v>5.5E-2</v>
          </cell>
          <cell r="BF28">
            <v>4767.5627999999997</v>
          </cell>
          <cell r="BH28">
            <v>6</v>
          </cell>
        </row>
        <row r="29">
          <cell r="BB29" t="str">
            <v>GA</v>
          </cell>
          <cell r="BC29">
            <v>1701476</v>
          </cell>
          <cell r="BE29">
            <v>5.5000000000000007E-2</v>
          </cell>
          <cell r="BF29">
            <v>4767.5627999999997</v>
          </cell>
          <cell r="BH29">
            <v>6</v>
          </cell>
        </row>
        <row r="30">
          <cell r="BB30" t="str">
            <v>GA</v>
          </cell>
          <cell r="BC30">
            <v>1618783</v>
          </cell>
          <cell r="BE30">
            <v>5.5E-2</v>
          </cell>
          <cell r="BF30">
            <v>4767.5627999999997</v>
          </cell>
          <cell r="BH30">
            <v>6</v>
          </cell>
        </row>
        <row r="31">
          <cell r="BB31" t="str">
            <v>FL</v>
          </cell>
          <cell r="BC31">
            <v>1617849</v>
          </cell>
          <cell r="BE31">
            <v>5.5000000000000007E-2</v>
          </cell>
          <cell r="BF31">
            <v>4767.5627999999997</v>
          </cell>
          <cell r="BH31">
            <v>6</v>
          </cell>
        </row>
        <row r="32">
          <cell r="BB32" t="str">
            <v>VA</v>
          </cell>
          <cell r="BC32">
            <v>1585037</v>
          </cell>
          <cell r="BE32">
            <v>5.5E-2</v>
          </cell>
          <cell r="BF32">
            <v>4767.5627999999997</v>
          </cell>
          <cell r="BH32">
            <v>5</v>
          </cell>
        </row>
        <row r="33">
          <cell r="BB33" t="str">
            <v>TX</v>
          </cell>
          <cell r="BC33">
            <v>1566770</v>
          </cell>
          <cell r="BE33">
            <v>5.5E-2</v>
          </cell>
          <cell r="BF33">
            <v>4767.5627999999997</v>
          </cell>
          <cell r="BH33">
            <v>5</v>
          </cell>
        </row>
        <row r="34">
          <cell r="BB34" t="str">
            <v>VA</v>
          </cell>
          <cell r="BC34">
            <v>1563471</v>
          </cell>
          <cell r="BE34">
            <v>5.5E-2</v>
          </cell>
          <cell r="BF34">
            <v>4767.5627999999997</v>
          </cell>
          <cell r="BH34">
            <v>5</v>
          </cell>
        </row>
        <row r="35">
          <cell r="BB35" t="str">
            <v>MD</v>
          </cell>
          <cell r="BC35">
            <v>1557601</v>
          </cell>
          <cell r="BE35">
            <v>5.5000000000000007E-2</v>
          </cell>
          <cell r="BF35">
            <v>4767.5627999999997</v>
          </cell>
          <cell r="BH35">
            <v>5</v>
          </cell>
        </row>
        <row r="36">
          <cell r="BB36" t="str">
            <v>TX</v>
          </cell>
          <cell r="BC36">
            <v>1552626</v>
          </cell>
          <cell r="BE36">
            <v>5.5000000000000007E-2</v>
          </cell>
          <cell r="BF36">
            <v>4767.5627999999997</v>
          </cell>
          <cell r="BH36">
            <v>5</v>
          </cell>
        </row>
        <row r="37">
          <cell r="BB37" t="str">
            <v>MD</v>
          </cell>
          <cell r="BC37">
            <v>1551724</v>
          </cell>
          <cell r="BE37">
            <v>5.5000000000000007E-2</v>
          </cell>
          <cell r="BF37">
            <v>4767.5627999999997</v>
          </cell>
          <cell r="BH37">
            <v>5</v>
          </cell>
        </row>
        <row r="38">
          <cell r="BB38" t="str">
            <v>GA</v>
          </cell>
          <cell r="BC38">
            <v>1533427</v>
          </cell>
          <cell r="BE38">
            <v>5.5E-2</v>
          </cell>
          <cell r="BF38">
            <v>4767.5627999999997</v>
          </cell>
          <cell r="BH38">
            <v>5</v>
          </cell>
        </row>
        <row r="39">
          <cell r="BB39" t="str">
            <v>VA</v>
          </cell>
          <cell r="BC39">
            <v>1520554</v>
          </cell>
          <cell r="BE39">
            <v>5.5E-2</v>
          </cell>
          <cell r="BF39">
            <v>4767.5627999999997</v>
          </cell>
          <cell r="BH39">
            <v>5</v>
          </cell>
        </row>
        <row r="40">
          <cell r="BB40" t="str">
            <v>TX</v>
          </cell>
          <cell r="BC40">
            <v>1517272</v>
          </cell>
          <cell r="BE40">
            <v>5.5000000000000007E-2</v>
          </cell>
          <cell r="BF40">
            <v>4767.5627999999997</v>
          </cell>
          <cell r="BH40">
            <v>5</v>
          </cell>
        </row>
        <row r="41">
          <cell r="BB41" t="str">
            <v>FL</v>
          </cell>
          <cell r="BC41">
            <v>1516353</v>
          </cell>
          <cell r="BE41">
            <v>5.4999999999999993E-2</v>
          </cell>
          <cell r="BF41">
            <v>4767.5627999999997</v>
          </cell>
          <cell r="BH41">
            <v>5</v>
          </cell>
        </row>
        <row r="42">
          <cell r="BB42" t="str">
            <v>VA</v>
          </cell>
          <cell r="BC42">
            <v>1512128</v>
          </cell>
          <cell r="BE42">
            <v>5.4999999999999993E-2</v>
          </cell>
          <cell r="BF42">
            <v>4767.5627999999997</v>
          </cell>
          <cell r="BH42">
            <v>5</v>
          </cell>
        </row>
        <row r="43">
          <cell r="BB43" t="str">
            <v>GA</v>
          </cell>
          <cell r="BC43">
            <v>1505922</v>
          </cell>
          <cell r="BE43">
            <v>5.5000000000000007E-2</v>
          </cell>
          <cell r="BF43">
            <v>4767.5627999999997</v>
          </cell>
          <cell r="BH43">
            <v>5</v>
          </cell>
        </row>
        <row r="44">
          <cell r="BB44" t="str">
            <v>VA</v>
          </cell>
          <cell r="BC44">
            <v>1501744</v>
          </cell>
          <cell r="BE44">
            <v>5.5E-2</v>
          </cell>
          <cell r="BF44">
            <v>4767.5627999999997</v>
          </cell>
          <cell r="BH44">
            <v>5</v>
          </cell>
        </row>
        <row r="45">
          <cell r="BB45" t="str">
            <v>VA</v>
          </cell>
          <cell r="BC45">
            <v>1499180</v>
          </cell>
          <cell r="BE45">
            <v>5.4999999999999993E-2</v>
          </cell>
          <cell r="BF45">
            <v>4767.5627999999997</v>
          </cell>
          <cell r="BH45">
            <v>5</v>
          </cell>
        </row>
        <row r="46">
          <cell r="BB46" t="str">
            <v>VA</v>
          </cell>
          <cell r="BC46">
            <v>1491821</v>
          </cell>
          <cell r="BE46">
            <v>5.5E-2</v>
          </cell>
          <cell r="BF46">
            <v>4767.5627999999997</v>
          </cell>
          <cell r="BH46">
            <v>5</v>
          </cell>
        </row>
        <row r="47">
          <cell r="BB47" t="str">
            <v>FL</v>
          </cell>
          <cell r="BC47">
            <v>1474186</v>
          </cell>
          <cell r="BE47">
            <v>5.5E-2</v>
          </cell>
          <cell r="BF47">
            <v>4767.5627999999997</v>
          </cell>
          <cell r="BH47">
            <v>5</v>
          </cell>
        </row>
        <row r="48">
          <cell r="BB48" t="str">
            <v>VA</v>
          </cell>
          <cell r="BC48">
            <v>1459787</v>
          </cell>
          <cell r="BE48">
            <v>5.5E-2</v>
          </cell>
          <cell r="BF48">
            <v>4767.5627999999997</v>
          </cell>
          <cell r="BH48">
            <v>5</v>
          </cell>
        </row>
        <row r="49">
          <cell r="BB49" t="str">
            <v>VA</v>
          </cell>
          <cell r="BC49">
            <v>1459787</v>
          </cell>
          <cell r="BE49">
            <v>5.5E-2</v>
          </cell>
          <cell r="BF49">
            <v>4767.5627999999997</v>
          </cell>
          <cell r="BH49">
            <v>5</v>
          </cell>
        </row>
        <row r="50">
          <cell r="BB50" t="str">
            <v>GA</v>
          </cell>
          <cell r="BC50">
            <v>1449115</v>
          </cell>
          <cell r="BE50">
            <v>5.5E-2</v>
          </cell>
          <cell r="BF50">
            <v>4767.5627999999997</v>
          </cell>
          <cell r="BH50">
            <v>5</v>
          </cell>
        </row>
        <row r="51">
          <cell r="BB51" t="str">
            <v>VA</v>
          </cell>
          <cell r="BC51">
            <v>1445575</v>
          </cell>
          <cell r="BE51">
            <v>5.5E-2</v>
          </cell>
          <cell r="BF51">
            <v>4767.5627999999997</v>
          </cell>
          <cell r="BH51">
            <v>5</v>
          </cell>
        </row>
        <row r="52">
          <cell r="BB52" t="str">
            <v>GA</v>
          </cell>
          <cell r="BC52">
            <v>1428251</v>
          </cell>
          <cell r="BE52">
            <v>5.5000000000000007E-2</v>
          </cell>
          <cell r="BF52">
            <v>4767.5627999999997</v>
          </cell>
          <cell r="BH52">
            <v>5</v>
          </cell>
        </row>
        <row r="53">
          <cell r="BB53" t="str">
            <v>TX</v>
          </cell>
          <cell r="BC53">
            <v>1422758</v>
          </cell>
          <cell r="BE53">
            <v>5.5E-2</v>
          </cell>
          <cell r="BF53">
            <v>4767.5627999999997</v>
          </cell>
          <cell r="BH53">
            <v>5</v>
          </cell>
        </row>
        <row r="54">
          <cell r="BB54" t="str">
            <v>VA</v>
          </cell>
          <cell r="BC54">
            <v>1422752</v>
          </cell>
          <cell r="BE54">
            <v>5.5E-2</v>
          </cell>
          <cell r="BF54">
            <v>4767.5627999999997</v>
          </cell>
          <cell r="BH54">
            <v>5</v>
          </cell>
        </row>
        <row r="55">
          <cell r="BB55" t="str">
            <v>VA</v>
          </cell>
          <cell r="BC55">
            <v>1419125</v>
          </cell>
          <cell r="BE55">
            <v>5.5E-2</v>
          </cell>
          <cell r="BF55">
            <v>4767.5627999999997</v>
          </cell>
          <cell r="BH55">
            <v>5</v>
          </cell>
        </row>
        <row r="56">
          <cell r="BB56" t="str">
            <v>GA</v>
          </cell>
          <cell r="BC56">
            <v>1398168</v>
          </cell>
          <cell r="BE56">
            <v>5.5000000000000007E-2</v>
          </cell>
          <cell r="BF56">
            <v>4767.5627999999997</v>
          </cell>
          <cell r="BH56">
            <v>5</v>
          </cell>
        </row>
        <row r="57">
          <cell r="BB57" t="str">
            <v>VA</v>
          </cell>
          <cell r="BC57">
            <v>1373970</v>
          </cell>
          <cell r="BE57">
            <v>5.5000000000000007E-2</v>
          </cell>
          <cell r="BF57">
            <v>4767.5627999999997</v>
          </cell>
          <cell r="BH57">
            <v>5</v>
          </cell>
        </row>
        <row r="58">
          <cell r="BB58" t="str">
            <v>VA</v>
          </cell>
          <cell r="BC58">
            <v>1348516</v>
          </cell>
          <cell r="BE58">
            <v>5.5E-2</v>
          </cell>
          <cell r="BF58">
            <v>4767.5627999999997</v>
          </cell>
          <cell r="BH58">
            <v>5</v>
          </cell>
        </row>
        <row r="59">
          <cell r="BB59" t="str">
            <v>VA</v>
          </cell>
          <cell r="BC59">
            <v>1344146</v>
          </cell>
          <cell r="BE59">
            <v>5.5E-2</v>
          </cell>
          <cell r="BF59">
            <v>4767.5627999999997</v>
          </cell>
          <cell r="BH59">
            <v>5</v>
          </cell>
        </row>
        <row r="60">
          <cell r="BB60" t="str">
            <v>MD</v>
          </cell>
          <cell r="BC60">
            <v>1324190</v>
          </cell>
          <cell r="BE60">
            <v>5.5E-2</v>
          </cell>
          <cell r="BF60">
            <v>4767.5627999999997</v>
          </cell>
          <cell r="BH60">
            <v>4</v>
          </cell>
        </row>
        <row r="61">
          <cell r="BB61" t="str">
            <v>TX</v>
          </cell>
          <cell r="BC61">
            <v>1324187</v>
          </cell>
          <cell r="BE61">
            <v>5.5E-2</v>
          </cell>
          <cell r="BF61">
            <v>4767.5627999999997</v>
          </cell>
          <cell r="BH61">
            <v>4</v>
          </cell>
        </row>
        <row r="62">
          <cell r="BB62" t="str">
            <v>NJ</v>
          </cell>
          <cell r="BC62">
            <v>1314695</v>
          </cell>
          <cell r="BE62">
            <v>5.5000000000000007E-2</v>
          </cell>
          <cell r="BF62">
            <v>4767.5627999999997</v>
          </cell>
          <cell r="BH62">
            <v>4</v>
          </cell>
        </row>
        <row r="63">
          <cell r="BB63" t="str">
            <v>MD</v>
          </cell>
          <cell r="BC63">
            <v>1303882</v>
          </cell>
          <cell r="BE63">
            <v>5.4999999999999993E-2</v>
          </cell>
          <cell r="BF63">
            <v>4767.5627999999997</v>
          </cell>
          <cell r="BH63">
            <v>4</v>
          </cell>
        </row>
        <row r="64">
          <cell r="BB64" t="str">
            <v>VA</v>
          </cell>
          <cell r="BC64">
            <v>1302454</v>
          </cell>
          <cell r="BE64">
            <v>5.5E-2</v>
          </cell>
          <cell r="BF64">
            <v>4767.5627999999997</v>
          </cell>
          <cell r="BH64">
            <v>4</v>
          </cell>
        </row>
        <row r="65">
          <cell r="BB65" t="str">
            <v>VA</v>
          </cell>
          <cell r="BC65">
            <v>1302042</v>
          </cell>
          <cell r="BE65">
            <v>5.5E-2</v>
          </cell>
          <cell r="BF65">
            <v>4767.5627999999997</v>
          </cell>
          <cell r="BH65">
            <v>4</v>
          </cell>
        </row>
        <row r="66">
          <cell r="BB66" t="str">
            <v>VA</v>
          </cell>
          <cell r="BC66">
            <v>1302042</v>
          </cell>
          <cell r="BE66">
            <v>5.5E-2</v>
          </cell>
          <cell r="BF66">
            <v>4767.5627999999997</v>
          </cell>
          <cell r="BH66">
            <v>4</v>
          </cell>
        </row>
        <row r="67">
          <cell r="BB67" t="str">
            <v>VA</v>
          </cell>
          <cell r="BC67">
            <v>1293847</v>
          </cell>
          <cell r="BE67">
            <v>5.5000000000000007E-2</v>
          </cell>
          <cell r="BF67">
            <v>4767.5627999999997</v>
          </cell>
          <cell r="BH67">
            <v>4</v>
          </cell>
        </row>
        <row r="68">
          <cell r="BB68" t="str">
            <v>VA</v>
          </cell>
          <cell r="BC68">
            <v>1279779</v>
          </cell>
          <cell r="BE68">
            <v>5.5E-2</v>
          </cell>
          <cell r="BF68">
            <v>4767.5627999999997</v>
          </cell>
          <cell r="BH68">
            <v>4</v>
          </cell>
        </row>
        <row r="69">
          <cell r="BB69" t="str">
            <v>VA</v>
          </cell>
          <cell r="BC69">
            <v>1273817</v>
          </cell>
          <cell r="BE69">
            <v>5.5E-2</v>
          </cell>
          <cell r="BF69">
            <v>4767.5627999999997</v>
          </cell>
          <cell r="BH69">
            <v>4</v>
          </cell>
        </row>
        <row r="70">
          <cell r="BB70" t="str">
            <v>MD</v>
          </cell>
          <cell r="BC70">
            <v>1261826</v>
          </cell>
          <cell r="BE70">
            <v>5.5000000000000007E-2</v>
          </cell>
          <cell r="BF70">
            <v>4767.5627999999997</v>
          </cell>
          <cell r="BH70">
            <v>4</v>
          </cell>
        </row>
        <row r="71">
          <cell r="BB71" t="str">
            <v>TX</v>
          </cell>
          <cell r="BC71">
            <v>1253011</v>
          </cell>
          <cell r="BE71">
            <v>5.4999999999999993E-2</v>
          </cell>
          <cell r="BF71">
            <v>4767.5627999999997</v>
          </cell>
          <cell r="BH71">
            <v>4</v>
          </cell>
        </row>
        <row r="72">
          <cell r="BB72" t="str">
            <v>TX</v>
          </cell>
          <cell r="BC72">
            <v>1237787</v>
          </cell>
          <cell r="BE72">
            <v>5.5E-2</v>
          </cell>
          <cell r="BF72">
            <v>4767.5627999999997</v>
          </cell>
          <cell r="BH72">
            <v>4</v>
          </cell>
        </row>
        <row r="73">
          <cell r="BB73" t="str">
            <v>VA</v>
          </cell>
          <cell r="BC73">
            <v>1229765</v>
          </cell>
          <cell r="BE73">
            <v>5.5E-2</v>
          </cell>
          <cell r="BF73">
            <v>4767.5627999999997</v>
          </cell>
          <cell r="BH73">
            <v>4</v>
          </cell>
        </row>
        <row r="74">
          <cell r="BB74" t="str">
            <v>VA</v>
          </cell>
          <cell r="BC74">
            <v>1227201</v>
          </cell>
          <cell r="BE74">
            <v>5.5000000000000007E-2</v>
          </cell>
          <cell r="BF74">
            <v>4767.5627999999997</v>
          </cell>
          <cell r="BH74">
            <v>4</v>
          </cell>
        </row>
        <row r="75">
          <cell r="BB75" t="str">
            <v>TX</v>
          </cell>
          <cell r="BC75">
            <v>1212634</v>
          </cell>
          <cell r="BE75">
            <v>5.4999999999999993E-2</v>
          </cell>
          <cell r="BF75">
            <v>4767.5627999999997</v>
          </cell>
          <cell r="BH75">
            <v>4</v>
          </cell>
        </row>
        <row r="76">
          <cell r="BB76" t="str">
            <v>VA</v>
          </cell>
          <cell r="BC76">
            <v>1203212</v>
          </cell>
          <cell r="BE76">
            <v>5.5E-2</v>
          </cell>
          <cell r="BF76">
            <v>4767.5627999999997</v>
          </cell>
          <cell r="BH76">
            <v>4</v>
          </cell>
        </row>
        <row r="77">
          <cell r="BB77" t="str">
            <v>TX</v>
          </cell>
          <cell r="BC77">
            <v>1201461</v>
          </cell>
          <cell r="BE77">
            <v>5.4999999999999993E-2</v>
          </cell>
          <cell r="BF77">
            <v>4767.5627999999997</v>
          </cell>
          <cell r="BH77">
            <v>4</v>
          </cell>
        </row>
        <row r="78">
          <cell r="BB78" t="str">
            <v>VA</v>
          </cell>
          <cell r="BC78">
            <v>1200030</v>
          </cell>
          <cell r="BE78">
            <v>5.4999999999999993E-2</v>
          </cell>
          <cell r="BF78">
            <v>4767.5627999999997</v>
          </cell>
          <cell r="BH78">
            <v>4</v>
          </cell>
        </row>
        <row r="79">
          <cell r="BB79" t="str">
            <v>VA</v>
          </cell>
          <cell r="BC79">
            <v>1200030</v>
          </cell>
          <cell r="BE79">
            <v>5.4999999999999993E-2</v>
          </cell>
          <cell r="BF79">
            <v>4767.5627999999997</v>
          </cell>
          <cell r="BH79">
            <v>4</v>
          </cell>
        </row>
        <row r="80">
          <cell r="BB80" t="str">
            <v>VA</v>
          </cell>
          <cell r="BC80">
            <v>1200030</v>
          </cell>
          <cell r="BE80">
            <v>5.4999999999999993E-2</v>
          </cell>
          <cell r="BF80">
            <v>4767.5627999999997</v>
          </cell>
          <cell r="BH80">
            <v>4</v>
          </cell>
        </row>
        <row r="81">
          <cell r="BB81" t="str">
            <v>VA</v>
          </cell>
          <cell r="BC81">
            <v>1199941</v>
          </cell>
          <cell r="BE81">
            <v>5.5000000000000007E-2</v>
          </cell>
          <cell r="BF81">
            <v>4767.5627999999997</v>
          </cell>
          <cell r="BH81">
            <v>4</v>
          </cell>
        </row>
        <row r="82">
          <cell r="BB82" t="str">
            <v>CO</v>
          </cell>
          <cell r="BC82">
            <v>1175293</v>
          </cell>
          <cell r="BE82">
            <v>5.5E-2</v>
          </cell>
          <cell r="BF82">
            <v>4767.5627999999997</v>
          </cell>
          <cell r="BH82">
            <v>4</v>
          </cell>
        </row>
        <row r="83">
          <cell r="BB83" t="str">
            <v>PA</v>
          </cell>
          <cell r="BC83">
            <v>1159914</v>
          </cell>
          <cell r="BE83">
            <v>5.5E-2</v>
          </cell>
          <cell r="BF83">
            <v>4767.5627999999997</v>
          </cell>
          <cell r="BH83">
            <v>4</v>
          </cell>
        </row>
        <row r="84">
          <cell r="BB84" t="str">
            <v>VA</v>
          </cell>
          <cell r="BC84">
            <v>1152258</v>
          </cell>
          <cell r="BE84">
            <v>5.5E-2</v>
          </cell>
          <cell r="BF84">
            <v>4767.5627999999997</v>
          </cell>
          <cell r="BH84">
            <v>4</v>
          </cell>
        </row>
        <row r="85">
          <cell r="BB85" t="str">
            <v>MD</v>
          </cell>
          <cell r="BC85">
            <v>1148086</v>
          </cell>
          <cell r="BE85">
            <v>5.5E-2</v>
          </cell>
          <cell r="BF85">
            <v>4767.5627999999997</v>
          </cell>
          <cell r="BH85">
            <v>4</v>
          </cell>
        </row>
        <row r="86">
          <cell r="BB86" t="str">
            <v>FL</v>
          </cell>
          <cell r="BC86">
            <v>1146469</v>
          </cell>
          <cell r="BE86">
            <v>5.5E-2</v>
          </cell>
          <cell r="BF86">
            <v>4767.5627999999997</v>
          </cell>
          <cell r="BH86">
            <v>4</v>
          </cell>
        </row>
        <row r="87">
          <cell r="BB87" t="str">
            <v>VA</v>
          </cell>
          <cell r="BC87">
            <v>1141716</v>
          </cell>
          <cell r="BE87">
            <v>5.5E-2</v>
          </cell>
          <cell r="BF87">
            <v>4767.5627999999997</v>
          </cell>
          <cell r="BH87">
            <v>4</v>
          </cell>
        </row>
        <row r="88">
          <cell r="BB88" t="str">
            <v>FL</v>
          </cell>
          <cell r="BC88">
            <v>1139738</v>
          </cell>
          <cell r="BE88">
            <v>5.5E-2</v>
          </cell>
          <cell r="BF88">
            <v>4767.5627999999997</v>
          </cell>
          <cell r="BH88">
            <v>4</v>
          </cell>
        </row>
        <row r="89">
          <cell r="BB89" t="str">
            <v>MD</v>
          </cell>
          <cell r="BC89">
            <v>1114570</v>
          </cell>
          <cell r="BE89">
            <v>5.5E-2</v>
          </cell>
          <cell r="BF89">
            <v>4767.5627999999997</v>
          </cell>
          <cell r="BH89">
            <v>4</v>
          </cell>
        </row>
        <row r="90">
          <cell r="BB90" t="str">
            <v>MI</v>
          </cell>
          <cell r="BC90">
            <v>1110171</v>
          </cell>
          <cell r="BE90">
            <v>5.5E-2</v>
          </cell>
          <cell r="BF90">
            <v>4767.5627999999997</v>
          </cell>
          <cell r="BH90">
            <v>4</v>
          </cell>
        </row>
        <row r="91">
          <cell r="BB91" t="str">
            <v>VA</v>
          </cell>
          <cell r="BC91">
            <v>1103535</v>
          </cell>
          <cell r="BE91">
            <v>5.5E-2</v>
          </cell>
          <cell r="BF91">
            <v>4767.5627999999997</v>
          </cell>
          <cell r="BH91">
            <v>4</v>
          </cell>
        </row>
        <row r="92">
          <cell r="BB92" t="str">
            <v>GA</v>
          </cell>
          <cell r="BC92">
            <v>1102525</v>
          </cell>
          <cell r="BE92">
            <v>5.5E-2</v>
          </cell>
          <cell r="BF92">
            <v>4767.5627999999997</v>
          </cell>
          <cell r="BH92">
            <v>4</v>
          </cell>
        </row>
        <row r="93">
          <cell r="BB93" t="str">
            <v>VA</v>
          </cell>
          <cell r="BC93">
            <v>1099025</v>
          </cell>
          <cell r="BE93">
            <v>5.5E-2</v>
          </cell>
          <cell r="BF93">
            <v>4767.5627999999997</v>
          </cell>
          <cell r="BH93">
            <v>4</v>
          </cell>
        </row>
        <row r="94">
          <cell r="BB94" t="str">
            <v>CO</v>
          </cell>
          <cell r="BC94">
            <v>1084657</v>
          </cell>
          <cell r="BE94">
            <v>5.5E-2</v>
          </cell>
          <cell r="BF94">
            <v>4767.5627999999997</v>
          </cell>
          <cell r="BH94">
            <v>4</v>
          </cell>
        </row>
        <row r="95">
          <cell r="BB95" t="str">
            <v>TX</v>
          </cell>
          <cell r="BC95">
            <v>1083020</v>
          </cell>
          <cell r="BE95">
            <v>5.5E-2</v>
          </cell>
          <cell r="BF95">
            <v>4767.5627999999997</v>
          </cell>
          <cell r="BH95">
            <v>4</v>
          </cell>
        </row>
        <row r="96">
          <cell r="BB96" t="str">
            <v>CO</v>
          </cell>
          <cell r="BC96">
            <v>1079887</v>
          </cell>
          <cell r="BE96">
            <v>5.5E-2</v>
          </cell>
          <cell r="BF96">
            <v>4767.5627999999997</v>
          </cell>
          <cell r="BH96">
            <v>4</v>
          </cell>
        </row>
        <row r="97">
          <cell r="BB97" t="str">
            <v>CO</v>
          </cell>
          <cell r="BC97">
            <v>1079887</v>
          </cell>
          <cell r="BE97">
            <v>5.5E-2</v>
          </cell>
          <cell r="BF97">
            <v>4767.5627999999997</v>
          </cell>
          <cell r="BH97">
            <v>4</v>
          </cell>
        </row>
        <row r="98">
          <cell r="BB98" t="str">
            <v>FL</v>
          </cell>
          <cell r="BC98">
            <v>1077152</v>
          </cell>
          <cell r="BE98">
            <v>5.5E-2</v>
          </cell>
          <cell r="BF98">
            <v>4767.5627999999997</v>
          </cell>
          <cell r="BH98">
            <v>4</v>
          </cell>
        </row>
        <row r="99">
          <cell r="BB99" t="str">
            <v>MI</v>
          </cell>
          <cell r="BC99">
            <v>1075974</v>
          </cell>
          <cell r="BE99">
            <v>5.5E-2</v>
          </cell>
          <cell r="BF99">
            <v>4767.5627999999997</v>
          </cell>
          <cell r="BH99">
            <v>4</v>
          </cell>
        </row>
        <row r="100">
          <cell r="BB100" t="str">
            <v>TX</v>
          </cell>
          <cell r="BC100">
            <v>1074845</v>
          </cell>
          <cell r="BE100">
            <v>5.5E-2</v>
          </cell>
          <cell r="BF100">
            <v>4767.5627999999997</v>
          </cell>
          <cell r="BH100">
            <v>4</v>
          </cell>
        </row>
        <row r="101">
          <cell r="BB101" t="str">
            <v>CA</v>
          </cell>
          <cell r="BC101">
            <v>1072699</v>
          </cell>
          <cell r="BE101">
            <v>5.5E-2</v>
          </cell>
          <cell r="BF101">
            <v>4767.5627999999997</v>
          </cell>
          <cell r="BH101">
            <v>3</v>
          </cell>
        </row>
        <row r="102">
          <cell r="BB102" t="str">
            <v>TX</v>
          </cell>
          <cell r="BC102">
            <v>1072580</v>
          </cell>
          <cell r="BE102">
            <v>5.5E-2</v>
          </cell>
          <cell r="BF102">
            <v>4767.5627999999997</v>
          </cell>
          <cell r="BH102">
            <v>3</v>
          </cell>
        </row>
        <row r="103">
          <cell r="BB103" t="str">
            <v>TX</v>
          </cell>
          <cell r="BC103">
            <v>1072536</v>
          </cell>
          <cell r="BE103">
            <v>5.5E-2</v>
          </cell>
          <cell r="BF103">
            <v>4767.5627999999997</v>
          </cell>
          <cell r="BH103">
            <v>3</v>
          </cell>
        </row>
        <row r="104">
          <cell r="BB104" t="str">
            <v>TX</v>
          </cell>
          <cell r="BC104">
            <v>1072116</v>
          </cell>
          <cell r="BE104">
            <v>5.5E-2</v>
          </cell>
          <cell r="BF104">
            <v>4767.5627999999997</v>
          </cell>
          <cell r="BH104">
            <v>3</v>
          </cell>
        </row>
        <row r="105">
          <cell r="BB105" t="str">
            <v>VA</v>
          </cell>
          <cell r="BC105">
            <v>1062565</v>
          </cell>
          <cell r="BE105">
            <v>5.5E-2</v>
          </cell>
          <cell r="BF105">
            <v>4767.5627999999997</v>
          </cell>
          <cell r="BH105">
            <v>3</v>
          </cell>
        </row>
        <row r="106">
          <cell r="BB106" t="str">
            <v>TX</v>
          </cell>
          <cell r="BC106">
            <v>1059399</v>
          </cell>
          <cell r="BE106">
            <v>5.5E-2</v>
          </cell>
          <cell r="BF106">
            <v>4767.5627999999997</v>
          </cell>
          <cell r="BH106">
            <v>3</v>
          </cell>
        </row>
        <row r="107">
          <cell r="BB107" t="str">
            <v>VA</v>
          </cell>
          <cell r="BC107">
            <v>1050700</v>
          </cell>
          <cell r="BE107">
            <v>5.5E-2</v>
          </cell>
          <cell r="BF107">
            <v>4767.5627999999997</v>
          </cell>
          <cell r="BH107">
            <v>3</v>
          </cell>
        </row>
        <row r="108">
          <cell r="BB108" t="str">
            <v>VA</v>
          </cell>
          <cell r="BC108">
            <v>1050700</v>
          </cell>
          <cell r="BE108">
            <v>5.5E-2</v>
          </cell>
          <cell r="BF108">
            <v>4767.5627999999997</v>
          </cell>
          <cell r="BH108">
            <v>3</v>
          </cell>
        </row>
        <row r="109">
          <cell r="BB109" t="str">
            <v>CO</v>
          </cell>
          <cell r="BC109">
            <v>1049576</v>
          </cell>
          <cell r="BE109">
            <v>5.5E-2</v>
          </cell>
          <cell r="BF109">
            <v>4767.5627999999997</v>
          </cell>
          <cell r="BH109">
            <v>3</v>
          </cell>
        </row>
        <row r="110">
          <cell r="BB110" t="str">
            <v>VA</v>
          </cell>
          <cell r="BC110">
            <v>1040302</v>
          </cell>
          <cell r="BE110">
            <v>5.5E-2</v>
          </cell>
          <cell r="BF110">
            <v>4767.5627999999997</v>
          </cell>
          <cell r="BH110">
            <v>3</v>
          </cell>
        </row>
        <row r="111">
          <cell r="BB111" t="str">
            <v>FL</v>
          </cell>
          <cell r="BC111">
            <v>1025803</v>
          </cell>
          <cell r="BE111">
            <v>5.5E-2</v>
          </cell>
          <cell r="BF111">
            <v>4767.5627999999997</v>
          </cell>
          <cell r="BH111">
            <v>3</v>
          </cell>
        </row>
        <row r="112">
          <cell r="BB112" t="str">
            <v>NJ</v>
          </cell>
          <cell r="BC112">
            <v>1022218</v>
          </cell>
          <cell r="BE112">
            <v>5.5E-2</v>
          </cell>
          <cell r="BF112">
            <v>4767.5627999999997</v>
          </cell>
          <cell r="BH112">
            <v>3</v>
          </cell>
        </row>
        <row r="113">
          <cell r="BB113" t="str">
            <v>CA</v>
          </cell>
          <cell r="BC113">
            <v>1022115</v>
          </cell>
          <cell r="BE113">
            <v>5.5E-2</v>
          </cell>
          <cell r="BF113">
            <v>4767.5627999999997</v>
          </cell>
          <cell r="BH113">
            <v>3</v>
          </cell>
        </row>
        <row r="114">
          <cell r="BB114" t="str">
            <v>MI</v>
          </cell>
          <cell r="BC114">
            <v>1018357</v>
          </cell>
          <cell r="BE114">
            <v>5.5E-2</v>
          </cell>
          <cell r="BF114">
            <v>4767.5627999999997</v>
          </cell>
          <cell r="BH114">
            <v>3</v>
          </cell>
        </row>
        <row r="115">
          <cell r="BB115" t="str">
            <v>CA</v>
          </cell>
          <cell r="BC115">
            <v>1013455</v>
          </cell>
          <cell r="BE115">
            <v>5.5E-2</v>
          </cell>
          <cell r="BF115">
            <v>4767.5627999999997</v>
          </cell>
          <cell r="BH115">
            <v>3</v>
          </cell>
        </row>
        <row r="116">
          <cell r="BB116" t="str">
            <v>PA</v>
          </cell>
          <cell r="BC116">
            <v>994363</v>
          </cell>
          <cell r="BE116">
            <v>5.5000000000000007E-2</v>
          </cell>
          <cell r="BF116">
            <v>4767.5627999999997</v>
          </cell>
          <cell r="BH116">
            <v>3</v>
          </cell>
        </row>
        <row r="117">
          <cell r="BB117" t="str">
            <v>VA</v>
          </cell>
          <cell r="BC117">
            <v>991523</v>
          </cell>
          <cell r="BE117">
            <v>5.5E-2</v>
          </cell>
          <cell r="BF117">
            <v>4767.5627999999997</v>
          </cell>
          <cell r="BH117">
            <v>3</v>
          </cell>
        </row>
        <row r="118">
          <cell r="BB118" t="str">
            <v>FL</v>
          </cell>
          <cell r="BC118">
            <v>990921</v>
          </cell>
          <cell r="BE118">
            <v>5.5E-2</v>
          </cell>
          <cell r="BF118">
            <v>4767.5627999999997</v>
          </cell>
          <cell r="BH118">
            <v>3</v>
          </cell>
        </row>
        <row r="119">
          <cell r="BB119" t="str">
            <v>FL</v>
          </cell>
          <cell r="BC119">
            <v>990921</v>
          </cell>
          <cell r="BE119">
            <v>5.5E-2</v>
          </cell>
          <cell r="BF119">
            <v>4767.5627999999997</v>
          </cell>
          <cell r="BH119">
            <v>3</v>
          </cell>
        </row>
        <row r="120">
          <cell r="BB120" t="str">
            <v>IL</v>
          </cell>
          <cell r="BC120">
            <v>987564</v>
          </cell>
          <cell r="BE120">
            <v>5.4999999999999993E-2</v>
          </cell>
          <cell r="BF120">
            <v>4767.5627999999997</v>
          </cell>
          <cell r="BH120">
            <v>3</v>
          </cell>
        </row>
        <row r="121">
          <cell r="BB121" t="str">
            <v>IL</v>
          </cell>
          <cell r="BC121">
            <v>987564</v>
          </cell>
          <cell r="BE121">
            <v>5.4999999999999993E-2</v>
          </cell>
          <cell r="BF121">
            <v>4767.5627999999997</v>
          </cell>
          <cell r="BH121">
            <v>3</v>
          </cell>
        </row>
        <row r="122">
          <cell r="BB122" t="str">
            <v>VA</v>
          </cell>
          <cell r="BC122">
            <v>975047</v>
          </cell>
          <cell r="BE122">
            <v>5.5E-2</v>
          </cell>
          <cell r="BF122">
            <v>4767.5627999999997</v>
          </cell>
          <cell r="BH122">
            <v>3</v>
          </cell>
        </row>
        <row r="123">
          <cell r="BB123" t="str">
            <v>NJ</v>
          </cell>
          <cell r="BC123">
            <v>970170</v>
          </cell>
          <cell r="BE123">
            <v>5.5E-2</v>
          </cell>
          <cell r="BF123">
            <v>4767.5627999999997</v>
          </cell>
          <cell r="BH123">
            <v>3</v>
          </cell>
        </row>
        <row r="124">
          <cell r="BB124" t="str">
            <v>IL</v>
          </cell>
          <cell r="BC124">
            <v>969549</v>
          </cell>
          <cell r="BE124">
            <v>5.5E-2</v>
          </cell>
          <cell r="BF124">
            <v>4767.5627999999997</v>
          </cell>
          <cell r="BH124">
            <v>3</v>
          </cell>
        </row>
        <row r="125">
          <cell r="BB125" t="str">
            <v>CA</v>
          </cell>
          <cell r="BC125">
            <v>963528</v>
          </cell>
          <cell r="BE125">
            <v>5.5E-2</v>
          </cell>
          <cell r="BF125">
            <v>4767.5628000000006</v>
          </cell>
          <cell r="BH125">
            <v>3</v>
          </cell>
        </row>
        <row r="126">
          <cell r="BB126" t="str">
            <v>IL</v>
          </cell>
          <cell r="BC126">
            <v>962226</v>
          </cell>
          <cell r="BE126">
            <v>5.5E-2</v>
          </cell>
          <cell r="BF126">
            <v>4767.5627999999997</v>
          </cell>
          <cell r="BH126">
            <v>3</v>
          </cell>
        </row>
        <row r="127">
          <cell r="BB127" t="str">
            <v>FL</v>
          </cell>
          <cell r="BC127">
            <v>957541</v>
          </cell>
          <cell r="BE127">
            <v>5.5E-2</v>
          </cell>
          <cell r="BF127">
            <v>4767.5627999999997</v>
          </cell>
          <cell r="BH127">
            <v>3</v>
          </cell>
        </row>
        <row r="128">
          <cell r="BB128" t="str">
            <v>CA</v>
          </cell>
          <cell r="BC128">
            <v>950699</v>
          </cell>
          <cell r="BE128">
            <v>5.5E-2</v>
          </cell>
          <cell r="BF128">
            <v>4767.5627999999997</v>
          </cell>
          <cell r="BH128">
            <v>3</v>
          </cell>
        </row>
        <row r="129">
          <cell r="BB129" t="str">
            <v>CA</v>
          </cell>
          <cell r="BC129">
            <v>945674</v>
          </cell>
          <cell r="BE129">
            <v>5.5E-2</v>
          </cell>
          <cell r="BF129">
            <v>4767.5627999999997</v>
          </cell>
          <cell r="BH129">
            <v>3</v>
          </cell>
        </row>
        <row r="130">
          <cell r="BB130" t="str">
            <v>PA</v>
          </cell>
          <cell r="BC130">
            <v>941642</v>
          </cell>
          <cell r="BE130">
            <v>5.5E-2</v>
          </cell>
          <cell r="BF130">
            <v>4767.5627999999997</v>
          </cell>
          <cell r="BH130">
            <v>3</v>
          </cell>
        </row>
        <row r="131">
          <cell r="BB131" t="str">
            <v>TX</v>
          </cell>
          <cell r="BC131">
            <v>941235</v>
          </cell>
          <cell r="BE131">
            <v>5.5E-2</v>
          </cell>
          <cell r="BF131">
            <v>4767.5627999999997</v>
          </cell>
          <cell r="BH131">
            <v>3</v>
          </cell>
        </row>
        <row r="132">
          <cell r="BB132" t="str">
            <v>GA</v>
          </cell>
          <cell r="BC132">
            <v>938518</v>
          </cell>
          <cell r="BE132">
            <v>5.5E-2</v>
          </cell>
          <cell r="BF132">
            <v>4767.5627999999997</v>
          </cell>
          <cell r="BH132">
            <v>3</v>
          </cell>
        </row>
        <row r="133">
          <cell r="BB133" t="str">
            <v>PA</v>
          </cell>
          <cell r="BC133">
            <v>936299</v>
          </cell>
          <cell r="BE133">
            <v>5.5E-2</v>
          </cell>
          <cell r="BF133">
            <v>4767.5627999999997</v>
          </cell>
          <cell r="BH133">
            <v>3</v>
          </cell>
        </row>
        <row r="134">
          <cell r="BB134" t="str">
            <v>FL</v>
          </cell>
          <cell r="BC134">
            <v>921353</v>
          </cell>
          <cell r="BE134">
            <v>5.5E-2</v>
          </cell>
          <cell r="BF134">
            <v>4767.5627999999997</v>
          </cell>
          <cell r="BH134">
            <v>3</v>
          </cell>
        </row>
        <row r="135">
          <cell r="BB135" t="str">
            <v>MD</v>
          </cell>
          <cell r="BC135">
            <v>918490</v>
          </cell>
          <cell r="BE135">
            <v>5.5E-2</v>
          </cell>
          <cell r="BF135">
            <v>4767.5627999999997</v>
          </cell>
          <cell r="BH135">
            <v>3</v>
          </cell>
        </row>
        <row r="136">
          <cell r="BB136" t="str">
            <v>VA</v>
          </cell>
          <cell r="BC136">
            <v>917160</v>
          </cell>
          <cell r="BE136">
            <v>5.5E-2</v>
          </cell>
          <cell r="BF136">
            <v>4767.5627999999997</v>
          </cell>
          <cell r="BH136">
            <v>3</v>
          </cell>
        </row>
        <row r="137">
          <cell r="BB137" t="str">
            <v>PA</v>
          </cell>
          <cell r="BC137">
            <v>915203</v>
          </cell>
          <cell r="BE137">
            <v>5.5E-2</v>
          </cell>
          <cell r="BF137">
            <v>4767.5627999999997</v>
          </cell>
          <cell r="BH137">
            <v>3</v>
          </cell>
        </row>
        <row r="138">
          <cell r="BB138" t="str">
            <v>VA</v>
          </cell>
          <cell r="BC138">
            <v>910106</v>
          </cell>
          <cell r="BE138">
            <v>5.5E-2</v>
          </cell>
          <cell r="BF138">
            <v>4767.5627999999997</v>
          </cell>
          <cell r="BH138">
            <v>3</v>
          </cell>
        </row>
        <row r="139">
          <cell r="BB139" t="str">
            <v>PA</v>
          </cell>
          <cell r="BC139">
            <v>906178</v>
          </cell>
          <cell r="BE139">
            <v>5.5E-2</v>
          </cell>
          <cell r="BF139">
            <v>4767.5627999999988</v>
          </cell>
          <cell r="BH139">
            <v>3</v>
          </cell>
        </row>
        <row r="140">
          <cell r="BB140" t="str">
            <v>KS</v>
          </cell>
          <cell r="BC140">
            <v>904893</v>
          </cell>
          <cell r="BE140">
            <v>5.5E-2</v>
          </cell>
          <cell r="BF140">
            <v>4767.5627999999997</v>
          </cell>
          <cell r="BH140">
            <v>3</v>
          </cell>
        </row>
        <row r="141">
          <cell r="BB141" t="str">
            <v>PA</v>
          </cell>
          <cell r="BC141">
            <v>898383</v>
          </cell>
          <cell r="BE141">
            <v>5.5E-2</v>
          </cell>
          <cell r="BF141">
            <v>4767.5627999999997</v>
          </cell>
          <cell r="BH141">
            <v>3</v>
          </cell>
        </row>
        <row r="142">
          <cell r="BB142" t="str">
            <v>GA</v>
          </cell>
          <cell r="BC142">
            <v>897058</v>
          </cell>
          <cell r="BE142">
            <v>5.5E-2</v>
          </cell>
          <cell r="BF142">
            <v>4767.5627999999997</v>
          </cell>
          <cell r="BH142">
            <v>3</v>
          </cell>
        </row>
        <row r="143">
          <cell r="BB143" t="str">
            <v>WI</v>
          </cell>
          <cell r="BC143">
            <v>895678</v>
          </cell>
          <cell r="BE143">
            <v>5.5E-2</v>
          </cell>
          <cell r="BF143">
            <v>4767.5627999999997</v>
          </cell>
          <cell r="BH143">
            <v>3</v>
          </cell>
        </row>
        <row r="144">
          <cell r="BB144" t="str">
            <v>GA</v>
          </cell>
          <cell r="BC144">
            <v>891518</v>
          </cell>
          <cell r="BE144">
            <v>5.5E-2</v>
          </cell>
          <cell r="BF144">
            <v>4767.5627999999997</v>
          </cell>
          <cell r="BH144">
            <v>3</v>
          </cell>
        </row>
        <row r="145">
          <cell r="BB145" t="str">
            <v>AZ</v>
          </cell>
          <cell r="BC145">
            <v>889817</v>
          </cell>
          <cell r="BE145">
            <v>5.5E-2</v>
          </cell>
          <cell r="BF145">
            <v>4767.5627999999997</v>
          </cell>
          <cell r="BH145">
            <v>3</v>
          </cell>
        </row>
        <row r="146">
          <cell r="BB146" t="str">
            <v>SC</v>
          </cell>
          <cell r="BC146">
            <v>888751</v>
          </cell>
          <cell r="BE146">
            <v>5.5E-2</v>
          </cell>
          <cell r="BF146">
            <v>4767.5627999999997</v>
          </cell>
          <cell r="BH146">
            <v>3</v>
          </cell>
        </row>
        <row r="147">
          <cell r="BB147" t="str">
            <v>VA</v>
          </cell>
          <cell r="BC147">
            <v>885990</v>
          </cell>
          <cell r="BE147">
            <v>5.4999999999999993E-2</v>
          </cell>
          <cell r="BF147">
            <v>4767.5627999999997</v>
          </cell>
          <cell r="BH147">
            <v>3</v>
          </cell>
        </row>
        <row r="148">
          <cell r="BB148" t="str">
            <v>GA</v>
          </cell>
          <cell r="BC148">
            <v>884520</v>
          </cell>
          <cell r="BE148">
            <v>5.5E-2</v>
          </cell>
          <cell r="BF148">
            <v>4767.5627999999997</v>
          </cell>
          <cell r="BH148">
            <v>3</v>
          </cell>
        </row>
        <row r="149">
          <cell r="BB149" t="str">
            <v>SC</v>
          </cell>
          <cell r="BC149">
            <v>883062</v>
          </cell>
          <cell r="BE149">
            <v>5.5000000000000007E-2</v>
          </cell>
          <cell r="BF149">
            <v>4767.5627999999997</v>
          </cell>
          <cell r="BH149">
            <v>3</v>
          </cell>
        </row>
        <row r="150">
          <cell r="BB150" t="str">
            <v>SC</v>
          </cell>
          <cell r="BC150">
            <v>883062</v>
          </cell>
          <cell r="BE150">
            <v>5.5000000000000007E-2</v>
          </cell>
          <cell r="BF150">
            <v>4767.5627999999997</v>
          </cell>
          <cell r="BH150">
            <v>3</v>
          </cell>
        </row>
        <row r="151">
          <cell r="BB151" t="str">
            <v>SC</v>
          </cell>
          <cell r="BC151">
            <v>883062</v>
          </cell>
          <cell r="BE151">
            <v>5.5000000000000007E-2</v>
          </cell>
          <cell r="BF151">
            <v>4767.5627999999997</v>
          </cell>
          <cell r="BH151">
            <v>3</v>
          </cell>
        </row>
        <row r="152">
          <cell r="BB152" t="str">
            <v>TX</v>
          </cell>
          <cell r="BC152">
            <v>876782</v>
          </cell>
          <cell r="BE152">
            <v>5.5E-2</v>
          </cell>
          <cell r="BF152">
            <v>4767.5627999999997</v>
          </cell>
          <cell r="BH152">
            <v>3</v>
          </cell>
        </row>
        <row r="153">
          <cell r="BB153" t="str">
            <v>MD</v>
          </cell>
          <cell r="BC153">
            <v>875316</v>
          </cell>
          <cell r="BE153">
            <v>5.5E-2</v>
          </cell>
          <cell r="BF153">
            <v>4767.5627999999997</v>
          </cell>
          <cell r="BH153">
            <v>3</v>
          </cell>
        </row>
        <row r="154">
          <cell r="BB154" t="str">
            <v>TX</v>
          </cell>
          <cell r="BC154">
            <v>874331</v>
          </cell>
          <cell r="BE154">
            <v>5.5E-2</v>
          </cell>
          <cell r="BF154">
            <v>4767.5627999999997</v>
          </cell>
          <cell r="BH154">
            <v>3</v>
          </cell>
        </row>
        <row r="155">
          <cell r="BB155" t="str">
            <v>GA</v>
          </cell>
          <cell r="BC155">
            <v>870939</v>
          </cell>
          <cell r="BE155">
            <v>5.4999999999999993E-2</v>
          </cell>
          <cell r="BF155">
            <v>4767.5627999999997</v>
          </cell>
          <cell r="BH155">
            <v>3</v>
          </cell>
        </row>
        <row r="156">
          <cell r="BB156" t="str">
            <v>VA</v>
          </cell>
          <cell r="BC156">
            <v>870109</v>
          </cell>
          <cell r="BE156">
            <v>5.5E-2</v>
          </cell>
          <cell r="BF156">
            <v>4767.5627999999997</v>
          </cell>
          <cell r="BH156">
            <v>3</v>
          </cell>
        </row>
        <row r="157">
          <cell r="BB157" t="str">
            <v>LA</v>
          </cell>
          <cell r="BC157">
            <v>862701</v>
          </cell>
          <cell r="BE157">
            <v>5.5E-2</v>
          </cell>
          <cell r="BF157">
            <v>4767.5627999999997</v>
          </cell>
          <cell r="BH157">
            <v>3</v>
          </cell>
        </row>
        <row r="158">
          <cell r="BB158" t="str">
            <v>SC</v>
          </cell>
          <cell r="BC158">
            <v>846221</v>
          </cell>
          <cell r="BE158">
            <v>5.5E-2</v>
          </cell>
          <cell r="BF158">
            <v>4767.5627999999997</v>
          </cell>
          <cell r="BH158">
            <v>3</v>
          </cell>
        </row>
        <row r="159">
          <cell r="BB159" t="str">
            <v>SC</v>
          </cell>
          <cell r="BC159">
            <v>846221</v>
          </cell>
          <cell r="BE159">
            <v>5.5E-2</v>
          </cell>
          <cell r="BF159">
            <v>4767.5627999999997</v>
          </cell>
          <cell r="BH159">
            <v>3</v>
          </cell>
        </row>
        <row r="160">
          <cell r="BB160" t="str">
            <v>SC</v>
          </cell>
          <cell r="BC160">
            <v>846221</v>
          </cell>
          <cell r="BE160">
            <v>5.5E-2</v>
          </cell>
          <cell r="BF160">
            <v>4767.5627999999997</v>
          </cell>
          <cell r="BH160">
            <v>3</v>
          </cell>
        </row>
        <row r="161">
          <cell r="BB161" t="str">
            <v>NJ</v>
          </cell>
          <cell r="BC161">
            <v>843915</v>
          </cell>
          <cell r="BE161">
            <v>5.4999999999999993E-2</v>
          </cell>
          <cell r="BF161">
            <v>4767.5627999999997</v>
          </cell>
          <cell r="BH161">
            <v>3</v>
          </cell>
        </row>
        <row r="162">
          <cell r="BB162" t="str">
            <v>NJ</v>
          </cell>
          <cell r="BC162">
            <v>843162</v>
          </cell>
          <cell r="BE162">
            <v>5.5000000000000007E-2</v>
          </cell>
          <cell r="BF162">
            <v>4767.5627999999997</v>
          </cell>
          <cell r="BH162">
            <v>3</v>
          </cell>
        </row>
        <row r="163">
          <cell r="BB163" t="str">
            <v>KS</v>
          </cell>
          <cell r="BC163">
            <v>843108</v>
          </cell>
          <cell r="BE163">
            <v>5.5E-2</v>
          </cell>
          <cell r="BF163">
            <v>4767.5627999999997</v>
          </cell>
          <cell r="BH163">
            <v>3</v>
          </cell>
        </row>
        <row r="164">
          <cell r="BB164" t="str">
            <v>MO</v>
          </cell>
          <cell r="BC164">
            <v>843108</v>
          </cell>
          <cell r="BE164">
            <v>5.5E-2</v>
          </cell>
          <cell r="BF164">
            <v>4767.5627999999997</v>
          </cell>
          <cell r="BH164">
            <v>3</v>
          </cell>
        </row>
        <row r="165">
          <cell r="BB165" t="str">
            <v>VA</v>
          </cell>
          <cell r="BC165">
            <v>840853</v>
          </cell>
          <cell r="BE165">
            <v>5.5E-2</v>
          </cell>
          <cell r="BF165">
            <v>4767.5627999999997</v>
          </cell>
          <cell r="BH165">
            <v>3</v>
          </cell>
        </row>
        <row r="166">
          <cell r="BB166" t="str">
            <v>VA</v>
          </cell>
          <cell r="BC166">
            <v>840853</v>
          </cell>
          <cell r="BE166">
            <v>5.5E-2</v>
          </cell>
          <cell r="BF166">
            <v>4767.5627999999997</v>
          </cell>
          <cell r="BH166">
            <v>3</v>
          </cell>
        </row>
        <row r="167">
          <cell r="BB167" t="str">
            <v>GA</v>
          </cell>
          <cell r="BC167">
            <v>836182</v>
          </cell>
          <cell r="BE167">
            <v>5.5E-2</v>
          </cell>
          <cell r="BF167">
            <v>4767.5627999999997</v>
          </cell>
          <cell r="BH167">
            <v>3</v>
          </cell>
        </row>
        <row r="168">
          <cell r="BB168" t="str">
            <v>FL</v>
          </cell>
          <cell r="BC168">
            <v>834890</v>
          </cell>
          <cell r="BE168">
            <v>5.4999999999999993E-2</v>
          </cell>
          <cell r="BF168">
            <v>4767.5627999999997</v>
          </cell>
          <cell r="BH168">
            <v>3</v>
          </cell>
        </row>
        <row r="169">
          <cell r="BB169" t="str">
            <v>GA</v>
          </cell>
          <cell r="BC169">
            <v>834757</v>
          </cell>
          <cell r="BE169">
            <v>5.5E-2</v>
          </cell>
          <cell r="BF169">
            <v>4767.5627999999997</v>
          </cell>
          <cell r="BH169">
            <v>3</v>
          </cell>
        </row>
        <row r="170">
          <cell r="BB170" t="str">
            <v>VA</v>
          </cell>
          <cell r="BC170">
            <v>832794</v>
          </cell>
          <cell r="BE170">
            <v>5.5E-2</v>
          </cell>
          <cell r="BF170">
            <v>4767.5627999999997</v>
          </cell>
          <cell r="BH170">
            <v>3</v>
          </cell>
        </row>
        <row r="171">
          <cell r="BB171" t="str">
            <v>GA</v>
          </cell>
          <cell r="BC171">
            <v>830649</v>
          </cell>
          <cell r="BE171">
            <v>5.5E-2</v>
          </cell>
          <cell r="BF171">
            <v>4767.5627999999997</v>
          </cell>
          <cell r="BH171">
            <v>3</v>
          </cell>
        </row>
        <row r="172">
          <cell r="BB172" t="str">
            <v>IL</v>
          </cell>
          <cell r="BC172">
            <v>827703</v>
          </cell>
          <cell r="BE172">
            <v>5.5E-2</v>
          </cell>
          <cell r="BF172">
            <v>4767.5627999999997</v>
          </cell>
          <cell r="BH172">
            <v>3</v>
          </cell>
        </row>
        <row r="173">
          <cell r="BB173" t="str">
            <v>PA</v>
          </cell>
          <cell r="BC173">
            <v>825602</v>
          </cell>
          <cell r="BE173">
            <v>5.5E-2</v>
          </cell>
          <cell r="BF173">
            <v>4767.5627999999997</v>
          </cell>
          <cell r="BH173">
            <v>3</v>
          </cell>
        </row>
        <row r="174">
          <cell r="BB174" t="str">
            <v>SC</v>
          </cell>
          <cell r="BC174">
            <v>821793</v>
          </cell>
          <cell r="BE174">
            <v>5.5E-2</v>
          </cell>
          <cell r="BF174">
            <v>4767.5627999999997</v>
          </cell>
          <cell r="BH174">
            <v>3</v>
          </cell>
        </row>
        <row r="175">
          <cell r="BB175" t="str">
            <v>GA</v>
          </cell>
          <cell r="BC175">
            <v>821637</v>
          </cell>
          <cell r="BE175">
            <v>5.5000000000000007E-2</v>
          </cell>
          <cell r="BF175">
            <v>4767.5627999999997</v>
          </cell>
          <cell r="BH175">
            <v>3</v>
          </cell>
        </row>
        <row r="176">
          <cell r="BB176" t="str">
            <v>IL</v>
          </cell>
          <cell r="BC176">
            <v>818645</v>
          </cell>
          <cell r="BE176">
            <v>5.5E-2</v>
          </cell>
          <cell r="BF176">
            <v>4767.5627999999997</v>
          </cell>
          <cell r="BH176">
            <v>3</v>
          </cell>
        </row>
        <row r="177">
          <cell r="BB177" t="str">
            <v>KS</v>
          </cell>
          <cell r="BC177">
            <v>816378</v>
          </cell>
          <cell r="BE177">
            <v>5.5E-2</v>
          </cell>
          <cell r="BF177">
            <v>4767.5627999999997</v>
          </cell>
          <cell r="BH177">
            <v>3</v>
          </cell>
        </row>
        <row r="178">
          <cell r="BB178" t="str">
            <v>FL</v>
          </cell>
          <cell r="BC178">
            <v>811674</v>
          </cell>
          <cell r="BE178">
            <v>5.5E-2</v>
          </cell>
          <cell r="BF178">
            <v>4767.5627999999997</v>
          </cell>
          <cell r="BH178">
            <v>3</v>
          </cell>
        </row>
        <row r="179">
          <cell r="BB179" t="str">
            <v>SC</v>
          </cell>
          <cell r="BC179">
            <v>808804</v>
          </cell>
          <cell r="BE179">
            <v>5.5E-2</v>
          </cell>
          <cell r="BF179">
            <v>4767.5627999999997</v>
          </cell>
          <cell r="BH179">
            <v>3</v>
          </cell>
        </row>
        <row r="180">
          <cell r="BB180" t="str">
            <v>FL</v>
          </cell>
          <cell r="BC180">
            <v>805370</v>
          </cell>
          <cell r="BE180">
            <v>5.5E-2</v>
          </cell>
          <cell r="BF180">
            <v>4767.5627999999997</v>
          </cell>
          <cell r="BH180">
            <v>2</v>
          </cell>
        </row>
        <row r="181">
          <cell r="BB181" t="str">
            <v>TX</v>
          </cell>
          <cell r="BC181">
            <v>801535</v>
          </cell>
          <cell r="BE181">
            <v>5.5E-2</v>
          </cell>
          <cell r="BF181">
            <v>4767.5627999999997</v>
          </cell>
          <cell r="BH181">
            <v>2</v>
          </cell>
        </row>
        <row r="182">
          <cell r="BB182" t="str">
            <v>PA</v>
          </cell>
          <cell r="BC182">
            <v>800359</v>
          </cell>
          <cell r="BE182">
            <v>5.5E-2</v>
          </cell>
          <cell r="BF182">
            <v>4767.5627999999997</v>
          </cell>
          <cell r="BH182">
            <v>2</v>
          </cell>
        </row>
        <row r="183">
          <cell r="BB183" t="str">
            <v>PA</v>
          </cell>
          <cell r="BC183">
            <v>799099</v>
          </cell>
          <cell r="BE183">
            <v>5.5E-2</v>
          </cell>
          <cell r="BF183">
            <v>4767.5627999999997</v>
          </cell>
          <cell r="BH183">
            <v>2</v>
          </cell>
        </row>
        <row r="184">
          <cell r="BB184" t="str">
            <v>CA</v>
          </cell>
          <cell r="BC184">
            <v>792999</v>
          </cell>
          <cell r="BE184">
            <v>5.5E-2</v>
          </cell>
          <cell r="BF184">
            <v>4767.5627999999997</v>
          </cell>
          <cell r="BH184">
            <v>2</v>
          </cell>
        </row>
        <row r="185">
          <cell r="BB185" t="str">
            <v>PA</v>
          </cell>
          <cell r="BC185">
            <v>792407</v>
          </cell>
          <cell r="BE185">
            <v>5.5E-2</v>
          </cell>
          <cell r="BF185">
            <v>4767.5627999999997</v>
          </cell>
          <cell r="BH185">
            <v>2</v>
          </cell>
        </row>
        <row r="186">
          <cell r="BB186" t="str">
            <v>MO</v>
          </cell>
          <cell r="BC186">
            <v>791170</v>
          </cell>
          <cell r="BE186">
            <v>5.5E-2</v>
          </cell>
          <cell r="BF186">
            <v>4767.5627999999997</v>
          </cell>
          <cell r="BH186">
            <v>2</v>
          </cell>
        </row>
        <row r="187">
          <cell r="BB187" t="str">
            <v>PA</v>
          </cell>
          <cell r="BC187">
            <v>789615</v>
          </cell>
          <cell r="BE187">
            <v>5.4999999999999993E-2</v>
          </cell>
          <cell r="BF187">
            <v>4767.5627999999997</v>
          </cell>
          <cell r="BH187">
            <v>2</v>
          </cell>
        </row>
        <row r="188">
          <cell r="BB188" t="str">
            <v>NJ</v>
          </cell>
          <cell r="BC188">
            <v>788694</v>
          </cell>
          <cell r="BE188">
            <v>5.5E-2</v>
          </cell>
          <cell r="BF188">
            <v>4767.5627999999997</v>
          </cell>
          <cell r="BH188">
            <v>2</v>
          </cell>
        </row>
        <row r="189">
          <cell r="BB189" t="str">
            <v>FL</v>
          </cell>
          <cell r="BC189">
            <v>788052</v>
          </cell>
          <cell r="BE189">
            <v>5.5E-2</v>
          </cell>
          <cell r="BF189">
            <v>4767.5627999999997</v>
          </cell>
          <cell r="BH189">
            <v>2</v>
          </cell>
        </row>
        <row r="190">
          <cell r="BB190" t="str">
            <v>VA</v>
          </cell>
          <cell r="BC190">
            <v>785399</v>
          </cell>
          <cell r="BE190">
            <v>5.5E-2</v>
          </cell>
          <cell r="BF190">
            <v>4767.5627999999997</v>
          </cell>
          <cell r="BH190">
            <v>2</v>
          </cell>
        </row>
        <row r="191">
          <cell r="BB191" t="str">
            <v>PA</v>
          </cell>
          <cell r="BC191">
            <v>783382</v>
          </cell>
          <cell r="BE191">
            <v>5.5E-2</v>
          </cell>
          <cell r="BF191">
            <v>4767.5627999999997</v>
          </cell>
          <cell r="BH191">
            <v>2</v>
          </cell>
        </row>
        <row r="192">
          <cell r="BB192" t="str">
            <v>MO</v>
          </cell>
          <cell r="BC192">
            <v>782698</v>
          </cell>
          <cell r="BE192">
            <v>5.5E-2</v>
          </cell>
          <cell r="BF192">
            <v>4767.5627999999997</v>
          </cell>
          <cell r="BH192">
            <v>2</v>
          </cell>
        </row>
        <row r="193">
          <cell r="BB193" t="str">
            <v>MO</v>
          </cell>
          <cell r="BC193">
            <v>782698</v>
          </cell>
          <cell r="BE193">
            <v>5.5E-2</v>
          </cell>
          <cell r="BF193">
            <v>4767.5627999999997</v>
          </cell>
          <cell r="BH193">
            <v>2</v>
          </cell>
        </row>
        <row r="194">
          <cell r="BB194" t="str">
            <v>CO</v>
          </cell>
          <cell r="BC194">
            <v>782077</v>
          </cell>
          <cell r="BE194">
            <v>5.5E-2</v>
          </cell>
          <cell r="BF194">
            <v>4767.5627999999997</v>
          </cell>
          <cell r="BH194">
            <v>2</v>
          </cell>
        </row>
        <row r="195">
          <cell r="BB195" t="str">
            <v>MI</v>
          </cell>
          <cell r="BC195">
            <v>775478</v>
          </cell>
          <cell r="BE195">
            <v>5.5E-2</v>
          </cell>
          <cell r="BF195">
            <v>4767.5627999999997</v>
          </cell>
          <cell r="BH195">
            <v>2</v>
          </cell>
        </row>
        <row r="196">
          <cell r="BB196" t="str">
            <v>SC</v>
          </cell>
          <cell r="BC196">
            <v>773043</v>
          </cell>
          <cell r="BE196">
            <v>5.5E-2</v>
          </cell>
          <cell r="BF196">
            <v>4767.5627999999997</v>
          </cell>
          <cell r="BH196">
            <v>2</v>
          </cell>
        </row>
        <row r="197">
          <cell r="BB197" t="str">
            <v>WV</v>
          </cell>
          <cell r="BC197">
            <v>771805</v>
          </cell>
          <cell r="BE197">
            <v>5.5E-2</v>
          </cell>
          <cell r="BF197">
            <v>4767.5627999999997</v>
          </cell>
          <cell r="BH197">
            <v>2</v>
          </cell>
        </row>
        <row r="198">
          <cell r="BB198" t="str">
            <v>SC</v>
          </cell>
          <cell r="BC198">
            <v>769732</v>
          </cell>
          <cell r="BE198">
            <v>5.5E-2</v>
          </cell>
          <cell r="BF198">
            <v>4767.5627999999997</v>
          </cell>
          <cell r="BH198">
            <v>2</v>
          </cell>
        </row>
        <row r="199">
          <cell r="BB199" t="str">
            <v>IL</v>
          </cell>
          <cell r="BC199">
            <v>768177</v>
          </cell>
          <cell r="BE199">
            <v>5.5E-2</v>
          </cell>
          <cell r="BF199">
            <v>4767.5627999999997</v>
          </cell>
          <cell r="BH199">
            <v>2</v>
          </cell>
        </row>
        <row r="200">
          <cell r="BB200" t="str">
            <v>GA</v>
          </cell>
          <cell r="BC200">
            <v>762565</v>
          </cell>
          <cell r="BE200">
            <v>5.4999999999999993E-2</v>
          </cell>
          <cell r="BF200">
            <v>4767.5627999999997</v>
          </cell>
          <cell r="BH200">
            <v>2</v>
          </cell>
        </row>
        <row r="201">
          <cell r="BB201" t="str">
            <v>MD</v>
          </cell>
          <cell r="BC201">
            <v>761011</v>
          </cell>
          <cell r="BE201">
            <v>5.5000000000000007E-2</v>
          </cell>
          <cell r="BF201">
            <v>4767.5627999999997</v>
          </cell>
          <cell r="BH201">
            <v>2</v>
          </cell>
        </row>
        <row r="202">
          <cell r="BB202" t="str">
            <v>MD</v>
          </cell>
          <cell r="BC202">
            <v>761011</v>
          </cell>
          <cell r="BE202">
            <v>5.5000000000000007E-2</v>
          </cell>
          <cell r="BF202">
            <v>4767.5627999999997</v>
          </cell>
          <cell r="BH202">
            <v>2</v>
          </cell>
        </row>
        <row r="203">
          <cell r="BB203" t="str">
            <v>MD</v>
          </cell>
          <cell r="BC203">
            <v>761011</v>
          </cell>
          <cell r="BE203">
            <v>5.5000000000000007E-2</v>
          </cell>
          <cell r="BF203">
            <v>4767.5627999999997</v>
          </cell>
          <cell r="BH203">
            <v>2</v>
          </cell>
        </row>
        <row r="204">
          <cell r="BB204" t="str">
            <v>MD</v>
          </cell>
          <cell r="BC204">
            <v>755898</v>
          </cell>
          <cell r="BE204">
            <v>5.5E-2</v>
          </cell>
          <cell r="BF204">
            <v>4767.5627999999997</v>
          </cell>
          <cell r="BH204">
            <v>2</v>
          </cell>
        </row>
        <row r="205">
          <cell r="BB205" t="str">
            <v>MI</v>
          </cell>
          <cell r="BC205">
            <v>754785</v>
          </cell>
          <cell r="BE205">
            <v>5.5000000000000007E-2</v>
          </cell>
          <cell r="BF205">
            <v>4767.5627999999997</v>
          </cell>
          <cell r="BH205">
            <v>2</v>
          </cell>
        </row>
        <row r="206">
          <cell r="BB206" t="str">
            <v>IL</v>
          </cell>
          <cell r="BC206">
            <v>754680</v>
          </cell>
          <cell r="BE206">
            <v>5.5E-2</v>
          </cell>
          <cell r="BF206">
            <v>4767.5627999999997</v>
          </cell>
          <cell r="BH206">
            <v>2</v>
          </cell>
        </row>
        <row r="207">
          <cell r="BB207" t="str">
            <v>NV</v>
          </cell>
          <cell r="BC207">
            <v>752232</v>
          </cell>
          <cell r="BE207">
            <v>5.5E-2</v>
          </cell>
          <cell r="BF207">
            <v>4767.5627999999997</v>
          </cell>
          <cell r="BH207">
            <v>2</v>
          </cell>
        </row>
        <row r="208">
          <cell r="BB208" t="str">
            <v>SC</v>
          </cell>
          <cell r="BC208">
            <v>751327</v>
          </cell>
          <cell r="BE208">
            <v>5.5E-2</v>
          </cell>
          <cell r="BF208">
            <v>4767.5627999999997</v>
          </cell>
          <cell r="BH208">
            <v>2</v>
          </cell>
        </row>
        <row r="209">
          <cell r="BB209" t="str">
            <v>GA</v>
          </cell>
          <cell r="BC209">
            <v>751100</v>
          </cell>
          <cell r="BE209">
            <v>5.5E-2</v>
          </cell>
          <cell r="BF209">
            <v>4767.5627999999997</v>
          </cell>
          <cell r="BH209">
            <v>2</v>
          </cell>
        </row>
        <row r="210">
          <cell r="BB210" t="str">
            <v>NJ</v>
          </cell>
          <cell r="BC210">
            <v>749652</v>
          </cell>
          <cell r="BE210">
            <v>5.5E-2</v>
          </cell>
          <cell r="BF210">
            <v>4767.5627999999997</v>
          </cell>
          <cell r="BH210">
            <v>2</v>
          </cell>
        </row>
        <row r="211">
          <cell r="BB211" t="str">
            <v>PA</v>
          </cell>
          <cell r="BC211">
            <v>749619</v>
          </cell>
          <cell r="BE211">
            <v>5.5E-2</v>
          </cell>
          <cell r="BF211">
            <v>4767.5627999999997</v>
          </cell>
          <cell r="BH211">
            <v>2</v>
          </cell>
        </row>
        <row r="212">
          <cell r="BB212" t="str">
            <v>FL</v>
          </cell>
          <cell r="BC212">
            <v>742928</v>
          </cell>
          <cell r="BE212">
            <v>5.5E-2</v>
          </cell>
          <cell r="BF212">
            <v>4767.5627999999997</v>
          </cell>
          <cell r="BH212">
            <v>2</v>
          </cell>
        </row>
        <row r="213">
          <cell r="BB213" t="str">
            <v>CA</v>
          </cell>
          <cell r="BC213">
            <v>737125</v>
          </cell>
          <cell r="BE213">
            <v>5.5E-2</v>
          </cell>
          <cell r="BF213">
            <v>4767.5627999999997</v>
          </cell>
          <cell r="BH213">
            <v>2</v>
          </cell>
        </row>
        <row r="214">
          <cell r="BB214" t="str">
            <v>IL</v>
          </cell>
          <cell r="BC214">
            <v>735155</v>
          </cell>
          <cell r="BE214">
            <v>5.5E-2</v>
          </cell>
          <cell r="BF214">
            <v>4767.5627999999997</v>
          </cell>
          <cell r="BH214">
            <v>2</v>
          </cell>
        </row>
        <row r="215">
          <cell r="BB215" t="str">
            <v>CA</v>
          </cell>
          <cell r="BC215">
            <v>724164</v>
          </cell>
          <cell r="BE215">
            <v>5.4999999999999993E-2</v>
          </cell>
          <cell r="BF215">
            <v>4767.5627999999997</v>
          </cell>
          <cell r="BH215">
            <v>2</v>
          </cell>
        </row>
        <row r="216">
          <cell r="BB216" t="str">
            <v>MI</v>
          </cell>
          <cell r="BC216">
            <v>722422</v>
          </cell>
          <cell r="BE216">
            <v>5.5E-2</v>
          </cell>
          <cell r="BF216">
            <v>4767.5627999999997</v>
          </cell>
          <cell r="BH216">
            <v>2</v>
          </cell>
        </row>
        <row r="217">
          <cell r="BB217" t="str">
            <v>TX</v>
          </cell>
          <cell r="BC217">
            <v>719405</v>
          </cell>
          <cell r="BE217">
            <v>5.5E-2</v>
          </cell>
          <cell r="BF217">
            <v>4767.5627999999997</v>
          </cell>
          <cell r="BH217">
            <v>2</v>
          </cell>
        </row>
        <row r="218">
          <cell r="BB218" t="str">
            <v>GA</v>
          </cell>
          <cell r="BC218">
            <v>717195</v>
          </cell>
          <cell r="BE218">
            <v>5.5E-2</v>
          </cell>
          <cell r="BF218">
            <v>4767.5627999999997</v>
          </cell>
          <cell r="BH218">
            <v>2</v>
          </cell>
        </row>
        <row r="219">
          <cell r="BB219" t="str">
            <v>SC</v>
          </cell>
          <cell r="BC219">
            <v>716590</v>
          </cell>
          <cell r="BE219">
            <v>5.4999999999999993E-2</v>
          </cell>
          <cell r="BF219">
            <v>4767.5627999999997</v>
          </cell>
          <cell r="BH219">
            <v>2</v>
          </cell>
        </row>
        <row r="220">
          <cell r="BB220" t="str">
            <v>OK</v>
          </cell>
          <cell r="BC220">
            <v>715731</v>
          </cell>
          <cell r="BE220">
            <v>5.5E-2</v>
          </cell>
          <cell r="BF220">
            <v>4767.5627999999997</v>
          </cell>
          <cell r="BH220">
            <v>2</v>
          </cell>
        </row>
        <row r="221">
          <cell r="BB221" t="str">
            <v>VA</v>
          </cell>
          <cell r="BC221">
            <v>713848</v>
          </cell>
          <cell r="BE221">
            <v>5.5E-2</v>
          </cell>
          <cell r="BF221">
            <v>4767.5627999999997</v>
          </cell>
          <cell r="BH221">
            <v>2</v>
          </cell>
        </row>
        <row r="222">
          <cell r="BB222" t="str">
            <v>IN</v>
          </cell>
          <cell r="BC222">
            <v>712253</v>
          </cell>
          <cell r="BE222">
            <v>5.5E-2</v>
          </cell>
          <cell r="BF222">
            <v>4767.5627999999997</v>
          </cell>
          <cell r="BH222">
            <v>2</v>
          </cell>
        </row>
        <row r="223">
          <cell r="BB223" t="str">
            <v>TX</v>
          </cell>
          <cell r="BC223">
            <v>711694</v>
          </cell>
          <cell r="BE223">
            <v>5.5E-2</v>
          </cell>
          <cell r="BF223">
            <v>4767.5627999999997</v>
          </cell>
          <cell r="BH223">
            <v>2</v>
          </cell>
        </row>
        <row r="224">
          <cell r="BB224" t="str">
            <v>TX</v>
          </cell>
          <cell r="BC224">
            <v>709385</v>
          </cell>
          <cell r="BE224">
            <v>5.5000000000000007E-2</v>
          </cell>
          <cell r="BF224">
            <v>4767.5627999999997</v>
          </cell>
          <cell r="BH224">
            <v>2</v>
          </cell>
        </row>
        <row r="225">
          <cell r="BB225" t="str">
            <v>TX</v>
          </cell>
          <cell r="BC225">
            <v>709385</v>
          </cell>
          <cell r="BE225">
            <v>5.5000000000000007E-2</v>
          </cell>
          <cell r="BF225">
            <v>4767.5627999999997</v>
          </cell>
          <cell r="BH225">
            <v>2</v>
          </cell>
        </row>
        <row r="226">
          <cell r="BB226" t="str">
            <v>MD</v>
          </cell>
          <cell r="BC226">
            <v>706854</v>
          </cell>
          <cell r="BE226">
            <v>5.5E-2</v>
          </cell>
          <cell r="BF226">
            <v>4767.5627999999997</v>
          </cell>
          <cell r="BH226">
            <v>2</v>
          </cell>
        </row>
        <row r="227">
          <cell r="BB227" t="str">
            <v>IN</v>
          </cell>
          <cell r="BC227">
            <v>704991</v>
          </cell>
          <cell r="BE227">
            <v>5.4999999999999993E-2</v>
          </cell>
          <cell r="BF227">
            <v>4767.5627999999997</v>
          </cell>
          <cell r="BH227">
            <v>2</v>
          </cell>
        </row>
        <row r="228">
          <cell r="BB228" t="str">
            <v>GA</v>
          </cell>
          <cell r="BC228">
            <v>704731</v>
          </cell>
          <cell r="BE228">
            <v>5.5E-2</v>
          </cell>
          <cell r="BF228">
            <v>4767.5627999999997</v>
          </cell>
          <cell r="BH228">
            <v>2</v>
          </cell>
        </row>
        <row r="229">
          <cell r="BB229" t="str">
            <v>OK</v>
          </cell>
          <cell r="BC229">
            <v>702769</v>
          </cell>
          <cell r="BE229">
            <v>5.5E-2</v>
          </cell>
          <cell r="BF229">
            <v>4767.5627999999997</v>
          </cell>
          <cell r="BH229">
            <v>2</v>
          </cell>
        </row>
        <row r="230">
          <cell r="BB230" t="str">
            <v>OK</v>
          </cell>
          <cell r="BC230">
            <v>702566</v>
          </cell>
          <cell r="BE230">
            <v>5.4999999999999993E-2</v>
          </cell>
          <cell r="BF230">
            <v>4767.5627999999997</v>
          </cell>
          <cell r="BH230">
            <v>2</v>
          </cell>
        </row>
        <row r="231">
          <cell r="BB231" t="str">
            <v>GA</v>
          </cell>
          <cell r="BC231">
            <v>702156</v>
          </cell>
          <cell r="BE231">
            <v>5.5E-2</v>
          </cell>
          <cell r="BF231">
            <v>4767.5627999999997</v>
          </cell>
          <cell r="BH231">
            <v>2</v>
          </cell>
        </row>
        <row r="232">
          <cell r="BB232" t="str">
            <v>GA</v>
          </cell>
          <cell r="BC232">
            <v>700233</v>
          </cell>
          <cell r="BE232">
            <v>5.5E-2</v>
          </cell>
          <cell r="BF232">
            <v>4767.5627999999997</v>
          </cell>
          <cell r="BH232">
            <v>2</v>
          </cell>
        </row>
        <row r="233">
          <cell r="BB233" t="str">
            <v>OK</v>
          </cell>
          <cell r="BC233">
            <v>698201</v>
          </cell>
          <cell r="BE233">
            <v>5.5E-2</v>
          </cell>
          <cell r="BF233">
            <v>4767.5627999999997</v>
          </cell>
          <cell r="BH233">
            <v>2</v>
          </cell>
        </row>
        <row r="234">
          <cell r="BB234" t="str">
            <v>VA</v>
          </cell>
          <cell r="BC234">
            <v>691585</v>
          </cell>
          <cell r="BE234">
            <v>5.5000000000000007E-2</v>
          </cell>
          <cell r="BF234">
            <v>4767.5627999999997</v>
          </cell>
          <cell r="BH234">
            <v>2</v>
          </cell>
        </row>
        <row r="235">
          <cell r="BB235" t="str">
            <v>VA</v>
          </cell>
          <cell r="BC235">
            <v>691585</v>
          </cell>
          <cell r="BE235">
            <v>5.5000000000000007E-2</v>
          </cell>
          <cell r="BF235">
            <v>4767.5627999999997</v>
          </cell>
          <cell r="BH235">
            <v>2</v>
          </cell>
        </row>
        <row r="236">
          <cell r="BB236" t="str">
            <v>SC</v>
          </cell>
          <cell r="BC236">
            <v>673606</v>
          </cell>
          <cell r="BE236">
            <v>5.5E-2</v>
          </cell>
          <cell r="BF236">
            <v>4767.5627999999997</v>
          </cell>
          <cell r="BH236">
            <v>2</v>
          </cell>
        </row>
        <row r="237">
          <cell r="BB237" t="str">
            <v>KY</v>
          </cell>
          <cell r="BC237">
            <v>673494</v>
          </cell>
          <cell r="BE237">
            <v>5.5E-2</v>
          </cell>
          <cell r="BF237">
            <v>4767.5627999999997</v>
          </cell>
          <cell r="BH237">
            <v>2</v>
          </cell>
        </row>
        <row r="238">
          <cell r="BB238" t="str">
            <v>KY</v>
          </cell>
          <cell r="BC238">
            <v>673494</v>
          </cell>
          <cell r="BE238">
            <v>5.5E-2</v>
          </cell>
          <cell r="BF238">
            <v>4767.5627999999997</v>
          </cell>
          <cell r="BH238">
            <v>2</v>
          </cell>
        </row>
        <row r="239">
          <cell r="BB239" t="str">
            <v>SC</v>
          </cell>
          <cell r="BC239">
            <v>669701</v>
          </cell>
          <cell r="BE239">
            <v>5.5E-2</v>
          </cell>
          <cell r="BF239">
            <v>4767.5627999999997</v>
          </cell>
          <cell r="BH239">
            <v>2</v>
          </cell>
        </row>
        <row r="240">
          <cell r="BB240" t="str">
            <v>VA</v>
          </cell>
          <cell r="BC240">
            <v>669322</v>
          </cell>
          <cell r="BE240">
            <v>5.5E-2</v>
          </cell>
          <cell r="BF240">
            <v>4767.5627999999997</v>
          </cell>
          <cell r="BH240">
            <v>2</v>
          </cell>
        </row>
        <row r="241">
          <cell r="BB241" t="str">
            <v>VA</v>
          </cell>
          <cell r="BC241">
            <v>669322</v>
          </cell>
          <cell r="BE241">
            <v>5.5E-2</v>
          </cell>
          <cell r="BF241">
            <v>4767.5627999999997</v>
          </cell>
          <cell r="BH241">
            <v>2</v>
          </cell>
        </row>
        <row r="242">
          <cell r="BB242" t="str">
            <v>PA</v>
          </cell>
          <cell r="BC242">
            <v>667718</v>
          </cell>
          <cell r="BE242">
            <v>5.5E-2</v>
          </cell>
          <cell r="BF242">
            <v>4767.5627999999997</v>
          </cell>
          <cell r="BH242">
            <v>2</v>
          </cell>
        </row>
        <row r="243">
          <cell r="BB243" t="str">
            <v>IN</v>
          </cell>
          <cell r="BC243">
            <v>664427</v>
          </cell>
          <cell r="BE243">
            <v>5.5E-2</v>
          </cell>
          <cell r="BF243">
            <v>4767.5627999999997</v>
          </cell>
          <cell r="BH243">
            <v>2</v>
          </cell>
        </row>
        <row r="244">
          <cell r="BB244" t="str">
            <v>MD</v>
          </cell>
          <cell r="BC244">
            <v>662832</v>
          </cell>
          <cell r="BE244">
            <v>5.5E-2</v>
          </cell>
          <cell r="BF244">
            <v>4767.5627999999997</v>
          </cell>
          <cell r="BH244">
            <v>2</v>
          </cell>
        </row>
        <row r="245">
          <cell r="BB245" t="str">
            <v>IL</v>
          </cell>
          <cell r="BC245">
            <v>658172</v>
          </cell>
          <cell r="BE245">
            <v>5.5E-2</v>
          </cell>
          <cell r="BF245">
            <v>4767.5627999999997</v>
          </cell>
          <cell r="BH245">
            <v>2</v>
          </cell>
        </row>
        <row r="246">
          <cell r="BB246" t="str">
            <v>TN</v>
          </cell>
          <cell r="BC246">
            <v>656883</v>
          </cell>
          <cell r="BE246">
            <v>5.5E-2</v>
          </cell>
          <cell r="BF246">
            <v>4767.5627999999997</v>
          </cell>
          <cell r="BH246">
            <v>2</v>
          </cell>
        </row>
        <row r="247">
          <cell r="BB247" t="str">
            <v>FL</v>
          </cell>
          <cell r="BC247">
            <v>656152</v>
          </cell>
          <cell r="BE247">
            <v>5.5E-2</v>
          </cell>
          <cell r="BF247">
            <v>4767.5627999999997</v>
          </cell>
          <cell r="BH247">
            <v>2</v>
          </cell>
        </row>
        <row r="248">
          <cell r="BB248" t="str">
            <v>CO</v>
          </cell>
          <cell r="BC248">
            <v>655900</v>
          </cell>
          <cell r="BE248">
            <v>5.5E-2</v>
          </cell>
          <cell r="BF248">
            <v>4767.5627999999997</v>
          </cell>
          <cell r="BH248">
            <v>2</v>
          </cell>
        </row>
        <row r="249">
          <cell r="BB249" t="str">
            <v>WV</v>
          </cell>
          <cell r="BC249">
            <v>648583</v>
          </cell>
          <cell r="BE249">
            <v>5.5E-2</v>
          </cell>
          <cell r="BF249">
            <v>4767.5627999999997</v>
          </cell>
          <cell r="BH249">
            <v>2</v>
          </cell>
        </row>
        <row r="250">
          <cell r="BB250" t="str">
            <v>IN</v>
          </cell>
          <cell r="BC250">
            <v>648319</v>
          </cell>
          <cell r="BE250">
            <v>5.5E-2</v>
          </cell>
          <cell r="BF250">
            <v>4767.5627999999997</v>
          </cell>
          <cell r="BH250">
            <v>2</v>
          </cell>
        </row>
        <row r="251">
          <cell r="BB251" t="str">
            <v>SC</v>
          </cell>
          <cell r="BC251">
            <v>648293</v>
          </cell>
          <cell r="BE251">
            <v>5.5E-2</v>
          </cell>
          <cell r="BF251">
            <v>4767.5627999999997</v>
          </cell>
          <cell r="BH251">
            <v>2</v>
          </cell>
        </row>
        <row r="252">
          <cell r="BB252" t="str">
            <v>CA</v>
          </cell>
          <cell r="BC252">
            <v>642483</v>
          </cell>
          <cell r="BE252">
            <v>5.5E-2</v>
          </cell>
          <cell r="BF252">
            <v>4767.5627999999997</v>
          </cell>
          <cell r="BH252">
            <v>2</v>
          </cell>
        </row>
        <row r="253">
          <cell r="BB253" t="str">
            <v>CA</v>
          </cell>
          <cell r="BC253">
            <v>642483</v>
          </cell>
          <cell r="BE253">
            <v>5.5E-2</v>
          </cell>
          <cell r="BF253">
            <v>4767.5627999999997</v>
          </cell>
          <cell r="BH253">
            <v>2</v>
          </cell>
        </row>
        <row r="254">
          <cell r="BB254" t="str">
            <v>OK</v>
          </cell>
          <cell r="BC254">
            <v>641205</v>
          </cell>
          <cell r="BE254">
            <v>5.5E-2</v>
          </cell>
          <cell r="BF254">
            <v>4767.5627999999997</v>
          </cell>
          <cell r="BH254">
            <v>2</v>
          </cell>
        </row>
        <row r="255">
          <cell r="BB255" t="str">
            <v>KS</v>
          </cell>
          <cell r="BC255">
            <v>638089</v>
          </cell>
          <cell r="BE255">
            <v>5.4999999999999993E-2</v>
          </cell>
          <cell r="BF255">
            <v>4767.5627999999997</v>
          </cell>
          <cell r="BH255">
            <v>2</v>
          </cell>
        </row>
        <row r="256">
          <cell r="BB256" t="str">
            <v>KS</v>
          </cell>
          <cell r="BC256">
            <v>635831</v>
          </cell>
          <cell r="BE256">
            <v>5.5E-2</v>
          </cell>
          <cell r="BF256">
            <v>4767.5627999999997</v>
          </cell>
          <cell r="BH256">
            <v>2</v>
          </cell>
        </row>
        <row r="257">
          <cell r="BB257" t="str">
            <v>CA</v>
          </cell>
          <cell r="BC257">
            <v>634755</v>
          </cell>
          <cell r="BE257">
            <v>5.5E-2</v>
          </cell>
          <cell r="BF257">
            <v>4767.5627999999997</v>
          </cell>
          <cell r="BH257">
            <v>2</v>
          </cell>
        </row>
        <row r="258">
          <cell r="BB258" t="str">
            <v>PA</v>
          </cell>
          <cell r="BC258">
            <v>634066</v>
          </cell>
          <cell r="BE258">
            <v>5.4999999999999993E-2</v>
          </cell>
          <cell r="BF258">
            <v>4767.5627999999997</v>
          </cell>
          <cell r="BH258">
            <v>2</v>
          </cell>
        </row>
        <row r="259">
          <cell r="BB259" t="str">
            <v>WI</v>
          </cell>
          <cell r="BC259">
            <v>629454</v>
          </cell>
          <cell r="BE259">
            <v>5.5E-2</v>
          </cell>
          <cell r="BF259">
            <v>4767.5627999999997</v>
          </cell>
          <cell r="BH259">
            <v>2</v>
          </cell>
        </row>
        <row r="260">
          <cell r="BB260" t="str">
            <v>WI</v>
          </cell>
          <cell r="BC260">
            <v>629454</v>
          </cell>
          <cell r="BE260">
            <v>5.5E-2</v>
          </cell>
          <cell r="BF260">
            <v>4767.5627999999997</v>
          </cell>
          <cell r="BH260">
            <v>2</v>
          </cell>
        </row>
        <row r="261">
          <cell r="BB261" t="str">
            <v>OK</v>
          </cell>
          <cell r="BC261">
            <v>628353</v>
          </cell>
          <cell r="BE261">
            <v>5.5E-2</v>
          </cell>
          <cell r="BF261">
            <v>4767.5627999999997</v>
          </cell>
          <cell r="BH261">
            <v>2</v>
          </cell>
        </row>
        <row r="262">
          <cell r="BB262" t="str">
            <v>IN</v>
          </cell>
          <cell r="BC262">
            <v>628328</v>
          </cell>
          <cell r="BE262">
            <v>5.5E-2</v>
          </cell>
          <cell r="BF262">
            <v>4767.5627999999997</v>
          </cell>
          <cell r="BH262">
            <v>2</v>
          </cell>
        </row>
        <row r="263">
          <cell r="BB263" t="str">
            <v>IN</v>
          </cell>
          <cell r="BC263">
            <v>628328</v>
          </cell>
          <cell r="BE263">
            <v>5.5E-2</v>
          </cell>
          <cell r="BF263">
            <v>4767.5627999999997</v>
          </cell>
          <cell r="BH263">
            <v>2</v>
          </cell>
        </row>
        <row r="264">
          <cell r="BB264" t="str">
            <v>PA</v>
          </cell>
          <cell r="BC264">
            <v>626526</v>
          </cell>
          <cell r="BE264">
            <v>5.5E-2</v>
          </cell>
          <cell r="BF264">
            <v>4767.5627999999997</v>
          </cell>
          <cell r="BH264">
            <v>2</v>
          </cell>
        </row>
        <row r="265">
          <cell r="BB265" t="str">
            <v>TN</v>
          </cell>
          <cell r="BC265">
            <v>625691</v>
          </cell>
          <cell r="BE265">
            <v>5.4999999999999993E-2</v>
          </cell>
          <cell r="BF265">
            <v>4767.5627999999997</v>
          </cell>
          <cell r="BH265">
            <v>2</v>
          </cell>
        </row>
        <row r="266">
          <cell r="BB266" t="str">
            <v>TX</v>
          </cell>
          <cell r="BC266">
            <v>624861</v>
          </cell>
          <cell r="BE266">
            <v>5.5000000000000007E-2</v>
          </cell>
          <cell r="BF266">
            <v>4767.5627999999997</v>
          </cell>
          <cell r="BH266">
            <v>2</v>
          </cell>
        </row>
        <row r="267">
          <cell r="BB267" t="str">
            <v>IN</v>
          </cell>
          <cell r="BC267">
            <v>623284</v>
          </cell>
          <cell r="BE267">
            <v>5.5000000000000007E-2</v>
          </cell>
          <cell r="BF267">
            <v>4767.5627999999997</v>
          </cell>
          <cell r="BH267">
            <v>2</v>
          </cell>
        </row>
        <row r="268">
          <cell r="BB268" t="str">
            <v>SC</v>
          </cell>
          <cell r="BC268">
            <v>622494</v>
          </cell>
          <cell r="BE268">
            <v>5.5E-2</v>
          </cell>
          <cell r="BF268">
            <v>4767.5627999999997</v>
          </cell>
          <cell r="BH268">
            <v>2</v>
          </cell>
        </row>
        <row r="269">
          <cell r="BB269" t="str">
            <v>OR</v>
          </cell>
          <cell r="BC269">
            <v>620556</v>
          </cell>
          <cell r="BE269">
            <v>5.5E-2</v>
          </cell>
          <cell r="BF269">
            <v>4767.5627999999997</v>
          </cell>
          <cell r="BH269">
            <v>2</v>
          </cell>
        </row>
        <row r="270">
          <cell r="BB270" t="str">
            <v>IN</v>
          </cell>
          <cell r="BC270">
            <v>619916</v>
          </cell>
          <cell r="BE270">
            <v>5.4999999999999993E-2</v>
          </cell>
          <cell r="BF270">
            <v>4767.5627999999997</v>
          </cell>
          <cell r="BH270">
            <v>2</v>
          </cell>
        </row>
        <row r="271">
          <cell r="BB271" t="str">
            <v>LA</v>
          </cell>
          <cell r="BC271">
            <v>615818</v>
          </cell>
          <cell r="BE271">
            <v>5.4999999999999993E-2</v>
          </cell>
          <cell r="BF271">
            <v>4767.5627999999997</v>
          </cell>
          <cell r="BH271">
            <v>2</v>
          </cell>
        </row>
        <row r="272">
          <cell r="BB272" t="str">
            <v>OH</v>
          </cell>
          <cell r="BC272">
            <v>611732</v>
          </cell>
          <cell r="BE272">
            <v>5.5E-2</v>
          </cell>
          <cell r="BF272">
            <v>4767.5627999999997</v>
          </cell>
          <cell r="BH272">
            <v>2</v>
          </cell>
        </row>
        <row r="273">
          <cell r="BB273" t="str">
            <v>MI</v>
          </cell>
          <cell r="BC273">
            <v>609296</v>
          </cell>
          <cell r="BE273">
            <v>5.5E-2</v>
          </cell>
          <cell r="BF273">
            <v>4767.5627999999997</v>
          </cell>
          <cell r="BH273">
            <v>2</v>
          </cell>
        </row>
        <row r="274">
          <cell r="BB274" t="str">
            <v>OK</v>
          </cell>
          <cell r="BC274">
            <v>604663</v>
          </cell>
          <cell r="BE274">
            <v>5.5000000000000007E-2</v>
          </cell>
          <cell r="BF274">
            <v>4767.5627999999997</v>
          </cell>
          <cell r="BH274">
            <v>2</v>
          </cell>
        </row>
        <row r="275">
          <cell r="BB275" t="str">
            <v>KY</v>
          </cell>
          <cell r="BC275">
            <v>603174</v>
          </cell>
          <cell r="BE275">
            <v>5.5E-2</v>
          </cell>
          <cell r="BF275">
            <v>4767.5627999999997</v>
          </cell>
          <cell r="BH275">
            <v>2</v>
          </cell>
        </row>
        <row r="276">
          <cell r="BB276" t="str">
            <v>GA</v>
          </cell>
          <cell r="BC276">
            <v>602777</v>
          </cell>
          <cell r="BE276">
            <v>5.5E-2</v>
          </cell>
          <cell r="BF276">
            <v>4767.5627999999997</v>
          </cell>
          <cell r="BH276">
            <v>2</v>
          </cell>
        </row>
        <row r="277">
          <cell r="BB277" t="str">
            <v>GA</v>
          </cell>
          <cell r="BC277">
            <v>602777</v>
          </cell>
          <cell r="BE277">
            <v>5.5E-2</v>
          </cell>
          <cell r="BF277">
            <v>4767.5627999999997</v>
          </cell>
          <cell r="BH277">
            <v>2</v>
          </cell>
        </row>
        <row r="278">
          <cell r="BB278" t="str">
            <v>IL</v>
          </cell>
          <cell r="BC278">
            <v>601850</v>
          </cell>
          <cell r="BE278">
            <v>5.5E-2</v>
          </cell>
          <cell r="BF278">
            <v>4767.5627999999997</v>
          </cell>
          <cell r="BH278">
            <v>2</v>
          </cell>
        </row>
        <row r="279">
          <cell r="BB279" t="str">
            <v>MD</v>
          </cell>
          <cell r="BC279">
            <v>601630</v>
          </cell>
          <cell r="BE279">
            <v>5.5E-2</v>
          </cell>
          <cell r="BF279">
            <v>4767.5627999999997</v>
          </cell>
          <cell r="BH279">
            <v>2</v>
          </cell>
        </row>
        <row r="280">
          <cell r="BB280" t="str">
            <v>FL</v>
          </cell>
          <cell r="BC280">
            <v>601437</v>
          </cell>
          <cell r="BE280">
            <v>5.5000000000000007E-2</v>
          </cell>
          <cell r="BF280">
            <v>4767.5627999999997</v>
          </cell>
          <cell r="BH280">
            <v>2</v>
          </cell>
        </row>
        <row r="281">
          <cell r="BB281" t="str">
            <v>TX</v>
          </cell>
          <cell r="BC281">
            <v>596432</v>
          </cell>
          <cell r="BE281">
            <v>5.5E-2</v>
          </cell>
          <cell r="BF281">
            <v>4767.5627999999997</v>
          </cell>
          <cell r="BH281">
            <v>2</v>
          </cell>
        </row>
        <row r="282">
          <cell r="BB282" t="str">
            <v>VA</v>
          </cell>
          <cell r="BC282">
            <v>595173</v>
          </cell>
          <cell r="BE282">
            <v>5.5E-2</v>
          </cell>
          <cell r="BF282">
            <v>4767.5627999999997</v>
          </cell>
          <cell r="BH282">
            <v>2</v>
          </cell>
        </row>
        <row r="283">
          <cell r="BB283" t="str">
            <v>MD</v>
          </cell>
          <cell r="BC283">
            <v>592683</v>
          </cell>
          <cell r="BE283">
            <v>5.5E-2</v>
          </cell>
          <cell r="BF283">
            <v>4767.5627999999997</v>
          </cell>
          <cell r="BH283">
            <v>2</v>
          </cell>
        </row>
        <row r="284">
          <cell r="BB284" t="str">
            <v>PA</v>
          </cell>
          <cell r="BC284">
            <v>590212</v>
          </cell>
          <cell r="BE284">
            <v>5.5E-2</v>
          </cell>
          <cell r="BF284">
            <v>4767.5627999999997</v>
          </cell>
          <cell r="BH284">
            <v>2</v>
          </cell>
        </row>
        <row r="285">
          <cell r="BB285" t="str">
            <v>IL</v>
          </cell>
          <cell r="BC285">
            <v>587669</v>
          </cell>
          <cell r="BE285">
            <v>5.5E-2</v>
          </cell>
          <cell r="BF285">
            <v>4767.5627999999997</v>
          </cell>
          <cell r="BH285">
            <v>2</v>
          </cell>
        </row>
        <row r="286">
          <cell r="BB286" t="str">
            <v>VA</v>
          </cell>
          <cell r="BC286">
            <v>587331</v>
          </cell>
          <cell r="BE286">
            <v>5.5E-2</v>
          </cell>
          <cell r="BF286">
            <v>4767.5627999999997</v>
          </cell>
          <cell r="BH286">
            <v>2</v>
          </cell>
        </row>
        <row r="287">
          <cell r="BB287" t="str">
            <v>NJ</v>
          </cell>
          <cell r="BC287">
            <v>586419</v>
          </cell>
          <cell r="BE287">
            <v>5.5E-2</v>
          </cell>
          <cell r="BF287">
            <v>4767.5627999999997</v>
          </cell>
          <cell r="BH287">
            <v>2</v>
          </cell>
        </row>
        <row r="288">
          <cell r="BB288" t="str">
            <v>NJ</v>
          </cell>
          <cell r="BC288">
            <v>586419</v>
          </cell>
          <cell r="BE288">
            <v>5.5E-2</v>
          </cell>
          <cell r="BF288">
            <v>4767.5627999999997</v>
          </cell>
          <cell r="BH288">
            <v>2</v>
          </cell>
        </row>
        <row r="289">
          <cell r="BB289" t="str">
            <v>TX</v>
          </cell>
          <cell r="BC289">
            <v>584548</v>
          </cell>
          <cell r="BE289">
            <v>5.5E-2</v>
          </cell>
          <cell r="BF289">
            <v>4767.5627999999997</v>
          </cell>
          <cell r="BH289">
            <v>2</v>
          </cell>
        </row>
        <row r="290">
          <cell r="BB290" t="str">
            <v>TX</v>
          </cell>
          <cell r="BC290">
            <v>578217</v>
          </cell>
          <cell r="BE290">
            <v>5.5E-2</v>
          </cell>
          <cell r="BF290">
            <v>4767.5627999999997</v>
          </cell>
          <cell r="BH290">
            <v>2</v>
          </cell>
        </row>
        <row r="291">
          <cell r="BB291" t="str">
            <v>TX</v>
          </cell>
          <cell r="BC291">
            <v>578084</v>
          </cell>
          <cell r="BE291">
            <v>5.5E-2</v>
          </cell>
          <cell r="BF291">
            <v>4767.5627999999997</v>
          </cell>
          <cell r="BH291">
            <v>2</v>
          </cell>
        </row>
        <row r="292">
          <cell r="BB292" t="str">
            <v>VA</v>
          </cell>
          <cell r="BC292">
            <v>575948</v>
          </cell>
          <cell r="BE292">
            <v>5.5E-2</v>
          </cell>
          <cell r="BF292">
            <v>4767.5627999999997</v>
          </cell>
          <cell r="BH292">
            <v>2</v>
          </cell>
        </row>
        <row r="293">
          <cell r="BB293" t="str">
            <v>NJ</v>
          </cell>
          <cell r="BC293">
            <v>575675</v>
          </cell>
          <cell r="BE293">
            <v>5.5E-2</v>
          </cell>
          <cell r="BF293">
            <v>4767.5627999999997</v>
          </cell>
          <cell r="BH293">
            <v>2</v>
          </cell>
        </row>
        <row r="294">
          <cell r="BB294" t="str">
            <v>NY</v>
          </cell>
          <cell r="BC294">
            <v>575675</v>
          </cell>
          <cell r="BE294">
            <v>5.5E-2</v>
          </cell>
          <cell r="BF294">
            <v>4767.5627999999997</v>
          </cell>
          <cell r="BH294">
            <v>2</v>
          </cell>
        </row>
        <row r="295">
          <cell r="BB295" t="str">
            <v>NY</v>
          </cell>
          <cell r="BC295">
            <v>575675</v>
          </cell>
          <cell r="BE295">
            <v>5.5E-2</v>
          </cell>
          <cell r="BF295">
            <v>4767.5627999999997</v>
          </cell>
          <cell r="BH295">
            <v>2</v>
          </cell>
        </row>
        <row r="296">
          <cell r="BB296" t="str">
            <v>NY</v>
          </cell>
          <cell r="BC296">
            <v>575675</v>
          </cell>
          <cell r="BE296">
            <v>5.5E-2</v>
          </cell>
          <cell r="BF296">
            <v>4767.5627999999997</v>
          </cell>
          <cell r="BH296">
            <v>2</v>
          </cell>
        </row>
        <row r="297">
          <cell r="BB297" t="str">
            <v>NY</v>
          </cell>
          <cell r="BC297">
            <v>575675</v>
          </cell>
          <cell r="BE297">
            <v>5.5E-2</v>
          </cell>
          <cell r="BF297">
            <v>4767.5627999999997</v>
          </cell>
          <cell r="BH297">
            <v>2</v>
          </cell>
        </row>
        <row r="298">
          <cell r="BB298" t="str">
            <v>OH</v>
          </cell>
          <cell r="BC298">
            <v>575643</v>
          </cell>
          <cell r="BE298">
            <v>5.5E-2</v>
          </cell>
          <cell r="BF298">
            <v>4767.5627999999997</v>
          </cell>
          <cell r="BH298">
            <v>2</v>
          </cell>
        </row>
        <row r="299">
          <cell r="BB299" t="str">
            <v>OH</v>
          </cell>
          <cell r="BC299">
            <v>573074</v>
          </cell>
          <cell r="BE299">
            <v>5.5E-2</v>
          </cell>
          <cell r="BF299">
            <v>4767.5627999999997</v>
          </cell>
          <cell r="BH299">
            <v>2</v>
          </cell>
        </row>
        <row r="300">
          <cell r="BB300" t="str">
            <v>SC</v>
          </cell>
          <cell r="BC300">
            <v>572347</v>
          </cell>
          <cell r="BE300">
            <v>5.5E-2</v>
          </cell>
          <cell r="BF300">
            <v>4767.5627999999997</v>
          </cell>
          <cell r="BH300">
            <v>2</v>
          </cell>
        </row>
        <row r="301">
          <cell r="BB301" t="str">
            <v>KY</v>
          </cell>
          <cell r="BC301">
            <v>571083</v>
          </cell>
          <cell r="BE301">
            <v>5.5E-2</v>
          </cell>
          <cell r="BF301">
            <v>4767.5627999999997</v>
          </cell>
          <cell r="BH301">
            <v>2</v>
          </cell>
        </row>
        <row r="302">
          <cell r="BB302" t="str">
            <v>VA</v>
          </cell>
          <cell r="BC302">
            <v>569496</v>
          </cell>
          <cell r="BE302">
            <v>5.5E-2</v>
          </cell>
          <cell r="BF302">
            <v>4767.5627999999997</v>
          </cell>
          <cell r="BH302">
            <v>2</v>
          </cell>
        </row>
        <row r="303">
          <cell r="BB303" t="str">
            <v>MD</v>
          </cell>
          <cell r="BC303">
            <v>566373</v>
          </cell>
          <cell r="BE303">
            <v>5.5E-2</v>
          </cell>
          <cell r="BF303">
            <v>4767.5627999999997</v>
          </cell>
          <cell r="BH303">
            <v>2</v>
          </cell>
        </row>
        <row r="304">
          <cell r="BB304" t="str">
            <v>NC</v>
          </cell>
          <cell r="BC304">
            <v>565652</v>
          </cell>
          <cell r="BE304">
            <v>5.5E-2</v>
          </cell>
          <cell r="BF304">
            <v>4767.5627999999997</v>
          </cell>
          <cell r="BH304">
            <v>2</v>
          </cell>
        </row>
        <row r="305">
          <cell r="BB305" t="str">
            <v>TN</v>
          </cell>
          <cell r="BC305">
            <v>564945</v>
          </cell>
          <cell r="BE305">
            <v>5.5E-2</v>
          </cell>
          <cell r="BF305">
            <v>4767.5627999999997</v>
          </cell>
          <cell r="BH305">
            <v>2</v>
          </cell>
        </row>
        <row r="306">
          <cell r="BB306" t="str">
            <v>GA</v>
          </cell>
          <cell r="BC306">
            <v>564547</v>
          </cell>
          <cell r="BE306">
            <v>5.5E-2</v>
          </cell>
          <cell r="BF306">
            <v>4767.5627999999997</v>
          </cell>
          <cell r="BH306">
            <v>2</v>
          </cell>
        </row>
        <row r="307">
          <cell r="BB307" t="str">
            <v>IN</v>
          </cell>
          <cell r="BC307">
            <v>561441</v>
          </cell>
          <cell r="BE307">
            <v>5.5E-2</v>
          </cell>
          <cell r="BF307">
            <v>4767.5627999999997</v>
          </cell>
          <cell r="BH307">
            <v>2</v>
          </cell>
        </row>
        <row r="308">
          <cell r="BB308" t="str">
            <v>MD</v>
          </cell>
          <cell r="BC308">
            <v>560762</v>
          </cell>
          <cell r="BE308">
            <v>5.5E-2</v>
          </cell>
          <cell r="BF308">
            <v>4767.5627999999997</v>
          </cell>
          <cell r="BH308">
            <v>2</v>
          </cell>
        </row>
        <row r="309">
          <cell r="BB309" t="str">
            <v>NY</v>
          </cell>
          <cell r="BC309">
            <v>560117</v>
          </cell>
          <cell r="BE309">
            <v>5.5E-2</v>
          </cell>
          <cell r="BF309">
            <v>4767.5627999999997</v>
          </cell>
          <cell r="BH309">
            <v>2</v>
          </cell>
        </row>
        <row r="310">
          <cell r="BB310" t="str">
            <v>NY</v>
          </cell>
          <cell r="BC310">
            <v>560023</v>
          </cell>
          <cell r="BE310">
            <v>5.5E-2</v>
          </cell>
          <cell r="BF310">
            <v>4767.5627999999997</v>
          </cell>
          <cell r="BH310">
            <v>2</v>
          </cell>
        </row>
        <row r="311">
          <cell r="BB311" t="str">
            <v>KY</v>
          </cell>
          <cell r="BC311">
            <v>559187</v>
          </cell>
          <cell r="BE311">
            <v>5.5E-2</v>
          </cell>
          <cell r="BF311">
            <v>4767.5627999999997</v>
          </cell>
          <cell r="BH311">
            <v>2</v>
          </cell>
        </row>
        <row r="312">
          <cell r="BB312" t="str">
            <v>NE</v>
          </cell>
          <cell r="BC312">
            <v>556522</v>
          </cell>
          <cell r="BE312">
            <v>5.5E-2</v>
          </cell>
          <cell r="BF312">
            <v>4767.5627999999997</v>
          </cell>
          <cell r="BH312">
            <v>2</v>
          </cell>
        </row>
        <row r="313">
          <cell r="BB313" t="str">
            <v>PA</v>
          </cell>
          <cell r="BC313">
            <v>554327</v>
          </cell>
          <cell r="BE313">
            <v>5.5E-2</v>
          </cell>
          <cell r="BF313">
            <v>4767.5627999999997</v>
          </cell>
          <cell r="BH313">
            <v>2</v>
          </cell>
        </row>
        <row r="314">
          <cell r="BB314" t="str">
            <v>IN</v>
          </cell>
          <cell r="BC314">
            <v>554277</v>
          </cell>
          <cell r="BE314">
            <v>5.5E-2</v>
          </cell>
          <cell r="BF314">
            <v>4767.5627999999997</v>
          </cell>
          <cell r="BH314">
            <v>2</v>
          </cell>
        </row>
        <row r="315">
          <cell r="BB315" t="str">
            <v>VA</v>
          </cell>
          <cell r="BC315">
            <v>553647</v>
          </cell>
          <cell r="BE315">
            <v>5.5E-2</v>
          </cell>
          <cell r="BF315">
            <v>4767.5627999999997</v>
          </cell>
          <cell r="BH315">
            <v>2</v>
          </cell>
        </row>
        <row r="316">
          <cell r="BB316" t="str">
            <v>CA</v>
          </cell>
          <cell r="BC316">
            <v>552375</v>
          </cell>
          <cell r="BE316">
            <v>5.5E-2</v>
          </cell>
          <cell r="BF316">
            <v>4767.5627999999997</v>
          </cell>
          <cell r="BH316">
            <v>2</v>
          </cell>
        </row>
        <row r="317">
          <cell r="BB317" t="str">
            <v>TX</v>
          </cell>
          <cell r="BC317">
            <v>550181</v>
          </cell>
          <cell r="BE317">
            <v>5.5E-2</v>
          </cell>
          <cell r="BF317">
            <v>4767.5627999999997</v>
          </cell>
          <cell r="BH317">
            <v>2</v>
          </cell>
        </row>
        <row r="318">
          <cell r="BB318" t="str">
            <v>TN</v>
          </cell>
          <cell r="BC318">
            <v>548879</v>
          </cell>
          <cell r="BE318">
            <v>5.5E-2</v>
          </cell>
          <cell r="BF318">
            <v>4767.5627999999997</v>
          </cell>
          <cell r="BH318">
            <v>2</v>
          </cell>
        </row>
        <row r="319">
          <cell r="BB319" t="str">
            <v>TN</v>
          </cell>
          <cell r="BC319">
            <v>548346</v>
          </cell>
          <cell r="BE319">
            <v>5.5E-2</v>
          </cell>
          <cell r="BF319">
            <v>4767.5627999999997</v>
          </cell>
          <cell r="BH319">
            <v>2</v>
          </cell>
        </row>
        <row r="320">
          <cell r="BB320" t="str">
            <v>IN</v>
          </cell>
          <cell r="BC320">
            <v>546623</v>
          </cell>
          <cell r="BE320">
            <v>5.5E-2</v>
          </cell>
          <cell r="BF320">
            <v>4767.5627999999997</v>
          </cell>
          <cell r="BH320">
            <v>2</v>
          </cell>
        </row>
        <row r="321">
          <cell r="BB321" t="str">
            <v>IN</v>
          </cell>
          <cell r="BC321">
            <v>545295</v>
          </cell>
          <cell r="BE321">
            <v>5.5E-2</v>
          </cell>
          <cell r="BF321">
            <v>4767.5627999999997</v>
          </cell>
          <cell r="BH321">
            <v>2</v>
          </cell>
        </row>
        <row r="322">
          <cell r="BB322" t="str">
            <v>TN</v>
          </cell>
          <cell r="BC322">
            <v>544742</v>
          </cell>
          <cell r="BE322">
            <v>5.5E-2</v>
          </cell>
          <cell r="BF322">
            <v>4767.5627999999997</v>
          </cell>
          <cell r="BH322">
            <v>2</v>
          </cell>
        </row>
        <row r="323">
          <cell r="BB323" t="str">
            <v>TN</v>
          </cell>
          <cell r="BC323">
            <v>542973</v>
          </cell>
          <cell r="BE323">
            <v>5.5E-2</v>
          </cell>
          <cell r="BF323">
            <v>4767.5627999999997</v>
          </cell>
          <cell r="BH323">
            <v>2</v>
          </cell>
        </row>
        <row r="324">
          <cell r="BB324" t="str">
            <v>TN</v>
          </cell>
          <cell r="BC324">
            <v>542973</v>
          </cell>
          <cell r="BE324">
            <v>5.5E-2</v>
          </cell>
          <cell r="BF324">
            <v>4767.5627999999997</v>
          </cell>
          <cell r="BH324">
            <v>2</v>
          </cell>
        </row>
        <row r="325">
          <cell r="BB325" t="str">
            <v>OH</v>
          </cell>
          <cell r="BC325">
            <v>541952</v>
          </cell>
          <cell r="BE325">
            <v>5.5E-2</v>
          </cell>
          <cell r="BF325">
            <v>4767.5627999999997</v>
          </cell>
          <cell r="BH325">
            <v>2</v>
          </cell>
        </row>
        <row r="326">
          <cell r="BB326" t="str">
            <v>OH</v>
          </cell>
          <cell r="BC326">
            <v>541952</v>
          </cell>
          <cell r="BE326">
            <v>5.5E-2</v>
          </cell>
          <cell r="BF326">
            <v>4767.5627999999997</v>
          </cell>
          <cell r="BH326">
            <v>2</v>
          </cell>
        </row>
        <row r="327">
          <cell r="BB327" t="str">
            <v>OH</v>
          </cell>
          <cell r="BC327">
            <v>539825</v>
          </cell>
          <cell r="BE327">
            <v>5.5E-2</v>
          </cell>
          <cell r="BF327">
            <v>4767.5627999999997</v>
          </cell>
          <cell r="BH327">
            <v>2</v>
          </cell>
        </row>
        <row r="328">
          <cell r="BB328" t="str">
            <v>TN</v>
          </cell>
          <cell r="BC328">
            <v>539369</v>
          </cell>
          <cell r="BE328">
            <v>5.5E-2</v>
          </cell>
          <cell r="BF328">
            <v>4767.5627999999997</v>
          </cell>
          <cell r="BH328">
            <v>2</v>
          </cell>
        </row>
        <row r="329">
          <cell r="BB329" t="str">
            <v>TN</v>
          </cell>
          <cell r="BC329">
            <v>539369</v>
          </cell>
          <cell r="BE329">
            <v>5.5E-2</v>
          </cell>
          <cell r="BF329">
            <v>4767.5627999999997</v>
          </cell>
          <cell r="BH329">
            <v>2</v>
          </cell>
        </row>
        <row r="330">
          <cell r="BB330" t="str">
            <v>OH</v>
          </cell>
          <cell r="BC330">
            <v>538805</v>
          </cell>
          <cell r="BE330">
            <v>5.5E-2</v>
          </cell>
          <cell r="BF330">
            <v>4767.5627999999997</v>
          </cell>
          <cell r="BH330">
            <v>2</v>
          </cell>
        </row>
        <row r="331">
          <cell r="BB331" t="str">
            <v>IN</v>
          </cell>
          <cell r="BC331">
            <v>535906</v>
          </cell>
          <cell r="BE331">
            <v>5.5E-2</v>
          </cell>
          <cell r="BF331">
            <v>4767.5627999999997</v>
          </cell>
          <cell r="BH331">
            <v>1</v>
          </cell>
        </row>
        <row r="332">
          <cell r="BB332" t="str">
            <v>KY</v>
          </cell>
          <cell r="BC332">
            <v>534963</v>
          </cell>
          <cell r="BE332">
            <v>5.5E-2</v>
          </cell>
          <cell r="BF332">
            <v>4767.5627999999997</v>
          </cell>
          <cell r="BH332">
            <v>1</v>
          </cell>
        </row>
        <row r="333">
          <cell r="BB333" t="str">
            <v>OH</v>
          </cell>
          <cell r="BC333">
            <v>534046</v>
          </cell>
          <cell r="BE333">
            <v>5.5E-2</v>
          </cell>
          <cell r="BF333">
            <v>4767.5627999999997</v>
          </cell>
          <cell r="BH333">
            <v>1</v>
          </cell>
        </row>
        <row r="334">
          <cell r="BB334" t="str">
            <v>WV</v>
          </cell>
          <cell r="BC334">
            <v>533204</v>
          </cell>
          <cell r="BE334">
            <v>5.5E-2</v>
          </cell>
          <cell r="BF334">
            <v>4767.5627999999997</v>
          </cell>
          <cell r="BH334">
            <v>1</v>
          </cell>
        </row>
        <row r="335">
          <cell r="BB335" t="str">
            <v>WV</v>
          </cell>
          <cell r="BC335">
            <v>533204</v>
          </cell>
          <cell r="BE335">
            <v>5.5E-2</v>
          </cell>
          <cell r="BF335">
            <v>4767.5627999999997</v>
          </cell>
          <cell r="BH335">
            <v>1</v>
          </cell>
        </row>
        <row r="336">
          <cell r="BB336" t="str">
            <v>NJ</v>
          </cell>
          <cell r="BC336">
            <v>531046</v>
          </cell>
          <cell r="BE336">
            <v>5.5E-2</v>
          </cell>
          <cell r="BF336">
            <v>4767.5627999999997</v>
          </cell>
          <cell r="BH336">
            <v>1</v>
          </cell>
        </row>
        <row r="337">
          <cell r="BB337" t="str">
            <v>KS</v>
          </cell>
          <cell r="BC337">
            <v>525973</v>
          </cell>
          <cell r="BE337">
            <v>5.5E-2</v>
          </cell>
          <cell r="BF337">
            <v>4767.5627999999997</v>
          </cell>
          <cell r="BH337">
            <v>1</v>
          </cell>
        </row>
        <row r="338">
          <cell r="BB338" t="str">
            <v>IN</v>
          </cell>
          <cell r="BC338">
            <v>525630</v>
          </cell>
          <cell r="BE338">
            <v>5.5E-2</v>
          </cell>
          <cell r="BF338">
            <v>4767.5627999999997</v>
          </cell>
          <cell r="BH338">
            <v>1</v>
          </cell>
        </row>
        <row r="339">
          <cell r="BB339" t="str">
            <v>IN</v>
          </cell>
          <cell r="BC339">
            <v>525515</v>
          </cell>
          <cell r="BE339">
            <v>5.5E-2</v>
          </cell>
          <cell r="BF339">
            <v>4767.5627999999997</v>
          </cell>
          <cell r="BH339">
            <v>1</v>
          </cell>
        </row>
        <row r="340">
          <cell r="BB340" t="str">
            <v>LA</v>
          </cell>
          <cell r="BC340">
            <v>523317</v>
          </cell>
          <cell r="BE340">
            <v>5.5E-2</v>
          </cell>
          <cell r="BF340">
            <v>4767.5627999999997</v>
          </cell>
          <cell r="BH340">
            <v>1</v>
          </cell>
        </row>
        <row r="341">
          <cell r="BB341" t="str">
            <v>KS</v>
          </cell>
          <cell r="BC341">
            <v>522108</v>
          </cell>
          <cell r="BE341">
            <v>5.5E-2</v>
          </cell>
          <cell r="BF341">
            <v>4767.5627999999997</v>
          </cell>
          <cell r="BH341">
            <v>1</v>
          </cell>
        </row>
        <row r="342">
          <cell r="BB342" t="str">
            <v>MD</v>
          </cell>
          <cell r="BC342">
            <v>519070</v>
          </cell>
          <cell r="BE342">
            <v>5.5E-2</v>
          </cell>
          <cell r="BF342">
            <v>4767.5627999999997</v>
          </cell>
          <cell r="BH342">
            <v>1</v>
          </cell>
        </row>
        <row r="343">
          <cell r="BB343" t="str">
            <v>KY</v>
          </cell>
          <cell r="BC343">
            <v>518500</v>
          </cell>
          <cell r="BE343">
            <v>5.5E-2</v>
          </cell>
          <cell r="BF343">
            <v>4767.5627999999997</v>
          </cell>
          <cell r="BH343">
            <v>1</v>
          </cell>
        </row>
        <row r="344">
          <cell r="BB344" t="str">
            <v>IN</v>
          </cell>
          <cell r="BC344">
            <v>518220</v>
          </cell>
          <cell r="BE344">
            <v>5.5E-2</v>
          </cell>
          <cell r="BF344">
            <v>4767.5628000000006</v>
          </cell>
          <cell r="BH344">
            <v>1</v>
          </cell>
        </row>
        <row r="345">
          <cell r="BB345" t="str">
            <v>LA</v>
          </cell>
          <cell r="BC345">
            <v>515641</v>
          </cell>
          <cell r="BE345">
            <v>5.5E-2</v>
          </cell>
          <cell r="BF345">
            <v>4767.5627999999997</v>
          </cell>
          <cell r="BH345">
            <v>1</v>
          </cell>
        </row>
        <row r="346">
          <cell r="BB346" t="str">
            <v>LA</v>
          </cell>
          <cell r="BC346">
            <v>515641</v>
          </cell>
          <cell r="BE346">
            <v>5.5E-2</v>
          </cell>
          <cell r="BF346">
            <v>4767.5627999999997</v>
          </cell>
          <cell r="BH346">
            <v>1</v>
          </cell>
        </row>
        <row r="347">
          <cell r="BB347" t="str">
            <v>LA</v>
          </cell>
          <cell r="BC347">
            <v>515641</v>
          </cell>
          <cell r="BE347">
            <v>5.5E-2</v>
          </cell>
          <cell r="BF347">
            <v>4767.5627999999997</v>
          </cell>
          <cell r="BH347">
            <v>1</v>
          </cell>
        </row>
        <row r="348">
          <cell r="BB348" t="str">
            <v>MD</v>
          </cell>
          <cell r="BC348">
            <v>514153</v>
          </cell>
          <cell r="BE348">
            <v>5.5E-2</v>
          </cell>
          <cell r="BF348">
            <v>4767.5627999999997</v>
          </cell>
          <cell r="BH348">
            <v>1</v>
          </cell>
        </row>
        <row r="349">
          <cell r="BB349" t="str">
            <v>WI</v>
          </cell>
          <cell r="BC349">
            <v>513609</v>
          </cell>
          <cell r="BE349">
            <v>5.5E-2</v>
          </cell>
          <cell r="BF349">
            <v>4767.5627999999997</v>
          </cell>
          <cell r="BH349">
            <v>1</v>
          </cell>
        </row>
        <row r="350">
          <cell r="BB350" t="str">
            <v>NJ</v>
          </cell>
          <cell r="BC350">
            <v>513590</v>
          </cell>
          <cell r="BE350">
            <v>5.5E-2</v>
          </cell>
          <cell r="BF350">
            <v>4767.5627999999997</v>
          </cell>
          <cell r="BH350">
            <v>1</v>
          </cell>
        </row>
        <row r="351">
          <cell r="BB351" t="str">
            <v>GA</v>
          </cell>
          <cell r="BC351">
            <v>512404</v>
          </cell>
          <cell r="BE351">
            <v>5.5E-2</v>
          </cell>
          <cell r="BF351">
            <v>4767.5627999999997</v>
          </cell>
          <cell r="BH351">
            <v>1</v>
          </cell>
        </row>
        <row r="352">
          <cell r="BB352" t="str">
            <v>GA</v>
          </cell>
          <cell r="BC352">
            <v>512404</v>
          </cell>
          <cell r="BE352">
            <v>5.5E-2</v>
          </cell>
          <cell r="BF352">
            <v>4767.5627999999997</v>
          </cell>
          <cell r="BH352">
            <v>1</v>
          </cell>
        </row>
        <row r="353">
          <cell r="BB353" t="str">
            <v>GA</v>
          </cell>
          <cell r="BC353">
            <v>512404</v>
          </cell>
          <cell r="BE353">
            <v>5.5E-2</v>
          </cell>
          <cell r="BF353">
            <v>4767.5627999999997</v>
          </cell>
          <cell r="BH353">
            <v>1</v>
          </cell>
        </row>
        <row r="354">
          <cell r="BB354" t="str">
            <v>MD</v>
          </cell>
          <cell r="BC354">
            <v>512007</v>
          </cell>
          <cell r="BE354">
            <v>5.5E-2</v>
          </cell>
          <cell r="BF354">
            <v>4767.5627999999997</v>
          </cell>
          <cell r="BH354">
            <v>1</v>
          </cell>
        </row>
        <row r="355">
          <cell r="BB355" t="str">
            <v>MD</v>
          </cell>
          <cell r="BC355">
            <v>512007</v>
          </cell>
          <cell r="BE355">
            <v>5.5E-2</v>
          </cell>
          <cell r="BF355">
            <v>4767.5627999999997</v>
          </cell>
          <cell r="BH355">
            <v>1</v>
          </cell>
        </row>
        <row r="356">
          <cell r="BB356" t="str">
            <v>IN</v>
          </cell>
          <cell r="BC356">
            <v>511507</v>
          </cell>
          <cell r="BE356">
            <v>5.5E-2</v>
          </cell>
          <cell r="BF356">
            <v>4767.5627999999997</v>
          </cell>
          <cell r="BH356">
            <v>1</v>
          </cell>
        </row>
        <row r="357">
          <cell r="BB357" t="str">
            <v>VA</v>
          </cell>
          <cell r="BC357">
            <v>510985</v>
          </cell>
          <cell r="BE357">
            <v>5.5E-2</v>
          </cell>
          <cell r="BF357">
            <v>4767.5627999999997</v>
          </cell>
          <cell r="BH357">
            <v>1</v>
          </cell>
        </row>
        <row r="358">
          <cell r="BB358" t="str">
            <v>PA</v>
          </cell>
          <cell r="BC358">
            <v>510654</v>
          </cell>
          <cell r="BE358">
            <v>5.5E-2</v>
          </cell>
          <cell r="BF358">
            <v>4767.5627999999997</v>
          </cell>
          <cell r="BH358">
            <v>1</v>
          </cell>
        </row>
        <row r="359">
          <cell r="BB359" t="str">
            <v>TN</v>
          </cell>
          <cell r="BC359">
            <v>508177</v>
          </cell>
          <cell r="BE359">
            <v>5.5E-2</v>
          </cell>
          <cell r="BF359">
            <v>4767.5627999999997</v>
          </cell>
          <cell r="BH359">
            <v>1</v>
          </cell>
        </row>
        <row r="360">
          <cell r="BB360" t="str">
            <v>PA</v>
          </cell>
          <cell r="BC360">
            <v>506245</v>
          </cell>
          <cell r="BE360">
            <v>5.5E-2</v>
          </cell>
          <cell r="BF360">
            <v>4767.5627999999997</v>
          </cell>
          <cell r="BH360">
            <v>1</v>
          </cell>
        </row>
        <row r="361">
          <cell r="BB361" t="str">
            <v>IN</v>
          </cell>
          <cell r="BC361">
            <v>505182</v>
          </cell>
          <cell r="BE361">
            <v>5.5E-2</v>
          </cell>
          <cell r="BF361">
            <v>4767.5627999999997</v>
          </cell>
          <cell r="BH361">
            <v>1</v>
          </cell>
        </row>
        <row r="362">
          <cell r="BB362" t="str">
            <v>WI</v>
          </cell>
          <cell r="BC362">
            <v>502630</v>
          </cell>
          <cell r="BE362">
            <v>5.5E-2</v>
          </cell>
          <cell r="BF362">
            <v>4767.5627999999997</v>
          </cell>
          <cell r="BH362">
            <v>1</v>
          </cell>
        </row>
        <row r="363">
          <cell r="BB363" t="str">
            <v>VA</v>
          </cell>
          <cell r="BC363">
            <v>502084</v>
          </cell>
          <cell r="BE363">
            <v>5.5E-2</v>
          </cell>
          <cell r="BF363">
            <v>4767.5627999999997</v>
          </cell>
          <cell r="BH363">
            <v>1</v>
          </cell>
        </row>
        <row r="364">
          <cell r="BB364" t="str">
            <v>VA</v>
          </cell>
          <cell r="BC364">
            <v>502084</v>
          </cell>
          <cell r="BE364">
            <v>5.5E-2</v>
          </cell>
          <cell r="BF364">
            <v>4767.5627999999997</v>
          </cell>
          <cell r="BH364">
            <v>1</v>
          </cell>
        </row>
        <row r="365">
          <cell r="BB365" t="str">
            <v>IN</v>
          </cell>
          <cell r="BC365">
            <v>498886</v>
          </cell>
          <cell r="BE365">
            <v>5.5E-2</v>
          </cell>
          <cell r="BF365">
            <v>4767.5627999999988</v>
          </cell>
          <cell r="BH365">
            <v>1</v>
          </cell>
        </row>
        <row r="366">
          <cell r="BB366" t="str">
            <v>NJ</v>
          </cell>
          <cell r="BC366">
            <v>498734</v>
          </cell>
          <cell r="BE366">
            <v>5.5E-2</v>
          </cell>
          <cell r="BF366">
            <v>4767.5627999999997</v>
          </cell>
          <cell r="BH366">
            <v>1</v>
          </cell>
        </row>
        <row r="367">
          <cell r="BB367" t="str">
            <v>LA</v>
          </cell>
          <cell r="BC367">
            <v>497316</v>
          </cell>
          <cell r="BE367">
            <v>5.5E-2</v>
          </cell>
          <cell r="BF367">
            <v>4767.5627999999997</v>
          </cell>
          <cell r="BH367">
            <v>1</v>
          </cell>
        </row>
        <row r="368">
          <cell r="BB368" t="str">
            <v>LA</v>
          </cell>
          <cell r="BC368">
            <v>497316</v>
          </cell>
          <cell r="BE368">
            <v>5.5E-2</v>
          </cell>
          <cell r="BF368">
            <v>4767.5627999999997</v>
          </cell>
          <cell r="BH368">
            <v>1</v>
          </cell>
        </row>
        <row r="369">
          <cell r="BB369" t="str">
            <v>IN</v>
          </cell>
          <cell r="BC369">
            <v>496652</v>
          </cell>
          <cell r="BE369">
            <v>5.5E-2</v>
          </cell>
          <cell r="BF369">
            <v>4767.5627999999997</v>
          </cell>
          <cell r="BH369">
            <v>1</v>
          </cell>
        </row>
        <row r="370">
          <cell r="BB370" t="str">
            <v>MD</v>
          </cell>
          <cell r="BC370">
            <v>494304</v>
          </cell>
          <cell r="BE370">
            <v>5.5E-2</v>
          </cell>
          <cell r="BF370">
            <v>4767.5627999999997</v>
          </cell>
          <cell r="BH370">
            <v>1</v>
          </cell>
        </row>
        <row r="371">
          <cell r="BB371" t="str">
            <v>NC</v>
          </cell>
          <cell r="BC371">
            <v>494219</v>
          </cell>
          <cell r="BE371">
            <v>5.5000000000000007E-2</v>
          </cell>
          <cell r="BF371">
            <v>4767.5627999999997</v>
          </cell>
          <cell r="BH371">
            <v>1</v>
          </cell>
        </row>
        <row r="372">
          <cell r="BB372" t="str">
            <v>NC</v>
          </cell>
          <cell r="BC372">
            <v>492217</v>
          </cell>
          <cell r="BE372">
            <v>5.5E-2</v>
          </cell>
          <cell r="BF372">
            <v>4767.5627999999988</v>
          </cell>
          <cell r="BH372">
            <v>1</v>
          </cell>
        </row>
        <row r="373">
          <cell r="BB373" t="str">
            <v>IN</v>
          </cell>
          <cell r="BC373">
            <v>492173</v>
          </cell>
          <cell r="BE373">
            <v>5.5E-2</v>
          </cell>
          <cell r="BF373">
            <v>4767.5627999999997</v>
          </cell>
          <cell r="BH373">
            <v>1</v>
          </cell>
        </row>
        <row r="374">
          <cell r="BB374" t="str">
            <v>IN</v>
          </cell>
          <cell r="BC374">
            <v>491478</v>
          </cell>
          <cell r="BE374">
            <v>5.5E-2</v>
          </cell>
          <cell r="BF374">
            <v>4767.5627999999997</v>
          </cell>
          <cell r="BH374">
            <v>1</v>
          </cell>
        </row>
        <row r="375">
          <cell r="BB375" t="str">
            <v>IN</v>
          </cell>
          <cell r="BC375">
            <v>491478</v>
          </cell>
          <cell r="BE375">
            <v>5.5E-2</v>
          </cell>
          <cell r="BF375">
            <v>4767.5627999999997</v>
          </cell>
          <cell r="BH375">
            <v>1</v>
          </cell>
        </row>
        <row r="376">
          <cell r="BB376" t="str">
            <v>IL</v>
          </cell>
          <cell r="BC376">
            <v>491428</v>
          </cell>
          <cell r="BE376">
            <v>5.5E-2</v>
          </cell>
          <cell r="BF376">
            <v>4767.5627999999997</v>
          </cell>
          <cell r="BH376">
            <v>1</v>
          </cell>
        </row>
        <row r="377">
          <cell r="BB377" t="str">
            <v>OH</v>
          </cell>
          <cell r="BC377">
            <v>491338</v>
          </cell>
          <cell r="BE377">
            <v>5.5E-2</v>
          </cell>
          <cell r="BF377">
            <v>4767.5628000000006</v>
          </cell>
          <cell r="BH377">
            <v>1</v>
          </cell>
        </row>
        <row r="378">
          <cell r="BB378" t="str">
            <v>IL</v>
          </cell>
          <cell r="BC378">
            <v>490757</v>
          </cell>
          <cell r="BE378">
            <v>5.4999999999999993E-2</v>
          </cell>
          <cell r="BF378">
            <v>4767.5627999999997</v>
          </cell>
          <cell r="BH378">
            <v>1</v>
          </cell>
        </row>
        <row r="379">
          <cell r="BB379" t="str">
            <v>CO</v>
          </cell>
          <cell r="BC379">
            <v>487871</v>
          </cell>
          <cell r="BE379">
            <v>5.5E-2</v>
          </cell>
          <cell r="BF379">
            <v>4767.5627999999997</v>
          </cell>
          <cell r="BH379">
            <v>1</v>
          </cell>
        </row>
        <row r="380">
          <cell r="BB380" t="str">
            <v>IN</v>
          </cell>
          <cell r="BC380">
            <v>487470</v>
          </cell>
          <cell r="BE380">
            <v>5.5E-2</v>
          </cell>
          <cell r="BF380">
            <v>4767.5627999999997</v>
          </cell>
          <cell r="BH380">
            <v>1</v>
          </cell>
        </row>
        <row r="381">
          <cell r="BB381" t="str">
            <v>KY</v>
          </cell>
          <cell r="BC381">
            <v>486409</v>
          </cell>
          <cell r="BE381">
            <v>5.5E-2</v>
          </cell>
          <cell r="BF381">
            <v>4767.5627999999997</v>
          </cell>
          <cell r="BH381">
            <v>1</v>
          </cell>
        </row>
        <row r="382">
          <cell r="BB382" t="str">
            <v>OH</v>
          </cell>
          <cell r="BC382">
            <v>485840</v>
          </cell>
          <cell r="BE382">
            <v>5.5E-2</v>
          </cell>
          <cell r="BF382">
            <v>4767.5627999999997</v>
          </cell>
          <cell r="BH382">
            <v>1</v>
          </cell>
        </row>
        <row r="383">
          <cell r="BB383" t="str">
            <v>LA</v>
          </cell>
          <cell r="BC383">
            <v>485797</v>
          </cell>
          <cell r="BE383">
            <v>5.5E-2</v>
          </cell>
          <cell r="BF383">
            <v>4767.5627999999997</v>
          </cell>
          <cell r="BH383">
            <v>1</v>
          </cell>
        </row>
        <row r="384">
          <cell r="BB384" t="str">
            <v>LA</v>
          </cell>
          <cell r="BC384">
            <v>485797</v>
          </cell>
          <cell r="BE384">
            <v>5.5E-2</v>
          </cell>
          <cell r="BF384">
            <v>4767.5627999999997</v>
          </cell>
          <cell r="BH384">
            <v>1</v>
          </cell>
        </row>
        <row r="385">
          <cell r="BB385" t="str">
            <v>PA</v>
          </cell>
          <cell r="BC385">
            <v>484844</v>
          </cell>
          <cell r="BE385">
            <v>5.5000000000000007E-2</v>
          </cell>
          <cell r="BF385">
            <v>4767.5627999999997</v>
          </cell>
          <cell r="BH385">
            <v>1</v>
          </cell>
        </row>
        <row r="386">
          <cell r="BB386" t="str">
            <v>GA</v>
          </cell>
          <cell r="BC386">
            <v>480739</v>
          </cell>
          <cell r="BE386">
            <v>5.5E-2</v>
          </cell>
          <cell r="BF386">
            <v>4767.5627999999997</v>
          </cell>
          <cell r="BH386">
            <v>1</v>
          </cell>
        </row>
        <row r="387">
          <cell r="BB387" t="str">
            <v>PA</v>
          </cell>
          <cell r="BC387">
            <v>478501</v>
          </cell>
          <cell r="BE387">
            <v>5.5E-2</v>
          </cell>
          <cell r="BF387">
            <v>4767.5627999999997</v>
          </cell>
          <cell r="BH387">
            <v>1</v>
          </cell>
        </row>
        <row r="388">
          <cell r="BB388" t="str">
            <v>KY</v>
          </cell>
          <cell r="BC388">
            <v>477491</v>
          </cell>
          <cell r="BE388">
            <v>5.5E-2</v>
          </cell>
          <cell r="BF388">
            <v>4767.5627999999997</v>
          </cell>
          <cell r="BH388">
            <v>1</v>
          </cell>
        </row>
        <row r="389">
          <cell r="BB389" t="str">
            <v>SC</v>
          </cell>
          <cell r="BC389">
            <v>475230</v>
          </cell>
          <cell r="BE389">
            <v>5.5E-2</v>
          </cell>
          <cell r="BF389">
            <v>4767.5627999999997</v>
          </cell>
          <cell r="BH389">
            <v>1</v>
          </cell>
        </row>
        <row r="390">
          <cell r="BB390" t="str">
            <v>LA</v>
          </cell>
          <cell r="BC390">
            <v>474631</v>
          </cell>
          <cell r="BE390">
            <v>5.5E-2</v>
          </cell>
          <cell r="BF390">
            <v>4767.5627999999997</v>
          </cell>
          <cell r="BH390">
            <v>1</v>
          </cell>
        </row>
        <row r="391">
          <cell r="BB391" t="str">
            <v>LA</v>
          </cell>
          <cell r="BC391">
            <v>474631</v>
          </cell>
          <cell r="BE391">
            <v>5.5E-2</v>
          </cell>
          <cell r="BF391">
            <v>4767.5627999999997</v>
          </cell>
          <cell r="BH391">
            <v>1</v>
          </cell>
        </row>
        <row r="392">
          <cell r="BB392" t="str">
            <v>IL</v>
          </cell>
          <cell r="BC392">
            <v>474585</v>
          </cell>
          <cell r="BE392">
            <v>5.5E-2</v>
          </cell>
          <cell r="BF392">
            <v>4767.5627999999997</v>
          </cell>
          <cell r="BH392">
            <v>1</v>
          </cell>
        </row>
        <row r="393">
          <cell r="BB393" t="str">
            <v>GA</v>
          </cell>
          <cell r="BC393">
            <v>473089</v>
          </cell>
          <cell r="BE393">
            <v>5.5E-2</v>
          </cell>
          <cell r="BF393">
            <v>4767.5627999999988</v>
          </cell>
          <cell r="BH393">
            <v>1</v>
          </cell>
        </row>
        <row r="394">
          <cell r="BB394" t="str">
            <v>NC</v>
          </cell>
          <cell r="BC394">
            <v>472514</v>
          </cell>
          <cell r="BE394">
            <v>5.5E-2</v>
          </cell>
          <cell r="BF394">
            <v>4767.5627999999997</v>
          </cell>
          <cell r="BH394">
            <v>1</v>
          </cell>
        </row>
        <row r="395">
          <cell r="BB395" t="str">
            <v>FL</v>
          </cell>
          <cell r="BC395">
            <v>472047</v>
          </cell>
          <cell r="BE395">
            <v>5.5E-2</v>
          </cell>
          <cell r="BF395">
            <v>4767.5627999999997</v>
          </cell>
          <cell r="BH395">
            <v>1</v>
          </cell>
        </row>
        <row r="396">
          <cell r="BB396" t="str">
            <v>VA</v>
          </cell>
          <cell r="BC396">
            <v>471691</v>
          </cell>
          <cell r="BE396">
            <v>5.5E-2</v>
          </cell>
          <cell r="BF396">
            <v>4767.5627999999997</v>
          </cell>
          <cell r="BH396">
            <v>1</v>
          </cell>
        </row>
        <row r="397">
          <cell r="BB397" t="str">
            <v>VA</v>
          </cell>
          <cell r="BC397">
            <v>471691</v>
          </cell>
          <cell r="BE397">
            <v>5.5E-2</v>
          </cell>
          <cell r="BF397">
            <v>4767.5627999999997</v>
          </cell>
          <cell r="BH397">
            <v>1</v>
          </cell>
        </row>
        <row r="398">
          <cell r="BB398" t="str">
            <v>FL</v>
          </cell>
          <cell r="BC398">
            <v>467253</v>
          </cell>
          <cell r="BE398">
            <v>5.5E-2</v>
          </cell>
          <cell r="BF398">
            <v>4767.5627999999997</v>
          </cell>
          <cell r="BH398">
            <v>1</v>
          </cell>
        </row>
        <row r="399">
          <cell r="BB399" t="str">
            <v>NY</v>
          </cell>
          <cell r="BC399">
            <v>466614</v>
          </cell>
          <cell r="BE399">
            <v>5.5E-2</v>
          </cell>
          <cell r="BF399">
            <v>4767.5627999999997</v>
          </cell>
          <cell r="BH399">
            <v>1</v>
          </cell>
        </row>
        <row r="400">
          <cell r="BB400" t="str">
            <v>NY</v>
          </cell>
          <cell r="BC400">
            <v>466520</v>
          </cell>
          <cell r="BE400">
            <v>5.5E-2</v>
          </cell>
          <cell r="BF400">
            <v>4767.5627999999997</v>
          </cell>
          <cell r="BH400">
            <v>1</v>
          </cell>
        </row>
        <row r="401">
          <cell r="BB401" t="str">
            <v>TX</v>
          </cell>
          <cell r="BC401">
            <v>465714</v>
          </cell>
          <cell r="BE401">
            <v>5.5E-2</v>
          </cell>
          <cell r="BF401">
            <v>4767.5627999999997</v>
          </cell>
          <cell r="BH401">
            <v>1</v>
          </cell>
        </row>
        <row r="402">
          <cell r="BB402" t="str">
            <v>NC</v>
          </cell>
          <cell r="BC402">
            <v>465140</v>
          </cell>
          <cell r="BE402">
            <v>5.5E-2</v>
          </cell>
          <cell r="BF402">
            <v>4767.5627999999997</v>
          </cell>
          <cell r="BH402">
            <v>1</v>
          </cell>
        </row>
        <row r="403">
          <cell r="BB403" t="str">
            <v>FL</v>
          </cell>
          <cell r="BC403">
            <v>464272</v>
          </cell>
          <cell r="BE403">
            <v>5.5E-2</v>
          </cell>
          <cell r="BF403">
            <v>4767.5627999999997</v>
          </cell>
          <cell r="BH403">
            <v>1</v>
          </cell>
        </row>
        <row r="404">
          <cell r="BB404" t="str">
            <v>VA</v>
          </cell>
          <cell r="BC404">
            <v>463124</v>
          </cell>
          <cell r="BE404">
            <v>5.5E-2</v>
          </cell>
          <cell r="BF404">
            <v>4767.5627999999997</v>
          </cell>
          <cell r="BH404">
            <v>1</v>
          </cell>
        </row>
        <row r="405">
          <cell r="BB405" t="str">
            <v>VA</v>
          </cell>
          <cell r="BC405">
            <v>463124</v>
          </cell>
          <cell r="BE405">
            <v>5.5E-2</v>
          </cell>
          <cell r="BF405">
            <v>4767.5627999999997</v>
          </cell>
          <cell r="BH405">
            <v>1</v>
          </cell>
        </row>
        <row r="406">
          <cell r="BB406" t="str">
            <v>VA</v>
          </cell>
          <cell r="BC406">
            <v>463124</v>
          </cell>
          <cell r="BE406">
            <v>5.5E-2</v>
          </cell>
          <cell r="BF406">
            <v>4767.5627999999997</v>
          </cell>
          <cell r="BH406">
            <v>1</v>
          </cell>
        </row>
        <row r="407">
          <cell r="BB407" t="str">
            <v>VA</v>
          </cell>
          <cell r="BC407">
            <v>463124</v>
          </cell>
          <cell r="BE407">
            <v>5.5E-2</v>
          </cell>
          <cell r="BF407">
            <v>4767.5627999999997</v>
          </cell>
          <cell r="BH407">
            <v>1</v>
          </cell>
        </row>
        <row r="408">
          <cell r="BB408" t="str">
            <v>VA</v>
          </cell>
          <cell r="BC408">
            <v>463124</v>
          </cell>
          <cell r="BE408">
            <v>5.5E-2</v>
          </cell>
          <cell r="BF408">
            <v>4767.5627999999997</v>
          </cell>
          <cell r="BH408">
            <v>1</v>
          </cell>
        </row>
        <row r="409">
          <cell r="BB409" t="str">
            <v>GA</v>
          </cell>
          <cell r="BC409">
            <v>461903</v>
          </cell>
          <cell r="BE409">
            <v>5.5E-2</v>
          </cell>
          <cell r="BF409">
            <v>4767.5627999999997</v>
          </cell>
          <cell r="BH409">
            <v>1</v>
          </cell>
        </row>
        <row r="410">
          <cell r="BB410" t="str">
            <v>GA</v>
          </cell>
          <cell r="BC410">
            <v>460470</v>
          </cell>
          <cell r="BE410">
            <v>5.5E-2</v>
          </cell>
          <cell r="BF410">
            <v>4767.5627999999997</v>
          </cell>
          <cell r="BH410">
            <v>1</v>
          </cell>
        </row>
        <row r="411">
          <cell r="BB411" t="str">
            <v>GA</v>
          </cell>
          <cell r="BC411">
            <v>456642</v>
          </cell>
          <cell r="BE411">
            <v>5.5E-2</v>
          </cell>
          <cell r="BF411">
            <v>4767.5627999999997</v>
          </cell>
          <cell r="BH411">
            <v>1</v>
          </cell>
        </row>
        <row r="412">
          <cell r="BB412" t="str">
            <v>CA</v>
          </cell>
          <cell r="BC412">
            <v>453081</v>
          </cell>
          <cell r="BE412">
            <v>5.5000000000000007E-2</v>
          </cell>
          <cell r="BF412">
            <v>4767.5627999999997</v>
          </cell>
          <cell r="BH412">
            <v>1</v>
          </cell>
        </row>
        <row r="413">
          <cell r="BB413" t="str">
            <v>KY</v>
          </cell>
          <cell r="BC413">
            <v>452669</v>
          </cell>
          <cell r="BE413">
            <v>5.5000000000000007E-2</v>
          </cell>
          <cell r="BF413">
            <v>4767.5627999999997</v>
          </cell>
          <cell r="BH413">
            <v>1</v>
          </cell>
        </row>
        <row r="414">
          <cell r="BB414" t="str">
            <v>MI</v>
          </cell>
          <cell r="BC414">
            <v>450118</v>
          </cell>
          <cell r="BE414">
            <v>5.5E-2</v>
          </cell>
          <cell r="BF414">
            <v>4767.5627999999997</v>
          </cell>
          <cell r="BH414">
            <v>1</v>
          </cell>
        </row>
        <row r="415">
          <cell r="BB415" t="str">
            <v>MI</v>
          </cell>
          <cell r="BC415">
            <v>450118</v>
          </cell>
          <cell r="BE415">
            <v>5.5E-2</v>
          </cell>
          <cell r="BF415">
            <v>4767.5627999999997</v>
          </cell>
          <cell r="BH415">
            <v>1</v>
          </cell>
        </row>
        <row r="416">
          <cell r="BB416" t="str">
            <v>MI</v>
          </cell>
          <cell r="BC416">
            <v>450118</v>
          </cell>
          <cell r="BE416">
            <v>5.5E-2</v>
          </cell>
          <cell r="BF416">
            <v>4767.5627999999997</v>
          </cell>
          <cell r="BH416">
            <v>1</v>
          </cell>
        </row>
        <row r="417">
          <cell r="BB417" t="str">
            <v>NC</v>
          </cell>
          <cell r="BC417">
            <v>448697</v>
          </cell>
          <cell r="BE417">
            <v>5.5E-2</v>
          </cell>
          <cell r="BF417">
            <v>4767.5627999999997</v>
          </cell>
          <cell r="BH417">
            <v>1</v>
          </cell>
        </row>
        <row r="418">
          <cell r="BB418" t="str">
            <v>MD</v>
          </cell>
          <cell r="BC418">
            <v>448041</v>
          </cell>
          <cell r="BE418">
            <v>5.5E-2</v>
          </cell>
          <cell r="BF418">
            <v>4767.5627999999997</v>
          </cell>
          <cell r="BH418">
            <v>1</v>
          </cell>
        </row>
        <row r="419">
          <cell r="BB419" t="str">
            <v>PA</v>
          </cell>
          <cell r="BC419">
            <v>447473</v>
          </cell>
          <cell r="BE419">
            <v>5.5E-2</v>
          </cell>
          <cell r="BF419">
            <v>4767.5627999999997</v>
          </cell>
          <cell r="BH419">
            <v>1</v>
          </cell>
        </row>
        <row r="420">
          <cell r="BB420" t="str">
            <v>OR</v>
          </cell>
          <cell r="BC420">
            <v>445904</v>
          </cell>
          <cell r="BE420">
            <v>5.5E-2</v>
          </cell>
          <cell r="BF420">
            <v>4767.5627999999997</v>
          </cell>
          <cell r="BH420">
            <v>1</v>
          </cell>
        </row>
        <row r="421">
          <cell r="BB421" t="str">
            <v>OR</v>
          </cell>
          <cell r="BC421">
            <v>445904</v>
          </cell>
          <cell r="BE421">
            <v>5.5E-2</v>
          </cell>
          <cell r="BF421">
            <v>4767.5627999999997</v>
          </cell>
          <cell r="BH421">
            <v>1</v>
          </cell>
        </row>
        <row r="422">
          <cell r="BB422" t="str">
            <v>KY</v>
          </cell>
          <cell r="BC422">
            <v>445400</v>
          </cell>
          <cell r="BE422">
            <v>5.5E-2</v>
          </cell>
          <cell r="BF422">
            <v>4767.5627999999997</v>
          </cell>
          <cell r="BH422">
            <v>1</v>
          </cell>
        </row>
        <row r="423">
          <cell r="BB423" t="str">
            <v>NY</v>
          </cell>
          <cell r="BC423">
            <v>445135</v>
          </cell>
          <cell r="BE423">
            <v>5.5E-2</v>
          </cell>
          <cell r="BF423">
            <v>4767.5627999999997</v>
          </cell>
          <cell r="BH423">
            <v>1</v>
          </cell>
        </row>
        <row r="424">
          <cell r="BB424" t="str">
            <v>OH</v>
          </cell>
          <cell r="BC424">
            <v>444387</v>
          </cell>
          <cell r="BE424">
            <v>5.5E-2</v>
          </cell>
          <cell r="BF424">
            <v>4767.5627999999997</v>
          </cell>
          <cell r="BH424">
            <v>1</v>
          </cell>
        </row>
        <row r="425">
          <cell r="BB425" t="str">
            <v>NY</v>
          </cell>
          <cell r="BC425">
            <v>441530</v>
          </cell>
          <cell r="BE425">
            <v>5.5E-2</v>
          </cell>
          <cell r="BF425">
            <v>4767.5627999999997</v>
          </cell>
          <cell r="BH425">
            <v>1</v>
          </cell>
        </row>
        <row r="426">
          <cell r="BB426" t="str">
            <v>AL</v>
          </cell>
          <cell r="BC426">
            <v>441273</v>
          </cell>
          <cell r="BE426">
            <v>5.5E-2</v>
          </cell>
          <cell r="BF426">
            <v>4767.5627999999997</v>
          </cell>
          <cell r="BH426">
            <v>1</v>
          </cell>
        </row>
        <row r="427">
          <cell r="BB427" t="str">
            <v>NJ</v>
          </cell>
          <cell r="BC427">
            <v>440358</v>
          </cell>
          <cell r="BE427">
            <v>5.5E-2</v>
          </cell>
          <cell r="BF427">
            <v>4767.5627999999997</v>
          </cell>
          <cell r="BH427">
            <v>1</v>
          </cell>
        </row>
        <row r="428">
          <cell r="BB428" t="str">
            <v>ID</v>
          </cell>
          <cell r="BC428">
            <v>440239</v>
          </cell>
          <cell r="BE428">
            <v>5.5E-2</v>
          </cell>
          <cell r="BF428">
            <v>4767.5627999999997</v>
          </cell>
          <cell r="BH428">
            <v>1</v>
          </cell>
        </row>
        <row r="429">
          <cell r="BB429" t="str">
            <v>NC</v>
          </cell>
          <cell r="BC429">
            <v>438305</v>
          </cell>
          <cell r="BE429">
            <v>5.5E-2</v>
          </cell>
          <cell r="BF429">
            <v>4767.5627999999997</v>
          </cell>
          <cell r="BH429">
            <v>1</v>
          </cell>
        </row>
        <row r="430">
          <cell r="BB430" t="str">
            <v>VA</v>
          </cell>
          <cell r="BC430">
            <v>436186</v>
          </cell>
          <cell r="BE430">
            <v>5.5E-2</v>
          </cell>
          <cell r="BF430">
            <v>4767.5627999999997</v>
          </cell>
          <cell r="BH430">
            <v>1</v>
          </cell>
        </row>
        <row r="431">
          <cell r="BB431" t="str">
            <v>OH</v>
          </cell>
          <cell r="BC431">
            <v>434097</v>
          </cell>
          <cell r="BE431">
            <v>5.5E-2</v>
          </cell>
          <cell r="BF431">
            <v>4767.5627999999997</v>
          </cell>
          <cell r="BH431">
            <v>1</v>
          </cell>
        </row>
        <row r="432">
          <cell r="BB432" t="str">
            <v>OH</v>
          </cell>
          <cell r="BC432">
            <v>433469</v>
          </cell>
          <cell r="BE432">
            <v>5.5000000000000007E-2</v>
          </cell>
          <cell r="BF432">
            <v>4767.5627999999997</v>
          </cell>
          <cell r="BH432">
            <v>1</v>
          </cell>
        </row>
        <row r="433">
          <cell r="BB433" t="str">
            <v>MI</v>
          </cell>
          <cell r="BC433">
            <v>432701</v>
          </cell>
          <cell r="BE433">
            <v>5.5E-2</v>
          </cell>
          <cell r="BF433">
            <v>4767.5627999999997</v>
          </cell>
          <cell r="BH433">
            <v>1</v>
          </cell>
        </row>
        <row r="434">
          <cell r="BB434" t="str">
            <v>FL</v>
          </cell>
          <cell r="BC434">
            <v>432646</v>
          </cell>
          <cell r="BE434">
            <v>5.5E-2</v>
          </cell>
          <cell r="BF434">
            <v>4767.5627999999997</v>
          </cell>
          <cell r="BH434">
            <v>1</v>
          </cell>
        </row>
        <row r="435">
          <cell r="BB435" t="str">
            <v>IN</v>
          </cell>
          <cell r="BC435">
            <v>431411</v>
          </cell>
          <cell r="BE435">
            <v>5.5E-2</v>
          </cell>
          <cell r="BF435">
            <v>4767.5627999999997</v>
          </cell>
          <cell r="BH435">
            <v>1</v>
          </cell>
        </row>
        <row r="436">
          <cell r="BB436" t="str">
            <v>IL</v>
          </cell>
          <cell r="BC436">
            <v>430916</v>
          </cell>
          <cell r="BE436">
            <v>5.5E-2</v>
          </cell>
          <cell r="BF436">
            <v>4767.5627999999997</v>
          </cell>
          <cell r="BH436">
            <v>1</v>
          </cell>
        </row>
        <row r="437">
          <cell r="BB437" t="str">
            <v>KY</v>
          </cell>
          <cell r="BC437">
            <v>430392</v>
          </cell>
          <cell r="BE437">
            <v>5.5E-2</v>
          </cell>
          <cell r="BF437">
            <v>4767.5627999999997</v>
          </cell>
          <cell r="BH437">
            <v>1</v>
          </cell>
        </row>
        <row r="438">
          <cell r="BB438" t="str">
            <v>IN</v>
          </cell>
          <cell r="BC438">
            <v>429342</v>
          </cell>
          <cell r="BE438">
            <v>5.5E-2</v>
          </cell>
          <cell r="BF438">
            <v>4767.5627999999997</v>
          </cell>
          <cell r="BH438">
            <v>1</v>
          </cell>
        </row>
        <row r="439">
          <cell r="BB439" t="str">
            <v>NC</v>
          </cell>
          <cell r="BC439">
            <v>425454</v>
          </cell>
          <cell r="BE439">
            <v>5.5E-2</v>
          </cell>
          <cell r="BF439">
            <v>4767.5627999999997</v>
          </cell>
          <cell r="BH439">
            <v>1</v>
          </cell>
        </row>
        <row r="440">
          <cell r="BB440" t="str">
            <v>NE</v>
          </cell>
          <cell r="BC440">
            <v>424852</v>
          </cell>
          <cell r="BE440">
            <v>5.5E-2</v>
          </cell>
          <cell r="BF440">
            <v>4767.5627999999997</v>
          </cell>
          <cell r="BH440">
            <v>1</v>
          </cell>
        </row>
        <row r="441">
          <cell r="BB441" t="str">
            <v>NE</v>
          </cell>
          <cell r="BC441">
            <v>424852</v>
          </cell>
          <cell r="BE441">
            <v>5.5E-2</v>
          </cell>
          <cell r="BF441">
            <v>4767.5627999999997</v>
          </cell>
          <cell r="BH441">
            <v>1</v>
          </cell>
        </row>
        <row r="442">
          <cell r="BB442" t="str">
            <v>NC</v>
          </cell>
          <cell r="BC442">
            <v>423366</v>
          </cell>
          <cell r="BE442">
            <v>5.5E-2</v>
          </cell>
          <cell r="BF442">
            <v>4767.5627999999997</v>
          </cell>
          <cell r="BH442">
            <v>1</v>
          </cell>
        </row>
        <row r="443">
          <cell r="BB443" t="str">
            <v>IN</v>
          </cell>
          <cell r="BC443">
            <v>418832</v>
          </cell>
          <cell r="BE443">
            <v>5.4999999999999993E-2</v>
          </cell>
          <cell r="BF443">
            <v>4767.5627999999997</v>
          </cell>
          <cell r="BH443">
            <v>1</v>
          </cell>
        </row>
        <row r="444">
          <cell r="BB444" t="str">
            <v>MD</v>
          </cell>
          <cell r="BC444">
            <v>418628</v>
          </cell>
          <cell r="BE444">
            <v>5.5E-2</v>
          </cell>
          <cell r="BF444">
            <v>4767.5627999999997</v>
          </cell>
          <cell r="BH444">
            <v>1</v>
          </cell>
        </row>
        <row r="445">
          <cell r="BB445" t="str">
            <v>NC</v>
          </cell>
          <cell r="BC445">
            <v>417638</v>
          </cell>
          <cell r="BE445">
            <v>5.5E-2</v>
          </cell>
          <cell r="BF445">
            <v>4767.5627999999997</v>
          </cell>
          <cell r="BH445">
            <v>1</v>
          </cell>
        </row>
        <row r="446">
          <cell r="BB446" t="str">
            <v>GA</v>
          </cell>
          <cell r="BC446">
            <v>416293</v>
          </cell>
          <cell r="BE446">
            <v>5.5000000000000007E-2</v>
          </cell>
          <cell r="BF446">
            <v>4767.5627999999997</v>
          </cell>
          <cell r="BH446">
            <v>1</v>
          </cell>
        </row>
        <row r="447">
          <cell r="BB447" t="str">
            <v>NY</v>
          </cell>
          <cell r="BC447">
            <v>415569</v>
          </cell>
          <cell r="BE447">
            <v>5.5000000000000007E-2</v>
          </cell>
          <cell r="BF447">
            <v>4767.5627999999997</v>
          </cell>
          <cell r="BH447">
            <v>1</v>
          </cell>
        </row>
        <row r="448">
          <cell r="BB448" t="str">
            <v>OH</v>
          </cell>
          <cell r="BC448">
            <v>415332</v>
          </cell>
          <cell r="BE448">
            <v>5.4999999999999993E-2</v>
          </cell>
          <cell r="BF448">
            <v>4767.5627999999997</v>
          </cell>
          <cell r="BH448">
            <v>1</v>
          </cell>
        </row>
        <row r="449">
          <cell r="BB449" t="str">
            <v>GA</v>
          </cell>
          <cell r="BC449">
            <v>414053</v>
          </cell>
          <cell r="BE449">
            <v>5.5E-2</v>
          </cell>
          <cell r="BF449">
            <v>4767.5627999999997</v>
          </cell>
          <cell r="BH449">
            <v>1</v>
          </cell>
        </row>
        <row r="450">
          <cell r="BB450" t="str">
            <v>IL</v>
          </cell>
          <cell r="BC450">
            <v>413596</v>
          </cell>
          <cell r="BE450">
            <v>5.5E-2</v>
          </cell>
          <cell r="BF450">
            <v>4767.5627999999997</v>
          </cell>
          <cell r="BH450">
            <v>1</v>
          </cell>
        </row>
        <row r="451">
          <cell r="BB451" t="str">
            <v>OH</v>
          </cell>
          <cell r="BC451">
            <v>412254</v>
          </cell>
          <cell r="BE451">
            <v>5.5E-2</v>
          </cell>
          <cell r="BF451">
            <v>4767.5627999999997</v>
          </cell>
          <cell r="BH451">
            <v>1</v>
          </cell>
        </row>
        <row r="452">
          <cell r="BB452" t="str">
            <v>SC</v>
          </cell>
          <cell r="BC452">
            <v>411889</v>
          </cell>
          <cell r="BE452">
            <v>5.5E-2</v>
          </cell>
          <cell r="BF452">
            <v>4767.5627999999997</v>
          </cell>
          <cell r="BH452">
            <v>1</v>
          </cell>
        </row>
        <row r="453">
          <cell r="BB453" t="str">
            <v>PA</v>
          </cell>
          <cell r="BC453">
            <v>410837</v>
          </cell>
          <cell r="BE453">
            <v>5.5E-2</v>
          </cell>
          <cell r="BF453">
            <v>4767.5627999999997</v>
          </cell>
          <cell r="BH453">
            <v>1</v>
          </cell>
        </row>
        <row r="454">
          <cell r="BB454" t="str">
            <v>NJ</v>
          </cell>
          <cell r="BC454">
            <v>409448</v>
          </cell>
          <cell r="BE454">
            <v>5.5E-2</v>
          </cell>
          <cell r="BF454">
            <v>4767.5627999999997</v>
          </cell>
          <cell r="BH454">
            <v>1</v>
          </cell>
        </row>
        <row r="455">
          <cell r="BB455" t="str">
            <v>NJ</v>
          </cell>
          <cell r="BC455">
            <v>409448</v>
          </cell>
          <cell r="BE455">
            <v>5.5E-2</v>
          </cell>
          <cell r="BF455">
            <v>4767.5627999999997</v>
          </cell>
          <cell r="BH455">
            <v>1</v>
          </cell>
        </row>
        <row r="456">
          <cell r="BB456" t="str">
            <v>NJ</v>
          </cell>
          <cell r="BC456">
            <v>409336</v>
          </cell>
          <cell r="BE456">
            <v>5.5E-2</v>
          </cell>
          <cell r="BF456">
            <v>4767.5627999999997</v>
          </cell>
          <cell r="BH456">
            <v>1</v>
          </cell>
        </row>
        <row r="457">
          <cell r="BB457" t="str">
            <v>NY</v>
          </cell>
          <cell r="BC457">
            <v>409336</v>
          </cell>
          <cell r="BE457">
            <v>5.5E-2</v>
          </cell>
          <cell r="BF457">
            <v>4767.5627999999997</v>
          </cell>
          <cell r="BH457">
            <v>1</v>
          </cell>
        </row>
        <row r="458">
          <cell r="BB458" t="str">
            <v>IN</v>
          </cell>
          <cell r="BC458">
            <v>407220</v>
          </cell>
          <cell r="BE458">
            <v>5.4999999999999993E-2</v>
          </cell>
          <cell r="BF458">
            <v>4767.5627999999997</v>
          </cell>
          <cell r="BH458">
            <v>1</v>
          </cell>
        </row>
        <row r="459">
          <cell r="BB459" t="str">
            <v>OH</v>
          </cell>
          <cell r="BC459">
            <v>405753</v>
          </cell>
          <cell r="BE459">
            <v>5.5E-2</v>
          </cell>
          <cell r="BF459">
            <v>4767.5627999999997</v>
          </cell>
          <cell r="BH459">
            <v>1</v>
          </cell>
        </row>
        <row r="460">
          <cell r="BB460" t="str">
            <v>WI</v>
          </cell>
          <cell r="BC460">
            <v>405553</v>
          </cell>
          <cell r="BE460">
            <v>5.5E-2</v>
          </cell>
          <cell r="BF460">
            <v>4767.5627999999997</v>
          </cell>
          <cell r="BH460">
            <v>1</v>
          </cell>
        </row>
        <row r="461">
          <cell r="BB461" t="str">
            <v>MI</v>
          </cell>
          <cell r="BC461">
            <v>404730</v>
          </cell>
          <cell r="BE461">
            <v>5.5E-2</v>
          </cell>
          <cell r="BF461">
            <v>4767.5627999999997</v>
          </cell>
          <cell r="BH461">
            <v>1</v>
          </cell>
        </row>
        <row r="462">
          <cell r="BB462" t="str">
            <v>FL</v>
          </cell>
          <cell r="BC462">
            <v>404623</v>
          </cell>
          <cell r="BE462">
            <v>5.5E-2</v>
          </cell>
          <cell r="BF462">
            <v>4767.5627999999997</v>
          </cell>
          <cell r="BH462">
            <v>1</v>
          </cell>
        </row>
        <row r="463">
          <cell r="BB463" t="str">
            <v>KY</v>
          </cell>
          <cell r="BC463">
            <v>402225</v>
          </cell>
          <cell r="BE463">
            <v>5.5E-2</v>
          </cell>
          <cell r="BF463">
            <v>4767.5627999999997</v>
          </cell>
          <cell r="BH463">
            <v>1</v>
          </cell>
        </row>
        <row r="464">
          <cell r="BB464" t="str">
            <v>IL</v>
          </cell>
          <cell r="BC464">
            <v>401912</v>
          </cell>
          <cell r="BE464">
            <v>5.5E-2</v>
          </cell>
          <cell r="BF464">
            <v>4767.5627999999997</v>
          </cell>
          <cell r="BH464">
            <v>1</v>
          </cell>
        </row>
        <row r="465">
          <cell r="BB465" t="str">
            <v>NC</v>
          </cell>
          <cell r="BC465">
            <v>401904</v>
          </cell>
          <cell r="BE465">
            <v>5.5E-2</v>
          </cell>
          <cell r="BF465">
            <v>4767.5627999999997</v>
          </cell>
          <cell r="BH465">
            <v>1</v>
          </cell>
        </row>
        <row r="466">
          <cell r="BB466" t="str">
            <v>IN</v>
          </cell>
          <cell r="BC466">
            <v>401598</v>
          </cell>
          <cell r="BE466">
            <v>5.5E-2</v>
          </cell>
          <cell r="BF466">
            <v>4767.5627999999997</v>
          </cell>
          <cell r="BH466">
            <v>1</v>
          </cell>
        </row>
        <row r="467">
          <cell r="BB467" t="str">
            <v>GA</v>
          </cell>
          <cell r="BC467">
            <v>401442</v>
          </cell>
          <cell r="BE467">
            <v>5.5E-2</v>
          </cell>
          <cell r="BF467">
            <v>4767.5627999999997</v>
          </cell>
          <cell r="BH467">
            <v>1</v>
          </cell>
        </row>
        <row r="468">
          <cell r="BB468" t="str">
            <v>NC</v>
          </cell>
          <cell r="BC468">
            <v>401304</v>
          </cell>
          <cell r="BE468">
            <v>5.5E-2</v>
          </cell>
          <cell r="BF468">
            <v>4767.5627999999997</v>
          </cell>
          <cell r="BH468">
            <v>1</v>
          </cell>
        </row>
        <row r="469">
          <cell r="BB469" t="str">
            <v>LA</v>
          </cell>
          <cell r="BC469">
            <v>401114</v>
          </cell>
          <cell r="BE469">
            <v>5.5E-2</v>
          </cell>
          <cell r="BF469">
            <v>4767.5627999999997</v>
          </cell>
          <cell r="BH469">
            <v>1</v>
          </cell>
        </row>
        <row r="470">
          <cell r="BB470" t="str">
            <v>NC</v>
          </cell>
          <cell r="BC470">
            <v>399053</v>
          </cell>
          <cell r="BE470">
            <v>5.5E-2</v>
          </cell>
          <cell r="BF470">
            <v>4767.5627999999997</v>
          </cell>
          <cell r="BH470">
            <v>1</v>
          </cell>
        </row>
        <row r="471">
          <cell r="BB471" t="str">
            <v>NY</v>
          </cell>
          <cell r="BC471">
            <v>398704</v>
          </cell>
          <cell r="BE471">
            <v>5.5E-2</v>
          </cell>
          <cell r="BF471">
            <v>4767.5627999999997</v>
          </cell>
          <cell r="BH471">
            <v>1</v>
          </cell>
        </row>
        <row r="472">
          <cell r="BB472" t="str">
            <v>NY</v>
          </cell>
          <cell r="BC472">
            <v>398704</v>
          </cell>
          <cell r="BE472">
            <v>5.5E-2</v>
          </cell>
          <cell r="BF472">
            <v>4767.5627999999997</v>
          </cell>
          <cell r="BH472">
            <v>1</v>
          </cell>
        </row>
        <row r="473">
          <cell r="BB473" t="str">
            <v>NY</v>
          </cell>
          <cell r="BC473">
            <v>398704</v>
          </cell>
          <cell r="BE473">
            <v>5.5E-2</v>
          </cell>
          <cell r="BF473">
            <v>4767.5627999999997</v>
          </cell>
          <cell r="BH473">
            <v>1</v>
          </cell>
        </row>
        <row r="474">
          <cell r="BB474" t="str">
            <v>NY</v>
          </cell>
          <cell r="BC474">
            <v>398704</v>
          </cell>
          <cell r="BE474">
            <v>5.5E-2</v>
          </cell>
          <cell r="BF474">
            <v>4767.5627999999997</v>
          </cell>
          <cell r="BH474">
            <v>1</v>
          </cell>
        </row>
        <row r="475">
          <cell r="BB475" t="str">
            <v>GA</v>
          </cell>
          <cell r="BC475">
            <v>398141</v>
          </cell>
          <cell r="BE475">
            <v>5.5E-2</v>
          </cell>
          <cell r="BF475">
            <v>4767.5627999999997</v>
          </cell>
          <cell r="BH475">
            <v>1</v>
          </cell>
        </row>
        <row r="476">
          <cell r="BB476" t="str">
            <v>NE</v>
          </cell>
          <cell r="BC476">
            <v>397914</v>
          </cell>
          <cell r="BE476">
            <v>5.5E-2</v>
          </cell>
          <cell r="BF476">
            <v>4767.5627999999997</v>
          </cell>
          <cell r="BH476">
            <v>1</v>
          </cell>
        </row>
        <row r="477">
          <cell r="BB477" t="str">
            <v>GA</v>
          </cell>
          <cell r="BC477">
            <v>396598</v>
          </cell>
          <cell r="BE477">
            <v>5.5E-2</v>
          </cell>
          <cell r="BF477">
            <v>4767.5627999999997</v>
          </cell>
          <cell r="BH477">
            <v>1</v>
          </cell>
        </row>
        <row r="478">
          <cell r="BB478" t="str">
            <v>NJ</v>
          </cell>
          <cell r="BC478">
            <v>394150</v>
          </cell>
          <cell r="BE478">
            <v>5.5E-2</v>
          </cell>
          <cell r="BF478">
            <v>4767.5627999999997</v>
          </cell>
          <cell r="BH478">
            <v>1</v>
          </cell>
        </row>
        <row r="479">
          <cell r="BB479" t="str">
            <v>TX</v>
          </cell>
          <cell r="BC479">
            <v>393843</v>
          </cell>
          <cell r="BE479">
            <v>5.5000000000000007E-2</v>
          </cell>
          <cell r="BF479">
            <v>4767.5627999999997</v>
          </cell>
          <cell r="BH479">
            <v>1</v>
          </cell>
        </row>
        <row r="480">
          <cell r="BB480" t="str">
            <v>WI</v>
          </cell>
          <cell r="BC480">
            <v>392783</v>
          </cell>
          <cell r="BE480">
            <v>5.4999999999999993E-2</v>
          </cell>
          <cell r="BF480">
            <v>4767.5627999999997</v>
          </cell>
          <cell r="BH480">
            <v>1</v>
          </cell>
        </row>
        <row r="481">
          <cell r="BB481" t="str">
            <v>IN</v>
          </cell>
          <cell r="BC481">
            <v>392705</v>
          </cell>
          <cell r="BE481">
            <v>5.5E-2</v>
          </cell>
          <cell r="BF481">
            <v>4767.5627999999997</v>
          </cell>
          <cell r="BH481">
            <v>1</v>
          </cell>
        </row>
        <row r="482">
          <cell r="BB482" t="str">
            <v>MA</v>
          </cell>
          <cell r="BC482">
            <v>392605</v>
          </cell>
          <cell r="BE482">
            <v>5.5E-2</v>
          </cell>
          <cell r="BF482">
            <v>4767.5627999999997</v>
          </cell>
          <cell r="BH482">
            <v>1</v>
          </cell>
        </row>
        <row r="483">
          <cell r="BB483" t="str">
            <v>AL</v>
          </cell>
          <cell r="BC483">
            <v>390649</v>
          </cell>
          <cell r="BE483">
            <v>5.5E-2</v>
          </cell>
          <cell r="BF483">
            <v>4767.5627999999997</v>
          </cell>
          <cell r="BH483">
            <v>1</v>
          </cell>
        </row>
        <row r="484">
          <cell r="BB484" t="str">
            <v>PA</v>
          </cell>
          <cell r="BC484">
            <v>389454</v>
          </cell>
          <cell r="BE484">
            <v>5.5E-2</v>
          </cell>
          <cell r="BF484">
            <v>4767.5627999999997</v>
          </cell>
          <cell r="BH484">
            <v>1</v>
          </cell>
        </row>
        <row r="485">
          <cell r="BB485" t="str">
            <v>OH</v>
          </cell>
          <cell r="BC485">
            <v>389091</v>
          </cell>
          <cell r="BE485">
            <v>5.5E-2</v>
          </cell>
          <cell r="BF485">
            <v>4767.5627999999997</v>
          </cell>
          <cell r="BH485">
            <v>1</v>
          </cell>
        </row>
        <row r="486">
          <cell r="BB486" t="str">
            <v>WI</v>
          </cell>
          <cell r="BC486">
            <v>388763</v>
          </cell>
          <cell r="BE486">
            <v>5.5E-2</v>
          </cell>
          <cell r="BF486">
            <v>4767.5627999999997</v>
          </cell>
          <cell r="BH486">
            <v>1</v>
          </cell>
        </row>
        <row r="487">
          <cell r="BB487" t="str">
            <v>NJ</v>
          </cell>
          <cell r="BC487">
            <v>387815</v>
          </cell>
          <cell r="BE487">
            <v>5.5E-2</v>
          </cell>
          <cell r="BF487">
            <v>4767.5627999999997</v>
          </cell>
          <cell r="BH487">
            <v>1</v>
          </cell>
        </row>
        <row r="488">
          <cell r="BB488" t="str">
            <v>CT</v>
          </cell>
          <cell r="BC488">
            <v>387797</v>
          </cell>
          <cell r="BE488">
            <v>5.5E-2</v>
          </cell>
          <cell r="BF488">
            <v>4767.5627999999997</v>
          </cell>
          <cell r="BH488">
            <v>1</v>
          </cell>
        </row>
        <row r="489">
          <cell r="BB489" t="str">
            <v>OH</v>
          </cell>
          <cell r="BC489">
            <v>387119</v>
          </cell>
          <cell r="BE489">
            <v>5.5000000000000007E-2</v>
          </cell>
          <cell r="BF489">
            <v>4767.5627999999997</v>
          </cell>
          <cell r="BH489">
            <v>1</v>
          </cell>
        </row>
        <row r="490">
          <cell r="BB490" t="str">
            <v>IN</v>
          </cell>
          <cell r="BC490">
            <v>387000</v>
          </cell>
          <cell r="BE490">
            <v>5.5E-2</v>
          </cell>
          <cell r="BF490">
            <v>4767.5627999999997</v>
          </cell>
          <cell r="BH490">
            <v>1</v>
          </cell>
        </row>
        <row r="491">
          <cell r="BB491" t="str">
            <v>SC</v>
          </cell>
          <cell r="BC491">
            <v>384654</v>
          </cell>
          <cell r="BE491">
            <v>5.5E-2</v>
          </cell>
          <cell r="BF491">
            <v>4767.5627999999997</v>
          </cell>
          <cell r="BH491">
            <v>1</v>
          </cell>
        </row>
        <row r="492">
          <cell r="BB492" t="str">
            <v>SC</v>
          </cell>
          <cell r="BC492">
            <v>382983</v>
          </cell>
          <cell r="BE492">
            <v>5.4999999999999993E-2</v>
          </cell>
          <cell r="BF492">
            <v>4767.5627999999997</v>
          </cell>
          <cell r="BH492">
            <v>1</v>
          </cell>
        </row>
        <row r="493">
          <cell r="BB493" t="str">
            <v>NC</v>
          </cell>
          <cell r="BC493">
            <v>381803</v>
          </cell>
          <cell r="BE493">
            <v>5.5E-2</v>
          </cell>
          <cell r="BF493">
            <v>4767.5627999999997</v>
          </cell>
          <cell r="BH493">
            <v>1</v>
          </cell>
        </row>
        <row r="494">
          <cell r="BB494" t="str">
            <v>GA</v>
          </cell>
          <cell r="BC494">
            <v>381752</v>
          </cell>
          <cell r="BE494">
            <v>5.5E-2</v>
          </cell>
          <cell r="BF494">
            <v>4767.5627999999997</v>
          </cell>
          <cell r="BH494">
            <v>1</v>
          </cell>
        </row>
        <row r="495">
          <cell r="BB495" t="str">
            <v>GA</v>
          </cell>
          <cell r="BC495">
            <v>381665</v>
          </cell>
          <cell r="BE495">
            <v>5.5E-2</v>
          </cell>
          <cell r="BF495">
            <v>4767.5627999999997</v>
          </cell>
          <cell r="BH495">
            <v>1</v>
          </cell>
        </row>
        <row r="496">
          <cell r="BB496" t="str">
            <v>AL</v>
          </cell>
          <cell r="BC496">
            <v>381348</v>
          </cell>
          <cell r="BE496">
            <v>5.5E-2</v>
          </cell>
          <cell r="BF496">
            <v>4767.5627999999997</v>
          </cell>
          <cell r="BH496">
            <v>1</v>
          </cell>
        </row>
        <row r="497">
          <cell r="BB497" t="str">
            <v>SC</v>
          </cell>
          <cell r="BC497">
            <v>380916</v>
          </cell>
          <cell r="BE497">
            <v>5.5E-2</v>
          </cell>
          <cell r="BF497">
            <v>4767.5627999999997</v>
          </cell>
          <cell r="BH497">
            <v>1</v>
          </cell>
        </row>
        <row r="498">
          <cell r="BB498" t="str">
            <v>GA</v>
          </cell>
          <cell r="BC498">
            <v>380737</v>
          </cell>
          <cell r="BE498">
            <v>5.5E-2</v>
          </cell>
          <cell r="BF498">
            <v>4767.5627999999997</v>
          </cell>
          <cell r="BH498">
            <v>1</v>
          </cell>
        </row>
        <row r="499">
          <cell r="BB499" t="str">
            <v>AL</v>
          </cell>
          <cell r="BC499">
            <v>380473</v>
          </cell>
          <cell r="BE499">
            <v>5.5E-2</v>
          </cell>
          <cell r="BF499">
            <v>4767.5627999999997</v>
          </cell>
          <cell r="BH499">
            <v>1</v>
          </cell>
        </row>
        <row r="500">
          <cell r="BB500" t="str">
            <v>IN</v>
          </cell>
          <cell r="BC500">
            <v>379258</v>
          </cell>
          <cell r="BE500">
            <v>5.4999999999999993E-2</v>
          </cell>
          <cell r="BF500">
            <v>4767.5627999999997</v>
          </cell>
          <cell r="BH500">
            <v>1</v>
          </cell>
        </row>
        <row r="501">
          <cell r="BB501" t="str">
            <v>WI</v>
          </cell>
          <cell r="BC501">
            <v>377562</v>
          </cell>
          <cell r="BE501">
            <v>5.5E-2</v>
          </cell>
          <cell r="BF501">
            <v>4767.5627999999997</v>
          </cell>
          <cell r="BH501">
            <v>1</v>
          </cell>
        </row>
        <row r="502">
          <cell r="BB502" t="str">
            <v>PA</v>
          </cell>
          <cell r="BC502">
            <v>376220</v>
          </cell>
          <cell r="BE502">
            <v>5.4999999999999993E-2</v>
          </cell>
          <cell r="BF502">
            <v>4767.5627999999997</v>
          </cell>
          <cell r="BH502">
            <v>1</v>
          </cell>
        </row>
        <row r="503">
          <cell r="BB503" t="str">
            <v>SC</v>
          </cell>
          <cell r="BC503">
            <v>375695</v>
          </cell>
          <cell r="BE503">
            <v>5.4999999999999993E-2</v>
          </cell>
          <cell r="BF503">
            <v>4767.5627999999997</v>
          </cell>
          <cell r="BH503">
            <v>1</v>
          </cell>
        </row>
        <row r="504">
          <cell r="BB504" t="str">
            <v>VA</v>
          </cell>
          <cell r="BC504">
            <v>375270</v>
          </cell>
          <cell r="BE504">
            <v>5.4999999999999993E-2</v>
          </cell>
          <cell r="BF504">
            <v>4767.5627999999997</v>
          </cell>
          <cell r="BH504">
            <v>1</v>
          </cell>
        </row>
        <row r="505">
          <cell r="BB505" t="str">
            <v>RI</v>
          </cell>
          <cell r="BC505">
            <v>375041</v>
          </cell>
          <cell r="BE505">
            <v>5.5E-2</v>
          </cell>
          <cell r="BF505">
            <v>4767.5627999999997</v>
          </cell>
          <cell r="BH505">
            <v>1</v>
          </cell>
        </row>
        <row r="506">
          <cell r="BB506" t="str">
            <v>MO</v>
          </cell>
          <cell r="BC506">
            <v>374362</v>
          </cell>
          <cell r="BE506">
            <v>5.5E-2</v>
          </cell>
          <cell r="BF506">
            <v>4767.5627999999997</v>
          </cell>
          <cell r="BH506">
            <v>1</v>
          </cell>
        </row>
        <row r="507">
          <cell r="BB507" t="str">
            <v>MD</v>
          </cell>
          <cell r="BC507">
            <v>373627</v>
          </cell>
          <cell r="BE507">
            <v>5.5E-2</v>
          </cell>
          <cell r="BF507">
            <v>4767.5627999999997</v>
          </cell>
          <cell r="BH507">
            <v>1</v>
          </cell>
        </row>
        <row r="508">
          <cell r="BB508" t="str">
            <v>KY</v>
          </cell>
          <cell r="BC508">
            <v>373318</v>
          </cell>
          <cell r="BE508">
            <v>5.5000000000000007E-2</v>
          </cell>
          <cell r="BF508">
            <v>4767.5627999999997</v>
          </cell>
          <cell r="BH508">
            <v>1</v>
          </cell>
        </row>
        <row r="509">
          <cell r="BB509" t="str">
            <v>IL</v>
          </cell>
          <cell r="BC509">
            <v>371504</v>
          </cell>
          <cell r="BE509">
            <v>5.5E-2</v>
          </cell>
          <cell r="BF509">
            <v>4767.5627999999997</v>
          </cell>
          <cell r="BH509">
            <v>1</v>
          </cell>
        </row>
        <row r="510">
          <cell r="BB510" t="str">
            <v>NC</v>
          </cell>
          <cell r="BC510">
            <v>370733</v>
          </cell>
          <cell r="BE510">
            <v>5.4999999999999993E-2</v>
          </cell>
          <cell r="BF510">
            <v>4767.5627999999997</v>
          </cell>
          <cell r="BH510">
            <v>1</v>
          </cell>
        </row>
        <row r="511">
          <cell r="BB511" t="str">
            <v>VA</v>
          </cell>
          <cell r="BC511">
            <v>370194</v>
          </cell>
          <cell r="BE511">
            <v>5.5000000000000007E-2</v>
          </cell>
          <cell r="BF511">
            <v>4767.5627999999997</v>
          </cell>
          <cell r="BH511">
            <v>1</v>
          </cell>
        </row>
        <row r="512">
          <cell r="BB512" t="str">
            <v>OH</v>
          </cell>
          <cell r="BC512">
            <v>369813</v>
          </cell>
          <cell r="BE512">
            <v>5.5E-2</v>
          </cell>
          <cell r="BF512">
            <v>4767.5627999999997</v>
          </cell>
          <cell r="BH512">
            <v>1</v>
          </cell>
        </row>
        <row r="513">
          <cell r="BB513" t="str">
            <v>FL</v>
          </cell>
          <cell r="BC513">
            <v>369651</v>
          </cell>
          <cell r="BE513">
            <v>5.5E-2</v>
          </cell>
          <cell r="BF513">
            <v>4767.5627999999997</v>
          </cell>
          <cell r="BH513">
            <v>1</v>
          </cell>
        </row>
        <row r="514">
          <cell r="BB514" t="str">
            <v>IN</v>
          </cell>
          <cell r="BC514">
            <v>369110</v>
          </cell>
          <cell r="BE514">
            <v>5.5E-2</v>
          </cell>
          <cell r="BF514">
            <v>4767.5627999999997</v>
          </cell>
          <cell r="BH514">
            <v>1</v>
          </cell>
        </row>
        <row r="515">
          <cell r="BB515" t="str">
            <v>IN</v>
          </cell>
          <cell r="BC515">
            <v>367954</v>
          </cell>
          <cell r="BE515">
            <v>5.5E-2</v>
          </cell>
          <cell r="BF515">
            <v>4767.5627999999997</v>
          </cell>
          <cell r="BH515">
            <v>1</v>
          </cell>
        </row>
        <row r="516">
          <cell r="BB516" t="str">
            <v>LA</v>
          </cell>
          <cell r="BC516">
            <v>367295</v>
          </cell>
          <cell r="BE516">
            <v>5.4999999999999993E-2</v>
          </cell>
          <cell r="BF516">
            <v>4767.5627999999997</v>
          </cell>
          <cell r="BH516">
            <v>1</v>
          </cell>
        </row>
        <row r="517">
          <cell r="BB517" t="str">
            <v>KY</v>
          </cell>
          <cell r="BC517">
            <v>366354</v>
          </cell>
          <cell r="BE517">
            <v>5.5E-2</v>
          </cell>
          <cell r="BF517">
            <v>4767.5627999999997</v>
          </cell>
          <cell r="BH517">
            <v>1</v>
          </cell>
        </row>
        <row r="518">
          <cell r="BB518" t="str">
            <v>MA</v>
          </cell>
          <cell r="BC518">
            <v>365912</v>
          </cell>
          <cell r="BE518">
            <v>5.5E-2</v>
          </cell>
          <cell r="BF518">
            <v>4767.5627999999997</v>
          </cell>
          <cell r="BH518">
            <v>1</v>
          </cell>
        </row>
        <row r="519">
          <cell r="BB519" t="str">
            <v>MO</v>
          </cell>
          <cell r="BC519">
            <v>365817</v>
          </cell>
          <cell r="BE519">
            <v>5.5E-2</v>
          </cell>
          <cell r="BF519">
            <v>4767.5627999999997</v>
          </cell>
          <cell r="BH519">
            <v>1</v>
          </cell>
        </row>
        <row r="520">
          <cell r="BB520" t="str">
            <v>IN</v>
          </cell>
          <cell r="BC520">
            <v>364490</v>
          </cell>
          <cell r="BE520">
            <v>5.5E-2</v>
          </cell>
          <cell r="BF520">
            <v>4767.5627999999997</v>
          </cell>
          <cell r="BH520">
            <v>1</v>
          </cell>
        </row>
        <row r="521">
          <cell r="BB521" t="str">
            <v>WI</v>
          </cell>
          <cell r="BC521">
            <v>363236</v>
          </cell>
          <cell r="BE521">
            <v>5.5E-2</v>
          </cell>
          <cell r="BF521">
            <v>4767.5627999999997</v>
          </cell>
          <cell r="BH521">
            <v>1</v>
          </cell>
        </row>
        <row r="522">
          <cell r="BB522" t="str">
            <v>WV</v>
          </cell>
          <cell r="BC522">
            <v>362990</v>
          </cell>
          <cell r="BE522">
            <v>5.5E-2</v>
          </cell>
          <cell r="BF522">
            <v>4767.5627999999997</v>
          </cell>
          <cell r="BH522">
            <v>1</v>
          </cell>
        </row>
        <row r="523">
          <cell r="BB523" t="str">
            <v>OH</v>
          </cell>
          <cell r="BC523">
            <v>362818</v>
          </cell>
          <cell r="BE523">
            <v>5.5000000000000007E-2</v>
          </cell>
          <cell r="BF523">
            <v>4767.5627999999997</v>
          </cell>
          <cell r="BH523">
            <v>1</v>
          </cell>
        </row>
        <row r="524">
          <cell r="BB524" t="str">
            <v>GA</v>
          </cell>
          <cell r="BC524">
            <v>361920</v>
          </cell>
          <cell r="BE524">
            <v>5.4999999999999993E-2</v>
          </cell>
          <cell r="BF524">
            <v>4767.5627999999997</v>
          </cell>
          <cell r="BH524">
            <v>1</v>
          </cell>
        </row>
        <row r="525">
          <cell r="BB525" t="str">
            <v>IL</v>
          </cell>
          <cell r="BC525">
            <v>361712</v>
          </cell>
          <cell r="BE525">
            <v>5.5E-2</v>
          </cell>
          <cell r="BF525">
            <v>4767.5627999999997</v>
          </cell>
          <cell r="BH525">
            <v>1</v>
          </cell>
        </row>
        <row r="526">
          <cell r="BB526" t="str">
            <v>MO</v>
          </cell>
          <cell r="BC526">
            <v>361712</v>
          </cell>
          <cell r="BE526">
            <v>5.5E-2</v>
          </cell>
          <cell r="BF526">
            <v>4767.5627999999997</v>
          </cell>
          <cell r="BH526">
            <v>1</v>
          </cell>
        </row>
        <row r="527">
          <cell r="BB527" t="str">
            <v>ID</v>
          </cell>
          <cell r="BC527">
            <v>361487</v>
          </cell>
          <cell r="BE527">
            <v>5.5E-2</v>
          </cell>
          <cell r="BF527">
            <v>4767.5627999999997</v>
          </cell>
          <cell r="BH527">
            <v>1</v>
          </cell>
        </row>
        <row r="528">
          <cell r="BB528" t="str">
            <v>GA</v>
          </cell>
          <cell r="BC528">
            <v>360729</v>
          </cell>
          <cell r="BE528">
            <v>5.5E-2</v>
          </cell>
          <cell r="BF528">
            <v>4767.5627999999997</v>
          </cell>
          <cell r="BH528">
            <v>1</v>
          </cell>
        </row>
        <row r="529">
          <cell r="BB529" t="str">
            <v>GA</v>
          </cell>
          <cell r="BC529">
            <v>360729</v>
          </cell>
          <cell r="BE529">
            <v>5.5E-2</v>
          </cell>
          <cell r="BF529">
            <v>4767.5627999999997</v>
          </cell>
          <cell r="BH529">
            <v>1</v>
          </cell>
        </row>
        <row r="530">
          <cell r="BB530" t="str">
            <v>GA</v>
          </cell>
          <cell r="BC530">
            <v>360267</v>
          </cell>
          <cell r="BE530">
            <v>5.5E-2</v>
          </cell>
          <cell r="BF530">
            <v>4767.5627999999997</v>
          </cell>
          <cell r="BH530">
            <v>1</v>
          </cell>
        </row>
        <row r="531">
          <cell r="BB531" t="str">
            <v>CA</v>
          </cell>
          <cell r="BC531">
            <v>359056</v>
          </cell>
          <cell r="BE531">
            <v>5.5000000000000007E-2</v>
          </cell>
          <cell r="BF531">
            <v>4767.5627999999997</v>
          </cell>
          <cell r="BH531">
            <v>1</v>
          </cell>
        </row>
        <row r="532">
          <cell r="BB532" t="str">
            <v>NY</v>
          </cell>
          <cell r="BC532">
            <v>358906</v>
          </cell>
          <cell r="BE532">
            <v>5.5000000000000007E-2</v>
          </cell>
          <cell r="BF532">
            <v>4767.5627999999997</v>
          </cell>
          <cell r="BH532">
            <v>1</v>
          </cell>
        </row>
        <row r="533">
          <cell r="BB533" t="str">
            <v>ID</v>
          </cell>
          <cell r="BC533">
            <v>358430</v>
          </cell>
          <cell r="BE533">
            <v>5.5000000000000007E-2</v>
          </cell>
          <cell r="BF533">
            <v>4767.5627999999997</v>
          </cell>
          <cell r="BH533">
            <v>1</v>
          </cell>
        </row>
        <row r="534">
          <cell r="BB534" t="str">
            <v>ID</v>
          </cell>
          <cell r="BC534">
            <v>358430</v>
          </cell>
          <cell r="BE534">
            <v>5.5000000000000007E-2</v>
          </cell>
          <cell r="BF534">
            <v>4767.5627999999997</v>
          </cell>
          <cell r="BH534">
            <v>1</v>
          </cell>
        </row>
        <row r="535">
          <cell r="BB535" t="str">
            <v>CA</v>
          </cell>
          <cell r="BC535">
            <v>358129</v>
          </cell>
          <cell r="BE535">
            <v>5.5E-2</v>
          </cell>
          <cell r="BF535">
            <v>4767.5627999999997</v>
          </cell>
          <cell r="BH535">
            <v>1</v>
          </cell>
        </row>
        <row r="536">
          <cell r="BB536" t="str">
            <v>FL</v>
          </cell>
          <cell r="BC536">
            <v>357505</v>
          </cell>
          <cell r="BE536">
            <v>5.5000000000000007E-2</v>
          </cell>
          <cell r="BF536">
            <v>4767.5627999999997</v>
          </cell>
          <cell r="BH536">
            <v>1</v>
          </cell>
        </row>
        <row r="537">
          <cell r="BB537" t="str">
            <v>PA</v>
          </cell>
          <cell r="BC537">
            <v>357446</v>
          </cell>
          <cell r="BE537">
            <v>5.4999999999999993E-2</v>
          </cell>
          <cell r="BF537">
            <v>4767.5627999999997</v>
          </cell>
          <cell r="BH537">
            <v>1</v>
          </cell>
        </row>
        <row r="538">
          <cell r="BB538" t="str">
            <v>CA</v>
          </cell>
          <cell r="BC538">
            <v>356131</v>
          </cell>
          <cell r="BE538">
            <v>5.5000000000000007E-2</v>
          </cell>
          <cell r="BF538">
            <v>4767.5627999999997</v>
          </cell>
          <cell r="BH538">
            <v>1</v>
          </cell>
        </row>
        <row r="539">
          <cell r="BB539" t="str">
            <v>GA</v>
          </cell>
          <cell r="BC539">
            <v>355386</v>
          </cell>
          <cell r="BE539">
            <v>5.5E-2</v>
          </cell>
          <cell r="BF539">
            <v>4767.5627999999997</v>
          </cell>
          <cell r="BH539">
            <v>1</v>
          </cell>
        </row>
        <row r="540">
          <cell r="BB540" t="str">
            <v>VA</v>
          </cell>
          <cell r="BC540">
            <v>354874</v>
          </cell>
          <cell r="BE540">
            <v>5.5E-2</v>
          </cell>
          <cell r="BF540">
            <v>4767.5627999999997</v>
          </cell>
          <cell r="BH540">
            <v>1</v>
          </cell>
        </row>
        <row r="541">
          <cell r="BB541" t="str">
            <v>IA</v>
          </cell>
          <cell r="BC541">
            <v>354854</v>
          </cell>
          <cell r="BE541">
            <v>5.5E-2</v>
          </cell>
          <cell r="BF541">
            <v>4767.5627999999997</v>
          </cell>
          <cell r="BH541">
            <v>1</v>
          </cell>
        </row>
        <row r="542">
          <cell r="BB542" t="str">
            <v>VA</v>
          </cell>
          <cell r="BC542">
            <v>353786</v>
          </cell>
          <cell r="BE542">
            <v>5.5E-2</v>
          </cell>
          <cell r="BF542">
            <v>4767.5627999999997</v>
          </cell>
          <cell r="BH542">
            <v>1</v>
          </cell>
        </row>
        <row r="543">
          <cell r="BB543" t="str">
            <v>TX</v>
          </cell>
          <cell r="BC543">
            <v>353438</v>
          </cell>
          <cell r="BE543">
            <v>5.5E-2</v>
          </cell>
          <cell r="BF543">
            <v>4767.5627999999997</v>
          </cell>
          <cell r="BH543">
            <v>1</v>
          </cell>
        </row>
        <row r="544">
          <cell r="BB544" t="str">
            <v>VA</v>
          </cell>
          <cell r="BC544">
            <v>352879</v>
          </cell>
          <cell r="BE544">
            <v>5.5E-2</v>
          </cell>
          <cell r="BF544">
            <v>4767.5627999999997</v>
          </cell>
          <cell r="BH544">
            <v>1</v>
          </cell>
        </row>
        <row r="545">
          <cell r="BB545" t="str">
            <v>IN</v>
          </cell>
          <cell r="BC545">
            <v>352090</v>
          </cell>
          <cell r="BE545">
            <v>5.5E-2</v>
          </cell>
          <cell r="BF545">
            <v>4767.5627999999997</v>
          </cell>
          <cell r="BH545">
            <v>1</v>
          </cell>
        </row>
        <row r="546">
          <cell r="BB546" t="str">
            <v>TX</v>
          </cell>
          <cell r="BC546">
            <v>351840</v>
          </cell>
          <cell r="BE546">
            <v>5.5E-2</v>
          </cell>
          <cell r="BF546">
            <v>4767.5627999999997</v>
          </cell>
          <cell r="BH546">
            <v>1</v>
          </cell>
        </row>
        <row r="547">
          <cell r="BB547" t="str">
            <v>IN</v>
          </cell>
          <cell r="BC547">
            <v>351407</v>
          </cell>
          <cell r="BE547">
            <v>5.4999999999999993E-2</v>
          </cell>
          <cell r="BF547">
            <v>4767.5627999999997</v>
          </cell>
          <cell r="BH547">
            <v>1</v>
          </cell>
        </row>
        <row r="548">
          <cell r="BB548" t="str">
            <v>IN</v>
          </cell>
          <cell r="BC548">
            <v>351346</v>
          </cell>
          <cell r="BE548">
            <v>5.4999999999999993E-2</v>
          </cell>
          <cell r="BF548">
            <v>4767.5627999999997</v>
          </cell>
          <cell r="BH548">
            <v>1</v>
          </cell>
        </row>
        <row r="549">
          <cell r="BB549" t="str">
            <v>MI</v>
          </cell>
          <cell r="BC549">
            <v>350550</v>
          </cell>
          <cell r="BE549">
            <v>5.5E-2</v>
          </cell>
          <cell r="BF549">
            <v>4767.5627999999997</v>
          </cell>
          <cell r="BH549">
            <v>1</v>
          </cell>
        </row>
        <row r="550">
          <cell r="BB550" t="str">
            <v>MI</v>
          </cell>
          <cell r="BC550">
            <v>349314</v>
          </cell>
          <cell r="BE550">
            <v>5.5E-2</v>
          </cell>
          <cell r="BF550">
            <v>4767.5627999999997</v>
          </cell>
          <cell r="BH550">
            <v>1</v>
          </cell>
        </row>
        <row r="551">
          <cell r="BB551" t="str">
            <v>KY</v>
          </cell>
          <cell r="BC551">
            <v>349157</v>
          </cell>
          <cell r="BE551">
            <v>5.4999999999999993E-2</v>
          </cell>
          <cell r="BF551">
            <v>4767.5627999999997</v>
          </cell>
          <cell r="BH551">
            <v>1</v>
          </cell>
        </row>
        <row r="552">
          <cell r="BB552" t="str">
            <v>GA</v>
          </cell>
          <cell r="BC552">
            <v>349119</v>
          </cell>
          <cell r="BE552">
            <v>5.5000000000000007E-2</v>
          </cell>
          <cell r="BF552">
            <v>4767.5627999999997</v>
          </cell>
          <cell r="BH552">
            <v>1</v>
          </cell>
        </row>
        <row r="553">
          <cell r="BB553" t="str">
            <v>NC</v>
          </cell>
          <cell r="BC553">
            <v>348586</v>
          </cell>
          <cell r="BE553">
            <v>5.5E-2</v>
          </cell>
          <cell r="BF553">
            <v>4767.5627999999997</v>
          </cell>
          <cell r="BH553">
            <v>1</v>
          </cell>
        </row>
        <row r="554">
          <cell r="BB554" t="str">
            <v>VA</v>
          </cell>
          <cell r="BC554">
            <v>348260</v>
          </cell>
          <cell r="BE554">
            <v>5.5E-2</v>
          </cell>
          <cell r="BF554">
            <v>4767.5627999999997</v>
          </cell>
          <cell r="BH554">
            <v>1</v>
          </cell>
        </row>
        <row r="555">
          <cell r="BB555" t="str">
            <v>PA</v>
          </cell>
          <cell r="BC555">
            <v>347559</v>
          </cell>
          <cell r="BE555">
            <v>5.5E-2</v>
          </cell>
          <cell r="BF555">
            <v>4767.5627999999997</v>
          </cell>
          <cell r="BH555">
            <v>1</v>
          </cell>
        </row>
        <row r="556">
          <cell r="BB556" t="str">
            <v>AL</v>
          </cell>
          <cell r="BC556">
            <v>347487</v>
          </cell>
          <cell r="BE556">
            <v>5.5E-2</v>
          </cell>
          <cell r="BF556">
            <v>4767.5627999999997</v>
          </cell>
          <cell r="BH556">
            <v>1</v>
          </cell>
        </row>
        <row r="557">
          <cell r="BB557" t="str">
            <v>MO</v>
          </cell>
          <cell r="BC557">
            <v>347462</v>
          </cell>
          <cell r="BE557">
            <v>5.5E-2</v>
          </cell>
          <cell r="BF557">
            <v>4767.5627999999997</v>
          </cell>
          <cell r="BH557">
            <v>1</v>
          </cell>
        </row>
        <row r="558">
          <cell r="BB558" t="str">
            <v>MO</v>
          </cell>
          <cell r="BC558">
            <v>347462</v>
          </cell>
          <cell r="BE558">
            <v>5.5E-2</v>
          </cell>
          <cell r="BF558">
            <v>4767.5627999999997</v>
          </cell>
          <cell r="BH558">
            <v>1</v>
          </cell>
        </row>
        <row r="559">
          <cell r="BB559" t="str">
            <v>NY</v>
          </cell>
          <cell r="BC559">
            <v>345088</v>
          </cell>
          <cell r="BE559">
            <v>5.5E-2</v>
          </cell>
          <cell r="BF559">
            <v>4767.5627999999997</v>
          </cell>
          <cell r="BH559">
            <v>1</v>
          </cell>
        </row>
        <row r="560">
          <cell r="BB560" t="str">
            <v>GA</v>
          </cell>
          <cell r="BC560">
            <v>344518</v>
          </cell>
          <cell r="BE560">
            <v>5.5000000000000007E-2</v>
          </cell>
          <cell r="BF560">
            <v>4767.5627999999997</v>
          </cell>
          <cell r="BH560">
            <v>1</v>
          </cell>
        </row>
        <row r="561">
          <cell r="BB561" t="str">
            <v>GA</v>
          </cell>
          <cell r="BC561">
            <v>344518</v>
          </cell>
          <cell r="BE561">
            <v>5.5000000000000007E-2</v>
          </cell>
          <cell r="BF561">
            <v>4767.5627999999997</v>
          </cell>
          <cell r="BH561">
            <v>1</v>
          </cell>
        </row>
        <row r="562">
          <cell r="BB562" t="str">
            <v>SC</v>
          </cell>
          <cell r="BC562">
            <v>344387</v>
          </cell>
          <cell r="BE562">
            <v>5.5E-2</v>
          </cell>
          <cell r="BF562">
            <v>4767.5627999999997</v>
          </cell>
          <cell r="BH562">
            <v>1</v>
          </cell>
        </row>
        <row r="563">
          <cell r="BB563" t="str">
            <v>CT</v>
          </cell>
          <cell r="BC563">
            <v>344104</v>
          </cell>
          <cell r="BE563">
            <v>5.5E-2</v>
          </cell>
          <cell r="BF563">
            <v>4767.5627999999997</v>
          </cell>
          <cell r="BH563">
            <v>1</v>
          </cell>
        </row>
        <row r="564">
          <cell r="BB564" t="str">
            <v>FL</v>
          </cell>
          <cell r="BC564">
            <v>344006</v>
          </cell>
          <cell r="BE564">
            <v>5.5000000000000007E-2</v>
          </cell>
          <cell r="BF564">
            <v>4767.5627999999997</v>
          </cell>
          <cell r="BH564">
            <v>1</v>
          </cell>
        </row>
        <row r="565">
          <cell r="BB565" t="str">
            <v>WA</v>
          </cell>
          <cell r="BC565">
            <v>343640</v>
          </cell>
          <cell r="BE565">
            <v>5.5E-2</v>
          </cell>
          <cell r="BF565">
            <v>4767.5627999999997</v>
          </cell>
          <cell r="BH565">
            <v>1</v>
          </cell>
        </row>
        <row r="566">
          <cell r="BB566" t="str">
            <v>WA</v>
          </cell>
          <cell r="BC566">
            <v>343640</v>
          </cell>
          <cell r="BE566">
            <v>5.5E-2</v>
          </cell>
          <cell r="BF566">
            <v>4767.5627999999997</v>
          </cell>
          <cell r="BH566">
            <v>1</v>
          </cell>
        </row>
        <row r="567">
          <cell r="BB567" t="str">
            <v>MS</v>
          </cell>
          <cell r="BC567">
            <v>343377</v>
          </cell>
          <cell r="BE567">
            <v>5.5E-2</v>
          </cell>
          <cell r="BF567">
            <v>4767.5627999999997</v>
          </cell>
          <cell r="BH567">
            <v>1</v>
          </cell>
        </row>
        <row r="568">
          <cell r="BB568" t="str">
            <v>MA</v>
          </cell>
          <cell r="BC568">
            <v>343371</v>
          </cell>
          <cell r="BE568">
            <v>5.4999999999999993E-2</v>
          </cell>
          <cell r="BF568">
            <v>4767.5627999999997</v>
          </cell>
          <cell r="BH568">
            <v>1</v>
          </cell>
        </row>
        <row r="569">
          <cell r="BB569" t="str">
            <v>OH</v>
          </cell>
          <cell r="BC569">
            <v>343358</v>
          </cell>
          <cell r="BE569">
            <v>5.4999999999999993E-2</v>
          </cell>
          <cell r="BF569">
            <v>4767.5627999999997</v>
          </cell>
          <cell r="BH569">
            <v>1</v>
          </cell>
        </row>
        <row r="570">
          <cell r="BB570" t="str">
            <v>OH</v>
          </cell>
          <cell r="BC570">
            <v>343140</v>
          </cell>
          <cell r="BE570">
            <v>5.5E-2</v>
          </cell>
          <cell r="BF570">
            <v>4767.5627999999997</v>
          </cell>
          <cell r="BH570">
            <v>1</v>
          </cell>
        </row>
        <row r="571">
          <cell r="BB571" t="str">
            <v>OH</v>
          </cell>
          <cell r="BC571">
            <v>342799</v>
          </cell>
          <cell r="BE571">
            <v>5.5E-2</v>
          </cell>
          <cell r="BF571">
            <v>4767.5627999999997</v>
          </cell>
          <cell r="BH571">
            <v>1</v>
          </cell>
        </row>
        <row r="572">
          <cell r="BB572" t="str">
            <v>OH</v>
          </cell>
          <cell r="BC572">
            <v>342435</v>
          </cell>
          <cell r="BE572">
            <v>5.5E-2</v>
          </cell>
          <cell r="BF572">
            <v>4767.5627999999997</v>
          </cell>
          <cell r="BH572">
            <v>1</v>
          </cell>
        </row>
        <row r="573">
          <cell r="BB573" t="str">
            <v>OH</v>
          </cell>
          <cell r="BC573">
            <v>341398</v>
          </cell>
          <cell r="BE573">
            <v>5.5E-2</v>
          </cell>
          <cell r="BF573">
            <v>4767.5627999999997</v>
          </cell>
          <cell r="BH573">
            <v>1</v>
          </cell>
        </row>
        <row r="574">
          <cell r="BB574" t="str">
            <v>IA</v>
          </cell>
          <cell r="BC574">
            <v>340942</v>
          </cell>
          <cell r="BE574">
            <v>5.5000000000000007E-2</v>
          </cell>
          <cell r="BF574">
            <v>4767.5627999999997</v>
          </cell>
          <cell r="BH574">
            <v>1</v>
          </cell>
        </row>
        <row r="575">
          <cell r="BB575" t="str">
            <v>GA</v>
          </cell>
          <cell r="BC575">
            <v>339133</v>
          </cell>
          <cell r="BE575">
            <v>5.4999999999999993E-2</v>
          </cell>
          <cell r="BF575">
            <v>4767.5627999999997</v>
          </cell>
          <cell r="BH575">
            <v>1</v>
          </cell>
        </row>
        <row r="576">
          <cell r="BB576" t="str">
            <v>GA</v>
          </cell>
          <cell r="BC576">
            <v>339133</v>
          </cell>
          <cell r="BE576">
            <v>5.4999999999999993E-2</v>
          </cell>
          <cell r="BF576">
            <v>4767.5627999999997</v>
          </cell>
          <cell r="BH576">
            <v>1</v>
          </cell>
        </row>
        <row r="577">
          <cell r="BB577" t="str">
            <v>TN</v>
          </cell>
          <cell r="BC577">
            <v>337970</v>
          </cell>
          <cell r="BE577">
            <v>5.4999999999999993E-2</v>
          </cell>
          <cell r="BF577">
            <v>4767.5627999999997</v>
          </cell>
          <cell r="BH577">
            <v>1</v>
          </cell>
        </row>
        <row r="578">
          <cell r="BB578" t="str">
            <v>KY</v>
          </cell>
          <cell r="BC578">
            <v>335903</v>
          </cell>
          <cell r="BE578">
            <v>5.5E-2</v>
          </cell>
          <cell r="BF578">
            <v>4767.5627999999997</v>
          </cell>
          <cell r="BH578">
            <v>1</v>
          </cell>
        </row>
        <row r="579">
          <cell r="BB579" t="str">
            <v>IN</v>
          </cell>
          <cell r="BC579">
            <v>335699</v>
          </cell>
          <cell r="BE579">
            <v>5.5E-2</v>
          </cell>
          <cell r="BF579">
            <v>4767.5627999999997</v>
          </cell>
          <cell r="BH579">
            <v>1</v>
          </cell>
        </row>
        <row r="580">
          <cell r="BB580" t="str">
            <v>GA</v>
          </cell>
          <cell r="BC580">
            <v>335584</v>
          </cell>
          <cell r="BE580">
            <v>5.5E-2</v>
          </cell>
          <cell r="BF580">
            <v>4767.5627999999997</v>
          </cell>
          <cell r="BH580">
            <v>1</v>
          </cell>
        </row>
        <row r="581">
          <cell r="BB581" t="str">
            <v>PA</v>
          </cell>
          <cell r="BC581">
            <v>333252</v>
          </cell>
          <cell r="BE581">
            <v>5.5E-2</v>
          </cell>
          <cell r="BF581">
            <v>4767.5627999999997</v>
          </cell>
          <cell r="BH581">
            <v>1</v>
          </cell>
        </row>
        <row r="582">
          <cell r="BB582" t="str">
            <v>GA</v>
          </cell>
          <cell r="BC582">
            <v>333068</v>
          </cell>
          <cell r="BE582">
            <v>5.5000000000000007E-2</v>
          </cell>
          <cell r="BF582">
            <v>4767.5627999999997</v>
          </cell>
          <cell r="BH582">
            <v>1</v>
          </cell>
        </row>
        <row r="583">
          <cell r="BB583" t="str">
            <v>GA</v>
          </cell>
          <cell r="BC583">
            <v>333068</v>
          </cell>
          <cell r="BE583">
            <v>5.5000000000000007E-2</v>
          </cell>
          <cell r="BF583">
            <v>4767.5627999999997</v>
          </cell>
          <cell r="BH583">
            <v>1</v>
          </cell>
        </row>
        <row r="584">
          <cell r="BB584" t="str">
            <v>IL</v>
          </cell>
          <cell r="BC584">
            <v>331860</v>
          </cell>
          <cell r="BE584">
            <v>5.5E-2</v>
          </cell>
          <cell r="BF584">
            <v>4767.5627999999997</v>
          </cell>
          <cell r="BH584">
            <v>1</v>
          </cell>
        </row>
        <row r="585">
          <cell r="BB585" t="str">
            <v>NE</v>
          </cell>
          <cell r="BC585">
            <v>331212</v>
          </cell>
          <cell r="BE585">
            <v>5.5E-2</v>
          </cell>
          <cell r="BF585">
            <v>4767.5627999999997</v>
          </cell>
          <cell r="BH585">
            <v>1</v>
          </cell>
        </row>
        <row r="586">
          <cell r="BB586" t="str">
            <v>IN</v>
          </cell>
          <cell r="BC586">
            <v>330536</v>
          </cell>
          <cell r="BE586">
            <v>5.5E-2</v>
          </cell>
          <cell r="BF586">
            <v>4767.5627999999997</v>
          </cell>
          <cell r="BH586">
            <v>1</v>
          </cell>
        </row>
        <row r="587">
          <cell r="BB587" t="str">
            <v>IN</v>
          </cell>
          <cell r="BC587">
            <v>326430</v>
          </cell>
          <cell r="BE587">
            <v>5.5000000000000007E-2</v>
          </cell>
          <cell r="BF587">
            <v>4767.5627999999997</v>
          </cell>
          <cell r="BH587">
            <v>1</v>
          </cell>
        </row>
        <row r="588">
          <cell r="BB588" t="str">
            <v>TN</v>
          </cell>
          <cell r="BC588">
            <v>326207</v>
          </cell>
          <cell r="BE588">
            <v>5.4999999999999993E-2</v>
          </cell>
          <cell r="BF588">
            <v>4767.5627999999997</v>
          </cell>
          <cell r="BH588">
            <v>1</v>
          </cell>
        </row>
        <row r="589">
          <cell r="BB589" t="str">
            <v>PA</v>
          </cell>
          <cell r="BC589">
            <v>325826</v>
          </cell>
          <cell r="BE589">
            <v>5.5E-2</v>
          </cell>
          <cell r="BF589">
            <v>4767.5627999999997</v>
          </cell>
          <cell r="BH589">
            <v>1</v>
          </cell>
        </row>
        <row r="590">
          <cell r="BB590" t="str">
            <v>IN</v>
          </cell>
          <cell r="BC590">
            <v>323952</v>
          </cell>
          <cell r="BE590">
            <v>5.5E-2</v>
          </cell>
          <cell r="BF590">
            <v>4767.5627999999997</v>
          </cell>
          <cell r="BH590">
            <v>1</v>
          </cell>
        </row>
        <row r="591">
          <cell r="BB591" t="str">
            <v>IA</v>
          </cell>
          <cell r="BC591">
            <v>322744</v>
          </cell>
          <cell r="BE591">
            <v>5.5000000000000007E-2</v>
          </cell>
          <cell r="BF591">
            <v>4767.5627999999997</v>
          </cell>
          <cell r="BH591">
            <v>1</v>
          </cell>
        </row>
        <row r="592">
          <cell r="BB592" t="str">
            <v>TN</v>
          </cell>
          <cell r="BC592">
            <v>322144</v>
          </cell>
          <cell r="BE592">
            <v>5.5000000000000007E-2</v>
          </cell>
          <cell r="BF592">
            <v>4767.5627999999997</v>
          </cell>
          <cell r="BH592">
            <v>1</v>
          </cell>
        </row>
        <row r="593">
          <cell r="BB593" t="str">
            <v>TN</v>
          </cell>
          <cell r="BC593">
            <v>321825</v>
          </cell>
          <cell r="BE593">
            <v>5.5E-2</v>
          </cell>
          <cell r="BF593">
            <v>4767.5627999999997</v>
          </cell>
          <cell r="BH593">
            <v>1</v>
          </cell>
        </row>
        <row r="594">
          <cell r="BB594" t="str">
            <v>IA</v>
          </cell>
          <cell r="BC594">
            <v>321795</v>
          </cell>
          <cell r="BE594">
            <v>5.4999999999999993E-2</v>
          </cell>
          <cell r="BF594">
            <v>4767.5627999999997</v>
          </cell>
          <cell r="BH594">
            <v>1</v>
          </cell>
        </row>
        <row r="595">
          <cell r="BB595" t="str">
            <v>MA</v>
          </cell>
          <cell r="BC595">
            <v>320126</v>
          </cell>
          <cell r="BE595">
            <v>5.5E-2</v>
          </cell>
          <cell r="BF595">
            <v>4767.5627999999997</v>
          </cell>
          <cell r="BH595">
            <v>1</v>
          </cell>
        </row>
        <row r="596">
          <cell r="BB596" t="str">
            <v>RI</v>
          </cell>
          <cell r="BC596">
            <v>320126</v>
          </cell>
          <cell r="BE596">
            <v>5.5E-2</v>
          </cell>
          <cell r="BF596">
            <v>4767.5627999999997</v>
          </cell>
          <cell r="BH596">
            <v>1</v>
          </cell>
        </row>
        <row r="597">
          <cell r="BB597" t="str">
            <v>RI</v>
          </cell>
          <cell r="BC597">
            <v>319795</v>
          </cell>
          <cell r="BE597">
            <v>5.4999999999999993E-2</v>
          </cell>
          <cell r="BF597">
            <v>4767.5627999999997</v>
          </cell>
          <cell r="BH597">
            <v>1</v>
          </cell>
        </row>
        <row r="598">
          <cell r="BB598" t="str">
            <v>IN</v>
          </cell>
          <cell r="BC598">
            <v>319621</v>
          </cell>
          <cell r="BE598">
            <v>5.4999999999999993E-2</v>
          </cell>
          <cell r="BF598">
            <v>4767.5627999999997</v>
          </cell>
          <cell r="BH598">
            <v>1</v>
          </cell>
        </row>
        <row r="599">
          <cell r="BB599" t="str">
            <v>IN</v>
          </cell>
          <cell r="BC599">
            <v>319621</v>
          </cell>
          <cell r="BE599">
            <v>5.4999999999999993E-2</v>
          </cell>
          <cell r="BF599">
            <v>4767.5627999999997</v>
          </cell>
          <cell r="BH599">
            <v>1</v>
          </cell>
        </row>
        <row r="600">
          <cell r="BB600" t="str">
            <v>NY</v>
          </cell>
          <cell r="BC600">
            <v>319413</v>
          </cell>
          <cell r="BE600">
            <v>5.5E-2</v>
          </cell>
          <cell r="BF600">
            <v>4767.5627999999997</v>
          </cell>
          <cell r="BH600">
            <v>1</v>
          </cell>
        </row>
        <row r="601">
          <cell r="BB601" t="str">
            <v>OH</v>
          </cell>
          <cell r="BC601">
            <v>318740</v>
          </cell>
          <cell r="BE601">
            <v>5.5E-2</v>
          </cell>
          <cell r="BF601">
            <v>4767.5627999999997</v>
          </cell>
          <cell r="BH601">
            <v>1</v>
          </cell>
        </row>
        <row r="602">
          <cell r="BB602" t="str">
            <v>LA</v>
          </cell>
          <cell r="BC602">
            <v>318348</v>
          </cell>
          <cell r="BE602">
            <v>5.5E-2</v>
          </cell>
          <cell r="BF602">
            <v>4767.5627999999997</v>
          </cell>
          <cell r="BH602">
            <v>1</v>
          </cell>
        </row>
        <row r="603">
          <cell r="BB603" t="str">
            <v>TN</v>
          </cell>
          <cell r="BC603">
            <v>317910</v>
          </cell>
          <cell r="BE603">
            <v>5.5E-2</v>
          </cell>
          <cell r="BF603">
            <v>4767.5627999999997</v>
          </cell>
          <cell r="BH603">
            <v>1</v>
          </cell>
        </row>
        <row r="604">
          <cell r="BB604" t="str">
            <v>TN</v>
          </cell>
          <cell r="BC604">
            <v>317910</v>
          </cell>
          <cell r="BE604">
            <v>5.5E-2</v>
          </cell>
          <cell r="BF604">
            <v>4767.5627999999997</v>
          </cell>
          <cell r="BH604">
            <v>1</v>
          </cell>
        </row>
        <row r="605">
          <cell r="BB605" t="str">
            <v>RI</v>
          </cell>
          <cell r="BC605">
            <v>317160</v>
          </cell>
          <cell r="BE605">
            <v>5.5E-2</v>
          </cell>
          <cell r="BF605">
            <v>4767.5627999999997</v>
          </cell>
          <cell r="BH605">
            <v>1</v>
          </cell>
        </row>
        <row r="606">
          <cell r="BB606" t="str">
            <v>RI</v>
          </cell>
          <cell r="BC606">
            <v>317160</v>
          </cell>
          <cell r="BE606">
            <v>5.5E-2</v>
          </cell>
          <cell r="BF606">
            <v>4767.5627999999997</v>
          </cell>
          <cell r="BH606">
            <v>1</v>
          </cell>
        </row>
        <row r="607">
          <cell r="BB607" t="str">
            <v>OH</v>
          </cell>
          <cell r="BC607">
            <v>315884</v>
          </cell>
          <cell r="BE607">
            <v>5.4999999999999993E-2</v>
          </cell>
          <cell r="BF607">
            <v>4767.5627999999997</v>
          </cell>
          <cell r="BH607">
            <v>1</v>
          </cell>
        </row>
        <row r="608">
          <cell r="BB608" t="str">
            <v>VA</v>
          </cell>
          <cell r="BC608">
            <v>314708</v>
          </cell>
          <cell r="BE608">
            <v>5.4999999999999993E-2</v>
          </cell>
          <cell r="BF608">
            <v>4767.5627999999997</v>
          </cell>
          <cell r="BH608">
            <v>1</v>
          </cell>
        </row>
        <row r="609">
          <cell r="BB609" t="str">
            <v>FL</v>
          </cell>
          <cell r="BC609">
            <v>313783</v>
          </cell>
          <cell r="BE609">
            <v>5.4999999999999993E-2</v>
          </cell>
          <cell r="BF609">
            <v>4767.5627999999997</v>
          </cell>
          <cell r="BH609">
            <v>1</v>
          </cell>
        </row>
        <row r="610">
          <cell r="BB610" t="str">
            <v>WI</v>
          </cell>
          <cell r="BC610">
            <v>313105</v>
          </cell>
          <cell r="BE610">
            <v>5.5000000000000007E-2</v>
          </cell>
          <cell r="BF610">
            <v>4767.5627999999997</v>
          </cell>
          <cell r="BH610">
            <v>1</v>
          </cell>
        </row>
        <row r="611">
          <cell r="BB611" t="str">
            <v>MA</v>
          </cell>
          <cell r="BC611">
            <v>311925</v>
          </cell>
          <cell r="BE611">
            <v>5.5E-2</v>
          </cell>
          <cell r="BF611">
            <v>4767.5627999999997</v>
          </cell>
          <cell r="BH611">
            <v>1</v>
          </cell>
        </row>
        <row r="612">
          <cell r="BB612" t="str">
            <v>MD</v>
          </cell>
          <cell r="BC612">
            <v>311113</v>
          </cell>
          <cell r="BE612">
            <v>5.5E-2</v>
          </cell>
          <cell r="BF612">
            <v>4767.5627999999997</v>
          </cell>
          <cell r="BH612">
            <v>1</v>
          </cell>
        </row>
        <row r="613">
          <cell r="BB613" t="str">
            <v>MD</v>
          </cell>
          <cell r="BC613">
            <v>311113</v>
          </cell>
          <cell r="BE613">
            <v>5.5E-2</v>
          </cell>
          <cell r="BF613">
            <v>4767.5627999999997</v>
          </cell>
          <cell r="BH613">
            <v>1</v>
          </cell>
        </row>
        <row r="614">
          <cell r="BB614" t="str">
            <v>PA</v>
          </cell>
          <cell r="BC614">
            <v>309900</v>
          </cell>
          <cell r="BE614">
            <v>5.5E-2</v>
          </cell>
          <cell r="BF614">
            <v>4767.5627999999997</v>
          </cell>
          <cell r="BH614">
            <v>1</v>
          </cell>
        </row>
        <row r="615">
          <cell r="BB615" t="str">
            <v>UT</v>
          </cell>
          <cell r="BC615">
            <v>309590</v>
          </cell>
          <cell r="BE615">
            <v>5.5E-2</v>
          </cell>
          <cell r="BF615">
            <v>4767.5627999999997</v>
          </cell>
          <cell r="BH615">
            <v>1</v>
          </cell>
        </row>
        <row r="616">
          <cell r="BB616" t="str">
            <v>IA</v>
          </cell>
          <cell r="BC616">
            <v>308025</v>
          </cell>
          <cell r="BE616">
            <v>5.5E-2</v>
          </cell>
          <cell r="BF616">
            <v>4767.5627999999997</v>
          </cell>
          <cell r="BH616">
            <v>1</v>
          </cell>
        </row>
        <row r="617">
          <cell r="BB617" t="str">
            <v>SC</v>
          </cell>
          <cell r="BC617">
            <v>307810</v>
          </cell>
          <cell r="BE617">
            <v>5.5E-2</v>
          </cell>
          <cell r="BF617">
            <v>4767.5627999999997</v>
          </cell>
          <cell r="BH617">
            <v>1</v>
          </cell>
        </row>
        <row r="618">
          <cell r="BB618" t="str">
            <v>GA</v>
          </cell>
          <cell r="BC618">
            <v>307500</v>
          </cell>
          <cell r="BE618">
            <v>5.5E-2</v>
          </cell>
          <cell r="BF618">
            <v>4767.5627999999997</v>
          </cell>
          <cell r="BH618">
            <v>1</v>
          </cell>
        </row>
        <row r="619">
          <cell r="BB619" t="str">
            <v>AL</v>
          </cell>
          <cell r="BC619">
            <v>307390</v>
          </cell>
          <cell r="BE619">
            <v>5.5E-2</v>
          </cell>
          <cell r="BF619">
            <v>4767.5627999999997</v>
          </cell>
          <cell r="BH619">
            <v>1</v>
          </cell>
        </row>
        <row r="620">
          <cell r="BB620" t="str">
            <v>NC</v>
          </cell>
          <cell r="BC620">
            <v>307071</v>
          </cell>
          <cell r="BE620">
            <v>5.4999999999999993E-2</v>
          </cell>
          <cell r="BF620">
            <v>4767.5627999999997</v>
          </cell>
          <cell r="BH620">
            <v>1</v>
          </cell>
        </row>
        <row r="621">
          <cell r="BB621" t="str">
            <v>NE</v>
          </cell>
          <cell r="BC621">
            <v>306335</v>
          </cell>
          <cell r="BE621">
            <v>5.5E-2</v>
          </cell>
          <cell r="BF621">
            <v>4767.5627999999997</v>
          </cell>
          <cell r="BH621">
            <v>1</v>
          </cell>
        </row>
        <row r="622">
          <cell r="BB622" t="str">
            <v>MI</v>
          </cell>
          <cell r="BC622">
            <v>305939</v>
          </cell>
          <cell r="BE622">
            <v>5.5E-2</v>
          </cell>
          <cell r="BF622">
            <v>4767.5627999999997</v>
          </cell>
          <cell r="BH622">
            <v>1</v>
          </cell>
        </row>
        <row r="623">
          <cell r="BB623" t="str">
            <v>NY</v>
          </cell>
          <cell r="BC623">
            <v>305137</v>
          </cell>
          <cell r="BE623">
            <v>5.5E-2</v>
          </cell>
          <cell r="BF623">
            <v>4767.5627999999997</v>
          </cell>
          <cell r="BH623">
            <v>1</v>
          </cell>
        </row>
        <row r="624">
          <cell r="BB624" t="str">
            <v>VA</v>
          </cell>
          <cell r="BC624">
            <v>304715</v>
          </cell>
          <cell r="BE624">
            <v>5.5E-2</v>
          </cell>
          <cell r="BF624">
            <v>4767.5627999999997</v>
          </cell>
          <cell r="BH624">
            <v>1</v>
          </cell>
        </row>
        <row r="625">
          <cell r="BB625" t="str">
            <v>VA</v>
          </cell>
          <cell r="BC625">
            <v>304715</v>
          </cell>
          <cell r="BE625">
            <v>5.5E-2</v>
          </cell>
          <cell r="BF625">
            <v>4767.5627999999997</v>
          </cell>
          <cell r="BH625">
            <v>1</v>
          </cell>
        </row>
        <row r="626">
          <cell r="BB626" t="str">
            <v>VA</v>
          </cell>
          <cell r="BC626">
            <v>304715</v>
          </cell>
          <cell r="BE626">
            <v>5.5E-2</v>
          </cell>
          <cell r="BF626">
            <v>4767.5627999999997</v>
          </cell>
          <cell r="BH626">
            <v>1</v>
          </cell>
        </row>
        <row r="627">
          <cell r="BB627" t="str">
            <v>VA</v>
          </cell>
          <cell r="BC627">
            <v>304715</v>
          </cell>
          <cell r="BE627">
            <v>5.5E-2</v>
          </cell>
          <cell r="BF627">
            <v>4767.5627999999997</v>
          </cell>
          <cell r="BH627">
            <v>1</v>
          </cell>
        </row>
        <row r="628">
          <cell r="BB628" t="str">
            <v>IL</v>
          </cell>
          <cell r="BC628">
            <v>304152</v>
          </cell>
          <cell r="BE628">
            <v>5.5E-2</v>
          </cell>
          <cell r="BF628">
            <v>4767.5627999999997</v>
          </cell>
          <cell r="BH628">
            <v>1</v>
          </cell>
        </row>
        <row r="629">
          <cell r="BB629" t="str">
            <v>NJ</v>
          </cell>
          <cell r="BC629">
            <v>304126</v>
          </cell>
          <cell r="BE629">
            <v>5.5E-2</v>
          </cell>
          <cell r="BF629">
            <v>4767.5627999999997</v>
          </cell>
          <cell r="BH629">
            <v>1</v>
          </cell>
        </row>
        <row r="630">
          <cell r="BB630" t="str">
            <v>IL</v>
          </cell>
          <cell r="BC630">
            <v>303597</v>
          </cell>
          <cell r="BE630">
            <v>5.5E-2</v>
          </cell>
          <cell r="BF630">
            <v>4767.5627999999997</v>
          </cell>
          <cell r="BH630">
            <v>1</v>
          </cell>
        </row>
        <row r="631">
          <cell r="BB631" t="str">
            <v>PA</v>
          </cell>
          <cell r="BC631">
            <v>302983</v>
          </cell>
          <cell r="BE631">
            <v>5.4999999999999993E-2</v>
          </cell>
          <cell r="BF631">
            <v>4767.5627999999997</v>
          </cell>
          <cell r="BH631">
            <v>1</v>
          </cell>
        </row>
        <row r="632">
          <cell r="BB632" t="str">
            <v>IA</v>
          </cell>
          <cell r="BC632">
            <v>302189</v>
          </cell>
          <cell r="BE632">
            <v>5.5E-2</v>
          </cell>
          <cell r="BF632">
            <v>4767.5627999999997</v>
          </cell>
          <cell r="BH632">
            <v>1</v>
          </cell>
        </row>
        <row r="633">
          <cell r="BB633" t="str">
            <v>VA</v>
          </cell>
          <cell r="BC633">
            <v>302005</v>
          </cell>
          <cell r="BE633">
            <v>5.5000000000000007E-2</v>
          </cell>
          <cell r="BF633">
            <v>4767.5627999999997</v>
          </cell>
          <cell r="BH633">
            <v>1</v>
          </cell>
        </row>
        <row r="634">
          <cell r="BB634" t="str">
            <v>WI</v>
          </cell>
          <cell r="BC634">
            <v>301575</v>
          </cell>
          <cell r="BE634">
            <v>5.5E-2</v>
          </cell>
          <cell r="BF634">
            <v>4767.5627999999997</v>
          </cell>
          <cell r="BH634">
            <v>1</v>
          </cell>
        </row>
        <row r="635">
          <cell r="BB635" t="str">
            <v>IA</v>
          </cell>
          <cell r="BC635">
            <v>300913</v>
          </cell>
          <cell r="BE635">
            <v>5.5E-2</v>
          </cell>
          <cell r="BF635">
            <v>4767.5627999999997</v>
          </cell>
          <cell r="BH635">
            <v>1</v>
          </cell>
        </row>
        <row r="636">
          <cell r="BB636" t="str">
            <v>OH</v>
          </cell>
          <cell r="BC636">
            <v>299994</v>
          </cell>
          <cell r="BE636">
            <v>5.5000000000000007E-2</v>
          </cell>
          <cell r="BF636">
            <v>4767.5627999999997</v>
          </cell>
          <cell r="BH636">
            <v>1</v>
          </cell>
        </row>
        <row r="637">
          <cell r="BB637" t="str">
            <v>OH</v>
          </cell>
          <cell r="BC637">
            <v>299974</v>
          </cell>
          <cell r="BE637">
            <v>5.5E-2</v>
          </cell>
          <cell r="BF637">
            <v>4767.5627999999997</v>
          </cell>
          <cell r="BH637">
            <v>1</v>
          </cell>
        </row>
        <row r="638">
          <cell r="BB638" t="str">
            <v>IA</v>
          </cell>
          <cell r="BC638">
            <v>299970</v>
          </cell>
          <cell r="BE638">
            <v>5.4999999999999993E-2</v>
          </cell>
          <cell r="BF638">
            <v>4767.5627999999997</v>
          </cell>
          <cell r="BH638">
            <v>1</v>
          </cell>
        </row>
        <row r="639">
          <cell r="BB639" t="str">
            <v>DE</v>
          </cell>
          <cell r="BC639">
            <v>299655</v>
          </cell>
          <cell r="BE639">
            <v>5.5000000000000007E-2</v>
          </cell>
          <cell r="BF639">
            <v>4767.5627999999997</v>
          </cell>
          <cell r="BH639">
            <v>1</v>
          </cell>
        </row>
        <row r="640">
          <cell r="BB640" t="str">
            <v>IN</v>
          </cell>
          <cell r="BC640">
            <v>299621</v>
          </cell>
          <cell r="BE640">
            <v>5.4999999999999993E-2</v>
          </cell>
          <cell r="BF640">
            <v>4767.5627999999997</v>
          </cell>
          <cell r="BH640">
            <v>1</v>
          </cell>
        </row>
        <row r="641">
          <cell r="BB641" t="str">
            <v>VA</v>
          </cell>
          <cell r="BC641">
            <v>299375</v>
          </cell>
          <cell r="BE641">
            <v>5.5E-2</v>
          </cell>
          <cell r="BF641">
            <v>4767.5627999999997</v>
          </cell>
          <cell r="BH641">
            <v>1</v>
          </cell>
        </row>
        <row r="642">
          <cell r="BB642" t="str">
            <v>WI</v>
          </cell>
          <cell r="BC642">
            <v>299042</v>
          </cell>
          <cell r="BE642">
            <v>5.5000000000000007E-2</v>
          </cell>
          <cell r="BF642">
            <v>4767.5627999999997</v>
          </cell>
          <cell r="BH642">
            <v>1</v>
          </cell>
        </row>
        <row r="643">
          <cell r="BB643" t="str">
            <v>WI</v>
          </cell>
          <cell r="BC643">
            <v>298965</v>
          </cell>
          <cell r="BE643">
            <v>5.5E-2</v>
          </cell>
          <cell r="BF643">
            <v>4767.5627999999997</v>
          </cell>
          <cell r="BH643">
            <v>1</v>
          </cell>
        </row>
        <row r="644">
          <cell r="BB644" t="str">
            <v>IL</v>
          </cell>
          <cell r="BC644">
            <v>298374</v>
          </cell>
          <cell r="BE644">
            <v>5.5E-2</v>
          </cell>
          <cell r="BF644">
            <v>4767.5627999999997</v>
          </cell>
          <cell r="BH644">
            <v>1</v>
          </cell>
        </row>
        <row r="645">
          <cell r="BB645" t="str">
            <v>WI</v>
          </cell>
          <cell r="BC645">
            <v>296283</v>
          </cell>
          <cell r="BE645">
            <v>5.5E-2</v>
          </cell>
          <cell r="BF645">
            <v>4767.5627999999997</v>
          </cell>
          <cell r="BH645">
            <v>1</v>
          </cell>
        </row>
        <row r="646">
          <cell r="BB646" t="str">
            <v>IA</v>
          </cell>
          <cell r="BC646">
            <v>295905</v>
          </cell>
          <cell r="BE646">
            <v>5.5E-2</v>
          </cell>
          <cell r="BF646">
            <v>4767.5627999999997</v>
          </cell>
          <cell r="BH646">
            <v>1</v>
          </cell>
        </row>
        <row r="647">
          <cell r="BB647" t="str">
            <v>IA</v>
          </cell>
          <cell r="BC647">
            <v>291936</v>
          </cell>
          <cell r="BE647">
            <v>5.5E-2</v>
          </cell>
          <cell r="BF647">
            <v>4767.5627999999997</v>
          </cell>
          <cell r="BH647">
            <v>1</v>
          </cell>
        </row>
        <row r="648">
          <cell r="BB648" t="str">
            <v>KY</v>
          </cell>
          <cell r="BC648">
            <v>291088</v>
          </cell>
          <cell r="BE648">
            <v>5.5E-2</v>
          </cell>
          <cell r="BF648">
            <v>4767.5627999999997</v>
          </cell>
          <cell r="BH648">
            <v>1</v>
          </cell>
        </row>
        <row r="649">
          <cell r="BB649" t="str">
            <v>KY</v>
          </cell>
          <cell r="BC649">
            <v>291088</v>
          </cell>
          <cell r="BE649">
            <v>5.5E-2</v>
          </cell>
          <cell r="BF649">
            <v>4767.5627999999997</v>
          </cell>
          <cell r="BH649">
            <v>1</v>
          </cell>
        </row>
        <row r="650">
          <cell r="BB650" t="str">
            <v>IA</v>
          </cell>
          <cell r="BC650">
            <v>290996</v>
          </cell>
          <cell r="BE650">
            <v>5.5E-2</v>
          </cell>
          <cell r="BF650">
            <v>4767.5627999999997</v>
          </cell>
          <cell r="BH650">
            <v>1</v>
          </cell>
        </row>
        <row r="651">
          <cell r="BB651" t="str">
            <v>NC</v>
          </cell>
          <cell r="BC651">
            <v>290925</v>
          </cell>
          <cell r="BE651">
            <v>5.5E-2</v>
          </cell>
          <cell r="BF651">
            <v>4767.5627999999997</v>
          </cell>
          <cell r="BH651">
            <v>1</v>
          </cell>
        </row>
        <row r="652">
          <cell r="BB652" t="str">
            <v>TN</v>
          </cell>
          <cell r="BC652">
            <v>289711</v>
          </cell>
          <cell r="BE652">
            <v>5.5E-2</v>
          </cell>
          <cell r="BF652">
            <v>4767.5627999999997</v>
          </cell>
          <cell r="BH652">
            <v>1</v>
          </cell>
        </row>
        <row r="653">
          <cell r="BB653" t="str">
            <v>IA</v>
          </cell>
          <cell r="BC653">
            <v>288594</v>
          </cell>
          <cell r="BE653">
            <v>5.5E-2</v>
          </cell>
          <cell r="BF653">
            <v>4767.5627999999997</v>
          </cell>
          <cell r="BH653">
            <v>1</v>
          </cell>
        </row>
        <row r="654">
          <cell r="BB654" t="str">
            <v>MI</v>
          </cell>
          <cell r="BC654">
            <v>288569</v>
          </cell>
          <cell r="BE654">
            <v>5.5E-2</v>
          </cell>
          <cell r="BF654">
            <v>4767.5627999999997</v>
          </cell>
          <cell r="BH654">
            <v>1</v>
          </cell>
        </row>
        <row r="655">
          <cell r="BB655" t="str">
            <v>TX</v>
          </cell>
          <cell r="BC655">
            <v>288020</v>
          </cell>
          <cell r="BE655">
            <v>5.5E-2</v>
          </cell>
          <cell r="BF655">
            <v>4767.5627999999997</v>
          </cell>
          <cell r="BH655">
            <v>1</v>
          </cell>
        </row>
        <row r="656">
          <cell r="BB656" t="str">
            <v>TX</v>
          </cell>
          <cell r="BC656">
            <v>287948</v>
          </cell>
          <cell r="BE656">
            <v>5.5E-2</v>
          </cell>
          <cell r="BF656">
            <v>4767.5627999999997</v>
          </cell>
          <cell r="BH656">
            <v>1</v>
          </cell>
        </row>
        <row r="657">
          <cell r="BB657" t="str">
            <v>TN</v>
          </cell>
          <cell r="BC657">
            <v>287351</v>
          </cell>
          <cell r="BE657">
            <v>5.5E-2</v>
          </cell>
          <cell r="BF657">
            <v>4767.5627999999997</v>
          </cell>
          <cell r="BH657">
            <v>1</v>
          </cell>
        </row>
        <row r="658">
          <cell r="BB658" t="str">
            <v>NE</v>
          </cell>
          <cell r="BC658">
            <v>286392</v>
          </cell>
          <cell r="BE658">
            <v>5.5E-2</v>
          </cell>
          <cell r="BF658">
            <v>4767.5627999999997</v>
          </cell>
          <cell r="BH658">
            <v>1</v>
          </cell>
        </row>
        <row r="659">
          <cell r="BB659" t="str">
            <v>TX</v>
          </cell>
          <cell r="BC659">
            <v>285923</v>
          </cell>
          <cell r="BE659">
            <v>5.5E-2</v>
          </cell>
          <cell r="BF659">
            <v>4767.5627999999997</v>
          </cell>
          <cell r="BH659">
            <v>1</v>
          </cell>
        </row>
        <row r="660">
          <cell r="BB660" t="str">
            <v>TX</v>
          </cell>
          <cell r="BC660">
            <v>285923</v>
          </cell>
          <cell r="BE660">
            <v>5.5E-2</v>
          </cell>
          <cell r="BF660">
            <v>4767.5627999999997</v>
          </cell>
          <cell r="BH660">
            <v>1</v>
          </cell>
        </row>
        <row r="661">
          <cell r="BB661" t="str">
            <v>FL</v>
          </cell>
          <cell r="BC661">
            <v>285049</v>
          </cell>
          <cell r="BE661">
            <v>5.5E-2</v>
          </cell>
          <cell r="BF661">
            <v>4767.5627999999997</v>
          </cell>
          <cell r="BH661">
            <v>1</v>
          </cell>
        </row>
        <row r="662">
          <cell r="BB662" t="str">
            <v>GA</v>
          </cell>
          <cell r="BC662">
            <v>284903</v>
          </cell>
          <cell r="BE662">
            <v>5.5E-2</v>
          </cell>
          <cell r="BF662">
            <v>4767.5627999999997</v>
          </cell>
          <cell r="BH662">
            <v>1</v>
          </cell>
        </row>
        <row r="663">
          <cell r="BB663" t="str">
            <v>GA</v>
          </cell>
          <cell r="BC663">
            <v>284393</v>
          </cell>
          <cell r="BE663">
            <v>5.5E-2</v>
          </cell>
          <cell r="BF663">
            <v>4767.5627999999997</v>
          </cell>
          <cell r="BH663">
            <v>1</v>
          </cell>
        </row>
        <row r="664">
          <cell r="BB664" t="str">
            <v>MS</v>
          </cell>
          <cell r="BC664">
            <v>284308</v>
          </cell>
          <cell r="BE664">
            <v>5.5E-2</v>
          </cell>
          <cell r="BF664">
            <v>4767.5627999999997</v>
          </cell>
          <cell r="BH664">
            <v>1</v>
          </cell>
        </row>
        <row r="665">
          <cell r="BB665" t="str">
            <v>SC</v>
          </cell>
          <cell r="BC665">
            <v>284103</v>
          </cell>
          <cell r="BE665">
            <v>5.5E-2</v>
          </cell>
          <cell r="BF665">
            <v>4767.5627999999997</v>
          </cell>
          <cell r="BH665">
            <v>1</v>
          </cell>
        </row>
        <row r="666">
          <cell r="BB666" t="str">
            <v>AR</v>
          </cell>
          <cell r="BC666">
            <v>283975</v>
          </cell>
          <cell r="BE666">
            <v>5.5E-2</v>
          </cell>
          <cell r="BF666">
            <v>4767.5627999999997</v>
          </cell>
          <cell r="BH666">
            <v>1</v>
          </cell>
        </row>
        <row r="667">
          <cell r="BB667" t="str">
            <v>FL</v>
          </cell>
          <cell r="BC667">
            <v>283849</v>
          </cell>
          <cell r="BE667">
            <v>5.5E-2</v>
          </cell>
          <cell r="BF667">
            <v>4767.5627999999997</v>
          </cell>
          <cell r="BH667">
            <v>1</v>
          </cell>
        </row>
        <row r="668">
          <cell r="BB668" t="str">
            <v>FL</v>
          </cell>
          <cell r="BC668">
            <v>283478</v>
          </cell>
          <cell r="BE668">
            <v>5.5E-2</v>
          </cell>
          <cell r="BF668">
            <v>4767.5627999999997</v>
          </cell>
          <cell r="BH668">
            <v>1</v>
          </cell>
        </row>
        <row r="669">
          <cell r="BB669" t="str">
            <v>IA</v>
          </cell>
          <cell r="BC669">
            <v>283026</v>
          </cell>
          <cell r="BE669">
            <v>5.5E-2</v>
          </cell>
          <cell r="BF669">
            <v>4767.5627999999997</v>
          </cell>
          <cell r="BH669">
            <v>1</v>
          </cell>
        </row>
        <row r="670">
          <cell r="BB670" t="str">
            <v>UT</v>
          </cell>
          <cell r="BC670">
            <v>282018</v>
          </cell>
          <cell r="BE670">
            <v>5.5E-2</v>
          </cell>
          <cell r="BF670">
            <v>4767.5627999999997</v>
          </cell>
          <cell r="BH670">
            <v>1</v>
          </cell>
        </row>
        <row r="671">
          <cell r="BB671" t="str">
            <v>UT</v>
          </cell>
          <cell r="BC671">
            <v>282018</v>
          </cell>
          <cell r="BE671">
            <v>5.5E-2</v>
          </cell>
          <cell r="BF671">
            <v>4767.5627999999997</v>
          </cell>
          <cell r="BH671">
            <v>1</v>
          </cell>
        </row>
        <row r="672">
          <cell r="BB672" t="str">
            <v>GA</v>
          </cell>
          <cell r="BC672">
            <v>281383</v>
          </cell>
          <cell r="BE672">
            <v>5.5E-2</v>
          </cell>
          <cell r="BF672">
            <v>4767.5627999999997</v>
          </cell>
          <cell r="BH672">
            <v>1</v>
          </cell>
        </row>
        <row r="673">
          <cell r="BB673" t="str">
            <v>WV</v>
          </cell>
          <cell r="BC673">
            <v>281367</v>
          </cell>
          <cell r="BE673">
            <v>5.5E-2</v>
          </cell>
          <cell r="BF673">
            <v>4767.5627999999997</v>
          </cell>
          <cell r="BH673">
            <v>1</v>
          </cell>
        </row>
        <row r="674">
          <cell r="BB674" t="str">
            <v>MO</v>
          </cell>
          <cell r="BC674">
            <v>281022</v>
          </cell>
          <cell r="BE674">
            <v>5.5E-2</v>
          </cell>
          <cell r="BF674">
            <v>4767.5627999999997</v>
          </cell>
          <cell r="BH674">
            <v>1</v>
          </cell>
        </row>
        <row r="675">
          <cell r="BB675" t="str">
            <v>SC</v>
          </cell>
          <cell r="BC675">
            <v>280109</v>
          </cell>
          <cell r="BE675">
            <v>5.5E-2</v>
          </cell>
          <cell r="BF675">
            <v>4767.5627999999997</v>
          </cell>
          <cell r="BH675">
            <v>1</v>
          </cell>
        </row>
        <row r="676">
          <cell r="BB676" t="str">
            <v>FL</v>
          </cell>
          <cell r="BC676">
            <v>279787</v>
          </cell>
          <cell r="BE676">
            <v>5.5E-2</v>
          </cell>
          <cell r="BF676">
            <v>4767.5627999999997</v>
          </cell>
          <cell r="BH676">
            <v>1</v>
          </cell>
        </row>
        <row r="677">
          <cell r="BB677" t="str">
            <v>IN</v>
          </cell>
          <cell r="BC677">
            <v>279057</v>
          </cell>
          <cell r="BE677">
            <v>5.5E-2</v>
          </cell>
          <cell r="BF677">
            <v>4767.5627999999997</v>
          </cell>
          <cell r="BH677">
            <v>1</v>
          </cell>
        </row>
        <row r="678">
          <cell r="BB678" t="str">
            <v>IA</v>
          </cell>
          <cell r="BC678">
            <v>278425</v>
          </cell>
          <cell r="BE678">
            <v>5.5E-2</v>
          </cell>
          <cell r="BF678">
            <v>4767.5627999999997</v>
          </cell>
          <cell r="BH678">
            <v>1</v>
          </cell>
        </row>
        <row r="679">
          <cell r="BB679" t="str">
            <v>IA</v>
          </cell>
          <cell r="BC679">
            <v>277883</v>
          </cell>
          <cell r="BE679">
            <v>5.5E-2</v>
          </cell>
          <cell r="BF679">
            <v>4767.5627999999997</v>
          </cell>
          <cell r="BH679">
            <v>1</v>
          </cell>
        </row>
        <row r="680">
          <cell r="BB680" t="str">
            <v>GA</v>
          </cell>
          <cell r="BC680">
            <v>277569</v>
          </cell>
          <cell r="BE680">
            <v>5.5E-2</v>
          </cell>
          <cell r="BF680">
            <v>4767.5627999999997</v>
          </cell>
          <cell r="BH680">
            <v>1</v>
          </cell>
        </row>
        <row r="681">
          <cell r="BB681" t="str">
            <v>MI</v>
          </cell>
          <cell r="BC681">
            <v>276603</v>
          </cell>
          <cell r="BE681">
            <v>5.5E-2</v>
          </cell>
          <cell r="BF681">
            <v>4767.5627999999997</v>
          </cell>
          <cell r="BH681">
            <v>1</v>
          </cell>
        </row>
        <row r="682">
          <cell r="BB682" t="str">
            <v>CT</v>
          </cell>
          <cell r="BC682">
            <v>276519</v>
          </cell>
          <cell r="BE682">
            <v>5.5E-2</v>
          </cell>
          <cell r="BF682">
            <v>4767.5627999999997</v>
          </cell>
          <cell r="BH682">
            <v>1</v>
          </cell>
        </row>
        <row r="683">
          <cell r="BB683" t="str">
            <v>AR</v>
          </cell>
          <cell r="BC683">
            <v>276431</v>
          </cell>
          <cell r="BE683">
            <v>5.5E-2</v>
          </cell>
          <cell r="BF683">
            <v>4767.5627999999997</v>
          </cell>
          <cell r="BH683">
            <v>1</v>
          </cell>
        </row>
        <row r="684">
          <cell r="BB684" t="str">
            <v>IN</v>
          </cell>
          <cell r="BC684">
            <v>276408</v>
          </cell>
          <cell r="BE684">
            <v>5.5E-2</v>
          </cell>
          <cell r="BF684">
            <v>4767.5627999999997</v>
          </cell>
          <cell r="BH684">
            <v>1</v>
          </cell>
        </row>
        <row r="685">
          <cell r="BB685" t="str">
            <v>IN</v>
          </cell>
          <cell r="BC685">
            <v>275164</v>
          </cell>
          <cell r="BE685">
            <v>5.5E-2</v>
          </cell>
          <cell r="BF685">
            <v>4767.5627999999997</v>
          </cell>
          <cell r="BH685">
            <v>1</v>
          </cell>
        </row>
        <row r="686">
          <cell r="BB686" t="str">
            <v>KY</v>
          </cell>
          <cell r="BC686">
            <v>274718</v>
          </cell>
          <cell r="BE686">
            <v>5.5E-2</v>
          </cell>
          <cell r="BF686">
            <v>4767.5627999999997</v>
          </cell>
          <cell r="BH686">
            <v>1</v>
          </cell>
        </row>
        <row r="687">
          <cell r="BB687" t="str">
            <v>IL</v>
          </cell>
          <cell r="BC687">
            <v>274436</v>
          </cell>
          <cell r="BE687">
            <v>5.5E-2</v>
          </cell>
          <cell r="BF687">
            <v>4767.5627999999997</v>
          </cell>
          <cell r="BH687">
            <v>1</v>
          </cell>
        </row>
        <row r="688">
          <cell r="BB688" t="str">
            <v>KY</v>
          </cell>
          <cell r="BC688">
            <v>274136</v>
          </cell>
          <cell r="BE688">
            <v>5.5E-2</v>
          </cell>
          <cell r="BF688">
            <v>4767.5627999999997</v>
          </cell>
          <cell r="BH688">
            <v>1</v>
          </cell>
        </row>
        <row r="689">
          <cell r="BB689" t="str">
            <v>SC</v>
          </cell>
          <cell r="BC689">
            <v>273923</v>
          </cell>
          <cell r="BE689">
            <v>5.5E-2</v>
          </cell>
          <cell r="BF689">
            <v>4767.5627999999997</v>
          </cell>
          <cell r="BH689">
            <v>1</v>
          </cell>
        </row>
        <row r="690">
          <cell r="BB690" t="str">
            <v>SC</v>
          </cell>
          <cell r="BC690">
            <v>273923</v>
          </cell>
          <cell r="BE690">
            <v>5.5E-2</v>
          </cell>
          <cell r="BF690">
            <v>4767.5627999999997</v>
          </cell>
          <cell r="BH690">
            <v>1</v>
          </cell>
        </row>
        <row r="691">
          <cell r="BB691" t="str">
            <v>MS</v>
          </cell>
          <cell r="BC691">
            <v>272869</v>
          </cell>
          <cell r="BE691">
            <v>5.5E-2</v>
          </cell>
          <cell r="BF691">
            <v>4767.5627999999997</v>
          </cell>
          <cell r="BH691">
            <v>1</v>
          </cell>
        </row>
        <row r="692">
          <cell r="BB692" t="str">
            <v>FL</v>
          </cell>
          <cell r="BC692">
            <v>272447</v>
          </cell>
          <cell r="BE692">
            <v>5.5E-2</v>
          </cell>
          <cell r="BF692">
            <v>4767.5627999999997</v>
          </cell>
          <cell r="BH692">
            <v>1</v>
          </cell>
        </row>
        <row r="693">
          <cell r="BB693" t="str">
            <v>SC</v>
          </cell>
          <cell r="BC693">
            <v>272194</v>
          </cell>
          <cell r="BE693">
            <v>5.5E-2</v>
          </cell>
          <cell r="BF693">
            <v>4767.5627999999997</v>
          </cell>
          <cell r="BH693">
            <v>1</v>
          </cell>
        </row>
        <row r="694">
          <cell r="BB694" t="str">
            <v>NE</v>
          </cell>
          <cell r="BC694">
            <v>272000</v>
          </cell>
          <cell r="BE694">
            <v>5.5E-2</v>
          </cell>
          <cell r="BF694">
            <v>4767.5627999999997</v>
          </cell>
          <cell r="BH694">
            <v>1</v>
          </cell>
        </row>
        <row r="695">
          <cell r="BB695" t="str">
            <v>IN</v>
          </cell>
          <cell r="BC695">
            <v>271625</v>
          </cell>
          <cell r="BE695">
            <v>5.5E-2</v>
          </cell>
          <cell r="BF695">
            <v>4767.5627999999997</v>
          </cell>
          <cell r="BH695">
            <v>1</v>
          </cell>
        </row>
        <row r="696">
          <cell r="BB696" t="str">
            <v>WI</v>
          </cell>
          <cell r="BC696">
            <v>270837</v>
          </cell>
          <cell r="BE696">
            <v>5.5E-2</v>
          </cell>
          <cell r="BF696">
            <v>4767.5627999999997</v>
          </cell>
          <cell r="BH696">
            <v>1</v>
          </cell>
        </row>
        <row r="697">
          <cell r="BB697" t="str">
            <v>AL</v>
          </cell>
          <cell r="BC697">
            <v>270831</v>
          </cell>
          <cell r="BE697">
            <v>5.5E-2</v>
          </cell>
          <cell r="BF697">
            <v>4767.5627999999997</v>
          </cell>
          <cell r="BH697">
            <v>1</v>
          </cell>
        </row>
        <row r="698">
          <cell r="BB698" t="str">
            <v>NC</v>
          </cell>
          <cell r="BC698">
            <v>270449</v>
          </cell>
          <cell r="BE698">
            <v>5.5E-2</v>
          </cell>
          <cell r="BF698">
            <v>4767.5627999999997</v>
          </cell>
          <cell r="BH698">
            <v>1</v>
          </cell>
        </row>
        <row r="699">
          <cell r="BB699" t="str">
            <v>OH</v>
          </cell>
          <cell r="BC699">
            <v>270135</v>
          </cell>
          <cell r="BE699">
            <v>5.5E-2</v>
          </cell>
          <cell r="BF699">
            <v>4767.5627999999997</v>
          </cell>
          <cell r="BH699">
            <v>1</v>
          </cell>
        </row>
        <row r="700">
          <cell r="BB700" t="str">
            <v>GA</v>
          </cell>
          <cell r="BC700">
            <v>269989</v>
          </cell>
          <cell r="BE700">
            <v>5.5E-2</v>
          </cell>
          <cell r="BF700">
            <v>4767.5627999999997</v>
          </cell>
          <cell r="BH700">
            <v>1</v>
          </cell>
        </row>
        <row r="701">
          <cell r="BB701" t="str">
            <v>OH</v>
          </cell>
          <cell r="BC701">
            <v>269874</v>
          </cell>
          <cell r="BE701">
            <v>5.5E-2</v>
          </cell>
          <cell r="BF701">
            <v>4767.5627999999997</v>
          </cell>
          <cell r="BH701">
            <v>1</v>
          </cell>
        </row>
        <row r="702">
          <cell r="BB702" t="str">
            <v>NE</v>
          </cell>
          <cell r="BC702">
            <v>269636</v>
          </cell>
          <cell r="BE702">
            <v>5.5E-2</v>
          </cell>
          <cell r="BF702">
            <v>4767.5627999999997</v>
          </cell>
          <cell r="BH702">
            <v>1</v>
          </cell>
        </row>
        <row r="703">
          <cell r="BB703" t="str">
            <v>AL</v>
          </cell>
          <cell r="BC703">
            <v>269598</v>
          </cell>
          <cell r="BE703">
            <v>5.5E-2</v>
          </cell>
          <cell r="BF703">
            <v>4767.5627999999997</v>
          </cell>
          <cell r="BH703">
            <v>1</v>
          </cell>
        </row>
        <row r="704">
          <cell r="BB704" t="str">
            <v>IL</v>
          </cell>
          <cell r="BC704">
            <v>269193</v>
          </cell>
          <cell r="BE704">
            <v>5.5E-2</v>
          </cell>
          <cell r="BF704">
            <v>4767.5627999999997</v>
          </cell>
          <cell r="BH704">
            <v>1</v>
          </cell>
        </row>
        <row r="705">
          <cell r="BB705" t="str">
            <v>CO</v>
          </cell>
          <cell r="BC705">
            <v>269039</v>
          </cell>
          <cell r="BE705">
            <v>5.5E-2</v>
          </cell>
          <cell r="BF705">
            <v>4767.5627999999997</v>
          </cell>
          <cell r="BH705">
            <v>1</v>
          </cell>
        </row>
        <row r="706">
          <cell r="BB706" t="str">
            <v>OH</v>
          </cell>
          <cell r="BC706">
            <v>268883</v>
          </cell>
          <cell r="BE706">
            <v>5.5E-2</v>
          </cell>
          <cell r="BF706">
            <v>4767.5627999999997</v>
          </cell>
          <cell r="BH706">
            <v>1</v>
          </cell>
        </row>
      </sheetData>
      <sheetData sheetId="15"/>
      <sheetData sheetId="16"/>
      <sheetData sheetId="17">
        <row r="40">
          <cell r="M40">
            <v>96</v>
          </cell>
        </row>
      </sheetData>
      <sheetData sheetId="18">
        <row r="28">
          <cell r="C28">
            <v>23190135.315836746</v>
          </cell>
        </row>
        <row r="44">
          <cell r="C44">
            <v>447573.79526630434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alation Factors"/>
      <sheetName val="Escalated Summary"/>
      <sheetName val="Escalated O&amp;M"/>
      <sheetName val="A"/>
      <sheetName val="B"/>
      <sheetName val="C"/>
      <sheetName val="D"/>
      <sheetName val="Adj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_FIRST"/>
      <sheetName val="Parameters"/>
      <sheetName val="Simulation"/>
      <sheetName val="Key_Inputs"/>
      <sheetName val="Fin_Resp_Inputs"/>
      <sheetName val="Summ_Output"/>
      <sheetName val="Cost Breakdown 1"/>
      <sheetName val="Res_Bas1"/>
      <sheetName val="Res_CatV1"/>
      <sheetName val="Res_CatP1"/>
      <sheetName val="Res_FRWat1"/>
      <sheetName val="Res_SUStg1"/>
      <sheetName val="Res_Bas"/>
      <sheetName val="Res_CatV"/>
      <sheetName val="Res_CatP"/>
      <sheetName val="Res_FRWat"/>
      <sheetName val="Geol Sal"/>
      <sheetName val="Res_SUStg"/>
      <sheetName val="Geol DB Sal"/>
      <sheetName val="Geol DB Sources"/>
      <sheetName val="Water"/>
      <sheetName val="FinMod_Main"/>
      <sheetName val="FinMod FR Details"/>
      <sheetName val="FR_Lookups"/>
      <sheetName val="Activity_Inputs"/>
      <sheetName val="Surf Eq Cost"/>
      <sheetName val="Back-End_Cost Items"/>
      <sheetName val="Plume&amp;Well Schedule"/>
      <sheetName val="Geo-Activity Interaction"/>
      <sheetName val="Drilling Costs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B1A"/>
      <sheetName val="BFD - Case 4"/>
      <sheetName val="BFD - Case 5"/>
      <sheetName val="BFD - B4A"/>
      <sheetName val="BFD - B4B"/>
      <sheetName val="BFD - B5A"/>
      <sheetName val="BFD - B5B"/>
      <sheetName val="BFD - B5B-Q"/>
      <sheetName val="BFD - Case 6"/>
      <sheetName val="BFD - B1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Coal Handling"/>
      <sheetName val="Coal Prep and Feed - IGCC Slury"/>
      <sheetName val="Coal &amp; Bio Handling"/>
      <sheetName val="Coal Prep and Feed - IGCC Dry"/>
      <sheetName val="Coal &amp; Bio Prep and Feed"/>
      <sheetName val="Feedwater"/>
      <sheetName val="Gasifier"/>
      <sheetName val="Syngas Cleanup - No Capture"/>
      <sheetName val="Syngas Cleanup - Capture"/>
      <sheetName val="CTG"/>
      <sheetName val="Hydrogen Production"/>
      <sheetName val="Stack-HRSG"/>
      <sheetName val="Stack and Off-Gas Fired Boiler"/>
      <sheetName val="STG"/>
      <sheetName val="CWS"/>
      <sheetName val="Slag"/>
      <sheetName val="Electric Plant"/>
      <sheetName val="I&amp;C"/>
      <sheetName val="DataForCostEstimation"/>
      <sheetName val="EnthalpyRef"/>
      <sheetName val="Template Revisions Log"/>
      <sheetName val="Model Revisions Log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Case B31A"/>
      <sheetName val="BFD - Case 1"/>
      <sheetName val="BFD - Case 2"/>
      <sheetName val="BFD - Case 3"/>
      <sheetName val="BFD - Case B31B"/>
      <sheetName val="BFD - Case S31A and L31A"/>
      <sheetName val="BFD - Case S31B and L31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Fuel Prep and Feed"/>
      <sheetName val="Feedwater"/>
      <sheetName val="CTG"/>
      <sheetName val="CO2 Removal"/>
      <sheetName val="HRSG and Stack"/>
      <sheetName val="STG - Wet Cooling"/>
      <sheetName val="STG - Parallel Cooling"/>
      <sheetName val="CWS"/>
      <sheetName val="Electric Plant"/>
      <sheetName val="I&amp;C"/>
      <sheetName val="DataForCostEstimation"/>
      <sheetName val="EnthalpyRef"/>
      <sheetName val="Template Revisions Log"/>
      <sheetName val="Model Revisions Log"/>
      <sheetName val="Reformer &amp; Accessories"/>
      <sheetName val="Syngas Cleanup"/>
      <sheetName val="Hydrogen Produc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User Interface"/>
      <sheetName val="Pipeline Boosting"/>
      <sheetName val="Pipeline Operation"/>
      <sheetName val="Pipeline Pigging"/>
      <sheetName val="Pipeline Construction"/>
      <sheetName val="openLCA results"/>
      <sheetName val="Multivariable Regression"/>
      <sheetName val="Conversions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Factors"/>
      <sheetName val="NewFactorsForSenses"/>
      <sheetName val="NewDE_Chart_XY"/>
      <sheetName val="NewTax_Chart_XY"/>
      <sheetName val="NewInterest_Chart_XY"/>
      <sheetName val="NewROE_Chart_XY"/>
      <sheetName val="NewGroups_Chart"/>
      <sheetName val="FactorsForSenses"/>
      <sheetName val="COESenses"/>
      <sheetName val="COE_Chart1_XY"/>
      <sheetName val="COE_Chart1"/>
      <sheetName val="BSP_Chart2_XY"/>
      <sheetName val="BSP_Chart2"/>
      <sheetName val="BEP_Chart3_XY"/>
      <sheetName val="BEP_Chart3"/>
      <sheetName val="COE Calc"/>
      <sheetName val="SummaryTable"/>
      <sheetName val="Chart Data"/>
      <sheetName val="Sensitivity Analysis"/>
      <sheetName val="Additional Analyses"/>
      <sheetName val="Charts"/>
      <sheetName val="ParityCalculations"/>
      <sheetName val="B1A Cap"/>
      <sheetName val="B1A O&amp;M"/>
      <sheetName val="B1B O&amp;M"/>
      <sheetName val="B4A O&amp;M"/>
      <sheetName val="B4B Cap"/>
      <sheetName val="B4B O&amp;M"/>
      <sheetName val="B5A Cap"/>
      <sheetName val="B5A O&amp;M"/>
      <sheetName val="B5B Cap"/>
      <sheetName val="B5B O&amp;M"/>
      <sheetName val="B5B-Q Cap"/>
      <sheetName val="B5B-Q O&amp;M"/>
      <sheetName val="B11A Cap"/>
      <sheetName val="B11A O&amp;M"/>
      <sheetName val="B11B Cap"/>
      <sheetName val="B11B O&amp;M"/>
      <sheetName val="B12A Cap"/>
      <sheetName val="B12A O&amp;M"/>
      <sheetName val="B12B Cap"/>
      <sheetName val="B12B O&amp;M"/>
      <sheetName val="B31A Cap"/>
      <sheetName val="B31A O&amp;M"/>
      <sheetName val="B31B Cap"/>
      <sheetName val="B31B O&amp;M"/>
      <sheetName val="Case 1 Cap"/>
      <sheetName val="Case 1 O&amp;M"/>
      <sheetName val="Case 2 Cap"/>
      <sheetName val="Case 2 O&amp;M"/>
      <sheetName val="Case 3 Cap"/>
      <sheetName val="Case 3 O&amp;M"/>
      <sheetName val="B4A Cap"/>
      <sheetName val="Case 4 Cap"/>
      <sheetName val="Case 4 O&amp;M"/>
      <sheetName val="Case 5 Cap"/>
      <sheetName val="B1B Cap"/>
      <sheetName val="Case 5 O&amp;M"/>
      <sheetName val="Case 6 Cap"/>
      <sheetName val="Case 6 O&amp;M"/>
      <sheetName val="Case 5 Cap old"/>
      <sheetName val="Case 5 O&amp;M old"/>
      <sheetName val="Raw Cap Data New"/>
      <sheetName val="Raw O&amp;M Data New"/>
      <sheetName val="201.00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Output Interface"/>
      <sheetName val="state coordinates"/>
      <sheetName val="CO2_T_COM cases"/>
      <sheetName val="thickness and steel calcs"/>
      <sheetName val="Model runs to ad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Case B11A and B12A"/>
      <sheetName val="BFD - Case B11B and B12B"/>
      <sheetName val="BFD - Case S12A and L12A"/>
      <sheetName val="BFD - Case S12B and L12B"/>
      <sheetName val="BFD - Case S22A and L22A"/>
      <sheetName val="BFD - Case S22B and L22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Coal Handling - FGD"/>
      <sheetName val="Coal Handling - SDA"/>
      <sheetName val="Coal Handling - IBL"/>
      <sheetName val="Coal Prep and Feed - FGD"/>
      <sheetName val="Coal Prep and Feed - SDA"/>
      <sheetName val="Coal Prep and Feed - IBL"/>
      <sheetName val="Feedwater"/>
      <sheetName val="Boiler - PC"/>
      <sheetName val="Boiler - Oxy PC"/>
      <sheetName val="Boiler - CFB"/>
      <sheetName val="Gas Cleanup - FGD (Capture)"/>
      <sheetName val="Gas Cleanup - FGD (No Capture)"/>
      <sheetName val="Gas Cleanup - SDA (Capture)"/>
      <sheetName val="Gas Cleanup - SDA (No Capture)"/>
      <sheetName val="Gas Cleanup - IBL (Capture)"/>
      <sheetName val="Gas Cleanup - IBL (No Capture)"/>
      <sheetName val="Stack"/>
      <sheetName val="STG - Wet Cooling"/>
      <sheetName val="STG - Parallel Cooling"/>
      <sheetName val="CWS"/>
      <sheetName val="Ash - FGD"/>
      <sheetName val="Ash - IBL"/>
      <sheetName val="Ash - SDA"/>
      <sheetName val="Electric Plant"/>
      <sheetName val="I&amp;C"/>
      <sheetName val="DataForCostEstimation"/>
      <sheetName val="EnthalpyRef"/>
      <sheetName val="Template Revisions Log"/>
      <sheetName val="Model Revisions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_FIRST"/>
      <sheetName val="Main"/>
      <sheetName val="Combo Results"/>
      <sheetName val="Eng Mod"/>
      <sheetName val="Cases"/>
      <sheetName val="Trunkline Scenario Concept"/>
      <sheetName val="HEEI Results Summary"/>
      <sheetName val="HEEI Results Charts"/>
      <sheetName val="Cases_def"/>
      <sheetName val="PL Pressure Relation"/>
      <sheetName val="Cost Indices"/>
      <sheetName val="Pipe Cap"/>
      <sheetName val="Pipe Cap plot"/>
      <sheetName val="Parameters"/>
      <sheetName val="Version"/>
      <sheetName val="CO2_T_COM_v3b_2021_08_16_djm_t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8100-2BF6-478D-B134-43557732E7F3}">
  <sheetPr codeName="Sheet21">
    <tabColor theme="7" tint="0.79998168889431442"/>
  </sheetPr>
  <dimension ref="A1:W3937"/>
  <sheetViews>
    <sheetView showFormulas="1" tabSelected="1" topLeftCell="L1" zoomScale="76" zoomScaleNormal="90" workbookViewId="0">
      <selection activeCell="P25" sqref="P25"/>
    </sheetView>
  </sheetViews>
  <sheetFormatPr defaultColWidth="8.7109375" defaultRowHeight="15" x14ac:dyDescent="0.25"/>
  <cols>
    <col min="1" max="1" width="25" bestFit="1" customWidth="1"/>
    <col min="2" max="2" width="35.140625" customWidth="1"/>
    <col min="3" max="3" width="33.7109375" bestFit="1" customWidth="1"/>
    <col min="4" max="4" width="48" bestFit="1" customWidth="1"/>
    <col min="5" max="5" width="57.140625" bestFit="1" customWidth="1"/>
    <col min="6" max="6" width="46.140625" bestFit="1" customWidth="1"/>
    <col min="7" max="7" width="14.140625" customWidth="1"/>
    <col min="8" max="8" width="20.140625" customWidth="1"/>
    <col min="11" max="11" width="9" customWidth="1"/>
    <col min="12" max="12" width="24" customWidth="1"/>
    <col min="13" max="13" width="11.28515625" customWidth="1"/>
    <col min="14" max="14" width="11" style="5" bestFit="1" customWidth="1"/>
    <col min="15" max="15" width="15" style="5" bestFit="1" customWidth="1"/>
    <col min="16" max="16" width="19.28515625" style="5" bestFit="1" customWidth="1"/>
    <col min="17" max="17" width="15.42578125" style="5" bestFit="1" customWidth="1"/>
    <col min="18" max="18" width="11.42578125" style="5" bestFit="1" customWidth="1"/>
    <col min="19" max="19" width="14.42578125" bestFit="1" customWidth="1"/>
    <col min="20" max="20" width="11.140625" customWidth="1"/>
    <col min="21" max="21" width="22.28515625" customWidth="1"/>
    <col min="22" max="22" width="15" customWidth="1"/>
    <col min="23" max="23" width="13.28515625" bestFit="1" customWidth="1"/>
  </cols>
  <sheetData>
    <row r="1" spans="1:23" s="1" customFormat="1" ht="8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8</v>
      </c>
      <c r="M1" s="1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2" t="s">
        <v>14</v>
      </c>
      <c r="S1" s="1" t="s">
        <v>15</v>
      </c>
      <c r="T1" s="2" t="s">
        <v>11</v>
      </c>
      <c r="U1" s="2" t="s">
        <v>12</v>
      </c>
      <c r="V1" s="2" t="s">
        <v>13</v>
      </c>
      <c r="W1" s="2" t="s">
        <v>14</v>
      </c>
    </row>
    <row r="2" spans="1:23" x14ac:dyDescent="0.25">
      <c r="A2" t="s">
        <v>16</v>
      </c>
      <c r="B2">
        <v>-1.26</v>
      </c>
      <c r="C2">
        <v>1.17762475522534E-4</v>
      </c>
      <c r="D2">
        <v>20.2</v>
      </c>
      <c r="E2">
        <v>1.094E-2</v>
      </c>
      <c r="F2">
        <v>0.5</v>
      </c>
      <c r="G2">
        <v>0.6</v>
      </c>
      <c r="H2">
        <f>B2*(1-G2)*970.2</f>
        <v>-488.98080000000004</v>
      </c>
      <c r="L2" s="4">
        <f>IF('[1]All Data '!BE7="","",'[1]All Data '!BE7)</f>
        <v>5.5E-2</v>
      </c>
      <c r="M2">
        <f>IF('[1]All Data '!BF7="","",'[1]All Data '!BF7)</f>
        <v>4767.5627999999997</v>
      </c>
      <c r="N2" s="5">
        <f>IF('[1]All Data '!BB7="","",'[1]All Data '!BC7/'[1]All Data '!BH7)</f>
        <v>269774.46153846156</v>
      </c>
      <c r="O2" s="5">
        <f>IF(N2="","",M2*N2)</f>
        <v>1286166687.2207999</v>
      </c>
      <c r="P2" s="5">
        <f>IF(M2="","",$C$2*(1-L2)*907.2/0.621371*N2*[1]Transportation!$M$40)</f>
        <v>4207875.3242708743</v>
      </c>
      <c r="Q2" s="5">
        <f>IF(L2="","",IF([1]Inputs_Outputs!$B$5="Herbaceous",(LCA!$E$29*'[1]LOCH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" s="5">
        <f>IF(M2="","",$E$2*1000*'[1]LOCH Calc COE Calc'!$C$44)</f>
        <v>4896457.3202133691</v>
      </c>
      <c r="S2" s="6">
        <f>IF(N2="","",SUM(O2:R2)/('[1]LOCH Calc COE Calc'!$C$28))</f>
        <v>59.064396803831173</v>
      </c>
      <c r="T2">
        <f>IF(L2="","",O2/'[1]LOCH Calc COE Calc'!$C$28)</f>
        <v>55.461801740435099</v>
      </c>
      <c r="U2">
        <f>IF(L2="","",P2/'[1]LOCH Calc COE Calc'!$C$28)</f>
        <v>0.18145108973975152</v>
      </c>
      <c r="V2">
        <f>IF(L2="","",Q2/'[1]LOCH Calc COE Calc'!$C$28)</f>
        <v>3.2100000000000004</v>
      </c>
      <c r="W2">
        <f>IF(L2="","",R2/'[1]LOCH Calc COE Calc'!$C$28)</f>
        <v>0.21114397365631307</v>
      </c>
    </row>
    <row r="3" spans="1:23" x14ac:dyDescent="0.25">
      <c r="A3" t="s">
        <v>17</v>
      </c>
      <c r="B3">
        <v>-1.32</v>
      </c>
      <c r="C3">
        <v>1.17762475522534E-4</v>
      </c>
      <c r="D3">
        <v>20.21</v>
      </c>
      <c r="E3">
        <v>1.094E-2</v>
      </c>
      <c r="F3">
        <v>0.5</v>
      </c>
      <c r="G3">
        <v>0.56999999999999995</v>
      </c>
      <c r="H3">
        <f t="shared" ref="H3:H18" si="0">B3*(1-G3)*970.2</f>
        <v>-550.68552000000011</v>
      </c>
      <c r="L3" s="4">
        <f>IF('[1]All Data '!BE8="","",'[1]All Data '!BE8)</f>
        <v>5.5E-2</v>
      </c>
      <c r="M3">
        <f>IF('[1]All Data '!BF8="","",'[1]All Data '!BF8)</f>
        <v>4767.5627999999997</v>
      </c>
      <c r="N3" s="5">
        <f>IF('[1]All Data '!BB8="","",'[1]All Data '!BC8/'[1]All Data '!BH8)</f>
        <v>281924.16666666669</v>
      </c>
      <c r="O3" s="5">
        <f>IF(N3="","",M3*N3)</f>
        <v>1344091169.421</v>
      </c>
      <c r="P3" s="5">
        <f>IF(M3="","",$C$2*(1-L3)*907.2/0.621371*N3*[1]Transportation!$M$40)</f>
        <v>4397383.4197169393</v>
      </c>
      <c r="Q3" s="5">
        <f>IF(L3="","",IF([1]Inputs_Outputs!$B$5="Herbaceous",(LCA!$E$29*'[1]LOCH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" s="5">
        <f>IF(M3="","",$E$2*1000*'[1]LOCH Calc COE Calc'!$C$44)</f>
        <v>4896457.3202133691</v>
      </c>
      <c r="S3" s="6">
        <f>IF(N3="","",SUM(O3:R3)/('[1]LOCH Calc COE Calc'!$C$28))</f>
        <v>61.570375725651409</v>
      </c>
      <c r="T3">
        <f>IF(L3="","",O3/'[1]LOCH Calc COE Calc'!$C$28)</f>
        <v>57.959608735146467</v>
      </c>
      <c r="U3">
        <f>IF(L3="","",P3/'[1]LOCH Calc COE Calc'!$C$28)</f>
        <v>0.18962301684863078</v>
      </c>
      <c r="V3">
        <f>IF(L3="","",Q3/'[1]LOCH Calc COE Calc'!$C$28)</f>
        <v>3.2100000000000004</v>
      </c>
      <c r="W3">
        <f>IF(L3="","",R3/'[1]LOCH Calc COE Calc'!$C$28)</f>
        <v>0.21114397365631307</v>
      </c>
    </row>
    <row r="4" spans="1:23" x14ac:dyDescent="0.25">
      <c r="A4" t="s">
        <v>18</v>
      </c>
      <c r="B4" s="7">
        <v>-1.33</v>
      </c>
      <c r="C4">
        <v>1.17762475522534E-4</v>
      </c>
      <c r="D4">
        <v>20.22</v>
      </c>
      <c r="E4">
        <v>1.094E-2</v>
      </c>
      <c r="F4">
        <v>0.5</v>
      </c>
      <c r="G4">
        <v>0.45</v>
      </c>
      <c r="H4">
        <f t="shared" si="0"/>
        <v>-709.70130000000017</v>
      </c>
      <c r="L4" s="4">
        <f>IF('[1]All Data '!BE9="","",'[1]All Data '!BE9)</f>
        <v>5.5E-2</v>
      </c>
      <c r="M4">
        <f>IF('[1]All Data '!BF9="","",'[1]All Data '!BF9)</f>
        <v>4767.5627999999997</v>
      </c>
      <c r="N4" s="5">
        <f>IF('[1]All Data '!BB9="","",'[1]All Data '!BC9/'[1]All Data '!BH9)</f>
        <v>279334.75</v>
      </c>
      <c r="O4" s="5">
        <f t="shared" ref="O4:O67" si="1">IF(N4="","",M4*N4)</f>
        <v>1331745962.8472998</v>
      </c>
      <c r="P4" s="5">
        <f>IF(M4="","",$C$2*(1-L4)*907.2/0.621371*N4*[1]Transportation!$M$40)</f>
        <v>4356994.3390241805</v>
      </c>
      <c r="Q4" s="5">
        <f>IF(L4="","",IF([1]Inputs_Outputs!$B$5="Herbaceous",(LCA!$E$29*'[1]LOCH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" s="5">
        <f>IF(M4="","",$E$2*1000*'[1]LOCH Calc COE Calc'!$C$44)</f>
        <v>4896457.3202133691</v>
      </c>
      <c r="S4" s="6">
        <f>IF(N4="","",SUM(O4:R4)/('[1]LOCH Calc COE Calc'!$C$28))</f>
        <v>61.036286748346704</v>
      </c>
      <c r="T4">
        <f>IF(L4="","",O4/'[1]LOCH Calc COE Calc'!$C$28)</f>
        <v>57.427261407044867</v>
      </c>
      <c r="U4">
        <f>IF(L4="","",P4/'[1]LOCH Calc COE Calc'!$C$28)</f>
        <v>0.18788136764552429</v>
      </c>
      <c r="V4">
        <f>IF(L4="","",Q4/'[1]LOCH Calc COE Calc'!$C$28)</f>
        <v>3.2100000000000004</v>
      </c>
      <c r="W4">
        <f>IF(L4="","",R4/'[1]LOCH Calc COE Calc'!$C$28)</f>
        <v>0.21114397365631307</v>
      </c>
    </row>
    <row r="5" spans="1:23" x14ac:dyDescent="0.25">
      <c r="A5" t="s">
        <v>19</v>
      </c>
      <c r="B5" s="7">
        <v>-1.33</v>
      </c>
      <c r="C5">
        <v>1.17762475522534E-4</v>
      </c>
      <c r="D5">
        <v>20.22</v>
      </c>
      <c r="E5">
        <v>1.094E-2</v>
      </c>
      <c r="G5">
        <v>0.45</v>
      </c>
      <c r="H5">
        <f t="shared" si="0"/>
        <v>-709.70130000000017</v>
      </c>
      <c r="L5" s="4">
        <f>IF('[1]All Data '!BE10="","",'[1]All Data '!BE10)</f>
        <v>5.5E-2</v>
      </c>
      <c r="M5">
        <f>IF('[1]All Data '!BF10="","",'[1]All Data '!BF10)</f>
        <v>4767.5627999999997</v>
      </c>
      <c r="N5" s="5">
        <f>IF('[1]All Data '!BB10="","",'[1]All Data '!BC10/'[1]All Data '!BH10)</f>
        <v>277684.33333333331</v>
      </c>
      <c r="O5" s="5">
        <f t="shared" si="1"/>
        <v>1323877497.7427998</v>
      </c>
      <c r="P5" s="5">
        <f>IF(M5="","",$C$2*(1-L5)*907.2/0.621371*N5*[1]Transportation!$M$40)</f>
        <v>4331251.5480764089</v>
      </c>
      <c r="Q5" s="5">
        <f>IF(L5="","",IF([1]Inputs_Outputs!$B$5="Herbaceous",(LCA!$E$29*'[1]LOCH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" s="5">
        <f>IF(M5="","",$E$2*1000*'[1]LOCH Calc COE Calc'!$C$44)</f>
        <v>4896457.3202133691</v>
      </c>
      <c r="S5" s="6">
        <f>IF(N5="","",SUM(O5:R5)/('[1]LOCH Calc COE Calc'!$C$28))</f>
        <v>60.695874422677491</v>
      </c>
      <c r="T5">
        <f>IF(L5="","",O5/'[1]LOCH Calc COE Calc'!$C$28)</f>
        <v>57.087959156439773</v>
      </c>
      <c r="U5">
        <f>IF(L5="","",P5/'[1]LOCH Calc COE Calc'!$C$28)</f>
        <v>0.18677129258140029</v>
      </c>
      <c r="V5">
        <f>IF(L5="","",Q5/'[1]LOCH Calc COE Calc'!$C$28)</f>
        <v>3.2100000000000004</v>
      </c>
      <c r="W5">
        <f>IF(L5="","",R5/'[1]LOCH Calc COE Calc'!$C$28)</f>
        <v>0.21114397365631307</v>
      </c>
    </row>
    <row r="6" spans="1:23" x14ac:dyDescent="0.25">
      <c r="A6" t="s">
        <v>20</v>
      </c>
      <c r="B6" s="7">
        <v>-1.33</v>
      </c>
      <c r="C6">
        <v>1.17762475522534E-4</v>
      </c>
      <c r="D6">
        <v>20.22</v>
      </c>
      <c r="E6">
        <v>1.094E-2</v>
      </c>
      <c r="G6">
        <v>0.45</v>
      </c>
      <c r="H6">
        <f t="shared" si="0"/>
        <v>-709.70130000000017</v>
      </c>
      <c r="L6" s="4">
        <f>IF('[1]All Data '!BE11="","",'[1]All Data '!BE11)</f>
        <v>5.5000000000000007E-2</v>
      </c>
      <c r="M6">
        <f>IF('[1]All Data '!BF11="","",'[1]All Data '!BF11)</f>
        <v>4767.5627999999997</v>
      </c>
      <c r="N6" s="5">
        <f>IF('[1]All Data '!BB11="","",'[1]All Data '!BC11/'[1]All Data '!BH11)</f>
        <v>273463.45454545453</v>
      </c>
      <c r="O6" s="5">
        <f t="shared" si="1"/>
        <v>1303754193.0503998</v>
      </c>
      <c r="P6" s="5">
        <f>IF(M6="","",$C$2*(1-L6)*907.2/0.621371*N6*[1]Transportation!$M$40)</f>
        <v>4265415.3247476071</v>
      </c>
      <c r="Q6" s="5">
        <f>IF(L6="","",IF([1]Inputs_Outputs!$B$5="Herbaceous",(LCA!$E$29*'[1]LOCH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" s="5">
        <f>IF(M6="","",$E$2*1000*'[1]LOCH Calc COE Calc'!$C$44)</f>
        <v>4896457.3202133691</v>
      </c>
      <c r="S6" s="6">
        <f>IF(N6="","",SUM(O6:R6)/('[1]LOCH Calc COE Calc'!$C$28))</f>
        <v>59.825282654205076</v>
      </c>
      <c r="T6">
        <f>IF(L6="","",O6/'[1]LOCH Calc COE Calc'!$C$28)</f>
        <v>56.220206363352034</v>
      </c>
      <c r="U6">
        <f>IF(L6="","",P6/'[1]LOCH Calc COE Calc'!$C$28)</f>
        <v>0.18393231719673139</v>
      </c>
      <c r="V6">
        <f>IF(L6="","",Q6/'[1]LOCH Calc COE Calc'!$C$28)</f>
        <v>3.2100000000000004</v>
      </c>
      <c r="W6">
        <f>IF(L6="","",R6/'[1]LOCH Calc COE Calc'!$C$28)</f>
        <v>0.21114397365631307</v>
      </c>
    </row>
    <row r="7" spans="1:23" x14ac:dyDescent="0.25">
      <c r="A7" t="s">
        <v>21</v>
      </c>
      <c r="B7" s="7">
        <v>-1.33</v>
      </c>
      <c r="C7">
        <v>1.17762475522534E-4</v>
      </c>
      <c r="D7">
        <v>20.22</v>
      </c>
      <c r="E7">
        <v>1.094E-2</v>
      </c>
      <c r="G7">
        <v>0.45</v>
      </c>
      <c r="H7">
        <f t="shared" si="0"/>
        <v>-709.70130000000017</v>
      </c>
      <c r="L7" s="4">
        <f>IF('[1]All Data '!BE12="","",'[1]All Data '!BE12)</f>
        <v>5.5000000000000007E-2</v>
      </c>
      <c r="M7">
        <f>IF('[1]All Data '!BF12="","",'[1]All Data '!BF12)</f>
        <v>4767.5627999999997</v>
      </c>
      <c r="N7" s="5">
        <f>IF('[1]All Data '!BB12="","",'[1]All Data '!BC12/'[1]All Data '!BH12)</f>
        <v>273411.90000000002</v>
      </c>
      <c r="O7" s="5">
        <f t="shared" si="1"/>
        <v>1303508403.5173199</v>
      </c>
      <c r="P7" s="5">
        <f>IF(M7="","",$C$2*(1-L7)*907.2/0.621371*N7*[1]Transportation!$M$40)</f>
        <v>4264611.1896992596</v>
      </c>
      <c r="Q7" s="5">
        <f>IF(L7="","",IF([1]Inputs_Outputs!$B$5="Herbaceous",(LCA!$E$29*'[1]LOCH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" s="5">
        <f>IF(M7="","",$E$2*1000*'[1]LOCH Calc COE Calc'!$C$44)</f>
        <v>4896457.3202133691</v>
      </c>
      <c r="S7" s="6">
        <f>IF(N7="","",SUM(O7:R7)/('[1]LOCH Calc COE Calc'!$C$28))</f>
        <v>59.814649095376303</v>
      </c>
      <c r="T7">
        <f>IF(L7="","",O7/'[1]LOCH Calc COE Calc'!$C$28)</f>
        <v>56.209607480260914</v>
      </c>
      <c r="U7">
        <f>IF(L7="","",P7/'[1]LOCH Calc COE Calc'!$C$28)</f>
        <v>0.18389764145907847</v>
      </c>
      <c r="V7">
        <f>IF(L7="","",Q7/'[1]LOCH Calc COE Calc'!$C$28)</f>
        <v>3.2100000000000004</v>
      </c>
      <c r="W7">
        <f>IF(L7="","",R7/'[1]LOCH Calc COE Calc'!$C$28)</f>
        <v>0.21114397365631307</v>
      </c>
    </row>
    <row r="8" spans="1:23" x14ac:dyDescent="0.25">
      <c r="A8" t="s">
        <v>22</v>
      </c>
      <c r="B8" s="7">
        <v>-1.04</v>
      </c>
      <c r="C8">
        <v>1.17762475522534E-4</v>
      </c>
      <c r="D8">
        <v>20.2</v>
      </c>
      <c r="E8">
        <v>1.094E-2</v>
      </c>
      <c r="F8">
        <v>0.54300000000000004</v>
      </c>
      <c r="G8">
        <v>0.54300000000000004</v>
      </c>
      <c r="H8">
        <f t="shared" si="0"/>
        <v>-461.11665599999998</v>
      </c>
      <c r="L8" s="4">
        <f>IF('[1]All Data '!BE13="","",'[1]All Data '!BE13)</f>
        <v>5.5E-2</v>
      </c>
      <c r="M8">
        <f>IF('[1]All Data '!BF13="","",'[1]All Data '!BF13)</f>
        <v>4767.5627999999997</v>
      </c>
      <c r="N8" s="5">
        <f>IF('[1]All Data '!BB13="","",'[1]All Data '!BC13/'[1]All Data '!BH13)</f>
        <v>298009.77777777775</v>
      </c>
      <c r="O8" s="5">
        <f t="shared" si="1"/>
        <v>1420780330.5695999</v>
      </c>
      <c r="P8" s="5">
        <f>IF(M8="","",$C$2*(1-L8)*907.2/0.621371*N8*[1]Transportation!$M$40)</f>
        <v>4648282.8031658484</v>
      </c>
      <c r="Q8" s="5">
        <f>IF(L8="","",IF([1]Inputs_Outputs!$B$5="Herbaceous",(LCA!$E$29*'[1]LOCH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" s="5">
        <f>IF(M8="","",$E$2*1000*'[1]LOCH Calc COE Calc'!$C$44)</f>
        <v>4896457.3202133691</v>
      </c>
      <c r="S8" s="6">
        <f>IF(N8="","",SUM(O8:R8)/('[1]LOCH Calc COE Calc'!$C$28))</f>
        <v>64.888168376887293</v>
      </c>
      <c r="T8">
        <f>IF(L8="","",O8/'[1]LOCH Calc COE Calc'!$C$28)</f>
        <v>61.266582157428658</v>
      </c>
      <c r="U8">
        <f>IF(L8="","",P8/'[1]LOCH Calc COE Calc'!$C$28)</f>
        <v>0.20044224580231298</v>
      </c>
      <c r="V8">
        <f>IF(L8="","",Q8/'[1]LOCH Calc COE Calc'!$C$28)</f>
        <v>3.2100000000000004</v>
      </c>
      <c r="W8">
        <f>IF(L8="","",R8/'[1]LOCH Calc COE Calc'!$C$28)</f>
        <v>0.21114397365631307</v>
      </c>
    </row>
    <row r="9" spans="1:23" x14ac:dyDescent="0.25">
      <c r="A9" t="s">
        <v>23</v>
      </c>
      <c r="B9" s="8">
        <v>-2.0299999999999998</v>
      </c>
      <c r="C9">
        <v>1.17762475522534E-4</v>
      </c>
      <c r="D9">
        <v>20.2</v>
      </c>
      <c r="E9">
        <v>1.094E-2</v>
      </c>
      <c r="G9">
        <v>0.3</v>
      </c>
      <c r="H9">
        <f t="shared" si="0"/>
        <v>-1378.6541999999999</v>
      </c>
      <c r="L9" s="4">
        <f>IF('[1]All Data '!BE14="","",'[1]All Data '!BE14)</f>
        <v>5.4999999999999993E-2</v>
      </c>
      <c r="M9">
        <f>IF('[1]All Data '!BF14="","",'[1]All Data '!BF14)</f>
        <v>4767.5627999999997</v>
      </c>
      <c r="N9" s="5">
        <f>IF('[1]All Data '!BB14="","",'[1]All Data '!BC14/'[1]All Data '!BH14)</f>
        <v>285370.55555555556</v>
      </c>
      <c r="O9" s="5">
        <f t="shared" si="1"/>
        <v>1360522044.882</v>
      </c>
      <c r="P9" s="5">
        <f>IF(M9="","",$C$2*(1-L9)*907.2/0.621371*N9*[1]Transportation!$M$40)</f>
        <v>4451139.3411658984</v>
      </c>
      <c r="Q9" s="5">
        <f>IF(L9="","",IF([1]Inputs_Outputs!$B$5="Herbaceous",(LCA!$E$29*'[1]LOCH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" s="5">
        <f>IF(M9="","",$E$2*1000*'[1]LOCH Calc COE Calc'!$C$44)</f>
        <v>4896457.3202133691</v>
      </c>
      <c r="S9" s="6">
        <f>IF(N9="","",SUM(O9:R9)/('[1]LOCH Calc COE Calc'!$C$28))</f>
        <v>62.281222435165489</v>
      </c>
      <c r="T9">
        <f>IF(L9="","",O9/'[1]LOCH Calc COE Calc'!$C$28)</f>
        <v>58.668137393441064</v>
      </c>
      <c r="U9">
        <f>IF(L9="","",P9/'[1]LOCH Calc COE Calc'!$C$28)</f>
        <v>0.19194106806811845</v>
      </c>
      <c r="V9">
        <f>IF(L9="","",Q9/'[1]LOCH Calc COE Calc'!$C$28)</f>
        <v>3.2100000000000004</v>
      </c>
      <c r="W9">
        <f>IF(L9="","",R9/'[1]LOCH Calc COE Calc'!$C$28)</f>
        <v>0.21114397365631307</v>
      </c>
    </row>
    <row r="10" spans="1:23" x14ac:dyDescent="0.25">
      <c r="A10" t="s">
        <v>24</v>
      </c>
      <c r="B10" s="8">
        <v>-2.0299999999999998</v>
      </c>
      <c r="C10">
        <v>1.17762475522534E-4</v>
      </c>
      <c r="D10">
        <v>20.2</v>
      </c>
      <c r="E10">
        <v>1.094E-2</v>
      </c>
      <c r="F10">
        <v>0.4</v>
      </c>
      <c r="G10">
        <v>0.25</v>
      </c>
      <c r="H10">
        <f t="shared" si="0"/>
        <v>-1477.1295</v>
      </c>
      <c r="L10" s="4">
        <f>IF('[1]All Data '!BE15="","",'[1]All Data '!BE15)</f>
        <v>5.4999999999999993E-2</v>
      </c>
      <c r="M10">
        <f>IF('[1]All Data '!BF15="","",'[1]All Data '!BF15)</f>
        <v>4767.5627999999997</v>
      </c>
      <c r="N10" s="5">
        <f>IF('[1]All Data '!BB15="","",'[1]All Data '!BC15/'[1]All Data '!BH15)</f>
        <v>281153.88888888888</v>
      </c>
      <c r="O10" s="5">
        <f t="shared" si="1"/>
        <v>1340418821.7419999</v>
      </c>
      <c r="P10" s="5">
        <f>IF(M10="","",$C$2*(1-L10)*907.2/0.621371*N10*[1]Transportation!$M$40)</f>
        <v>4385368.8174619246</v>
      </c>
      <c r="Q10" s="5">
        <f>IF(L10="","",IF([1]Inputs_Outputs!$B$5="Herbaceous",(LCA!$E$29*'[1]LOCH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" s="5">
        <f>IF(M10="","",$E$2*1000*'[1]LOCH Calc COE Calc'!$C$44)</f>
        <v>4896457.3202133691</v>
      </c>
      <c r="S10" s="6">
        <f>IF(N10="","",SUM(O10:R10)/('[1]LOCH Calc COE Calc'!$C$28))</f>
        <v>61.411499452137861</v>
      </c>
      <c r="T10">
        <f>IF(L10="","",O10/'[1]LOCH Calc COE Calc'!$C$28)</f>
        <v>57.801250552713078</v>
      </c>
      <c r="U10">
        <f>IF(L10="","",P10/'[1]LOCH Calc COE Calc'!$C$28)</f>
        <v>0.18910492576846319</v>
      </c>
      <c r="V10">
        <f>IF(L10="","",Q10/'[1]LOCH Calc COE Calc'!$C$28)</f>
        <v>3.2100000000000004</v>
      </c>
      <c r="W10">
        <f>IF(L10="","",R10/'[1]LOCH Calc COE Calc'!$C$28)</f>
        <v>0.21114397365631307</v>
      </c>
    </row>
    <row r="11" spans="1:23" x14ac:dyDescent="0.25">
      <c r="A11" t="s">
        <v>25</v>
      </c>
      <c r="B11" s="8">
        <v>-2.0299999999999998</v>
      </c>
      <c r="C11">
        <v>1.17762475522534E-4</v>
      </c>
      <c r="D11">
        <v>20.29</v>
      </c>
      <c r="E11">
        <v>1.094E-2</v>
      </c>
      <c r="F11">
        <v>0.15</v>
      </c>
      <c r="G11">
        <v>0.2</v>
      </c>
      <c r="H11">
        <f t="shared" si="0"/>
        <v>-1575.6048000000001</v>
      </c>
      <c r="L11" s="4">
        <f>IF('[1]All Data '!BE16="","",'[1]All Data '!BE16)</f>
        <v>5.5E-2</v>
      </c>
      <c r="M11">
        <f>IF('[1]All Data '!BF16="","",'[1]All Data '!BF16)</f>
        <v>4767.5627999999997</v>
      </c>
      <c r="N11" s="5">
        <f>IF('[1]All Data '!BB16="","",'[1]All Data '!BC16/'[1]All Data '!BH16)</f>
        <v>273692.11111111112</v>
      </c>
      <c r="O11" s="5">
        <f t="shared" si="1"/>
        <v>1304844327.5867999</v>
      </c>
      <c r="P11" s="5">
        <f>IF(M11="","",$C$2*(1-L11)*907.2/0.621371*N11*[1]Transportation!$M$40)</f>
        <v>4268981.8533021342</v>
      </c>
      <c r="Q11" s="5">
        <f>IF(L11="","",IF([1]Inputs_Outputs!$B$5="Herbaceous",(LCA!$E$29*'[1]LOCH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" s="5">
        <f>IF(M11="","",$E$2*1000*'[1]LOCH Calc COE Calc'!$C$44)</f>
        <v>4896457.3202133691</v>
      </c>
      <c r="S11" s="6">
        <f>IF(N11="","",SUM(O11:R11)/('[1]LOCH Calc COE Calc'!$C$28))</f>
        <v>59.872444995004699</v>
      </c>
      <c r="T11">
        <f>IF(L11="","",O11/'[1]LOCH Calc COE Calc'!$C$28)</f>
        <v>56.267214909078611</v>
      </c>
      <c r="U11">
        <f>IF(L11="","",P11/'[1]LOCH Calc COE Calc'!$C$28)</f>
        <v>0.18408611226976365</v>
      </c>
      <c r="V11">
        <f>IF(L11="","",Q11/'[1]LOCH Calc COE Calc'!$C$28)</f>
        <v>3.2100000000000004</v>
      </c>
      <c r="W11">
        <f>IF(L11="","",R11/'[1]LOCH Calc COE Calc'!$C$28)</f>
        <v>0.21114397365631307</v>
      </c>
    </row>
    <row r="12" spans="1:23" x14ac:dyDescent="0.25">
      <c r="A12" t="s">
        <v>26</v>
      </c>
      <c r="B12" s="8">
        <v>-2.0299999999999998</v>
      </c>
      <c r="C12">
        <v>1.17762475522534E-4</v>
      </c>
      <c r="D12">
        <v>20.29</v>
      </c>
      <c r="E12">
        <v>1.094E-2</v>
      </c>
      <c r="G12">
        <v>0.15</v>
      </c>
      <c r="H12">
        <f t="shared" si="0"/>
        <v>-1674.0800999999999</v>
      </c>
      <c r="L12" s="4">
        <f>IF('[1]All Data '!BE17="","",'[1]All Data '!BE17)</f>
        <v>5.4999999999999993E-2</v>
      </c>
      <c r="M12">
        <f>IF('[1]All Data '!BF17="","",'[1]All Data '!BF17)</f>
        <v>4767.5627999999997</v>
      </c>
      <c r="N12" s="5">
        <f>IF('[1]All Data '!BB17="","",'[1]All Data '!BC17/'[1]All Data '!BH17)</f>
        <v>269857.11111111112</v>
      </c>
      <c r="O12" s="5">
        <f t="shared" si="1"/>
        <v>1286560724.2488</v>
      </c>
      <c r="P12" s="5">
        <f>IF(M12="","",$C$2*(1-L12)*907.2/0.621371*N12*[1]Transportation!$M$40)</f>
        <v>4209164.4718622742</v>
      </c>
      <c r="Q12" s="5">
        <f>IF(L12="","",IF([1]Inputs_Outputs!$B$5="Herbaceous",(LCA!$E$29*'[1]LOCH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" s="5">
        <f>IF(M12="","",$E$2*1000*'[1]LOCH Calc COE Calc'!$C$44)</f>
        <v>4896457.3202133691</v>
      </c>
      <c r="S12" s="6">
        <f>IF(N12="","",SUM(O12:R12)/('[1]LOCH Calc COE Calc'!$C$28))</f>
        <v>59.081443973681942</v>
      </c>
      <c r="T12">
        <f>IF(L12="","",O12/'[1]LOCH Calc COE Calc'!$C$28)</f>
        <v>55.478793319942227</v>
      </c>
      <c r="U12">
        <f>IF(L12="","",P12/'[1]LOCH Calc COE Calc'!$C$28)</f>
        <v>0.18150668008339732</v>
      </c>
      <c r="V12">
        <f>IF(L12="","",Q12/'[1]LOCH Calc COE Calc'!$C$28)</f>
        <v>3.2100000000000004</v>
      </c>
      <c r="W12">
        <f>IF(L12="","",R12/'[1]LOCH Calc COE Calc'!$C$28)</f>
        <v>0.21114397365631307</v>
      </c>
    </row>
    <row r="13" spans="1:23" x14ac:dyDescent="0.25">
      <c r="A13" t="s">
        <v>27</v>
      </c>
      <c r="B13" s="8">
        <v>-2.0299999999999998</v>
      </c>
      <c r="C13">
        <v>1.17762475522534E-4</v>
      </c>
      <c r="D13">
        <v>20.29</v>
      </c>
      <c r="E13">
        <v>1.094E-2</v>
      </c>
      <c r="G13">
        <v>0.15</v>
      </c>
      <c r="H13">
        <f t="shared" si="0"/>
        <v>-1674.0800999999999</v>
      </c>
      <c r="L13" s="4">
        <f>IF('[1]All Data '!BE18="","",'[1]All Data '!BE18)</f>
        <v>5.5E-2</v>
      </c>
      <c r="M13">
        <f>IF('[1]All Data '!BF18="","",'[1]All Data '!BF18)</f>
        <v>4767.5627999999997</v>
      </c>
      <c r="N13" s="5">
        <f>IF('[1]All Data '!BB18="","",'[1]All Data '!BC18/'[1]All Data '!BH18)</f>
        <v>296038.125</v>
      </c>
      <c r="O13" s="5">
        <f t="shared" si="1"/>
        <v>1411380352.1317499</v>
      </c>
      <c r="P13" s="5">
        <f>IF(M13="","",$C$2*(1-L13)*907.2/0.621371*N13*[1]Transportation!$M$40)</f>
        <v>4617529.4508124487</v>
      </c>
      <c r="Q13" s="5">
        <f>IF(L13="","",IF([1]Inputs_Outputs!$B$5="Herbaceous",(LCA!$E$29*'[1]LOCH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" s="5">
        <f>IF(M13="","",$E$2*1000*'[1]LOCH Calc COE Calc'!$C$44)</f>
        <v>4896457.3202133691</v>
      </c>
      <c r="S13" s="6">
        <f>IF(N13="","",SUM(O13:R13)/('[1]LOCH Calc COE Calc'!$C$28))</f>
        <v>64.481498400116465</v>
      </c>
      <c r="T13">
        <f>IF(L13="","",O13/'[1]LOCH Calc COE Calc'!$C$28)</f>
        <v>60.861238320067322</v>
      </c>
      <c r="U13">
        <f>IF(L13="","",P13/'[1]LOCH Calc COE Calc'!$C$28)</f>
        <v>0.19911610639283753</v>
      </c>
      <c r="V13">
        <f>IF(L13="","",Q13/'[1]LOCH Calc COE Calc'!$C$28)</f>
        <v>3.2100000000000004</v>
      </c>
      <c r="W13">
        <f>IF(L13="","",R13/'[1]LOCH Calc COE Calc'!$C$28)</f>
        <v>0.21114397365631307</v>
      </c>
    </row>
    <row r="14" spans="1:23" x14ac:dyDescent="0.25">
      <c r="A14" t="s">
        <v>28</v>
      </c>
      <c r="B14">
        <v>-0.44</v>
      </c>
      <c r="C14">
        <v>1.17762475522534E-4</v>
      </c>
      <c r="D14">
        <v>20.2</v>
      </c>
      <c r="E14">
        <v>1.094E-2</v>
      </c>
      <c r="F14">
        <v>0.7</v>
      </c>
      <c r="G14">
        <v>0.4</v>
      </c>
      <c r="H14">
        <f t="shared" si="0"/>
        <v>-256.13280000000003</v>
      </c>
      <c r="L14" s="4">
        <f>IF('[1]All Data '!BE19="","",'[1]All Data '!BE19)</f>
        <v>5.5E-2</v>
      </c>
      <c r="M14">
        <f>IF('[1]All Data '!BF19="","",'[1]All Data '!BF19)</f>
        <v>4767.5627999999997</v>
      </c>
      <c r="N14" s="5">
        <f>IF('[1]All Data '!BB19="","",'[1]All Data '!BC19/'[1]All Data '!BH19)</f>
        <v>294851.28571428574</v>
      </c>
      <c r="O14" s="5">
        <f t="shared" si="1"/>
        <v>1405722021.3036001</v>
      </c>
      <c r="P14" s="5">
        <f>IF(M14="","",$C$2*(1-L14)*907.2/0.621371*N14*[1]Transportation!$M$40)</f>
        <v>4599017.4251901852</v>
      </c>
      <c r="Q14" s="5">
        <f>IF(L14="","",IF([1]Inputs_Outputs!$B$5="Herbaceous",(LCA!$E$29*'[1]LOCH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" s="5">
        <f>IF(M14="","",$E$2*1000*'[1]LOCH Calc COE Calc'!$C$44)</f>
        <v>4896457.3202133691</v>
      </c>
      <c r="S14" s="6">
        <f>IF(N14="","",SUM(O14:R14)/('[1]LOCH Calc COE Calc'!$C$28))</f>
        <v>64.236702810247905</v>
      </c>
      <c r="T14">
        <f>IF(L14="","",O14/'[1]LOCH Calc COE Calc'!$C$28)</f>
        <v>60.617241001764235</v>
      </c>
      <c r="U14">
        <f>IF(L14="","",P14/'[1]LOCH Calc COE Calc'!$C$28)</f>
        <v>0.19831783482735765</v>
      </c>
      <c r="V14">
        <f>IF(L14="","",Q14/'[1]LOCH Calc COE Calc'!$C$28)</f>
        <v>3.2100000000000004</v>
      </c>
      <c r="W14">
        <f>IF(L14="","",R14/'[1]LOCH Calc COE Calc'!$C$28)</f>
        <v>0.21114397365631307</v>
      </c>
    </row>
    <row r="15" spans="1:23" x14ac:dyDescent="0.25">
      <c r="A15" t="s">
        <v>29</v>
      </c>
      <c r="B15" s="8">
        <v>-2.0299999999999998</v>
      </c>
      <c r="C15">
        <v>1.17762475522534E-4</v>
      </c>
      <c r="D15">
        <v>20.2</v>
      </c>
      <c r="E15">
        <v>1.094E-2</v>
      </c>
      <c r="G15">
        <v>0.15</v>
      </c>
      <c r="H15">
        <f t="shared" si="0"/>
        <v>-1674.0800999999999</v>
      </c>
      <c r="L15" s="4">
        <f>IF('[1]All Data '!BE20="","",'[1]All Data '!BE20)</f>
        <v>5.5E-2</v>
      </c>
      <c r="M15">
        <f>IF('[1]All Data '!BF20="","",'[1]All Data '!BF20)</f>
        <v>4767.5627999999997</v>
      </c>
      <c r="N15" s="5">
        <f>IF('[1]All Data '!BB20="","",'[1]All Data '!BC20/'[1]All Data '!BH20)</f>
        <v>292725.85714285716</v>
      </c>
      <c r="O15" s="5">
        <f t="shared" si="1"/>
        <v>1395588907.1124001</v>
      </c>
      <c r="P15" s="5">
        <f>IF(M15="","",$C$2*(1-L15)*907.2/0.621371*N15*[1]Transportation!$M$40)</f>
        <v>4565865.5160427745</v>
      </c>
      <c r="Q15" s="5">
        <f>IF(L15="","",IF([1]Inputs_Outputs!$B$5="Herbaceous",(LCA!$E$29*'[1]LOCH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" s="5">
        <f>IF(M15="","",$E$2*1000*'[1]LOCH Calc COE Calc'!$C$44)</f>
        <v>4896457.3202133691</v>
      </c>
      <c r="S15" s="6">
        <f>IF(N15="","",SUM(O15:R15)/('[1]LOCH Calc COE Calc'!$C$28))</f>
        <v>63.79831528202142</v>
      </c>
      <c r="T15">
        <f>IF(L15="","",O15/'[1]LOCH Calc COE Calc'!$C$28)</f>
        <v>60.180283042994589</v>
      </c>
      <c r="U15">
        <f>IF(L15="","",P15/'[1]LOCH Calc COE Calc'!$C$28)</f>
        <v>0.19688826537052179</v>
      </c>
      <c r="V15">
        <f>IF(L15="","",Q15/'[1]LOCH Calc COE Calc'!$C$28)</f>
        <v>3.2100000000000004</v>
      </c>
      <c r="W15">
        <f>IF(L15="","",R15/'[1]LOCH Calc COE Calc'!$C$28)</f>
        <v>0.21114397365631307</v>
      </c>
    </row>
    <row r="16" spans="1:23" x14ac:dyDescent="0.25">
      <c r="A16" t="s">
        <v>30</v>
      </c>
      <c r="B16" s="8">
        <v>-2.0299999999999998</v>
      </c>
      <c r="C16">
        <v>1.17762475522534E-4</v>
      </c>
      <c r="D16">
        <v>20.2</v>
      </c>
      <c r="E16">
        <v>1.094E-2</v>
      </c>
      <c r="G16">
        <v>0.18</v>
      </c>
      <c r="H16">
        <f t="shared" si="0"/>
        <v>-1614.9949199999999</v>
      </c>
      <c r="L16" s="4">
        <f>IF('[1]All Data '!BE21="","",'[1]All Data '!BE21)</f>
        <v>5.5E-2</v>
      </c>
      <c r="M16">
        <f>IF('[1]All Data '!BF21="","",'[1]All Data '!BF21)</f>
        <v>4767.5627999999997</v>
      </c>
      <c r="N16" s="5">
        <f>IF('[1]All Data '!BB21="","",'[1]All Data '!BC21/'[1]All Data '!BH21)</f>
        <v>282051.14285714284</v>
      </c>
      <c r="O16" s="5">
        <f t="shared" si="1"/>
        <v>1344696536.3831999</v>
      </c>
      <c r="P16" s="5">
        <f>IF(M16="","",$C$2*(1-L16)*907.2/0.621371*N16*[1]Transportation!$M$40)</f>
        <v>4399363.9629293233</v>
      </c>
      <c r="Q16" s="5">
        <f>IF(L16="","",IF([1]Inputs_Outputs!$B$5="Herbaceous",(LCA!$E$29*'[1]LOCH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" s="5">
        <f>IF(M16="","",$E$2*1000*'[1]LOCH Calc COE Calc'!$C$44)</f>
        <v>4896457.3202133691</v>
      </c>
      <c r="S16" s="6">
        <f>IF(N16="","",SUM(O16:R16)/('[1]LOCH Calc COE Calc'!$C$28))</f>
        <v>61.596565633435063</v>
      </c>
      <c r="T16">
        <f>IF(L16="","",O16/'[1]LOCH Calc COE Calc'!$C$28)</f>
        <v>57.985713238374032</v>
      </c>
      <c r="U16">
        <f>IF(L16="","",P16/'[1]LOCH Calc COE Calc'!$C$28)</f>
        <v>0.18970842140472371</v>
      </c>
      <c r="V16">
        <f>IF(L16="","",Q16/'[1]LOCH Calc COE Calc'!$C$28)</f>
        <v>3.2100000000000004</v>
      </c>
      <c r="W16">
        <f>IF(L16="","",R16/'[1]LOCH Calc COE Calc'!$C$28)</f>
        <v>0.21114397365631307</v>
      </c>
    </row>
    <row r="17" spans="1:23" x14ac:dyDescent="0.25">
      <c r="A17" t="s">
        <v>31</v>
      </c>
      <c r="B17" s="8">
        <v>-2.0299999999999998</v>
      </c>
      <c r="C17">
        <v>1.17762475522534E-4</v>
      </c>
      <c r="D17">
        <v>20.2</v>
      </c>
      <c r="E17">
        <v>1.094E-2</v>
      </c>
      <c r="G17">
        <v>0.4</v>
      </c>
      <c r="H17">
        <f t="shared" si="0"/>
        <v>-1181.7035999999998</v>
      </c>
      <c r="L17" s="4">
        <f>IF('[1]All Data '!BE22="","",'[1]All Data '!BE22)</f>
        <v>5.5E-2</v>
      </c>
      <c r="M17">
        <f>IF('[1]All Data '!BF22="","",'[1]All Data '!BF22)</f>
        <v>4767.5627999999997</v>
      </c>
      <c r="N17" s="5">
        <f>IF('[1]All Data '!BB22="","",'[1]All Data '!BC22/'[1]All Data '!BH22)</f>
        <v>281652.57142857142</v>
      </c>
      <c r="O17" s="5">
        <f t="shared" si="1"/>
        <v>1342796322.0671999</v>
      </c>
      <c r="P17" s="5">
        <f>IF(M17="","",$C$2*(1-L17)*907.2/0.621371*N17*[1]Transportation!$M$40)</f>
        <v>4393147.1443702914</v>
      </c>
      <c r="Q17" s="5">
        <f>IF(L17="","",IF([1]Inputs_Outputs!$B$5="Herbaceous",(LCA!$E$29*'[1]LOCH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" s="5">
        <f>IF(M17="","",$E$2*1000*'[1]LOCH Calc COE Calc'!$C$44)</f>
        <v>4896457.3202133691</v>
      </c>
      <c r="S17" s="6">
        <f>IF(N17="","",SUM(O17:R17)/('[1]LOCH Calc COE Calc'!$C$28))</f>
        <v>61.514356922334663</v>
      </c>
      <c r="T17">
        <f>IF(L17="","",O17/'[1]LOCH Calc COE Calc'!$C$28)</f>
        <v>57.903772607579079</v>
      </c>
      <c r="U17">
        <f>IF(L17="","",P17/'[1]LOCH Calc COE Calc'!$C$28)</f>
        <v>0.18944034109926788</v>
      </c>
      <c r="V17">
        <f>IF(L17="","",Q17/'[1]LOCH Calc COE Calc'!$C$28)</f>
        <v>3.2100000000000004</v>
      </c>
      <c r="W17">
        <f>IF(L17="","",R17/'[1]LOCH Calc COE Calc'!$C$28)</f>
        <v>0.21114397365631307</v>
      </c>
    </row>
    <row r="18" spans="1:23" x14ac:dyDescent="0.25">
      <c r="A18" t="s">
        <v>32</v>
      </c>
      <c r="B18">
        <v>-1.96</v>
      </c>
      <c r="C18">
        <v>1.17762475522534E-4</v>
      </c>
      <c r="D18">
        <v>20.2</v>
      </c>
      <c r="E18">
        <v>1.094E-2</v>
      </c>
      <c r="F18">
        <v>0.15</v>
      </c>
      <c r="G18">
        <v>0.15</v>
      </c>
      <c r="H18">
        <f t="shared" si="0"/>
        <v>-1616.3532</v>
      </c>
      <c r="L18" s="4">
        <f>IF('[1]All Data '!BE23="","",'[1]All Data '!BE23)</f>
        <v>5.5E-2</v>
      </c>
      <c r="M18">
        <f>IF('[1]All Data '!BF23="","",'[1]All Data '!BF23)</f>
        <v>4767.5627999999997</v>
      </c>
      <c r="N18" s="5">
        <f>IF('[1]All Data '!BB23="","",'[1]All Data '!BC23/'[1]All Data '!BH23)</f>
        <v>277617</v>
      </c>
      <c r="O18" s="5">
        <f t="shared" si="1"/>
        <v>1323556481.8476</v>
      </c>
      <c r="P18" s="5">
        <f>IF(M18="","",$C$2*(1-L18)*907.2/0.621371*N18*[1]Transportation!$M$40)</f>
        <v>4330201.2993975002</v>
      </c>
      <c r="Q18" s="5">
        <f>IF(L18="","",IF([1]Inputs_Outputs!$B$5="Herbaceous",(LCA!$E$29*'[1]LOCH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" s="5">
        <f>IF(M18="","",$E$2*1000*'[1]LOCH Calc COE Calc'!$C$44)</f>
        <v>4896457.3202133691</v>
      </c>
      <c r="S18" s="6">
        <f>IF(N18="","",SUM(O18:R18)/('[1]LOCH Calc COE Calc'!$C$28))</f>
        <v>60.68198635607105</v>
      </c>
      <c r="T18">
        <f>IF(L18="","",O18/'[1]LOCH Calc COE Calc'!$C$28)</f>
        <v>57.074116378429743</v>
      </c>
      <c r="U18">
        <f>IF(L18="","",P18/'[1]LOCH Calc COE Calc'!$C$28)</f>
        <v>0.18672600398499478</v>
      </c>
      <c r="V18">
        <f>IF(L18="","",Q18/'[1]LOCH Calc COE Calc'!$C$28)</f>
        <v>3.2100000000000004</v>
      </c>
      <c r="W18">
        <f>IF(L18="","",R18/'[1]LOCH Calc COE Calc'!$C$28)</f>
        <v>0.21114397365631307</v>
      </c>
    </row>
    <row r="19" spans="1:23" x14ac:dyDescent="0.25">
      <c r="A19" t="s">
        <v>33</v>
      </c>
      <c r="B19" s="8">
        <v>-2.0299999999999998</v>
      </c>
      <c r="C19">
        <v>1.17762475522534E-4</v>
      </c>
      <c r="D19">
        <v>20.2</v>
      </c>
      <c r="E19">
        <v>1.094E-2</v>
      </c>
      <c r="G19">
        <v>0.16</v>
      </c>
      <c r="H19">
        <f>B19*(1-G19)*970.2</f>
        <v>-1654.3850399999999</v>
      </c>
      <c r="L19" s="4">
        <f>IF('[1]All Data '!BE24="","",'[1]All Data '!BE24)</f>
        <v>5.5E-2</v>
      </c>
      <c r="M19">
        <f>IF('[1]All Data '!BF24="","",'[1]All Data '!BF24)</f>
        <v>4767.5627999999997</v>
      </c>
      <c r="N19" s="5">
        <f>IF('[1]All Data '!BB24="","",'[1]All Data '!BC24/'[1]All Data '!BH24)</f>
        <v>273869.28571428574</v>
      </c>
      <c r="O19" s="5">
        <f t="shared" si="1"/>
        <v>1305689018.6340001</v>
      </c>
      <c r="P19" s="5">
        <f>IF(M19="","",$C$2*(1-L19)*907.2/0.621371*N19*[1]Transportation!$M$40)</f>
        <v>4271745.3789395653</v>
      </c>
      <c r="Q19" s="5">
        <f>IF(L19="","",IF([1]Inputs_Outputs!$B$5="Herbaceous",(LCA!$E$29*'[1]LOCH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" s="5">
        <f>IF(M19="","",$E$2*1000*'[1]LOCH Calc COE Calc'!$C$44)</f>
        <v>4896457.3202133691</v>
      </c>
      <c r="S19" s="6">
        <f>IF(N19="","",SUM(O19:R19)/('[1]LOCH Calc COE Calc'!$C$28))</f>
        <v>59.908988747824409</v>
      </c>
      <c r="T19">
        <f>IF(L19="","",O19/'[1]LOCH Calc COE Calc'!$C$28)</f>
        <v>56.303639493743425</v>
      </c>
      <c r="U19">
        <f>IF(L19="","",P19/'[1]LOCH Calc COE Calc'!$C$28)</f>
        <v>0.184205280424662</v>
      </c>
      <c r="V19">
        <f>IF(L19="","",Q19/'[1]LOCH Calc COE Calc'!$C$28)</f>
        <v>3.2100000000000004</v>
      </c>
      <c r="W19">
        <f>IF(L19="","",R19/'[1]LOCH Calc COE Calc'!$C$28)</f>
        <v>0.21114397365631307</v>
      </c>
    </row>
    <row r="20" spans="1:23" x14ac:dyDescent="0.25">
      <c r="A20" t="s">
        <v>34</v>
      </c>
      <c r="B20" s="9">
        <v>2</v>
      </c>
      <c r="C20">
        <v>1.17762475522534E-4</v>
      </c>
      <c r="D20" s="9">
        <v>3.21</v>
      </c>
      <c r="E20">
        <v>1.094E-2</v>
      </c>
      <c r="G20">
        <v>0.02</v>
      </c>
      <c r="H20">
        <f>B20*(1-G20)*970.2</f>
        <v>1901.5920000000001</v>
      </c>
      <c r="L20" s="4">
        <f>IF('[1]All Data '!BE25="","",'[1]All Data '!BE25)</f>
        <v>5.5E-2</v>
      </c>
      <c r="M20">
        <f>IF('[1]All Data '!BF25="","",'[1]All Data '!BF25)</f>
        <v>4767.5627999999997</v>
      </c>
      <c r="N20" s="5">
        <f>IF('[1]All Data '!BB25="","",'[1]All Data '!BC25/'[1]All Data '!BH25)</f>
        <v>311140.33333333331</v>
      </c>
      <c r="O20" s="5">
        <f t="shared" si="1"/>
        <v>1483381078.7795999</v>
      </c>
      <c r="P20" s="5">
        <f>IF(M20="","",$C$2*(1-L20)*907.2/0.621371*N20*[1]Transportation!$M$40)</f>
        <v>4853089.960971307</v>
      </c>
      <c r="Q20" s="5">
        <f>IF(L20="","",IF([1]Inputs_Outputs!$B$5="Herbaceous",(LCA!$E$29*'[1]LOCH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" s="5">
        <f>IF(M20="","",$E$2*1000*'[1]LOCH Calc COE Calc'!$C$44)</f>
        <v>4896457.3202133691</v>
      </c>
      <c r="S20" s="6">
        <f>IF(N20="","",SUM(O20:R20)/('[1]LOCH Calc COE Calc'!$C$28))</f>
        <v>67.596455953153182</v>
      </c>
      <c r="T20">
        <f>IF(L20="","",O20/'[1]LOCH Calc COE Calc'!$C$28)</f>
        <v>63.966038083727177</v>
      </c>
      <c r="U20">
        <f>IF(L20="","",P20/'[1]LOCH Calc COE Calc'!$C$28)</f>
        <v>0.20927389576968486</v>
      </c>
      <c r="V20">
        <f>IF(L20="","",Q20/'[1]LOCH Calc COE Calc'!$C$28)</f>
        <v>3.2100000000000004</v>
      </c>
      <c r="W20">
        <f>IF(L20="","",R20/'[1]LOCH Calc COE Calc'!$C$28)</f>
        <v>0.21114397365631307</v>
      </c>
    </row>
    <row r="21" spans="1:23" x14ac:dyDescent="0.25">
      <c r="A21" t="s">
        <v>35</v>
      </c>
      <c r="B21" s="8">
        <v>5.2</v>
      </c>
      <c r="C21">
        <v>1.17762475522534E-4</v>
      </c>
      <c r="D21">
        <v>3.21</v>
      </c>
      <c r="E21">
        <v>1.094E-2</v>
      </c>
      <c r="G21" s="10">
        <v>5.5E-2</v>
      </c>
      <c r="H21">
        <f>B21*(1-G21)*970.2</f>
        <v>4767.5627999999997</v>
      </c>
      <c r="L21" s="4">
        <f>IF('[1]All Data '!BE26="","",'[1]All Data '!BE26)</f>
        <v>5.5E-2</v>
      </c>
      <c r="M21">
        <f>IF('[1]All Data '!BF26="","",'[1]All Data '!BF26)</f>
        <v>4767.5627999999997</v>
      </c>
      <c r="N21" s="5">
        <f>IF('[1]All Data '!BB26="","",'[1]All Data '!BC26/'[1]All Data '!BH26)</f>
        <v>308532.33333333331</v>
      </c>
      <c r="O21" s="5">
        <f t="shared" si="1"/>
        <v>1470947274.9971998</v>
      </c>
      <c r="P21" s="5">
        <f>IF(M21="","",$C$2*(1-L21)*907.2/0.621371*N21*[1]Transportation!$M$40)</f>
        <v>4812411.022041671</v>
      </c>
      <c r="Q21" s="5">
        <f>IF(L21="","",IF([1]Inputs_Outputs!$B$5="Herbaceous",(LCA!$E$29*'[1]LOCH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" s="5">
        <f>IF(M21="","",$E$2*1000*'[1]LOCH Calc COE Calc'!$C$44)</f>
        <v>4896457.3202133691</v>
      </c>
      <c r="S21" s="6">
        <f>IF(N21="","",SUM(O21:R21)/('[1]LOCH Calc COE Calc'!$C$28))</f>
        <v>67.058534006970703</v>
      </c>
      <c r="T21">
        <f>IF(L21="","",O21/'[1]LOCH Calc COE Calc'!$C$28)</f>
        <v>63.42987028595202</v>
      </c>
      <c r="U21">
        <f>IF(L21="","",P21/'[1]LOCH Calc COE Calc'!$C$28)</f>
        <v>0.20751974736237236</v>
      </c>
      <c r="V21">
        <f>IF(L21="","",Q21/'[1]LOCH Calc COE Calc'!$C$28)</f>
        <v>3.2100000000000004</v>
      </c>
      <c r="W21">
        <f>IF(L21="","",R21/'[1]LOCH Calc COE Calc'!$C$28)</f>
        <v>0.21114397365631307</v>
      </c>
    </row>
    <row r="22" spans="1:23" x14ac:dyDescent="0.25">
      <c r="A22" t="s">
        <v>36</v>
      </c>
      <c r="B22" s="8">
        <v>5.2</v>
      </c>
      <c r="C22">
        <v>1.17762475522534E-4</v>
      </c>
      <c r="D22">
        <v>3.21</v>
      </c>
      <c r="E22">
        <v>1.094E-2</v>
      </c>
      <c r="G22" s="10">
        <v>5.5E-2</v>
      </c>
      <c r="H22">
        <f>B22*(1-G22)*970.2</f>
        <v>4767.5627999999997</v>
      </c>
      <c r="L22" s="4">
        <f>IF('[1]All Data '!BE27="","",'[1]All Data '!BE27)</f>
        <v>5.5E-2</v>
      </c>
      <c r="M22">
        <f>IF('[1]All Data '!BF27="","",'[1]All Data '!BF27)</f>
        <v>4767.5627999999997</v>
      </c>
      <c r="N22" s="5">
        <f>IF('[1]All Data '!BB27="","",'[1]All Data '!BC27/'[1]All Data '!BH27)</f>
        <v>293731</v>
      </c>
      <c r="O22" s="5">
        <f t="shared" si="1"/>
        <v>1400380988.8067999</v>
      </c>
      <c r="P22" s="5">
        <f>IF(M22="","",$C$2*(1-L22)*907.2/0.621371*N22*[1]Transportation!$M$40)</f>
        <v>4581543.4857135089</v>
      </c>
      <c r="Q22" s="5">
        <f>IF(L22="","",IF([1]Inputs_Outputs!$B$5="Herbaceous",(LCA!$E$29*'[1]LOCH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" s="5">
        <f>IF(M22="","",$E$2*1000*'[1]LOCH Calc COE Calc'!$C$44)</f>
        <v>4896457.3202133691</v>
      </c>
      <c r="S22" s="6">
        <f>IF(N22="","",SUM(O22:R22)/('[1]LOCH Calc COE Calc'!$C$28))</f>
        <v>64.005634454531261</v>
      </c>
      <c r="T22">
        <f>IF(L22="","",O22/'[1]LOCH Calc COE Calc'!$C$28)</f>
        <v>60.386926153486797</v>
      </c>
      <c r="U22">
        <f>IF(L22="","",P22/'[1]LOCH Calc COE Calc'!$C$28)</f>
        <v>0.19756432738815166</v>
      </c>
      <c r="V22">
        <f>IF(L22="","",Q22/'[1]LOCH Calc COE Calc'!$C$28)</f>
        <v>3.2100000000000004</v>
      </c>
      <c r="W22">
        <f>IF(L22="","",R22/'[1]LOCH Calc COE Calc'!$C$28)</f>
        <v>0.21114397365631307</v>
      </c>
    </row>
    <row r="23" spans="1:23" x14ac:dyDescent="0.25">
      <c r="A23" t="s">
        <v>37</v>
      </c>
      <c r="B23" s="11">
        <f>B6</f>
        <v>-1.33</v>
      </c>
      <c r="C23">
        <v>1.17762475522534E-4</v>
      </c>
      <c r="D23" s="11">
        <f>D6</f>
        <v>20.22</v>
      </c>
      <c r="E23">
        <v>1.094E-2</v>
      </c>
      <c r="G23" s="11">
        <v>0.54</v>
      </c>
      <c r="H23">
        <f t="shared" ref="H23:H26" si="2">B23*(1-G23)*970.2</f>
        <v>-593.56835999999998</v>
      </c>
      <c r="L23" s="4">
        <f>IF('[1]All Data '!BE28="","",'[1]All Data '!BE28)</f>
        <v>5.5E-2</v>
      </c>
      <c r="M23">
        <f>IF('[1]All Data '!BF28="","",'[1]All Data '!BF28)</f>
        <v>4767.5627999999997</v>
      </c>
      <c r="N23" s="5">
        <f>IF('[1]All Data '!BB28="","",'[1]All Data '!BC28/'[1]All Data '!BH28)</f>
        <v>286143.5</v>
      </c>
      <c r="O23" s="5">
        <f t="shared" si="1"/>
        <v>1364207106.0618</v>
      </c>
      <c r="P23" s="5">
        <f>IF(M23="","",$C$2*(1-L23)*907.2/0.621371*N23*[1]Transportation!$M$40)</f>
        <v>4463195.5374279981</v>
      </c>
      <c r="Q23" s="5">
        <f>IF(L23="","",IF([1]Inputs_Outputs!$B$5="Herbaceous",(LCA!$E$29*'[1]LOCH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" s="5">
        <f>IF(M23="","",$E$2*1000*'[1]LOCH Calc COE Calc'!$C$44)</f>
        <v>4896457.3202133691</v>
      </c>
      <c r="S23" s="6">
        <f>IF(N23="","",SUM(O23:R23)/('[1]LOCH Calc COE Calc'!$C$28))</f>
        <v>62.440648731118898</v>
      </c>
      <c r="T23">
        <f>IF(L23="","",O23/'[1]LOCH Calc COE Calc'!$C$28)</f>
        <v>58.82704380470652</v>
      </c>
      <c r="U23">
        <f>IF(L23="","",P23/'[1]LOCH Calc COE Calc'!$C$28)</f>
        <v>0.19246095275606448</v>
      </c>
      <c r="V23">
        <f>IF(L23="","",Q23/'[1]LOCH Calc COE Calc'!$C$28)</f>
        <v>3.2100000000000004</v>
      </c>
      <c r="W23">
        <f>IF(L23="","",R23/'[1]LOCH Calc COE Calc'!$C$28)</f>
        <v>0.21114397365631307</v>
      </c>
    </row>
    <row r="24" spans="1:23" x14ac:dyDescent="0.25">
      <c r="A24" t="s">
        <v>38</v>
      </c>
      <c r="B24" s="11">
        <f>B6</f>
        <v>-1.33</v>
      </c>
      <c r="C24">
        <v>1.17762475522534E-4</v>
      </c>
      <c r="D24" s="11">
        <f>D6</f>
        <v>20.22</v>
      </c>
      <c r="E24">
        <v>1.094E-2</v>
      </c>
      <c r="G24" s="11">
        <v>0.54</v>
      </c>
      <c r="H24">
        <f t="shared" si="2"/>
        <v>-593.56835999999998</v>
      </c>
      <c r="L24" s="4">
        <f>IF('[1]All Data '!BE29="","",'[1]All Data '!BE29)</f>
        <v>5.5000000000000007E-2</v>
      </c>
      <c r="M24">
        <f>IF('[1]All Data '!BF29="","",'[1]All Data '!BF29)</f>
        <v>4767.5627999999997</v>
      </c>
      <c r="N24" s="5">
        <f>IF('[1]All Data '!BB29="","",'[1]All Data '!BC29/'[1]All Data '!BH29)</f>
        <v>283579.33333333331</v>
      </c>
      <c r="O24" s="5">
        <f t="shared" si="1"/>
        <v>1351982280.4487998</v>
      </c>
      <c r="P24" s="5">
        <f>IF(M24="","",$C$2*(1-L24)*907.2/0.621371*N24*[1]Transportation!$M$40)</f>
        <v>4423200.2999898307</v>
      </c>
      <c r="Q24" s="5">
        <f>IF(L24="","",IF([1]Inputs_Outputs!$B$5="Herbaceous",(LCA!$E$29*'[1]LOCH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" s="5">
        <f>IF(M24="","",$E$2*1000*'[1]LOCH Calc COE Calc'!$C$44)</f>
        <v>4896457.3202133691</v>
      </c>
      <c r="S24" s="6">
        <f>IF(N24="","",SUM(O24:R24)/('[1]LOCH Calc COE Calc'!$C$28))</f>
        <v>61.911767778791621</v>
      </c>
      <c r="T24">
        <f>IF(L24="","",O24/'[1]LOCH Calc COE Calc'!$C$28)</f>
        <v>58.299887518358695</v>
      </c>
      <c r="U24">
        <f>IF(L24="","",P24/'[1]LOCH Calc COE Calc'!$C$28)</f>
        <v>0.19073628677661009</v>
      </c>
      <c r="V24">
        <f>IF(L24="","",Q24/'[1]LOCH Calc COE Calc'!$C$28)</f>
        <v>3.2100000000000004</v>
      </c>
      <c r="W24">
        <f>IF(L24="","",R24/'[1]LOCH Calc COE Calc'!$C$28)</f>
        <v>0.21114397365631307</v>
      </c>
    </row>
    <row r="25" spans="1:23" x14ac:dyDescent="0.25">
      <c r="A25" t="s">
        <v>39</v>
      </c>
      <c r="B25" s="11">
        <f>B6</f>
        <v>-1.33</v>
      </c>
      <c r="C25">
        <v>1.17762475522534E-4</v>
      </c>
      <c r="D25" s="11">
        <f>D6</f>
        <v>20.22</v>
      </c>
      <c r="E25">
        <v>1.094E-2</v>
      </c>
      <c r="G25" s="11">
        <v>0.54</v>
      </c>
      <c r="H25">
        <f t="shared" si="2"/>
        <v>-593.56835999999998</v>
      </c>
      <c r="L25" s="4">
        <f>IF('[1]All Data '!BE30="","",'[1]All Data '!BE30)</f>
        <v>5.5E-2</v>
      </c>
      <c r="M25">
        <f>IF('[1]All Data '!BF30="","",'[1]All Data '!BF30)</f>
        <v>4767.5627999999997</v>
      </c>
      <c r="N25" s="5">
        <f>IF('[1]All Data '!BB30="","",'[1]All Data '!BC30/'[1]All Data '!BH30)</f>
        <v>269797.16666666669</v>
      </c>
      <c r="O25" s="5">
        <f t="shared" si="1"/>
        <v>1286274935.3454001</v>
      </c>
      <c r="P25" s="5">
        <f>IF(M25="","",$C$2*(1-L25)*907.2/0.621371*N25*[1]Transportation!$M$40)</f>
        <v>4208229.4732446643</v>
      </c>
      <c r="Q25" s="5">
        <f>IF(L25="","",IF([1]Inputs_Outputs!$B$5="Herbaceous",(LCA!$E$29*'[1]LOCH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" s="5">
        <f>IF(M25="","",$E$2*1000*'[1]LOCH Calc COE Calc'!$C$44)</f>
        <v>4896457.3202133691</v>
      </c>
      <c r="S25" s="6">
        <f>IF(N25="","",SUM(O25:R25)/('[1]LOCH Calc COE Calc'!$C$28))</f>
        <v>59.069079927585939</v>
      </c>
      <c r="T25">
        <f>IF(L25="","",O25/'[1]LOCH Calc COE Calc'!$C$28)</f>
        <v>55.466469592654413</v>
      </c>
      <c r="U25">
        <f>IF(L25="","",P25/'[1]LOCH Calc COE Calc'!$C$28)</f>
        <v>0.18146636127521118</v>
      </c>
      <c r="V25">
        <f>IF(L25="","",Q25/'[1]LOCH Calc COE Calc'!$C$28)</f>
        <v>3.2100000000000004</v>
      </c>
      <c r="W25">
        <f>IF(L25="","",R25/'[1]LOCH Calc COE Calc'!$C$28)</f>
        <v>0.21114397365631307</v>
      </c>
    </row>
    <row r="26" spans="1:23" x14ac:dyDescent="0.25">
      <c r="A26" t="s">
        <v>40</v>
      </c>
      <c r="B26" s="11">
        <f>B6</f>
        <v>-1.33</v>
      </c>
      <c r="C26">
        <v>1.17762475522534E-4</v>
      </c>
      <c r="D26" s="11">
        <f>D6</f>
        <v>20.22</v>
      </c>
      <c r="E26">
        <v>1.094E-2</v>
      </c>
      <c r="G26" s="11">
        <v>0.54</v>
      </c>
      <c r="H26">
        <f t="shared" si="2"/>
        <v>-593.56835999999998</v>
      </c>
      <c r="L26" s="4">
        <f>IF('[1]All Data '!BE31="","",'[1]All Data '!BE31)</f>
        <v>5.5000000000000007E-2</v>
      </c>
      <c r="M26">
        <f>IF('[1]All Data '!BF31="","",'[1]All Data '!BF31)</f>
        <v>4767.5627999999997</v>
      </c>
      <c r="N26" s="5">
        <f>IF('[1]All Data '!BB31="","",'[1]All Data '!BC31/'[1]All Data '!BH31)</f>
        <v>269641.5</v>
      </c>
      <c r="O26" s="5">
        <f t="shared" si="1"/>
        <v>1285532784.7361999</v>
      </c>
      <c r="P26" s="5">
        <f>IF(M26="","",$C$2*(1-L26)*907.2/0.621371*N26*[1]Transportation!$M$40)</f>
        <v>4205801.4230810469</v>
      </c>
      <c r="Q26" s="5">
        <f>IF(L26="","",IF([1]Inputs_Outputs!$B$5="Herbaceous",(LCA!$E$29*'[1]LOCH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" s="5">
        <f>IF(M26="","",$E$2*1000*'[1]LOCH Calc COE Calc'!$C$44)</f>
        <v>4896457.3202133691</v>
      </c>
      <c r="S26" s="6">
        <f>IF(N26="","",SUM(O26:R26)/('[1]LOCH Calc COE Calc'!$C$28))</f>
        <v>59.036972367659139</v>
      </c>
      <c r="T26">
        <f>IF(L26="","",O26/'[1]LOCH Calc COE Calc'!$C$28)</f>
        <v>55.434466734581676</v>
      </c>
      <c r="U26">
        <f>IF(L26="","",P26/'[1]LOCH Calc COE Calc'!$C$28)</f>
        <v>0.18136165942114482</v>
      </c>
      <c r="V26">
        <f>IF(L26="","",Q26/'[1]LOCH Calc COE Calc'!$C$28)</f>
        <v>3.2100000000000004</v>
      </c>
      <c r="W26">
        <f>IF(L26="","",R26/'[1]LOCH Calc COE Calc'!$C$28)</f>
        <v>0.21114397365631307</v>
      </c>
    </row>
    <row r="27" spans="1:23" x14ac:dyDescent="0.25">
      <c r="A27" t="s">
        <v>41</v>
      </c>
      <c r="B27" s="11">
        <f>B4</f>
        <v>-1.33</v>
      </c>
      <c r="C27">
        <v>1.17762475522534E-4</v>
      </c>
      <c r="D27" s="11">
        <f>D4</f>
        <v>20.22</v>
      </c>
      <c r="E27">
        <v>1.094E-2</v>
      </c>
      <c r="G27" s="11">
        <v>0.54</v>
      </c>
      <c r="H27">
        <f>B27*(1-G27)*970.2</f>
        <v>-593.56835999999998</v>
      </c>
      <c r="L27" s="4">
        <f>IF('[1]All Data '!BE32="","",'[1]All Data '!BE32)</f>
        <v>5.5E-2</v>
      </c>
      <c r="M27">
        <f>IF('[1]All Data '!BF32="","",'[1]All Data '!BF32)</f>
        <v>4767.5627999999997</v>
      </c>
      <c r="N27" s="5">
        <f>IF('[1]All Data '!BB32="","",'[1]All Data '!BC32/'[1]All Data '!BH32)</f>
        <v>317007.40000000002</v>
      </c>
      <c r="O27" s="5">
        <f t="shared" si="1"/>
        <v>1511352687.5647199</v>
      </c>
      <c r="P27" s="5">
        <f>IF(M27="","",$C$2*(1-L27)*907.2/0.621371*N27*[1]Transportation!$M$40)</f>
        <v>4944603.0156605076</v>
      </c>
      <c r="Q27" s="5">
        <f>IF(L27="","",IF([1]Inputs_Outputs!$B$5="Herbaceous",(LCA!$E$29*'[1]LOCH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" s="5">
        <f>IF(M27="","",$E$2*1000*'[1]LOCH Calc COE Calc'!$C$44)</f>
        <v>4896457.3202133691</v>
      </c>
      <c r="S27" s="6">
        <f>IF(N27="","",SUM(O27:R27)/('[1]LOCH Calc COE Calc'!$C$28))</f>
        <v>68.806587824209771</v>
      </c>
      <c r="T27">
        <f>IF(L27="","",O27/'[1]LOCH Calc COE Calc'!$C$28)</f>
        <v>65.172223748630046</v>
      </c>
      <c r="U27">
        <f>IF(L27="","",P27/'[1]LOCH Calc COE Calc'!$C$28)</f>
        <v>0.21322010192341548</v>
      </c>
      <c r="V27">
        <f>IF(L27="","",Q27/'[1]LOCH Calc COE Calc'!$C$28)</f>
        <v>3.2100000000000004</v>
      </c>
      <c r="W27">
        <f>IF(L27="","",R27/'[1]LOCH Calc COE Calc'!$C$28)</f>
        <v>0.21114397365631307</v>
      </c>
    </row>
    <row r="28" spans="1:23" x14ac:dyDescent="0.25">
      <c r="A28" t="s">
        <v>42</v>
      </c>
      <c r="D28" t="s">
        <v>43</v>
      </c>
      <c r="E28">
        <f>AVERAGE(D2,D3,D4,D5,D6,D7,D8)</f>
        <v>20.212857142857139</v>
      </c>
      <c r="F28">
        <f>AVERAGE(G2:G8)</f>
        <v>0.50185714285714289</v>
      </c>
      <c r="L28" s="4">
        <f>IF('[1]All Data '!BE33="","",'[1]All Data '!BE33)</f>
        <v>5.5E-2</v>
      </c>
      <c r="M28">
        <f>IF('[1]All Data '!BF33="","",'[1]All Data '!BF33)</f>
        <v>4767.5627999999997</v>
      </c>
      <c r="N28" s="5">
        <f>IF('[1]All Data '!BB33="","",'[1]All Data '!BC33/'[1]All Data '!BH33)</f>
        <v>313354</v>
      </c>
      <c r="O28" s="5">
        <f t="shared" si="1"/>
        <v>1493934873.6311998</v>
      </c>
      <c r="P28" s="5">
        <f>IF(M28="","",$C$2*(1-L28)*907.2/0.621371*N28*[1]Transportation!$M$40)</f>
        <v>4887618.1861031717</v>
      </c>
      <c r="Q28" s="5">
        <f>IF(L28="","",IF([1]Inputs_Outputs!$B$5="Herbaceous",(LCA!$E$29*'[1]LOCH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" s="5">
        <f>IF(M28="","",$E$2*1000*'[1]LOCH Calc COE Calc'!$C$44)</f>
        <v>4896457.3202133691</v>
      </c>
      <c r="S28" s="6">
        <f>IF(N28="","",SUM(O28:R28)/('[1]LOCH Calc COE Calc'!$C$28))</f>
        <v>68.053043331041437</v>
      </c>
      <c r="T28">
        <f>IF(L28="","",O28/'[1]LOCH Calc COE Calc'!$C$28)</f>
        <v>64.421136542958365</v>
      </c>
      <c r="U28">
        <f>IF(L28="","",P28/'[1]LOCH Calc COE Calc'!$C$28)</f>
        <v>0.21076281442676079</v>
      </c>
      <c r="V28">
        <f>IF(L28="","",Q28/'[1]LOCH Calc COE Calc'!$C$28)</f>
        <v>3.2100000000000004</v>
      </c>
      <c r="W28">
        <f>IF(L28="","",R28/'[1]LOCH Calc COE Calc'!$C$28)</f>
        <v>0.21114397365631307</v>
      </c>
    </row>
    <row r="29" spans="1:23" x14ac:dyDescent="0.25">
      <c r="A29" t="s">
        <v>44</v>
      </c>
      <c r="D29" t="s">
        <v>45</v>
      </c>
      <c r="E29">
        <f>AVERAGE(D9:D19)</f>
        <v>20.224545454545449</v>
      </c>
      <c r="F29">
        <f>AVERAGE(G9:G19)</f>
        <v>0.22636363636363638</v>
      </c>
      <c r="L29" s="4">
        <f>IF('[1]All Data '!BE34="","",'[1]All Data '!BE34)</f>
        <v>5.5E-2</v>
      </c>
      <c r="M29">
        <f>IF('[1]All Data '!BF34="","",'[1]All Data '!BF34)</f>
        <v>4767.5627999999997</v>
      </c>
      <c r="N29" s="5">
        <f>IF('[1]All Data '!BB34="","",'[1]All Data '!BC34/'[1]All Data '!BH34)</f>
        <v>312694.2</v>
      </c>
      <c r="O29" s="5">
        <f t="shared" si="1"/>
        <v>1490789235.69576</v>
      </c>
      <c r="P29" s="5">
        <f>IF(M29="","",$C$2*(1-L29)*907.2/0.621371*N29*[1]Transportation!$M$40)</f>
        <v>4877326.7889000382</v>
      </c>
      <c r="Q29" s="5">
        <f>IF(L29="","",IF([1]Inputs_Outputs!$B$5="Herbaceous",(LCA!$E$29*'[1]LOCH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" s="5">
        <f>IF(M29="","",$E$2*1000*'[1]LOCH Calc COE Calc'!$C$44)</f>
        <v>4896457.3202133691</v>
      </c>
      <c r="S29" s="6">
        <f>IF(N29="","",SUM(O29:R29)/('[1]LOCH Calc COE Calc'!$C$28))</f>
        <v>67.916954028859237</v>
      </c>
      <c r="T29">
        <f>IF(L29="","",O29/'[1]LOCH Calc COE Calc'!$C$28)</f>
        <v>64.285491024180743</v>
      </c>
      <c r="U29">
        <f>IF(L29="","",P29/'[1]LOCH Calc COE Calc'!$C$28)</f>
        <v>0.21031903102218075</v>
      </c>
      <c r="V29">
        <f>IF(L29="","",Q29/'[1]LOCH Calc COE Calc'!$C$28)</f>
        <v>3.2100000000000004</v>
      </c>
      <c r="W29">
        <f>IF(L29="","",R29/'[1]LOCH Calc COE Calc'!$C$28)</f>
        <v>0.21114397365631307</v>
      </c>
    </row>
    <row r="30" spans="1:23" x14ac:dyDescent="0.25">
      <c r="D30" t="s">
        <v>46</v>
      </c>
      <c r="E30">
        <f>AVERAGE(D21:D22)</f>
        <v>3.21</v>
      </c>
      <c r="F30" s="10">
        <f>AVERAGE(G21:G22)</f>
        <v>5.5E-2</v>
      </c>
      <c r="L30" s="4">
        <f>IF('[1]All Data '!BE35="","",'[1]All Data '!BE35)</f>
        <v>5.5000000000000007E-2</v>
      </c>
      <c r="M30">
        <f>IF('[1]All Data '!BF35="","",'[1]All Data '!BF35)</f>
        <v>4767.5627999999997</v>
      </c>
      <c r="N30" s="5">
        <f>IF('[1]All Data '!BB35="","",'[1]All Data '!BC35/'[1]All Data '!BH35)</f>
        <v>311520.2</v>
      </c>
      <c r="O30" s="5">
        <f t="shared" si="1"/>
        <v>1485192116.96856</v>
      </c>
      <c r="P30" s="5">
        <f>IF(M30="","",$C$2*(1-L30)*907.2/0.621371*N30*[1]Transportation!$M$40)</f>
        <v>4859015.0272806389</v>
      </c>
      <c r="Q30" s="5">
        <f>IF(L30="","",IF([1]Inputs_Outputs!$B$5="Herbaceous",(LCA!$E$29*'[1]LOCH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" s="5">
        <f>IF(M30="","",$E$2*1000*'[1]LOCH Calc COE Calc'!$C$44)</f>
        <v>4896457.3202133691</v>
      </c>
      <c r="S30" s="6">
        <f>IF(N30="","",SUM(O30:R30)/('[1]LOCH Calc COE Calc'!$C$28))</f>
        <v>67.674806649711144</v>
      </c>
      <c r="T30">
        <f>IF(L30="","",O30/'[1]LOCH Calc COE Calc'!$C$28)</f>
        <v>64.04413328085711</v>
      </c>
      <c r="U30">
        <f>IF(L30="","",P30/'[1]LOCH Calc COE Calc'!$C$28)</f>
        <v>0.20952939519772337</v>
      </c>
      <c r="V30">
        <f>IF(L30="","",Q30/'[1]LOCH Calc COE Calc'!$C$28)</f>
        <v>3.2100000000000004</v>
      </c>
      <c r="W30">
        <f>IF(L30="","",R30/'[1]LOCH Calc COE Calc'!$C$28)</f>
        <v>0.21114397365631307</v>
      </c>
    </row>
    <row r="31" spans="1:23" x14ac:dyDescent="0.25">
      <c r="A31" t="s">
        <v>47</v>
      </c>
      <c r="B31" s="5"/>
      <c r="C31" s="5"/>
      <c r="D31" t="s">
        <v>48</v>
      </c>
      <c r="E31">
        <f>AVERAGE(D23:D27)</f>
        <v>20.22</v>
      </c>
      <c r="F31" s="10">
        <f>AVERAGE(G23:G27)</f>
        <v>0.54</v>
      </c>
      <c r="G31" s="5"/>
      <c r="L31" s="4">
        <f>IF('[1]All Data '!BE36="","",'[1]All Data '!BE36)</f>
        <v>5.5000000000000007E-2</v>
      </c>
      <c r="M31">
        <f>IF('[1]All Data '!BF36="","",'[1]All Data '!BF36)</f>
        <v>4767.5627999999997</v>
      </c>
      <c r="N31" s="5">
        <f>IF('[1]All Data '!BB36="","",'[1]All Data '!BC36/'[1]All Data '!BH36)</f>
        <v>310525.2</v>
      </c>
      <c r="O31" s="5">
        <f t="shared" si="1"/>
        <v>1480448391.9825599</v>
      </c>
      <c r="P31" s="5">
        <f>IF(M31="","",$C$2*(1-L31)*907.2/0.621371*N31*[1]Transportation!$M$40)</f>
        <v>4843495.2633868558</v>
      </c>
      <c r="Q31" s="5">
        <f>IF(L31="","",IF([1]Inputs_Outputs!$B$5="Herbaceous",(LCA!$E$29*'[1]LOCH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" s="5">
        <f>IF(M31="","",$E$2*1000*'[1]LOCH Calc COE Calc'!$C$44)</f>
        <v>4896457.3202133691</v>
      </c>
      <c r="S31" s="6">
        <f>IF(N31="","",SUM(O31:R31)/('[1]LOCH Calc COE Calc'!$C$28))</f>
        <v>67.469579526838629</v>
      </c>
      <c r="T31">
        <f>IF(L31="","",O31/'[1]LOCH Calc COE Calc'!$C$28)</f>
        <v>63.839575397886911</v>
      </c>
      <c r="U31">
        <f>IF(L31="","",P31/'[1]LOCH Calc COE Calc'!$C$28)</f>
        <v>0.20886015529539367</v>
      </c>
      <c r="V31">
        <f>IF(L31="","",Q31/'[1]LOCH Calc COE Calc'!$C$28)</f>
        <v>3.2100000000000004</v>
      </c>
      <c r="W31">
        <f>IF(L31="","",R31/'[1]LOCH Calc COE Calc'!$C$28)</f>
        <v>0.21114397365631307</v>
      </c>
    </row>
    <row r="32" spans="1:23" x14ac:dyDescent="0.25">
      <c r="A32" s="5" t="s">
        <v>49</v>
      </c>
      <c r="L32" s="4">
        <f>IF('[1]All Data '!BE37="","",'[1]All Data '!BE37)</f>
        <v>5.5000000000000007E-2</v>
      </c>
      <c r="M32">
        <f>IF('[1]All Data '!BF37="","",'[1]All Data '!BF37)</f>
        <v>4767.5627999999997</v>
      </c>
      <c r="N32" s="5">
        <f>IF('[1]All Data '!BB37="","",'[1]All Data '!BC37/'[1]All Data '!BH37)</f>
        <v>310344.8</v>
      </c>
      <c r="O32" s="5">
        <f t="shared" si="1"/>
        <v>1479588323.6534398</v>
      </c>
      <c r="P32" s="5">
        <f>IF(M32="","",$C$2*(1-L32)*907.2/0.621371*N32*[1]Transportation!$M$40)</f>
        <v>4840681.4288075194</v>
      </c>
      <c r="Q32" s="5">
        <f>IF(L32="","",IF([1]Inputs_Outputs!$B$5="Herbaceous",(LCA!$E$29*'[1]LOCH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" s="5">
        <f>IF(M32="","",$E$2*1000*'[1]LOCH Calc COE Calc'!$C$44)</f>
        <v>4896457.3202133691</v>
      </c>
      <c r="S32" s="6">
        <f>IF(N32="","",SUM(O32:R32)/('[1]LOCH Calc COE Calc'!$C$28))</f>
        <v>67.432370508782128</v>
      </c>
      <c r="T32">
        <f>IF(L32="","",O32/'[1]LOCH Calc COE Calc'!$C$28)</f>
        <v>63.80248771739663</v>
      </c>
      <c r="U32">
        <f>IF(L32="","",P32/'[1]LOCH Calc COE Calc'!$C$28)</f>
        <v>0.20873881772918226</v>
      </c>
      <c r="V32">
        <f>IF(L32="","",Q32/'[1]LOCH Calc COE Calc'!$C$28)</f>
        <v>3.2100000000000004</v>
      </c>
      <c r="W32">
        <f>IF(L32="","",R32/'[1]LOCH Calc COE Calc'!$C$28)</f>
        <v>0.21114397365631307</v>
      </c>
    </row>
    <row r="33" spans="12:23" x14ac:dyDescent="0.25">
      <c r="L33" s="4">
        <f>IF('[1]All Data '!BE38="","",'[1]All Data '!BE38)</f>
        <v>5.5E-2</v>
      </c>
      <c r="M33">
        <f>IF('[1]All Data '!BF38="","",'[1]All Data '!BF38)</f>
        <v>4767.5627999999997</v>
      </c>
      <c r="N33" s="5">
        <f>IF('[1]All Data '!BB38="","",'[1]All Data '!BC38/'[1]All Data '!BH38)</f>
        <v>306685.40000000002</v>
      </c>
      <c r="O33" s="5">
        <f t="shared" si="1"/>
        <v>1462141904.3431201</v>
      </c>
      <c r="P33" s="5">
        <f>IF(M33="","",$C$2*(1-L33)*907.2/0.621371*N33*[1]Transportation!$M$40)</f>
        <v>4783603.0127342427</v>
      </c>
      <c r="Q33" s="5">
        <f>IF(L33="","",IF([1]Inputs_Outputs!$B$5="Herbaceous",(LCA!$E$29*'[1]LOCH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" s="5">
        <f>IF(M33="","",$E$2*1000*'[1]LOCH Calc COE Calc'!$C$44)</f>
        <v>4896457.3202133691</v>
      </c>
      <c r="S33" s="6">
        <f>IF(N33="","",SUM(O33:R33)/('[1]LOCH Calc COE Calc'!$C$28))</f>
        <v>66.677588465124117</v>
      </c>
      <c r="T33">
        <f>IF(L33="","",O33/'[1]LOCH Calc COE Calc'!$C$28)</f>
        <v>63.050166996852781</v>
      </c>
      <c r="U33">
        <f>IF(L33="","",P33/'[1]LOCH Calc COE Calc'!$C$28)</f>
        <v>0.20627749461502617</v>
      </c>
      <c r="V33">
        <f>IF(L33="","",Q33/'[1]LOCH Calc COE Calc'!$C$28)</f>
        <v>3.2100000000000004</v>
      </c>
      <c r="W33">
        <f>IF(L33="","",R33/'[1]LOCH Calc COE Calc'!$C$28)</f>
        <v>0.21114397365631307</v>
      </c>
    </row>
    <row r="34" spans="12:23" x14ac:dyDescent="0.25">
      <c r="L34" s="4">
        <f>IF('[1]All Data '!BE39="","",'[1]All Data '!BE39)</f>
        <v>5.5E-2</v>
      </c>
      <c r="M34">
        <f>IF('[1]All Data '!BF39="","",'[1]All Data '!BF39)</f>
        <v>4767.5627999999997</v>
      </c>
      <c r="N34" s="5">
        <f>IF('[1]All Data '!BB39="","",'[1]All Data '!BC39/'[1]All Data '!BH39)</f>
        <v>304110.8</v>
      </c>
      <c r="O34" s="5">
        <f t="shared" si="1"/>
        <v>1449867337.1582398</v>
      </c>
      <c r="P34" s="5">
        <f>IF(M34="","",$C$2*(1-L34)*907.2/0.621371*N34*[1]Transportation!$M$40)</f>
        <v>4743445.0387433525</v>
      </c>
      <c r="Q34" s="5">
        <f>IF(L34="","",IF([1]Inputs_Outputs!$B$5="Herbaceous",(LCA!$E$29*'[1]LOCH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" s="5">
        <f>IF(M34="","",$E$2*1000*'[1]LOCH Calc COE Calc'!$C$44)</f>
        <v>4896457.3202133691</v>
      </c>
      <c r="S34" s="6">
        <f>IF(N34="","",SUM(O34:R34)/('[1]LOCH Calc COE Calc'!$C$28))</f>
        <v>66.146555550000883</v>
      </c>
      <c r="T34">
        <f>IF(L34="","",O34/'[1]LOCH Calc COE Calc'!$C$28)</f>
        <v>62.520865765199424</v>
      </c>
      <c r="U34">
        <f>IF(L34="","",P34/'[1]LOCH Calc COE Calc'!$C$28)</f>
        <v>0.20454581114513862</v>
      </c>
      <c r="V34">
        <f>IF(L34="","",Q34/'[1]LOCH Calc COE Calc'!$C$28)</f>
        <v>3.2100000000000004</v>
      </c>
      <c r="W34">
        <f>IF(L34="","",R34/'[1]LOCH Calc COE Calc'!$C$28)</f>
        <v>0.21114397365631307</v>
      </c>
    </row>
    <row r="35" spans="12:23" x14ac:dyDescent="0.25">
      <c r="L35" s="4">
        <f>IF('[1]All Data '!BE40="","",'[1]All Data '!BE40)</f>
        <v>5.5000000000000007E-2</v>
      </c>
      <c r="M35">
        <f>IF('[1]All Data '!BF40="","",'[1]All Data '!BF40)</f>
        <v>4767.5627999999997</v>
      </c>
      <c r="N35" s="5">
        <f>IF('[1]All Data '!BB40="","",'[1]All Data '!BC40/'[1]All Data '!BH40)</f>
        <v>303454.40000000002</v>
      </c>
      <c r="O35" s="5">
        <f t="shared" si="1"/>
        <v>1446737908.9363201</v>
      </c>
      <c r="P35" s="5">
        <f>IF(M35="","",$C$2*(1-L35)*907.2/0.621371*N35*[1]Transportation!$M$40)</f>
        <v>4733206.6738992529</v>
      </c>
      <c r="Q35" s="5">
        <f>IF(L35="","",IF([1]Inputs_Outputs!$B$5="Herbaceous",(LCA!$E$29*'[1]LOCH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" s="5">
        <f>IF(M35="","",$E$2*1000*'[1]LOCH Calc COE Calc'!$C$44)</f>
        <v>4896457.3202133691</v>
      </c>
      <c r="S35" s="6">
        <f>IF(N35="","",SUM(O35:R35)/('[1]LOCH Calc COE Calc'!$C$28))</f>
        <v>66.011167526429503</v>
      </c>
      <c r="T35">
        <f>IF(L35="","",O35/'[1]LOCH Calc COE Calc'!$C$28)</f>
        <v>62.385919238182716</v>
      </c>
      <c r="U35">
        <f>IF(L35="","",P35/'[1]LOCH Calc COE Calc'!$C$28)</f>
        <v>0.20410431459047609</v>
      </c>
      <c r="V35">
        <f>IF(L35="","",Q35/'[1]LOCH Calc COE Calc'!$C$28)</f>
        <v>3.2100000000000004</v>
      </c>
      <c r="W35">
        <f>IF(L35="","",R35/'[1]LOCH Calc COE Calc'!$C$28)</f>
        <v>0.21114397365631307</v>
      </c>
    </row>
    <row r="36" spans="12:23" x14ac:dyDescent="0.25">
      <c r="L36" s="4">
        <f>IF('[1]All Data '!BE41="","",'[1]All Data '!BE41)</f>
        <v>5.4999999999999993E-2</v>
      </c>
      <c r="M36">
        <f>IF('[1]All Data '!BF41="","",'[1]All Data '!BF41)</f>
        <v>4767.5627999999997</v>
      </c>
      <c r="N36" s="5">
        <f>IF('[1]All Data '!BB41="","",'[1]All Data '!BC41/'[1]All Data '!BH41)</f>
        <v>303270.59999999998</v>
      </c>
      <c r="O36" s="5">
        <f t="shared" si="1"/>
        <v>1445861630.8936799</v>
      </c>
      <c r="P36" s="5">
        <f>IF(M36="","",$C$2*(1-L36)*907.2/0.621371*N36*[1]Transportation!$M$40)</f>
        <v>4730339.8069608826</v>
      </c>
      <c r="Q36" s="5">
        <f>IF(L36="","",IF([1]Inputs_Outputs!$B$5="Herbaceous",(LCA!$E$29*'[1]LOCH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" s="5">
        <f>IF(M36="","",$E$2*1000*'[1]LOCH Calc COE Calc'!$C$44)</f>
        <v>4896457.3202133691</v>
      </c>
      <c r="S36" s="6">
        <f>IF(N36="","",SUM(O36:R36)/('[1]LOCH Calc COE Calc'!$C$28))</f>
        <v>65.973257229762183</v>
      </c>
      <c r="T36">
        <f>IF(L36="","",O36/'[1]LOCH Calc COE Calc'!$C$28)</f>
        <v>62.348132565931529</v>
      </c>
      <c r="U36">
        <f>IF(L36="","",P36/'[1]LOCH Calc COE Calc'!$C$28)</f>
        <v>0.2039806901743472</v>
      </c>
      <c r="V36">
        <f>IF(L36="","",Q36/'[1]LOCH Calc COE Calc'!$C$28)</f>
        <v>3.2100000000000004</v>
      </c>
      <c r="W36">
        <f>IF(L36="","",R36/'[1]LOCH Calc COE Calc'!$C$28)</f>
        <v>0.21114397365631307</v>
      </c>
    </row>
    <row r="37" spans="12:23" x14ac:dyDescent="0.25">
      <c r="L37" s="4">
        <f>IF('[1]All Data '!BE42="","",'[1]All Data '!BE42)</f>
        <v>5.4999999999999993E-2</v>
      </c>
      <c r="M37">
        <f>IF('[1]All Data '!BF42="","",'[1]All Data '!BF42)</f>
        <v>4767.5627999999997</v>
      </c>
      <c r="N37" s="5">
        <f>IF('[1]All Data '!BB42="","",'[1]All Data '!BC42/'[1]All Data '!BH42)</f>
        <v>302425.59999999998</v>
      </c>
      <c r="O37" s="5">
        <f t="shared" si="1"/>
        <v>1441833040.3276799</v>
      </c>
      <c r="P37" s="5">
        <f>IF(M37="","",$C$2*(1-L37)*907.2/0.621371*N37*[1]Transportation!$M$40)</f>
        <v>4717159.7059656596</v>
      </c>
      <c r="Q37" s="5">
        <f>IF(L37="","",IF([1]Inputs_Outputs!$B$5="Herbaceous",(LCA!$E$29*'[1]LOCH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" s="5">
        <f>IF(M37="","",$E$2*1000*'[1]LOCH Calc COE Calc'!$C$44)</f>
        <v>4896457.3202133691</v>
      </c>
      <c r="S37" s="6">
        <f>IF(N37="","",SUM(O37:R37)/('[1]LOCH Calc COE Calc'!$C$28))</f>
        <v>65.798968869131755</v>
      </c>
      <c r="T37">
        <f>IF(L37="","",O37/'[1]LOCH Calc COE Calc'!$C$28)</f>
        <v>62.17441255476588</v>
      </c>
      <c r="U37">
        <f>IF(L37="","",P37/'[1]LOCH Calc COE Calc'!$C$28)</f>
        <v>0.20341234070955463</v>
      </c>
      <c r="V37">
        <f>IF(L37="","",Q37/'[1]LOCH Calc COE Calc'!$C$28)</f>
        <v>3.2100000000000004</v>
      </c>
      <c r="W37">
        <f>IF(L37="","",R37/'[1]LOCH Calc COE Calc'!$C$28)</f>
        <v>0.21114397365631307</v>
      </c>
    </row>
    <row r="38" spans="12:23" x14ac:dyDescent="0.25">
      <c r="L38" s="4">
        <f>IF('[1]All Data '!BE43="","",'[1]All Data '!BE43)</f>
        <v>5.5000000000000007E-2</v>
      </c>
      <c r="M38">
        <f>IF('[1]All Data '!BF43="","",'[1]All Data '!BF43)</f>
        <v>4767.5627999999997</v>
      </c>
      <c r="N38" s="5">
        <f>IF('[1]All Data '!BB43="","",'[1]All Data '!BC43/'[1]All Data '!BH43)</f>
        <v>301184.40000000002</v>
      </c>
      <c r="O38" s="5">
        <f t="shared" si="1"/>
        <v>1435915541.3803201</v>
      </c>
      <c r="P38" s="5">
        <f>IF(M38="","",$C$2*(1-L38)*907.2/0.621371*N38*[1]Transportation!$M$40)</f>
        <v>4697799.7753677061</v>
      </c>
      <c r="Q38" s="5">
        <f>IF(L38="","",IF([1]Inputs_Outputs!$B$5="Herbaceous",(LCA!$E$29*'[1]LOCH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" s="5">
        <f>IF(M38="","",$E$2*1000*'[1]LOCH Calc COE Calc'!$C$44)</f>
        <v>4896457.3202133691</v>
      </c>
      <c r="S38" s="6">
        <f>IF(N38="","",SUM(O38:R38)/('[1]LOCH Calc COE Calc'!$C$28))</f>
        <v>65.542960924499212</v>
      </c>
      <c r="T38">
        <f>IF(L38="","",O38/'[1]LOCH Calc COE Calc'!$C$28)</f>
        <v>61.919239444873817</v>
      </c>
      <c r="U38">
        <f>IF(L38="","",P38/'[1]LOCH Calc COE Calc'!$C$28)</f>
        <v>0.20257750596908064</v>
      </c>
      <c r="V38">
        <f>IF(L38="","",Q38/'[1]LOCH Calc COE Calc'!$C$28)</f>
        <v>3.2100000000000004</v>
      </c>
      <c r="W38">
        <f>IF(L38="","",R38/'[1]LOCH Calc COE Calc'!$C$28)</f>
        <v>0.21114397365631307</v>
      </c>
    </row>
    <row r="39" spans="12:23" x14ac:dyDescent="0.25">
      <c r="L39" s="4">
        <f>IF('[1]All Data '!BE44="","",'[1]All Data '!BE44)</f>
        <v>5.5E-2</v>
      </c>
      <c r="M39">
        <f>IF('[1]All Data '!BF44="","",'[1]All Data '!BF44)</f>
        <v>4767.5627999999997</v>
      </c>
      <c r="N39" s="5">
        <f>IF('[1]All Data '!BB44="","",'[1]All Data '!BC44/'[1]All Data '!BH44)</f>
        <v>300348.79999999999</v>
      </c>
      <c r="O39" s="5">
        <f t="shared" si="1"/>
        <v>1431931765.90464</v>
      </c>
      <c r="P39" s="5">
        <f>IF(M39="","",$C$2*(1-L39)*907.2/0.621371*N39*[1]Transportation!$M$40)</f>
        <v>4684766.2932474595</v>
      </c>
      <c r="Q39" s="5">
        <f>IF(L39="","",IF([1]Inputs_Outputs!$B$5="Herbaceous",(LCA!$E$29*'[1]LOCH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" s="5">
        <f>IF(M39="","",$E$2*1000*'[1]LOCH Calc COE Calc'!$C$44)</f>
        <v>4896457.3202133691</v>
      </c>
      <c r="S39" s="6">
        <f>IF(N39="","",SUM(O39:R39)/('[1]LOCH Calc COE Calc'!$C$28))</f>
        <v>65.37061139296928</v>
      </c>
      <c r="T39">
        <f>IF(L39="","",O39/'[1]LOCH Calc COE Calc'!$C$28)</f>
        <v>61.747451940341257</v>
      </c>
      <c r="U39">
        <f>IF(L39="","",P39/'[1]LOCH Calc COE Calc'!$C$28)</f>
        <v>0.20201547897170705</v>
      </c>
      <c r="V39">
        <f>IF(L39="","",Q39/'[1]LOCH Calc COE Calc'!$C$28)</f>
        <v>3.2100000000000004</v>
      </c>
      <c r="W39">
        <f>IF(L39="","",R39/'[1]LOCH Calc COE Calc'!$C$28)</f>
        <v>0.21114397365631307</v>
      </c>
    </row>
    <row r="40" spans="12:23" x14ac:dyDescent="0.25">
      <c r="L40" s="4">
        <f>IF('[1]All Data '!BE45="","",'[1]All Data '!BE45)</f>
        <v>5.4999999999999993E-2</v>
      </c>
      <c r="M40">
        <f>IF('[1]All Data '!BF45="","",'[1]All Data '!BF45)</f>
        <v>4767.5627999999997</v>
      </c>
      <c r="N40" s="5">
        <f>IF('[1]All Data '!BB45="","",'[1]All Data '!BC45/'[1]All Data '!BH45)</f>
        <v>299836</v>
      </c>
      <c r="O40" s="5">
        <f t="shared" si="1"/>
        <v>1429486959.7007999</v>
      </c>
      <c r="P40" s="5">
        <f>IF(M40="","",$C$2*(1-L40)*907.2/0.621371*N40*[1]Transportation!$M$40)</f>
        <v>4676767.7656849138</v>
      </c>
      <c r="Q40" s="5">
        <f>IF(L40="","",IF([1]Inputs_Outputs!$B$5="Herbaceous",(LCA!$E$29*'[1]LOCH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" s="5">
        <f>IF(M40="","",$E$2*1000*'[1]LOCH Calc COE Calc'!$C$44)</f>
        <v>4896457.3202133691</v>
      </c>
      <c r="S40" s="6">
        <f>IF(N40="","",SUM(O40:R40)/('[1]LOCH Calc COE Calc'!$C$28))</f>
        <v>65.264842077784323</v>
      </c>
      <c r="T40">
        <f>IF(L40="","",O40/'[1]LOCH Calc COE Calc'!$C$28)</f>
        <v>61.642027535932094</v>
      </c>
      <c r="U40">
        <f>IF(L40="","",P40/'[1]LOCH Calc COE Calc'!$C$28)</f>
        <v>0.20167056819591339</v>
      </c>
      <c r="V40">
        <f>IF(L40="","",Q40/'[1]LOCH Calc COE Calc'!$C$28)</f>
        <v>3.2100000000000004</v>
      </c>
      <c r="W40">
        <f>IF(L40="","",R40/'[1]LOCH Calc COE Calc'!$C$28)</f>
        <v>0.21114397365631307</v>
      </c>
    </row>
    <row r="41" spans="12:23" x14ac:dyDescent="0.25">
      <c r="L41" s="4">
        <f>IF('[1]All Data '!BE46="","",'[1]All Data '!BE46)</f>
        <v>5.5E-2</v>
      </c>
      <c r="M41">
        <f>IF('[1]All Data '!BF46="","",'[1]All Data '!BF46)</f>
        <v>4767.5627999999997</v>
      </c>
      <c r="N41" s="5">
        <f>IF('[1]All Data '!BB46="","",'[1]All Data '!BC46/'[1]All Data '!BH46)</f>
        <v>298364.2</v>
      </c>
      <c r="O41" s="5">
        <f t="shared" si="1"/>
        <v>1422470060.77176</v>
      </c>
      <c r="P41" s="5">
        <f>IF(M41="","",$C$2*(1-L41)*907.2/0.621371*N41*[1]Transportation!$M$40)</f>
        <v>4653810.9933242407</v>
      </c>
      <c r="Q41" s="5">
        <f>IF(L41="","",IF([1]Inputs_Outputs!$B$5="Herbaceous",(LCA!$E$29*'[1]LOCH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" s="5">
        <f>IF(M41="","",$E$2*1000*'[1]LOCH Calc COE Calc'!$C$44)</f>
        <v>4896457.3202133691</v>
      </c>
      <c r="S41" s="6">
        <f>IF(N41="","",SUM(O41:R41)/('[1]LOCH Calc COE Calc'!$C$28))</f>
        <v>64.961270942664939</v>
      </c>
      <c r="T41">
        <f>IF(L41="","",O41/'[1]LOCH Calc COE Calc'!$C$28)</f>
        <v>61.339446337785823</v>
      </c>
      <c r="U41">
        <f>IF(L41="","",P41/'[1]LOCH Calc COE Calc'!$C$28)</f>
        <v>0.20068063122279897</v>
      </c>
      <c r="V41">
        <f>IF(L41="","",Q41/'[1]LOCH Calc COE Calc'!$C$28)</f>
        <v>3.2100000000000004</v>
      </c>
      <c r="W41">
        <f>IF(L41="","",R41/'[1]LOCH Calc COE Calc'!$C$28)</f>
        <v>0.21114397365631307</v>
      </c>
    </row>
    <row r="42" spans="12:23" x14ac:dyDescent="0.25">
      <c r="L42" s="4">
        <f>IF('[1]All Data '!BE47="","",'[1]All Data '!BE47)</f>
        <v>5.5E-2</v>
      </c>
      <c r="M42">
        <f>IF('[1]All Data '!BF47="","",'[1]All Data '!BF47)</f>
        <v>4767.5627999999997</v>
      </c>
      <c r="N42" s="5">
        <f>IF('[1]All Data '!BB47="","",'[1]All Data '!BC47/'[1]All Data '!BH47)</f>
        <v>294837.2</v>
      </c>
      <c r="O42" s="5">
        <f t="shared" si="1"/>
        <v>1405654866.77616</v>
      </c>
      <c r="P42" s="5">
        <f>IF(M42="","",$C$2*(1-L42)*907.2/0.621371*N42*[1]Transportation!$M$40)</f>
        <v>4598797.7197027588</v>
      </c>
      <c r="Q42" s="5">
        <f>IF(L42="","",IF([1]Inputs_Outputs!$B$5="Herbaceous",(LCA!$E$29*'[1]LOCH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" s="5">
        <f>IF(M42="","",$E$2*1000*'[1]LOCH Calc COE Calc'!$C$44)</f>
        <v>4896457.3202133691</v>
      </c>
      <c r="S42" s="6">
        <f>IF(N42="","",SUM(O42:R42)/('[1]LOCH Calc COE Calc'!$C$28))</f>
        <v>64.23379751314593</v>
      </c>
      <c r="T42">
        <f>IF(L42="","",O42/'[1]LOCH Calc COE Calc'!$C$28)</f>
        <v>60.614345178754782</v>
      </c>
      <c r="U42">
        <f>IF(L42="","",P42/'[1]LOCH Calc COE Calc'!$C$28)</f>
        <v>0.19830836073484226</v>
      </c>
      <c r="V42">
        <f>IF(L42="","",Q42/'[1]LOCH Calc COE Calc'!$C$28)</f>
        <v>3.2100000000000004</v>
      </c>
      <c r="W42">
        <f>IF(L42="","",R42/'[1]LOCH Calc COE Calc'!$C$28)</f>
        <v>0.21114397365631307</v>
      </c>
    </row>
    <row r="43" spans="12:23" x14ac:dyDescent="0.25">
      <c r="L43" s="4">
        <f>IF('[1]All Data '!BE48="","",'[1]All Data '!BE48)</f>
        <v>5.5E-2</v>
      </c>
      <c r="M43">
        <f>IF('[1]All Data '!BF48="","",'[1]All Data '!BF48)</f>
        <v>4767.5627999999997</v>
      </c>
      <c r="N43" s="5">
        <f>IF('[1]All Data '!BB48="","",'[1]All Data '!BC48/'[1]All Data '!BH48)</f>
        <v>291957.40000000002</v>
      </c>
      <c r="O43" s="5">
        <f t="shared" si="1"/>
        <v>1391925239.42472</v>
      </c>
      <c r="P43" s="5">
        <f>IF(M43="","",$C$2*(1-L43)*907.2/0.621371*N43*[1]Transportation!$M$40)</f>
        <v>4553879.3116009319</v>
      </c>
      <c r="Q43" s="5">
        <f>IF(L43="","",IF([1]Inputs_Outputs!$B$5="Herbaceous",(LCA!$E$29*'[1]LOCH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" s="5">
        <f>IF(M43="","",$E$2*1000*'[1]LOCH Calc COE Calc'!$C$44)</f>
        <v>4896457.3202133691</v>
      </c>
      <c r="S43" s="6">
        <f>IF(N43="","",SUM(O43:R43)/('[1]LOCH Calc COE Calc'!$C$28))</f>
        <v>63.639814529780807</v>
      </c>
      <c r="T43">
        <f>IF(L43="","",O43/'[1]LOCH Calc COE Calc'!$C$28)</f>
        <v>60.022299157269778</v>
      </c>
      <c r="U43">
        <f>IF(L43="","",P43/'[1]LOCH Calc COE Calc'!$C$28)</f>
        <v>0.1963713988547125</v>
      </c>
      <c r="V43">
        <f>IF(L43="","",Q43/'[1]LOCH Calc COE Calc'!$C$28)</f>
        <v>3.2100000000000004</v>
      </c>
      <c r="W43">
        <f>IF(L43="","",R43/'[1]LOCH Calc COE Calc'!$C$28)</f>
        <v>0.21114397365631307</v>
      </c>
    </row>
    <row r="44" spans="12:23" x14ac:dyDescent="0.25">
      <c r="L44" s="4">
        <f>IF('[1]All Data '!BE49="","",'[1]All Data '!BE49)</f>
        <v>5.5E-2</v>
      </c>
      <c r="M44">
        <f>IF('[1]All Data '!BF49="","",'[1]All Data '!BF49)</f>
        <v>4767.5627999999997</v>
      </c>
      <c r="N44" s="5">
        <f>IF('[1]All Data '!BB49="","",'[1]All Data '!BC49/'[1]All Data '!BH49)</f>
        <v>291957.40000000002</v>
      </c>
      <c r="O44" s="5">
        <f t="shared" si="1"/>
        <v>1391925239.42472</v>
      </c>
      <c r="P44" s="5">
        <f>IF(M44="","",$C$2*(1-L44)*907.2/0.621371*N44*[1]Transportation!$M$40)</f>
        <v>4553879.3116009319</v>
      </c>
      <c r="Q44" s="5">
        <f>IF(L44="","",IF([1]Inputs_Outputs!$B$5="Herbaceous",(LCA!$E$29*'[1]LOCH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" s="5">
        <f>IF(M44="","",$E$2*1000*'[1]LOCH Calc COE Calc'!$C$44)</f>
        <v>4896457.3202133691</v>
      </c>
      <c r="S44" s="6">
        <f>IF(N44="","",SUM(O44:R44)/('[1]LOCH Calc COE Calc'!$C$28))</f>
        <v>63.639814529780807</v>
      </c>
      <c r="T44">
        <f>IF(L44="","",O44/'[1]LOCH Calc COE Calc'!$C$28)</f>
        <v>60.022299157269778</v>
      </c>
      <c r="U44">
        <f>IF(L44="","",P44/'[1]LOCH Calc COE Calc'!$C$28)</f>
        <v>0.1963713988547125</v>
      </c>
      <c r="V44">
        <f>IF(L44="","",Q44/'[1]LOCH Calc COE Calc'!$C$28)</f>
        <v>3.2100000000000004</v>
      </c>
      <c r="W44">
        <f>IF(L44="","",R44/'[1]LOCH Calc COE Calc'!$C$28)</f>
        <v>0.21114397365631307</v>
      </c>
    </row>
    <row r="45" spans="12:23" x14ac:dyDescent="0.25">
      <c r="L45" s="4">
        <f>IF('[1]All Data '!BE50="","",'[1]All Data '!BE50)</f>
        <v>5.5E-2</v>
      </c>
      <c r="M45">
        <f>IF('[1]All Data '!BF50="","",'[1]All Data '!BF50)</f>
        <v>4767.5627999999997</v>
      </c>
      <c r="N45" s="5">
        <f>IF('[1]All Data '!BB50="","",'[1]All Data '!BC50/'[1]All Data '!BH50)</f>
        <v>289823</v>
      </c>
      <c r="O45" s="5">
        <f t="shared" si="1"/>
        <v>1381749353.3843999</v>
      </c>
      <c r="P45" s="5">
        <f>IF(M45="","",$C$2*(1-L45)*907.2/0.621371*N45*[1]Transportation!$M$40)</f>
        <v>4520587.4683296829</v>
      </c>
      <c r="Q45" s="5">
        <f>IF(L45="","",IF([1]Inputs_Outputs!$B$5="Herbaceous",(LCA!$E$29*'[1]LOCH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" s="5">
        <f>IF(M45="","",$E$2*1000*'[1]LOCH Calc COE Calc'!$C$44)</f>
        <v>4896457.3202133691</v>
      </c>
      <c r="S45" s="6">
        <f>IF(N45="","",SUM(O45:R45)/('[1]LOCH Calc COE Calc'!$C$28))</f>
        <v>63.199576568917358</v>
      </c>
      <c r="T45">
        <f>IF(L45="","",O45/'[1]LOCH Calc COE Calc'!$C$28)</f>
        <v>59.58349680007219</v>
      </c>
      <c r="U45">
        <f>IF(L45="","",P45/'[1]LOCH Calc COE Calc'!$C$28)</f>
        <v>0.1949357951888506</v>
      </c>
      <c r="V45">
        <f>IF(L45="","",Q45/'[1]LOCH Calc COE Calc'!$C$28)</f>
        <v>3.2100000000000004</v>
      </c>
      <c r="W45">
        <f>IF(L45="","",R45/'[1]LOCH Calc COE Calc'!$C$28)</f>
        <v>0.21114397365631307</v>
      </c>
    </row>
    <row r="46" spans="12:23" x14ac:dyDescent="0.25">
      <c r="L46" s="4">
        <f>IF('[1]All Data '!BE51="","",'[1]All Data '!BE51)</f>
        <v>5.5E-2</v>
      </c>
      <c r="M46">
        <f>IF('[1]All Data '!BF51="","",'[1]All Data '!BF51)</f>
        <v>4767.5627999999997</v>
      </c>
      <c r="N46" s="5">
        <f>IF('[1]All Data '!BB51="","",'[1]All Data '!BC51/'[1]All Data '!BH51)</f>
        <v>289115</v>
      </c>
      <c r="O46" s="5">
        <f t="shared" si="1"/>
        <v>1378373918.9219999</v>
      </c>
      <c r="P46" s="5">
        <f>IF(M46="","",$C$2*(1-L46)*907.2/0.621371*N46*[1]Transportation!$M$40)</f>
        <v>4509544.259448478</v>
      </c>
      <c r="Q46" s="5">
        <f>IF(L46="","",IF([1]Inputs_Outputs!$B$5="Herbaceous",(LCA!$E$29*'[1]LOCH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" s="5">
        <f>IF(M46="","",$E$2*1000*'[1]LOCH Calc COE Calc'!$C$44)</f>
        <v>4896457.3202133691</v>
      </c>
      <c r="S46" s="6">
        <f>IF(N46="","",SUM(O46:R46)/('[1]LOCH Calc COE Calc'!$C$28))</f>
        <v>63.053545611134695</v>
      </c>
      <c r="T46">
        <f>IF(L46="","",O46/'[1]LOCH Calc COE Calc'!$C$28)</f>
        <v>59.437942045154706</v>
      </c>
      <c r="U46">
        <f>IF(L46="","",P46/'[1]LOCH Calc COE Calc'!$C$28)</f>
        <v>0.19445959232367527</v>
      </c>
      <c r="V46">
        <f>IF(L46="","",Q46/'[1]LOCH Calc COE Calc'!$C$28)</f>
        <v>3.2100000000000004</v>
      </c>
      <c r="W46">
        <f>IF(L46="","",R46/'[1]LOCH Calc COE Calc'!$C$28)</f>
        <v>0.21114397365631307</v>
      </c>
    </row>
    <row r="47" spans="12:23" x14ac:dyDescent="0.25">
      <c r="L47" s="4">
        <f>IF('[1]All Data '!BE52="","",'[1]All Data '!BE52)</f>
        <v>5.5000000000000007E-2</v>
      </c>
      <c r="M47">
        <f>IF('[1]All Data '!BF52="","",'[1]All Data '!BF52)</f>
        <v>4767.5627999999997</v>
      </c>
      <c r="N47" s="5">
        <f>IF('[1]All Data '!BB52="","",'[1]All Data '!BC52/'[1]All Data '!BH52)</f>
        <v>285650.2</v>
      </c>
      <c r="O47" s="5">
        <f t="shared" si="1"/>
        <v>1361855267.3325601</v>
      </c>
      <c r="P47" s="5">
        <f>IF(M47="","",$C$2*(1-L47)*907.2/0.621371*N47*[1]Transportation!$M$40)</f>
        <v>4455501.1660422664</v>
      </c>
      <c r="Q47" s="5">
        <f>IF(L47="","",IF([1]Inputs_Outputs!$B$5="Herbaceous",(LCA!$E$29*'[1]LOCH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" s="5">
        <f>IF(M47="","",$E$2*1000*'[1]LOCH Calc COE Calc'!$C$44)</f>
        <v>4896457.3202133691</v>
      </c>
      <c r="S47" s="6">
        <f>IF(N47="","",SUM(O47:R47)/('[1]LOCH Calc COE Calc'!$C$28))</f>
        <v>62.338901455025422</v>
      </c>
      <c r="T47">
        <f>IF(L47="","",O47/'[1]LOCH Calc COE Calc'!$C$28)</f>
        <v>58.725628323631952</v>
      </c>
      <c r="U47">
        <f>IF(L47="","",P47/'[1]LOCH Calc COE Calc'!$C$28)</f>
        <v>0.19212915773715067</v>
      </c>
      <c r="V47">
        <f>IF(L47="","",Q47/'[1]LOCH Calc COE Calc'!$C$28)</f>
        <v>3.2100000000000004</v>
      </c>
      <c r="W47">
        <f>IF(L47="","",R47/'[1]LOCH Calc COE Calc'!$C$28)</f>
        <v>0.21114397365631307</v>
      </c>
    </row>
    <row r="48" spans="12:23" x14ac:dyDescent="0.25">
      <c r="L48" s="4">
        <f>IF('[1]All Data '!BE53="","",'[1]All Data '!BE53)</f>
        <v>5.5E-2</v>
      </c>
      <c r="M48">
        <f>IF('[1]All Data '!BF53="","",'[1]All Data '!BF53)</f>
        <v>4767.5627999999997</v>
      </c>
      <c r="N48" s="5">
        <f>IF('[1]All Data '!BB53="","",'[1]All Data '!BC53/'[1]All Data '!BH53)</f>
        <v>284551.59999999998</v>
      </c>
      <c r="O48" s="5">
        <f t="shared" si="1"/>
        <v>1356617622.8404799</v>
      </c>
      <c r="P48" s="5">
        <f>IF(M48="","",$C$2*(1-L48)*907.2/0.621371*N48*[1]Transportation!$M$40)</f>
        <v>4438365.4749732092</v>
      </c>
      <c r="Q48" s="5">
        <f>IF(L48="","",IF([1]Inputs_Outputs!$B$5="Herbaceous",(LCA!$E$29*'[1]LOCH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" s="5">
        <f>IF(M48="","",$E$2*1000*'[1]LOCH Calc COE Calc'!$C$44)</f>
        <v>4896457.3202133691</v>
      </c>
      <c r="S48" s="6">
        <f>IF(N48="","",SUM(O48:R48)/('[1]LOCH Calc COE Calc'!$C$28))</f>
        <v>62.112305960364345</v>
      </c>
      <c r="T48">
        <f>IF(L48="","",O48/'[1]LOCH Calc COE Calc'!$C$28)</f>
        <v>58.499771750535402</v>
      </c>
      <c r="U48">
        <f>IF(L48="","",P48/'[1]LOCH Calc COE Calc'!$C$28)</f>
        <v>0.19139023617262857</v>
      </c>
      <c r="V48">
        <f>IF(L48="","",Q48/'[1]LOCH Calc COE Calc'!$C$28)</f>
        <v>3.2100000000000004</v>
      </c>
      <c r="W48">
        <f>IF(L48="","",R48/'[1]LOCH Calc COE Calc'!$C$28)</f>
        <v>0.21114397365631307</v>
      </c>
    </row>
    <row r="49" spans="12:23" x14ac:dyDescent="0.25">
      <c r="L49" s="4">
        <f>IF('[1]All Data '!BE54="","",'[1]All Data '!BE54)</f>
        <v>5.5E-2</v>
      </c>
      <c r="M49">
        <f>IF('[1]All Data '!BF54="","",'[1]All Data '!BF54)</f>
        <v>4767.5627999999997</v>
      </c>
      <c r="N49" s="5">
        <f>IF('[1]All Data '!BB54="","",'[1]All Data '!BC54/'[1]All Data '!BH54)</f>
        <v>284550.40000000002</v>
      </c>
      <c r="O49" s="5">
        <f t="shared" si="1"/>
        <v>1356611901.76512</v>
      </c>
      <c r="P49" s="5">
        <f>IF(M49="","",$C$2*(1-L49)*907.2/0.621371*N49*[1]Transportation!$M$40)</f>
        <v>4438346.7576700225</v>
      </c>
      <c r="Q49" s="5">
        <f>IF(L49="","",IF([1]Inputs_Outputs!$B$5="Herbaceous",(LCA!$E$29*'[1]LOCH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" s="5">
        <f>IF(M49="","",$E$2*1000*'[1]LOCH Calc COE Calc'!$C$44)</f>
        <v>4896457.3202133691</v>
      </c>
      <c r="S49" s="6">
        <f>IF(N49="","",SUM(O49:R49)/('[1]LOCH Calc COE Calc'!$C$28))</f>
        <v>62.11205845026641</v>
      </c>
      <c r="T49">
        <f>IF(L49="","",O49/'[1]LOCH Calc COE Calc'!$C$28)</f>
        <v>58.499525047560972</v>
      </c>
      <c r="U49">
        <f>IF(L49="","",P49/'[1]LOCH Calc COE Calc'!$C$28)</f>
        <v>0.19138942904912834</v>
      </c>
      <c r="V49">
        <f>IF(L49="","",Q49/'[1]LOCH Calc COE Calc'!$C$28)</f>
        <v>3.2100000000000004</v>
      </c>
      <c r="W49">
        <f>IF(L49="","",R49/'[1]LOCH Calc COE Calc'!$C$28)</f>
        <v>0.21114397365631307</v>
      </c>
    </row>
    <row r="50" spans="12:23" x14ac:dyDescent="0.25">
      <c r="L50" s="4">
        <f>IF('[1]All Data '!BE55="","",'[1]All Data '!BE55)</f>
        <v>5.5E-2</v>
      </c>
      <c r="M50">
        <f>IF('[1]All Data '!BF55="","",'[1]All Data '!BF55)</f>
        <v>4767.5627999999997</v>
      </c>
      <c r="N50" s="5">
        <f>IF('[1]All Data '!BB55="","",'[1]All Data '!BC55/'[1]All Data '!BH55)</f>
        <v>283825</v>
      </c>
      <c r="O50" s="5">
        <f t="shared" si="1"/>
        <v>1353153511.7099998</v>
      </c>
      <c r="P50" s="5">
        <f>IF(M50="","",$C$2*(1-L50)*907.2/0.621371*N50*[1]Transportation!$M$40)</f>
        <v>4427032.1478925841</v>
      </c>
      <c r="Q50" s="5">
        <f>IF(L50="","",IF([1]Inputs_Outputs!$B$5="Herbaceous",(LCA!$E$29*'[1]LOCH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" s="5">
        <f>IF(M50="","",$E$2*1000*'[1]LOCH Calc COE Calc'!$C$44)</f>
        <v>4896457.3202133691</v>
      </c>
      <c r="S50" s="6">
        <f>IF(N50="","",SUM(O50:R50)/('[1]LOCH Calc COE Calc'!$C$28))</f>
        <v>61.962438596063656</v>
      </c>
      <c r="T50">
        <f>IF(L50="","",O50/'[1]LOCH Calc COE Calc'!$C$28)</f>
        <v>58.35039309951415</v>
      </c>
      <c r="U50">
        <f>IF(L50="","",P50/'[1]LOCH Calc COE Calc'!$C$28)</f>
        <v>0.1909015228931987</v>
      </c>
      <c r="V50">
        <f>IF(L50="","",Q50/'[1]LOCH Calc COE Calc'!$C$28)</f>
        <v>3.2100000000000004</v>
      </c>
      <c r="W50">
        <f>IF(L50="","",R50/'[1]LOCH Calc COE Calc'!$C$28)</f>
        <v>0.21114397365631307</v>
      </c>
    </row>
    <row r="51" spans="12:23" x14ac:dyDescent="0.25">
      <c r="L51" s="4">
        <f>IF('[1]All Data '!BE56="","",'[1]All Data '!BE56)</f>
        <v>5.5000000000000007E-2</v>
      </c>
      <c r="M51">
        <f>IF('[1]All Data '!BF56="","",'[1]All Data '!BF56)</f>
        <v>4767.5627999999997</v>
      </c>
      <c r="N51" s="5">
        <f>IF('[1]All Data '!BB56="","",'[1]All Data '!BC56/'[1]All Data '!BH56)</f>
        <v>279633.59999999998</v>
      </c>
      <c r="O51" s="5">
        <f t="shared" si="1"/>
        <v>1333170748.9900799</v>
      </c>
      <c r="P51" s="5">
        <f>IF(M51="","",$C$2*(1-L51)*907.2/0.621371*N51*[1]Transportation!$M$40)</f>
        <v>4361655.7274057446</v>
      </c>
      <c r="Q51" s="5">
        <f>IF(L51="","",IF([1]Inputs_Outputs!$B$5="Herbaceous",(LCA!$E$29*'[1]LOCH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" s="5">
        <f>IF(M51="","",$E$2*1000*'[1]LOCH Calc COE Calc'!$C$44)</f>
        <v>4896457.3202133691</v>
      </c>
      <c r="S51" s="6">
        <f>IF(N51="","",SUM(O51:R51)/('[1]LOCH Calc COE Calc'!$C$28))</f>
        <v>61.097927075653701</v>
      </c>
      <c r="T51">
        <f>IF(L51="","",O51/'[1]LOCH Calc COE Calc'!$C$28)</f>
        <v>57.488700726970137</v>
      </c>
      <c r="U51">
        <f>IF(L51="","",P51/'[1]LOCH Calc COE Calc'!$C$28)</f>
        <v>0.18808237502724409</v>
      </c>
      <c r="V51">
        <f>IF(L51="","",Q51/'[1]LOCH Calc COE Calc'!$C$28)</f>
        <v>3.2100000000000004</v>
      </c>
      <c r="W51">
        <f>IF(L51="","",R51/'[1]LOCH Calc COE Calc'!$C$28)</f>
        <v>0.21114397365631307</v>
      </c>
    </row>
    <row r="52" spans="12:23" x14ac:dyDescent="0.25">
      <c r="L52" s="4">
        <f>IF('[1]All Data '!BE57="","",'[1]All Data '!BE57)</f>
        <v>5.5000000000000007E-2</v>
      </c>
      <c r="M52">
        <f>IF('[1]All Data '!BF57="","",'[1]All Data '!BF57)</f>
        <v>4767.5627999999997</v>
      </c>
      <c r="N52" s="5">
        <f>IF('[1]All Data '!BB57="","",'[1]All Data '!BC57/'[1]All Data '!BH57)</f>
        <v>274794</v>
      </c>
      <c r="O52" s="5">
        <f t="shared" si="1"/>
        <v>1310097652.0632</v>
      </c>
      <c r="P52" s="5">
        <f>IF(M52="","",$C$2*(1-L52)*907.2/0.621371*N52*[1]Transportation!$M$40)</f>
        <v>4286168.8436465953</v>
      </c>
      <c r="Q52" s="5">
        <f>IF(L52="","",IF([1]Inputs_Outputs!$B$5="Herbaceous",(LCA!$E$29*'[1]LOCH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" s="5">
        <f>IF(M52="","",$E$2*1000*'[1]LOCH Calc COE Calc'!$C$44)</f>
        <v>4896457.3202133691</v>
      </c>
      <c r="S52" s="6">
        <f>IF(N52="","",SUM(O52:R52)/('[1]LOCH Calc COE Calc'!$C$28))</f>
        <v>60.099718850674918</v>
      </c>
      <c r="T52">
        <f>IF(L52="","",O52/'[1]LOCH Calc COE Calc'!$C$28)</f>
        <v>56.493747631068061</v>
      </c>
      <c r="U52">
        <f>IF(L52="","",P52/'[1]LOCH Calc COE Calc'!$C$28)</f>
        <v>0.18482724595054575</v>
      </c>
      <c r="V52">
        <f>IF(L52="","",Q52/'[1]LOCH Calc COE Calc'!$C$28)</f>
        <v>3.2100000000000004</v>
      </c>
      <c r="W52">
        <f>IF(L52="","",R52/'[1]LOCH Calc COE Calc'!$C$28)</f>
        <v>0.21114397365631307</v>
      </c>
    </row>
    <row r="53" spans="12:23" x14ac:dyDescent="0.25">
      <c r="L53" s="4">
        <f>IF('[1]All Data '!BE58="","",'[1]All Data '!BE58)</f>
        <v>5.5E-2</v>
      </c>
      <c r="M53">
        <f>IF('[1]All Data '!BF58="","",'[1]All Data '!BF58)</f>
        <v>4767.5627999999997</v>
      </c>
      <c r="N53" s="5">
        <f>IF('[1]All Data '!BB58="","",'[1]All Data '!BC58/'[1]All Data '!BH58)</f>
        <v>269703.2</v>
      </c>
      <c r="O53" s="5">
        <f t="shared" si="1"/>
        <v>1285826943.36096</v>
      </c>
      <c r="P53" s="5">
        <f>IF(M53="","",$C$2*(1-L53)*907.2/0.621371*N53*[1]Transportation!$M$40)</f>
        <v>4206763.8044199878</v>
      </c>
      <c r="Q53" s="5">
        <f>IF(L53="","",IF([1]Inputs_Outputs!$B$5="Herbaceous",(LCA!$E$29*'[1]LOCH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" s="5">
        <f>IF(M53="","",$E$2*1000*'[1]LOCH Calc COE Calc'!$C$44)</f>
        <v>4896457.3202133691</v>
      </c>
      <c r="S53" s="6">
        <f>IF(N53="","",SUM(O53:R53)/('[1]LOCH Calc COE Calc'!$C$28))</f>
        <v>59.049698511861386</v>
      </c>
      <c r="T53">
        <f>IF(L53="","",O53/'[1]LOCH Calc COE Calc'!$C$28)</f>
        <v>55.447151379183957</v>
      </c>
      <c r="U53">
        <f>IF(L53="","",P53/'[1]LOCH Calc COE Calc'!$C$28)</f>
        <v>0.18140315902111842</v>
      </c>
      <c r="V53">
        <f>IF(L53="","",Q53/'[1]LOCH Calc COE Calc'!$C$28)</f>
        <v>3.2100000000000004</v>
      </c>
      <c r="W53">
        <f>IF(L53="","",R53/'[1]LOCH Calc COE Calc'!$C$28)</f>
        <v>0.21114397365631307</v>
      </c>
    </row>
    <row r="54" spans="12:23" x14ac:dyDescent="0.25">
      <c r="L54" s="4">
        <f>IF('[1]All Data '!BE59="","",'[1]All Data '!BE59)</f>
        <v>5.5E-2</v>
      </c>
      <c r="M54">
        <f>IF('[1]All Data '!BF59="","",'[1]All Data '!BF59)</f>
        <v>4767.5627999999997</v>
      </c>
      <c r="N54" s="5">
        <f>IF('[1]All Data '!BB59="","",'[1]All Data '!BC59/'[1]All Data '!BH59)</f>
        <v>268829.2</v>
      </c>
      <c r="O54" s="5">
        <f t="shared" si="1"/>
        <v>1281660093.4737599</v>
      </c>
      <c r="P54" s="5">
        <f>IF(M54="","",$C$2*(1-L54)*907.2/0.621371*N54*[1]Transportation!$M$40)</f>
        <v>4193131.36859771</v>
      </c>
      <c r="Q54" s="5">
        <f>IF(L54="","",IF([1]Inputs_Outputs!$B$5="Herbaceous",(LCA!$E$29*'[1]LOCH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" s="5">
        <f>IF(M54="","",$E$2*1000*'[1]LOCH Calc COE Calc'!$C$44)</f>
        <v>4896457.3202133691</v>
      </c>
      <c r="S54" s="6">
        <f>IF(N54="","",SUM(O54:R54)/('[1]LOCH Calc COE Calc'!$C$28))</f>
        <v>58.869428657197474</v>
      </c>
      <c r="T54">
        <f>IF(L54="","",O54/'[1]LOCH Calc COE Calc'!$C$28)</f>
        <v>55.267469379469425</v>
      </c>
      <c r="U54">
        <f>IF(L54="","",P54/'[1]LOCH Calc COE Calc'!$C$28)</f>
        <v>0.18081530407173535</v>
      </c>
      <c r="V54">
        <f>IF(L54="","",Q54/'[1]LOCH Calc COE Calc'!$C$28)</f>
        <v>3.2100000000000004</v>
      </c>
      <c r="W54">
        <f>IF(L54="","",R54/'[1]LOCH Calc COE Calc'!$C$28)</f>
        <v>0.21114397365631307</v>
      </c>
    </row>
    <row r="55" spans="12:23" x14ac:dyDescent="0.25">
      <c r="L55" s="4">
        <f>IF('[1]All Data '!BE60="","",'[1]All Data '!BE60)</f>
        <v>5.5E-2</v>
      </c>
      <c r="M55">
        <f>IF('[1]All Data '!BF60="","",'[1]All Data '!BF60)</f>
        <v>4767.5627999999997</v>
      </c>
      <c r="N55" s="5">
        <f>IF('[1]All Data '!BB60="","",'[1]All Data '!BC60/'[1]All Data '!BH60)</f>
        <v>331047.5</v>
      </c>
      <c r="O55" s="5">
        <f t="shared" si="1"/>
        <v>1578289746.033</v>
      </c>
      <c r="P55" s="5">
        <f>IF(M55="","",$C$2*(1-L55)*907.2/0.621371*N55*[1]Transportation!$M$40)</f>
        <v>5163597.0227410207</v>
      </c>
      <c r="Q55" s="5">
        <f>IF(L55="","",IF([1]Inputs_Outputs!$B$5="Herbaceous",(LCA!$E$29*'[1]LOCH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" s="5">
        <f>IF(M55="","",$E$2*1000*'[1]LOCH Calc COE Calc'!$C$44)</f>
        <v>4896457.3202133691</v>
      </c>
      <c r="S55" s="6">
        <f>IF(N55="","",SUM(O55:R55)/('[1]LOCH Calc COE Calc'!$C$28))</f>
        <v>71.702476595910866</v>
      </c>
      <c r="T55">
        <f>IF(L55="","",O55/'[1]LOCH Calc COE Calc'!$C$28)</f>
        <v>68.058669108117371</v>
      </c>
      <c r="U55">
        <f>IF(L55="","",P55/'[1]LOCH Calc COE Calc'!$C$28)</f>
        <v>0.2226635141371838</v>
      </c>
      <c r="V55">
        <f>IF(L55="","",Q55/'[1]LOCH Calc COE Calc'!$C$28)</f>
        <v>3.2100000000000004</v>
      </c>
      <c r="W55">
        <f>IF(L55="","",R55/'[1]LOCH Calc COE Calc'!$C$28)</f>
        <v>0.21114397365631307</v>
      </c>
    </row>
    <row r="56" spans="12:23" x14ac:dyDescent="0.25">
      <c r="L56" s="4">
        <f>IF('[1]All Data '!BE61="","",'[1]All Data '!BE61)</f>
        <v>5.5E-2</v>
      </c>
      <c r="M56">
        <f>IF('[1]All Data '!BF61="","",'[1]All Data '!BF61)</f>
        <v>4767.5627999999997</v>
      </c>
      <c r="N56" s="5">
        <f>IF('[1]All Data '!BB61="","",'[1]All Data '!BC61/'[1]All Data '!BH61)</f>
        <v>331046.75</v>
      </c>
      <c r="O56" s="5">
        <f t="shared" si="1"/>
        <v>1578286170.3608999</v>
      </c>
      <c r="P56" s="5">
        <f>IF(M56="","",$C$2*(1-L56)*907.2/0.621371*N56*[1]Transportation!$M$40)</f>
        <v>5163585.3244265281</v>
      </c>
      <c r="Q56" s="5">
        <f>IF(L56="","",IF([1]Inputs_Outputs!$B$5="Herbaceous",(LCA!$E$29*'[1]LOCH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" s="5">
        <f>IF(M56="","",$E$2*1000*'[1]LOCH Calc COE Calc'!$C$44)</f>
        <v>4896457.3202133691</v>
      </c>
      <c r="S56" s="6">
        <f>IF(N56="","",SUM(O56:R56)/('[1]LOCH Calc COE Calc'!$C$28))</f>
        <v>71.702321902099655</v>
      </c>
      <c r="T56">
        <f>IF(L56="","",O56/'[1]LOCH Calc COE Calc'!$C$28)</f>
        <v>68.058514918758348</v>
      </c>
      <c r="U56">
        <f>IF(L56="","",P56/'[1]LOCH Calc COE Calc'!$C$28)</f>
        <v>0.22266300968499611</v>
      </c>
      <c r="V56">
        <f>IF(L56="","",Q56/'[1]LOCH Calc COE Calc'!$C$28)</f>
        <v>3.2100000000000004</v>
      </c>
      <c r="W56">
        <f>IF(L56="","",R56/'[1]LOCH Calc COE Calc'!$C$28)</f>
        <v>0.21114397365631307</v>
      </c>
    </row>
    <row r="57" spans="12:23" x14ac:dyDescent="0.25">
      <c r="L57" s="4">
        <f>IF('[1]All Data '!BE62="","",'[1]All Data '!BE62)</f>
        <v>5.5000000000000007E-2</v>
      </c>
      <c r="M57">
        <f>IF('[1]All Data '!BF62="","",'[1]All Data '!BF62)</f>
        <v>4767.5627999999997</v>
      </c>
      <c r="N57" s="5">
        <f>IF('[1]All Data '!BB62="","",'[1]All Data '!BC62/'[1]All Data '!BH62)</f>
        <v>328673.75</v>
      </c>
      <c r="O57" s="5">
        <f t="shared" si="1"/>
        <v>1566972743.8364999</v>
      </c>
      <c r="P57" s="5">
        <f>IF(M57="","",$C$2*(1-L57)*907.2/0.621371*N57*[1]Transportation!$M$40)</f>
        <v>5126571.8573713033</v>
      </c>
      <c r="Q57" s="5">
        <f>IF(L57="","",IF([1]Inputs_Outputs!$B$5="Herbaceous",(LCA!$E$29*'[1]LOCH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" s="5">
        <f>IF(M57="","",$E$2*1000*'[1]LOCH Calc COE Calc'!$C$44)</f>
        <v>4896457.3202133691</v>
      </c>
      <c r="S57" s="6">
        <f>IF(N57="","",SUM(O57:R57)/('[1]LOCH Calc COE Calc'!$C$28))</f>
        <v>71.212870683429799</v>
      </c>
      <c r="T57">
        <f>IF(L57="","",O57/'[1]LOCH Calc COE Calc'!$C$28)</f>
        <v>67.570659786810324</v>
      </c>
      <c r="U57">
        <f>IF(L57="","",P57/'[1]LOCH Calc COE Calc'!$C$28)</f>
        <v>0.2210669229631585</v>
      </c>
      <c r="V57">
        <f>IF(L57="","",Q57/'[1]LOCH Calc COE Calc'!$C$28)</f>
        <v>3.2100000000000004</v>
      </c>
      <c r="W57">
        <f>IF(L57="","",R57/'[1]LOCH Calc COE Calc'!$C$28)</f>
        <v>0.21114397365631307</v>
      </c>
    </row>
    <row r="58" spans="12:23" x14ac:dyDescent="0.25">
      <c r="L58" s="4">
        <f>IF('[1]All Data '!BE63="","",'[1]All Data '!BE63)</f>
        <v>5.4999999999999993E-2</v>
      </c>
      <c r="M58">
        <f>IF('[1]All Data '!BF63="","",'[1]All Data '!BF63)</f>
        <v>4767.5627999999997</v>
      </c>
      <c r="N58" s="5">
        <f>IF('[1]All Data '!BB63="","",'[1]All Data '!BC63/'[1]All Data '!BH63)</f>
        <v>325970.5</v>
      </c>
      <c r="O58" s="5">
        <f t="shared" si="1"/>
        <v>1554084829.6973999</v>
      </c>
      <c r="P58" s="5">
        <f>IF(M58="","",$C$2*(1-L58)*907.2/0.621371*N58*[1]Transportation!$M$40)</f>
        <v>5084407.2325010821</v>
      </c>
      <c r="Q58" s="5">
        <f>IF(L58="","",IF([1]Inputs_Outputs!$B$5="Herbaceous",(LCA!$E$29*'[1]LOCH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" s="5">
        <f>IF(M58="","",$E$2*1000*'[1]LOCH Calc COE Calc'!$C$44)</f>
        <v>4896457.3202133691</v>
      </c>
      <c r="S58" s="6">
        <f>IF(N58="","",SUM(O58:R58)/('[1]LOCH Calc COE Calc'!$C$28))</f>
        <v>70.655302623223591</v>
      </c>
      <c r="T58">
        <f>IF(L58="","",O58/'[1]LOCH Calc COE Calc'!$C$28)</f>
        <v>67.014909940439281</v>
      </c>
      <c r="U58">
        <f>IF(L58="","",P58/'[1]LOCH Calc COE Calc'!$C$28)</f>
        <v>0.21924870912800995</v>
      </c>
      <c r="V58">
        <f>IF(L58="","",Q58/'[1]LOCH Calc COE Calc'!$C$28)</f>
        <v>3.2100000000000004</v>
      </c>
      <c r="W58">
        <f>IF(L58="","",R58/'[1]LOCH Calc COE Calc'!$C$28)</f>
        <v>0.21114397365631307</v>
      </c>
    </row>
    <row r="59" spans="12:23" x14ac:dyDescent="0.25">
      <c r="L59" s="4">
        <f>IF('[1]All Data '!BE64="","",'[1]All Data '!BE64)</f>
        <v>5.5E-2</v>
      </c>
      <c r="M59">
        <f>IF('[1]All Data '!BF64="","",'[1]All Data '!BF64)</f>
        <v>4767.5627999999997</v>
      </c>
      <c r="N59" s="5">
        <f>IF('[1]All Data '!BB64="","",'[1]All Data '!BC64/'[1]All Data '!BH64)</f>
        <v>325613.5</v>
      </c>
      <c r="O59" s="5">
        <f t="shared" si="1"/>
        <v>1552382809.7777998</v>
      </c>
      <c r="P59" s="5">
        <f>IF(M59="","",$C$2*(1-L59)*907.2/0.621371*N59*[1]Transportation!$M$40)</f>
        <v>5078838.8348025084</v>
      </c>
      <c r="Q59" s="5">
        <f>IF(L59="","",IF([1]Inputs_Outputs!$B$5="Herbaceous",(LCA!$E$29*'[1]LOCH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" s="5">
        <f>IF(M59="","",$E$2*1000*'[1]LOCH Calc COE Calc'!$C$44)</f>
        <v>4896457.3202133691</v>
      </c>
      <c r="S59" s="6">
        <f>IF(N59="","",SUM(O59:R59)/('[1]LOCH Calc COE Calc'!$C$28))</f>
        <v>70.581668369087424</v>
      </c>
      <c r="T59">
        <f>IF(L59="","",O59/'[1]LOCH Calc COE Calc'!$C$28)</f>
        <v>66.941515805544441</v>
      </c>
      <c r="U59">
        <f>IF(L59="","",P59/'[1]LOCH Calc COE Calc'!$C$28)</f>
        <v>0.21900858988667155</v>
      </c>
      <c r="V59">
        <f>IF(L59="","",Q59/'[1]LOCH Calc COE Calc'!$C$28)</f>
        <v>3.2100000000000004</v>
      </c>
      <c r="W59">
        <f>IF(L59="","",R59/'[1]LOCH Calc COE Calc'!$C$28)</f>
        <v>0.21114397365631307</v>
      </c>
    </row>
    <row r="60" spans="12:23" x14ac:dyDescent="0.25">
      <c r="L60" s="4">
        <f>IF('[1]All Data '!BE65="","",'[1]All Data '!BE65)</f>
        <v>5.5E-2</v>
      </c>
      <c r="M60">
        <f>IF('[1]All Data '!BF65="","",'[1]All Data '!BF65)</f>
        <v>4767.5627999999997</v>
      </c>
      <c r="N60" s="5">
        <f>IF('[1]All Data '!BB65="","",'[1]All Data '!BC65/'[1]All Data '!BH65)</f>
        <v>325510.5</v>
      </c>
      <c r="O60" s="5">
        <f t="shared" si="1"/>
        <v>1551891750.8093998</v>
      </c>
      <c r="P60" s="5">
        <f>IF(M60="","",$C$2*(1-L60)*907.2/0.621371*N60*[1]Transportation!$M$40)</f>
        <v>5077232.2662788304</v>
      </c>
      <c r="Q60" s="5">
        <f>IF(L60="","",IF([1]Inputs_Outputs!$B$5="Herbaceous",(LCA!$E$29*'[1]LOCH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" s="5">
        <f>IF(M60="","",$E$2*1000*'[1]LOCH Calc COE Calc'!$C$44)</f>
        <v>4896457.3202133691</v>
      </c>
      <c r="S60" s="6">
        <f>IF(N60="","",SUM(O60:R60)/('[1]LOCH Calc COE Calc'!$C$28))</f>
        <v>70.560423752347859</v>
      </c>
      <c r="T60">
        <f>IF(L60="","",O60/'[1]LOCH Calc COE Calc'!$C$28)</f>
        <v>66.920340466905316</v>
      </c>
      <c r="U60">
        <f>IF(L60="","",P60/'[1]LOCH Calc COE Calc'!$C$28)</f>
        <v>0.21893931178622938</v>
      </c>
      <c r="V60">
        <f>IF(L60="","",Q60/'[1]LOCH Calc COE Calc'!$C$28)</f>
        <v>3.2100000000000004</v>
      </c>
      <c r="W60">
        <f>IF(L60="","",R60/'[1]LOCH Calc COE Calc'!$C$28)</f>
        <v>0.21114397365631307</v>
      </c>
    </row>
    <row r="61" spans="12:23" x14ac:dyDescent="0.25">
      <c r="L61" s="4">
        <f>IF('[1]All Data '!BE66="","",'[1]All Data '!BE66)</f>
        <v>5.5E-2</v>
      </c>
      <c r="M61">
        <f>IF('[1]All Data '!BF66="","",'[1]All Data '!BF66)</f>
        <v>4767.5627999999997</v>
      </c>
      <c r="N61" s="5">
        <f>IF('[1]All Data '!BB66="","",'[1]All Data '!BC66/'[1]All Data '!BH66)</f>
        <v>325510.5</v>
      </c>
      <c r="O61" s="5">
        <f t="shared" si="1"/>
        <v>1551891750.8093998</v>
      </c>
      <c r="P61" s="5">
        <f>IF(M61="","",$C$2*(1-L61)*907.2/0.621371*N61*[1]Transportation!$M$40)</f>
        <v>5077232.2662788304</v>
      </c>
      <c r="Q61" s="5">
        <f>IF(L61="","",IF([1]Inputs_Outputs!$B$5="Herbaceous",(LCA!$E$29*'[1]LOCH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" s="5">
        <f>IF(M61="","",$E$2*1000*'[1]LOCH Calc COE Calc'!$C$44)</f>
        <v>4896457.3202133691</v>
      </c>
      <c r="S61" s="6">
        <f>IF(N61="","",SUM(O61:R61)/('[1]LOCH Calc COE Calc'!$C$28))</f>
        <v>70.560423752347859</v>
      </c>
      <c r="T61">
        <f>IF(L61="","",O61/'[1]LOCH Calc COE Calc'!$C$28)</f>
        <v>66.920340466905316</v>
      </c>
      <c r="U61">
        <f>IF(L61="","",P61/'[1]LOCH Calc COE Calc'!$C$28)</f>
        <v>0.21893931178622938</v>
      </c>
      <c r="V61">
        <f>IF(L61="","",Q61/'[1]LOCH Calc COE Calc'!$C$28)</f>
        <v>3.2100000000000004</v>
      </c>
      <c r="W61">
        <f>IF(L61="","",R61/'[1]LOCH Calc COE Calc'!$C$28)</f>
        <v>0.21114397365631307</v>
      </c>
    </row>
    <row r="62" spans="12:23" x14ac:dyDescent="0.25">
      <c r="L62" s="4">
        <f>IF('[1]All Data '!BE67="","",'[1]All Data '!BE67)</f>
        <v>5.5000000000000007E-2</v>
      </c>
      <c r="M62">
        <f>IF('[1]All Data '!BF67="","",'[1]All Data '!BF67)</f>
        <v>4767.5627999999997</v>
      </c>
      <c r="N62" s="5">
        <f>IF('[1]All Data '!BB67="","",'[1]All Data '!BC67/'[1]All Data '!BH67)</f>
        <v>323461.75</v>
      </c>
      <c r="O62" s="5">
        <f t="shared" si="1"/>
        <v>1542124206.5228999</v>
      </c>
      <c r="P62" s="5">
        <f>IF(M62="","",$C$2*(1-L62)*907.2/0.621371*N62*[1]Transportation!$M$40)</f>
        <v>5045276.3705226602</v>
      </c>
      <c r="Q62" s="5">
        <f>IF(L62="","",IF([1]Inputs_Outputs!$B$5="Herbaceous",(LCA!$E$29*'[1]LOCH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" s="5">
        <f>IF(M62="","",$E$2*1000*'[1]LOCH Calc COE Calc'!$C$44)</f>
        <v>4896457.3202133691</v>
      </c>
      <c r="S62" s="6">
        <f>IF(N62="","",SUM(O62:R62)/('[1]LOCH Calc COE Calc'!$C$28))</f>
        <v>70.137851824724649</v>
      </c>
      <c r="T62">
        <f>IF(L62="","",O62/'[1]LOCH Calc COE Calc'!$C$28)</f>
        <v>66.499146534508128</v>
      </c>
      <c r="U62">
        <f>IF(L62="","",P62/'[1]LOCH Calc COE Calc'!$C$28)</f>
        <v>0.21756131656020122</v>
      </c>
      <c r="V62">
        <f>IF(L62="","",Q62/'[1]LOCH Calc COE Calc'!$C$28)</f>
        <v>3.2100000000000004</v>
      </c>
      <c r="W62">
        <f>IF(L62="","",R62/'[1]LOCH Calc COE Calc'!$C$28)</f>
        <v>0.21114397365631307</v>
      </c>
    </row>
    <row r="63" spans="12:23" x14ac:dyDescent="0.25">
      <c r="L63" s="4">
        <f>IF('[1]All Data '!BE68="","",'[1]All Data '!BE68)</f>
        <v>5.5E-2</v>
      </c>
      <c r="M63">
        <f>IF('[1]All Data '!BF68="","",'[1]All Data '!BF68)</f>
        <v>4767.5627999999997</v>
      </c>
      <c r="N63" s="5">
        <f>IF('[1]All Data '!BB68="","",'[1]All Data '!BC68/'[1]All Data '!BH68)</f>
        <v>319944.75</v>
      </c>
      <c r="O63" s="5">
        <f t="shared" si="1"/>
        <v>1525356688.1552999</v>
      </c>
      <c r="P63" s="5">
        <f>IF(M63="","",$C$2*(1-L63)*907.2/0.621371*N63*[1]Transportation!$M$40)</f>
        <v>4990419.074427749</v>
      </c>
      <c r="Q63" s="5">
        <f>IF(L63="","",IF([1]Inputs_Outputs!$B$5="Herbaceous",(LCA!$E$29*'[1]LOCH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" s="5">
        <f>IF(M63="","",$E$2*1000*'[1]LOCH Calc COE Calc'!$C$44)</f>
        <v>4896457.3202133691</v>
      </c>
      <c r="S63" s="6">
        <f>IF(N63="","",SUM(O63:R63)/('[1]LOCH Calc COE Calc'!$C$28))</f>
        <v>69.412440979355125</v>
      </c>
      <c r="T63">
        <f>IF(L63="","",O63/'[1]LOCH Calc COE Calc'!$C$28)</f>
        <v>65.776101233597387</v>
      </c>
      <c r="U63">
        <f>IF(L63="","",P63/'[1]LOCH Calc COE Calc'!$C$28)</f>
        <v>0.21519577210141366</v>
      </c>
      <c r="V63">
        <f>IF(L63="","",Q63/'[1]LOCH Calc COE Calc'!$C$28)</f>
        <v>3.2100000000000004</v>
      </c>
      <c r="W63">
        <f>IF(L63="","",R63/'[1]LOCH Calc COE Calc'!$C$28)</f>
        <v>0.21114397365631307</v>
      </c>
    </row>
    <row r="64" spans="12:23" x14ac:dyDescent="0.25">
      <c r="L64" s="4">
        <f>IF('[1]All Data '!BE69="","",'[1]All Data '!BE69)</f>
        <v>5.5E-2</v>
      </c>
      <c r="M64">
        <f>IF('[1]All Data '!BF69="","",'[1]All Data '!BF69)</f>
        <v>4767.5627999999997</v>
      </c>
      <c r="N64" s="5">
        <f>IF('[1]All Data '!BB69="","",'[1]All Data '!BC69/'[1]All Data '!BH69)</f>
        <v>318454.25</v>
      </c>
      <c r="O64" s="5">
        <f t="shared" si="1"/>
        <v>1518250635.8018999</v>
      </c>
      <c r="P64" s="5">
        <f>IF(M64="","",$C$2*(1-L64)*907.2/0.621371*N64*[1]Transportation!$M$40)</f>
        <v>4967170.624092387</v>
      </c>
      <c r="Q64" s="5">
        <f>IF(L64="","",IF([1]Inputs_Outputs!$B$5="Herbaceous",(LCA!$E$29*'[1]LOCH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" s="5">
        <f>IF(M64="","",$E$2*1000*'[1]LOCH Calc COE Calc'!$C$44)</f>
        <v>4896457.3202133691</v>
      </c>
      <c r="S64" s="6">
        <f>IF(N64="","",SUM(O64:R64)/('[1]LOCH Calc COE Calc'!$C$28))</f>
        <v>69.105012811876222</v>
      </c>
      <c r="T64">
        <f>IF(L64="","",O64/'[1]LOCH Calc COE Calc'!$C$28)</f>
        <v>65.469675580766165</v>
      </c>
      <c r="U64">
        <f>IF(L64="","",P64/'[1]LOCH Calc COE Calc'!$C$28)</f>
        <v>0.21419325745375287</v>
      </c>
      <c r="V64">
        <f>IF(L64="","",Q64/'[1]LOCH Calc COE Calc'!$C$28)</f>
        <v>3.2100000000000004</v>
      </c>
      <c r="W64">
        <f>IF(L64="","",R64/'[1]LOCH Calc COE Calc'!$C$28)</f>
        <v>0.21114397365631307</v>
      </c>
    </row>
    <row r="65" spans="12:23" x14ac:dyDescent="0.25">
      <c r="L65" s="4">
        <f>IF('[1]All Data '!BE70="","",'[1]All Data '!BE70)</f>
        <v>5.5000000000000007E-2</v>
      </c>
      <c r="M65">
        <f>IF('[1]All Data '!BF70="","",'[1]All Data '!BF70)</f>
        <v>4767.5627999999997</v>
      </c>
      <c r="N65" s="5">
        <f>IF('[1]All Data '!BB70="","",'[1]All Data '!BC70/'[1]All Data '!BH70)</f>
        <v>315456.5</v>
      </c>
      <c r="O65" s="5">
        <f t="shared" si="1"/>
        <v>1503958674.4182</v>
      </c>
      <c r="P65" s="5">
        <f>IF(M65="","",$C$2*(1-L65)*907.2/0.621371*N65*[1]Transportation!$M$40)</f>
        <v>4920412.4610646591</v>
      </c>
      <c r="Q65" s="5">
        <f>IF(L65="","",IF([1]Inputs_Outputs!$B$5="Herbaceous",(LCA!$E$29*'[1]LOCH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" s="5">
        <f>IF(M65="","",$E$2*1000*'[1]LOCH Calc COE Calc'!$C$44)</f>
        <v>4896457.3202133691</v>
      </c>
      <c r="S65" s="6">
        <f>IF(N65="","",SUM(O65:R65)/('[1]LOCH Calc COE Calc'!$C$28))</f>
        <v>68.48670164846807</v>
      </c>
      <c r="T65">
        <f>IF(L65="","",O65/'[1]LOCH Calc COE Calc'!$C$28)</f>
        <v>64.853380712752184</v>
      </c>
      <c r="U65">
        <f>IF(L65="","",P65/'[1]LOCH Calc COE Calc'!$C$28)</f>
        <v>0.21217696205957307</v>
      </c>
      <c r="V65">
        <f>IF(L65="","",Q65/'[1]LOCH Calc COE Calc'!$C$28)</f>
        <v>3.2100000000000004</v>
      </c>
      <c r="W65">
        <f>IF(L65="","",R65/'[1]LOCH Calc COE Calc'!$C$28)</f>
        <v>0.21114397365631307</v>
      </c>
    </row>
    <row r="66" spans="12:23" x14ac:dyDescent="0.25">
      <c r="L66" s="4">
        <f>IF('[1]All Data '!BE71="","",'[1]All Data '!BE71)</f>
        <v>5.4999999999999993E-2</v>
      </c>
      <c r="M66">
        <f>IF('[1]All Data '!BF71="","",'[1]All Data '!BF71)</f>
        <v>4767.5627999999997</v>
      </c>
      <c r="N66" s="5">
        <f>IF('[1]All Data '!BB71="","",'[1]All Data '!BC71/'[1]All Data '!BH71)</f>
        <v>313252.75</v>
      </c>
      <c r="O66" s="5">
        <f t="shared" si="1"/>
        <v>1493452157.8976998</v>
      </c>
      <c r="P66" s="5">
        <f>IF(M66="","",$C$2*(1-L66)*907.2/0.621371*N66*[1]Transportation!$M$40)</f>
        <v>4886038.913646644</v>
      </c>
      <c r="Q66" s="5">
        <f>IF(L66="","",IF([1]Inputs_Outputs!$B$5="Herbaceous",(LCA!$E$29*'[1]LOCH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" s="5">
        <f>IF(M66="","",$E$2*1000*'[1]LOCH Calc COE Calc'!$C$44)</f>
        <v>4896457.3202133691</v>
      </c>
      <c r="S66" s="6">
        <f>IF(N66="","",SUM(O66:R66)/('[1]LOCH Calc COE Calc'!$C$28))</f>
        <v>68.032159666528031</v>
      </c>
      <c r="T66">
        <f>IF(L66="","",O66/'[1]LOCH Calc COE Calc'!$C$28)</f>
        <v>64.400320979490289</v>
      </c>
      <c r="U66">
        <f>IF(L66="","",P66/'[1]LOCH Calc COE Calc'!$C$28)</f>
        <v>0.21069471338142323</v>
      </c>
      <c r="V66">
        <f>IF(L66="","",Q66/'[1]LOCH Calc COE Calc'!$C$28)</f>
        <v>3.2100000000000004</v>
      </c>
      <c r="W66">
        <f>IF(L66="","",R66/'[1]LOCH Calc COE Calc'!$C$28)</f>
        <v>0.21114397365631307</v>
      </c>
    </row>
    <row r="67" spans="12:23" x14ac:dyDescent="0.25">
      <c r="L67" s="4">
        <f>IF('[1]All Data '!BE72="","",'[1]All Data '!BE72)</f>
        <v>5.5E-2</v>
      </c>
      <c r="M67">
        <f>IF('[1]All Data '!BF72="","",'[1]All Data '!BF72)</f>
        <v>4767.5627999999997</v>
      </c>
      <c r="N67" s="5">
        <f>IF('[1]All Data '!BB72="","",'[1]All Data '!BC72/'[1]All Data '!BH72)</f>
        <v>309446.75</v>
      </c>
      <c r="O67" s="5">
        <f t="shared" si="1"/>
        <v>1475306813.8808999</v>
      </c>
      <c r="P67" s="5">
        <f>IF(M67="","",$C$2*(1-L67)*907.2/0.621371*N67*[1]Transportation!$M$40)</f>
        <v>4826673.8670338392</v>
      </c>
      <c r="Q67" s="5">
        <f>IF(L67="","",IF([1]Inputs_Outputs!$B$5="Herbaceous",(LCA!$E$29*'[1]LOCH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" s="5">
        <f>IF(M67="","",$E$2*1000*'[1]LOCH Calc COE Calc'!$C$44)</f>
        <v>4896457.3202133691</v>
      </c>
      <c r="S67" s="6">
        <f>IF(N67="","",SUM(O67:R67)/('[1]LOCH Calc COE Calc'!$C$28))</f>
        <v>67.247140139238752</v>
      </c>
      <c r="T67">
        <f>IF(L67="","",O67/'[1]LOCH Calc COE Calc'!$C$28)</f>
        <v>63.617861378902781</v>
      </c>
      <c r="U67">
        <f>IF(L67="","",P67/'[1]LOCH Calc COE Calc'!$C$28)</f>
        <v>0.20813478667964741</v>
      </c>
      <c r="V67">
        <f>IF(L67="","",Q67/'[1]LOCH Calc COE Calc'!$C$28)</f>
        <v>3.2100000000000004</v>
      </c>
      <c r="W67">
        <f>IF(L67="","",R67/'[1]LOCH Calc COE Calc'!$C$28)</f>
        <v>0.21114397365631307</v>
      </c>
    </row>
    <row r="68" spans="12:23" x14ac:dyDescent="0.25">
      <c r="L68" s="4">
        <f>IF('[1]All Data '!BE73="","",'[1]All Data '!BE73)</f>
        <v>5.5E-2</v>
      </c>
      <c r="M68">
        <f>IF('[1]All Data '!BF73="","",'[1]All Data '!BF73)</f>
        <v>4767.5627999999997</v>
      </c>
      <c r="N68" s="5">
        <f>IF('[1]All Data '!BB73="","",'[1]All Data '!BC73/'[1]All Data '!BH73)</f>
        <v>307441.25</v>
      </c>
      <c r="O68" s="5">
        <f t="shared" ref="O68:O131" si="3">IF(N68="","",M68*N68)</f>
        <v>1465745466.6854999</v>
      </c>
      <c r="P68" s="5">
        <f>IF(M68="","",$C$2*(1-L68)*907.2/0.621371*N68*[1]Transportation!$M$40)</f>
        <v>4795392.5740800872</v>
      </c>
      <c r="Q68" s="5">
        <f>IF(L68="","",IF([1]Inputs_Outputs!$B$5="Herbaceous",(LCA!$E$29*'[1]LOCH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" s="5">
        <f>IF(M68="","",$E$2*1000*'[1]LOCH Calc COE Calc'!$C$44)</f>
        <v>4896457.3202133691</v>
      </c>
      <c r="S68" s="6">
        <f>IF(N68="","",SUM(O68:R68)/('[1]LOCH Calc COE Calc'!$C$28))</f>
        <v>66.833488888061993</v>
      </c>
      <c r="T68">
        <f>IF(L68="","",O68/'[1]LOCH Calc COE Calc'!$C$28)</f>
        <v>63.205559032875911</v>
      </c>
      <c r="U68">
        <f>IF(L68="","",P68/'[1]LOCH Calc COE Calc'!$C$28)</f>
        <v>0.20678588152977578</v>
      </c>
      <c r="V68">
        <f>IF(L68="","",Q68/'[1]LOCH Calc COE Calc'!$C$28)</f>
        <v>3.2100000000000004</v>
      </c>
      <c r="W68">
        <f>IF(L68="","",R68/'[1]LOCH Calc COE Calc'!$C$28)</f>
        <v>0.21114397365631307</v>
      </c>
    </row>
    <row r="69" spans="12:23" x14ac:dyDescent="0.25">
      <c r="L69" s="4">
        <f>IF('[1]All Data '!BE74="","",'[1]All Data '!BE74)</f>
        <v>5.5000000000000007E-2</v>
      </c>
      <c r="M69">
        <f>IF('[1]All Data '!BF74="","",'[1]All Data '!BF74)</f>
        <v>4767.5627999999997</v>
      </c>
      <c r="N69" s="5">
        <f>IF('[1]All Data '!BB74="","",'[1]All Data '!BC74/'[1]All Data '!BH74)</f>
        <v>306800.25</v>
      </c>
      <c r="O69" s="5">
        <f t="shared" si="3"/>
        <v>1462689458.9306998</v>
      </c>
      <c r="P69" s="5">
        <f>IF(M69="","",$C$2*(1-L69)*907.2/0.621371*N69*[1]Transportation!$M$40)</f>
        <v>4785394.4146269057</v>
      </c>
      <c r="Q69" s="5">
        <f>IF(L69="","",IF([1]Inputs_Outputs!$B$5="Herbaceous",(LCA!$E$29*'[1]LOCH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" s="5">
        <f>IF(M69="","",$E$2*1000*'[1]LOCH Calc COE Calc'!$C$44)</f>
        <v>4896457.3202133691</v>
      </c>
      <c r="S69" s="6">
        <f>IF(N69="","",SUM(O69:R69)/('[1]LOCH Calc COE Calc'!$C$28))</f>
        <v>66.701277244080799</v>
      </c>
      <c r="T69">
        <f>IF(L69="","",O69/'[1]LOCH Calc COE Calc'!$C$28)</f>
        <v>63.073778527364453</v>
      </c>
      <c r="U69">
        <f>IF(L69="","",P69/'[1]LOCH Calc COE Calc'!$C$28)</f>
        <v>0.20635474306003371</v>
      </c>
      <c r="V69">
        <f>IF(L69="","",Q69/'[1]LOCH Calc COE Calc'!$C$28)</f>
        <v>3.2100000000000004</v>
      </c>
      <c r="W69">
        <f>IF(L69="","",R69/'[1]LOCH Calc COE Calc'!$C$28)</f>
        <v>0.21114397365631307</v>
      </c>
    </row>
    <row r="70" spans="12:23" x14ac:dyDescent="0.25">
      <c r="L70" s="4">
        <f>IF('[1]All Data '!BE75="","",'[1]All Data '!BE75)</f>
        <v>5.4999999999999993E-2</v>
      </c>
      <c r="M70">
        <f>IF('[1]All Data '!BF75="","",'[1]All Data '!BF75)</f>
        <v>4767.5627999999997</v>
      </c>
      <c r="N70" s="5">
        <f>IF('[1]All Data '!BB75="","",'[1]All Data '!BC75/'[1]All Data '!BH75)</f>
        <v>303158.5</v>
      </c>
      <c r="O70" s="5">
        <f t="shared" si="3"/>
        <v>1445327187.1037998</v>
      </c>
      <c r="P70" s="5">
        <f>IF(M70="","",$C$2*(1-L70)*907.2/0.621371*N70*[1]Transportation!$M$40)</f>
        <v>4728591.2988880258</v>
      </c>
      <c r="Q70" s="5">
        <f>IF(L70="","",IF([1]Inputs_Outputs!$B$5="Herbaceous",(LCA!$E$29*'[1]LOCH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0" s="5">
        <f>IF(M70="","",$E$2*1000*'[1]LOCH Calc COE Calc'!$C$44)</f>
        <v>4896457.3202133691</v>
      </c>
      <c r="S70" s="6">
        <f>IF(N70="","",SUM(O70:R70)/('[1]LOCH Calc COE Calc'!$C$28))</f>
        <v>65.950135661446595</v>
      </c>
      <c r="T70">
        <f>IF(L70="","",O70/'[1]LOCH Calc COE Calc'!$C$28)</f>
        <v>62.325086396402924</v>
      </c>
      <c r="U70">
        <f>IF(L70="","",P70/'[1]LOCH Calc COE Calc'!$C$28)</f>
        <v>0.20390529138736113</v>
      </c>
      <c r="V70">
        <f>IF(L70="","",Q70/'[1]LOCH Calc COE Calc'!$C$28)</f>
        <v>3.2100000000000004</v>
      </c>
      <c r="W70">
        <f>IF(L70="","",R70/'[1]LOCH Calc COE Calc'!$C$28)</f>
        <v>0.21114397365631307</v>
      </c>
    </row>
    <row r="71" spans="12:23" x14ac:dyDescent="0.25">
      <c r="L71" s="4">
        <f>IF('[1]All Data '!BE76="","",'[1]All Data '!BE76)</f>
        <v>5.5E-2</v>
      </c>
      <c r="M71">
        <f>IF('[1]All Data '!BF76="","",'[1]All Data '!BF76)</f>
        <v>4767.5627999999997</v>
      </c>
      <c r="N71" s="5">
        <f>IF('[1]All Data '!BB76="","",'[1]All Data '!BC76/'[1]All Data '!BH76)</f>
        <v>300803</v>
      </c>
      <c r="O71" s="5">
        <f t="shared" si="3"/>
        <v>1434097192.9283998</v>
      </c>
      <c r="P71" s="5">
        <f>IF(M71="","",$C$2*(1-L71)*907.2/0.621371*N71*[1]Transportation!$M$40)</f>
        <v>4691850.7925042994</v>
      </c>
      <c r="Q71" s="5">
        <f>IF(L71="","",IF([1]Inputs_Outputs!$B$5="Herbaceous",(LCA!$E$29*'[1]LOCH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1" s="5">
        <f>IF(M71="","",$E$2*1000*'[1]LOCH Calc COE Calc'!$C$44)</f>
        <v>4896457.3202133691</v>
      </c>
      <c r="S71" s="6">
        <f>IF(N71="","",SUM(O71:R71)/('[1]LOCH Calc COE Calc'!$C$28))</f>
        <v>65.464293965038323</v>
      </c>
      <c r="T71">
        <f>IF(L71="","",O71/'[1]LOCH Calc COE Calc'!$C$28)</f>
        <v>61.840829016165436</v>
      </c>
      <c r="U71">
        <f>IF(L71="","",P71/'[1]LOCH Calc COE Calc'!$C$28)</f>
        <v>0.2023209752165695</v>
      </c>
      <c r="V71">
        <f>IF(L71="","",Q71/'[1]LOCH Calc COE Calc'!$C$28)</f>
        <v>3.2100000000000004</v>
      </c>
      <c r="W71">
        <f>IF(L71="","",R71/'[1]LOCH Calc COE Calc'!$C$28)</f>
        <v>0.21114397365631307</v>
      </c>
    </row>
    <row r="72" spans="12:23" x14ac:dyDescent="0.25">
      <c r="L72" s="4">
        <f>IF('[1]All Data '!BE77="","",'[1]All Data '!BE77)</f>
        <v>5.4999999999999993E-2</v>
      </c>
      <c r="M72">
        <f>IF('[1]All Data '!BF77="","",'[1]All Data '!BF77)</f>
        <v>4767.5627999999997</v>
      </c>
      <c r="N72" s="5">
        <f>IF('[1]All Data '!BB77="","",'[1]All Data '!BC77/'[1]All Data '!BH77)</f>
        <v>300365.25</v>
      </c>
      <c r="O72" s="5">
        <f t="shared" si="3"/>
        <v>1432010192.3126998</v>
      </c>
      <c r="P72" s="5">
        <f>IF(M72="","",$C$2*(1-L72)*907.2/0.621371*N72*[1]Transportation!$M$40)</f>
        <v>4685022.8762786677</v>
      </c>
      <c r="Q72" s="5">
        <f>IF(L72="","",IF([1]Inputs_Outputs!$B$5="Herbaceous",(LCA!$E$29*'[1]LOCH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2" s="5">
        <f>IF(M72="","",$E$2*1000*'[1]LOCH Calc COE Calc'!$C$44)</f>
        <v>4896457.3202133691</v>
      </c>
      <c r="S72" s="6">
        <f>IF(N72="","",SUM(O72:R72)/('[1]LOCH Calc COE Calc'!$C$28))</f>
        <v>65.374004343895152</v>
      </c>
      <c r="T72">
        <f>IF(L72="","",O72/'[1]LOCH Calc COE Calc'!$C$28)</f>
        <v>61.750833826949147</v>
      </c>
      <c r="U72">
        <f>IF(L72="","",P72/'[1]LOCH Calc COE Calc'!$C$28)</f>
        <v>0.20202654328969027</v>
      </c>
      <c r="V72">
        <f>IF(L72="","",Q72/'[1]LOCH Calc COE Calc'!$C$28)</f>
        <v>3.2100000000000004</v>
      </c>
      <c r="W72">
        <f>IF(L72="","",R72/'[1]LOCH Calc COE Calc'!$C$28)</f>
        <v>0.21114397365631307</v>
      </c>
    </row>
    <row r="73" spans="12:23" x14ac:dyDescent="0.25">
      <c r="L73" s="4">
        <f>IF('[1]All Data '!BE78="","",'[1]All Data '!BE78)</f>
        <v>5.4999999999999993E-2</v>
      </c>
      <c r="M73">
        <f>IF('[1]All Data '!BF78="","",'[1]All Data '!BF78)</f>
        <v>4767.5627999999997</v>
      </c>
      <c r="N73" s="5">
        <f>IF('[1]All Data '!BB78="","",'[1]All Data '!BC78/'[1]All Data '!BH78)</f>
        <v>300007.5</v>
      </c>
      <c r="O73" s="5">
        <f t="shared" si="3"/>
        <v>1430304596.721</v>
      </c>
      <c r="P73" s="5">
        <f>IF(M73="","",$C$2*(1-L73)*907.2/0.621371*N73*[1]Transportation!$M$40)</f>
        <v>4679442.7802656014</v>
      </c>
      <c r="Q73" s="5">
        <f>IF(L73="","",IF([1]Inputs_Outputs!$B$5="Herbaceous",(LCA!$E$29*'[1]LOCH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3" s="5">
        <f>IF(M73="","",$E$2*1000*'[1]LOCH Calc COE Calc'!$C$44)</f>
        <v>4896457.3202133691</v>
      </c>
      <c r="S73" s="6">
        <f>IF(N73="","",SUM(O73:R73)/('[1]LOCH Calc COE Calc'!$C$28))</f>
        <v>65.300215395947774</v>
      </c>
      <c r="T73">
        <f>IF(L73="","",O73/'[1]LOCH Calc COE Calc'!$C$28)</f>
        <v>61.677285502695298</v>
      </c>
      <c r="U73">
        <f>IF(L73="","",P73/'[1]LOCH Calc COE Calc'!$C$28)</f>
        <v>0.20178591959616418</v>
      </c>
      <c r="V73">
        <f>IF(L73="","",Q73/'[1]LOCH Calc COE Calc'!$C$28)</f>
        <v>3.2100000000000004</v>
      </c>
      <c r="W73">
        <f>IF(L73="","",R73/'[1]LOCH Calc COE Calc'!$C$28)</f>
        <v>0.21114397365631307</v>
      </c>
    </row>
    <row r="74" spans="12:23" x14ac:dyDescent="0.25">
      <c r="L74" s="4">
        <f>IF('[1]All Data '!BE79="","",'[1]All Data '!BE79)</f>
        <v>5.4999999999999993E-2</v>
      </c>
      <c r="M74">
        <f>IF('[1]All Data '!BF79="","",'[1]All Data '!BF79)</f>
        <v>4767.5627999999997</v>
      </c>
      <c r="N74" s="5">
        <f>IF('[1]All Data '!BB79="","",'[1]All Data '!BC79/'[1]All Data '!BH79)</f>
        <v>300007.5</v>
      </c>
      <c r="O74" s="5">
        <f t="shared" si="3"/>
        <v>1430304596.721</v>
      </c>
      <c r="P74" s="5">
        <f>IF(M74="","",$C$2*(1-L74)*907.2/0.621371*N74*[1]Transportation!$M$40)</f>
        <v>4679442.7802656014</v>
      </c>
      <c r="Q74" s="5">
        <f>IF(L74="","",IF([1]Inputs_Outputs!$B$5="Herbaceous",(LCA!$E$29*'[1]LOCH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4" s="5">
        <f>IF(M74="","",$E$2*1000*'[1]LOCH Calc COE Calc'!$C$44)</f>
        <v>4896457.3202133691</v>
      </c>
      <c r="S74" s="6">
        <f>IF(N74="","",SUM(O74:R74)/('[1]LOCH Calc COE Calc'!$C$28))</f>
        <v>65.300215395947774</v>
      </c>
      <c r="T74">
        <f>IF(L74="","",O74/'[1]LOCH Calc COE Calc'!$C$28)</f>
        <v>61.677285502695298</v>
      </c>
      <c r="U74">
        <f>IF(L74="","",P74/'[1]LOCH Calc COE Calc'!$C$28)</f>
        <v>0.20178591959616418</v>
      </c>
      <c r="V74">
        <f>IF(L74="","",Q74/'[1]LOCH Calc COE Calc'!$C$28)</f>
        <v>3.2100000000000004</v>
      </c>
      <c r="W74">
        <f>IF(L74="","",R74/'[1]LOCH Calc COE Calc'!$C$28)</f>
        <v>0.21114397365631307</v>
      </c>
    </row>
    <row r="75" spans="12:23" x14ac:dyDescent="0.25">
      <c r="L75" s="4">
        <f>IF('[1]All Data '!BE80="","",'[1]All Data '!BE80)</f>
        <v>5.4999999999999993E-2</v>
      </c>
      <c r="M75">
        <f>IF('[1]All Data '!BF80="","",'[1]All Data '!BF80)</f>
        <v>4767.5627999999997</v>
      </c>
      <c r="N75" s="5">
        <f>IF('[1]All Data '!BB80="","",'[1]All Data '!BC80/'[1]All Data '!BH80)</f>
        <v>300007.5</v>
      </c>
      <c r="O75" s="5">
        <f t="shared" si="3"/>
        <v>1430304596.721</v>
      </c>
      <c r="P75" s="5">
        <f>IF(M75="","",$C$2*(1-L75)*907.2/0.621371*N75*[1]Transportation!$M$40)</f>
        <v>4679442.7802656014</v>
      </c>
      <c r="Q75" s="5">
        <f>IF(L75="","",IF([1]Inputs_Outputs!$B$5="Herbaceous",(LCA!$E$29*'[1]LOCH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5" s="5">
        <f>IF(M75="","",$E$2*1000*'[1]LOCH Calc COE Calc'!$C$44)</f>
        <v>4896457.3202133691</v>
      </c>
      <c r="S75" s="6">
        <f>IF(N75="","",SUM(O75:R75)/('[1]LOCH Calc COE Calc'!$C$28))</f>
        <v>65.300215395947774</v>
      </c>
      <c r="T75">
        <f>IF(L75="","",O75/'[1]LOCH Calc COE Calc'!$C$28)</f>
        <v>61.677285502695298</v>
      </c>
      <c r="U75">
        <f>IF(L75="","",P75/'[1]LOCH Calc COE Calc'!$C$28)</f>
        <v>0.20178591959616418</v>
      </c>
      <c r="V75">
        <f>IF(L75="","",Q75/'[1]LOCH Calc COE Calc'!$C$28)</f>
        <v>3.2100000000000004</v>
      </c>
      <c r="W75">
        <f>IF(L75="","",R75/'[1]LOCH Calc COE Calc'!$C$28)</f>
        <v>0.21114397365631307</v>
      </c>
    </row>
    <row r="76" spans="12:23" x14ac:dyDescent="0.25">
      <c r="L76" s="4">
        <f>IF('[1]All Data '!BE81="","",'[1]All Data '!BE81)</f>
        <v>5.5000000000000007E-2</v>
      </c>
      <c r="M76">
        <f>IF('[1]All Data '!BF81="","",'[1]All Data '!BF81)</f>
        <v>4767.5627999999997</v>
      </c>
      <c r="N76" s="5">
        <f>IF('[1]All Data '!BB81="","",'[1]All Data '!BC81/'[1]All Data '!BH81)</f>
        <v>299985.25</v>
      </c>
      <c r="O76" s="5">
        <f t="shared" si="3"/>
        <v>1430198518.4487</v>
      </c>
      <c r="P76" s="5">
        <f>IF(M76="","",$C$2*(1-L76)*907.2/0.621371*N76*[1]Transportation!$M$40)</f>
        <v>4679095.7302689813</v>
      </c>
      <c r="Q76" s="5">
        <f>IF(L76="","",IF([1]Inputs_Outputs!$B$5="Herbaceous",(LCA!$E$29*'[1]LOCH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6" s="5">
        <f>IF(M76="","",$E$2*1000*'[1]LOCH Calc COE Calc'!$C$44)</f>
        <v>4896457.3202133691</v>
      </c>
      <c r="S76" s="6">
        <f>IF(N76="","",SUM(O76:R76)/('[1]LOCH Calc COE Calc'!$C$28))</f>
        <v>65.295626146215199</v>
      </c>
      <c r="T76">
        <f>IF(L76="","",O76/'[1]LOCH Calc COE Calc'!$C$28)</f>
        <v>61.672711218377621</v>
      </c>
      <c r="U76">
        <f>IF(L76="","",P76/'[1]LOCH Calc COE Calc'!$C$28)</f>
        <v>0.20177095418126284</v>
      </c>
      <c r="V76">
        <f>IF(L76="","",Q76/'[1]LOCH Calc COE Calc'!$C$28)</f>
        <v>3.2100000000000004</v>
      </c>
      <c r="W76">
        <f>IF(L76="","",R76/'[1]LOCH Calc COE Calc'!$C$28)</f>
        <v>0.21114397365631307</v>
      </c>
    </row>
    <row r="77" spans="12:23" x14ac:dyDescent="0.25">
      <c r="L77" s="4">
        <f>IF('[1]All Data '!BE82="","",'[1]All Data '!BE82)</f>
        <v>5.5E-2</v>
      </c>
      <c r="M77">
        <f>IF('[1]All Data '!BF82="","",'[1]All Data '!BF82)</f>
        <v>4767.5627999999997</v>
      </c>
      <c r="N77" s="5">
        <f>IF('[1]All Data '!BB82="","",'[1]All Data '!BC82/'[1]All Data '!BH82)</f>
        <v>293823.25</v>
      </c>
      <c r="O77" s="5">
        <f t="shared" si="3"/>
        <v>1400820796.4750998</v>
      </c>
      <c r="P77" s="5">
        <f>IF(M77="","",$C$2*(1-L77)*907.2/0.621371*N77*[1]Transportation!$M$40)</f>
        <v>4582982.3783961236</v>
      </c>
      <c r="Q77" s="5">
        <f>IF(L77="","",IF([1]Inputs_Outputs!$B$5="Herbaceous",(LCA!$E$29*'[1]LOCH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7" s="5">
        <f>IF(M77="","",$E$2*1000*'[1]LOCH Calc COE Calc'!$C$44)</f>
        <v>4896457.3202133691</v>
      </c>
      <c r="S77" s="6">
        <f>IF(N77="","",SUM(O77:R77)/('[1]LOCH Calc COE Calc'!$C$28))</f>
        <v>64.024661793310145</v>
      </c>
      <c r="T77">
        <f>IF(L77="","",O77/'[1]LOCH Calc COE Calc'!$C$28)</f>
        <v>60.405891444646599</v>
      </c>
      <c r="U77">
        <f>IF(L77="","",P77/'[1]LOCH Calc COE Calc'!$C$28)</f>
        <v>0.19762637500723701</v>
      </c>
      <c r="V77">
        <f>IF(L77="","",Q77/'[1]LOCH Calc COE Calc'!$C$28)</f>
        <v>3.2100000000000004</v>
      </c>
      <c r="W77">
        <f>IF(L77="","",R77/'[1]LOCH Calc COE Calc'!$C$28)</f>
        <v>0.21114397365631307</v>
      </c>
    </row>
    <row r="78" spans="12:23" x14ac:dyDescent="0.25">
      <c r="L78" s="4">
        <f>IF('[1]All Data '!BE83="","",'[1]All Data '!BE83)</f>
        <v>5.5E-2</v>
      </c>
      <c r="M78">
        <f>IF('[1]All Data '!BF83="","",'[1]All Data '!BF83)</f>
        <v>4767.5627999999997</v>
      </c>
      <c r="N78" s="5">
        <f>IF('[1]All Data '!BB83="","",'[1]All Data '!BC83/'[1]All Data '!BH83)</f>
        <v>289978.5</v>
      </c>
      <c r="O78" s="5">
        <f t="shared" si="3"/>
        <v>1382490709.3997998</v>
      </c>
      <c r="P78" s="5">
        <f>IF(M78="","",$C$2*(1-L78)*907.2/0.621371*N78*[1]Transportation!$M$40)</f>
        <v>4523012.9188678572</v>
      </c>
      <c r="Q78" s="5">
        <f>IF(L78="","",IF([1]Inputs_Outputs!$B$5="Herbaceous",(LCA!$E$29*'[1]LOCH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8" s="5">
        <f>IF(M78="","",$E$2*1000*'[1]LOCH Calc COE Calc'!$C$44)</f>
        <v>4896457.3202133691</v>
      </c>
      <c r="S78" s="6">
        <f>IF(N78="","",SUM(O78:R78)/('[1]LOCH Calc COE Calc'!$C$28))</f>
        <v>63.231649752441655</v>
      </c>
      <c r="T78">
        <f>IF(L78="","",O78/'[1]LOCH Calc COE Calc'!$C$28)</f>
        <v>59.615465393842911</v>
      </c>
      <c r="U78">
        <f>IF(L78="","",P78/'[1]LOCH Calc COE Calc'!$C$28)</f>
        <v>0.19504038494243076</v>
      </c>
      <c r="V78">
        <f>IF(L78="","",Q78/'[1]LOCH Calc COE Calc'!$C$28)</f>
        <v>3.2100000000000004</v>
      </c>
      <c r="W78">
        <f>IF(L78="","",R78/'[1]LOCH Calc COE Calc'!$C$28)</f>
        <v>0.21114397365631307</v>
      </c>
    </row>
    <row r="79" spans="12:23" x14ac:dyDescent="0.25">
      <c r="L79" s="4">
        <f>IF('[1]All Data '!BE84="","",'[1]All Data '!BE84)</f>
        <v>5.5E-2</v>
      </c>
      <c r="M79">
        <f>IF('[1]All Data '!BF84="","",'[1]All Data '!BF84)</f>
        <v>4767.5627999999997</v>
      </c>
      <c r="N79" s="5">
        <f>IF('[1]All Data '!BB84="","",'[1]All Data '!BC84/'[1]All Data '!BH84)</f>
        <v>288064.5</v>
      </c>
      <c r="O79" s="5">
        <f t="shared" si="3"/>
        <v>1373365594.2005999</v>
      </c>
      <c r="P79" s="5">
        <f>IF(M79="","",$C$2*(1-L79)*907.2/0.621371*N79*[1]Transportation!$M$40)</f>
        <v>4493158.8202822283</v>
      </c>
      <c r="Q79" s="5">
        <f>IF(L79="","",IF([1]Inputs_Outputs!$B$5="Herbaceous",(LCA!$E$29*'[1]LOCH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9" s="5">
        <f>IF(M79="","",$E$2*1000*'[1]LOCH Calc COE Calc'!$C$44)</f>
        <v>4896457.3202133691</v>
      </c>
      <c r="S79" s="6">
        <f>IF(N79="","",SUM(O79:R79)/('[1]LOCH Calc COE Calc'!$C$28))</f>
        <v>62.836871146232596</v>
      </c>
      <c r="T79">
        <f>IF(L79="","",O79/'[1]LOCH Calc COE Calc'!$C$28)</f>
        <v>59.22197414961682</v>
      </c>
      <c r="U79">
        <f>IF(L79="","",P79/'[1]LOCH Calc COE Calc'!$C$28)</f>
        <v>0.19375302295945684</v>
      </c>
      <c r="V79">
        <f>IF(L79="","",Q79/'[1]LOCH Calc COE Calc'!$C$28)</f>
        <v>3.2100000000000004</v>
      </c>
      <c r="W79">
        <f>IF(L79="","",R79/'[1]LOCH Calc COE Calc'!$C$28)</f>
        <v>0.21114397365631307</v>
      </c>
    </row>
    <row r="80" spans="12:23" x14ac:dyDescent="0.25">
      <c r="L80" s="4">
        <f>IF('[1]All Data '!BE85="","",'[1]All Data '!BE85)</f>
        <v>5.5E-2</v>
      </c>
      <c r="M80">
        <f>IF('[1]All Data '!BF85="","",'[1]All Data '!BF85)</f>
        <v>4767.5627999999997</v>
      </c>
      <c r="N80" s="5">
        <f>IF('[1]All Data '!BB85="","",'[1]All Data '!BC85/'[1]All Data '!BH85)</f>
        <v>287021.5</v>
      </c>
      <c r="O80" s="5">
        <f t="shared" si="3"/>
        <v>1368393026.2001998</v>
      </c>
      <c r="P80" s="5">
        <f>IF(M80="","",$C$2*(1-L80)*907.2/0.621371*N80*[1]Transportation!$M$40)</f>
        <v>4476890.3642609045</v>
      </c>
      <c r="Q80" s="5">
        <f>IF(L80="","",IF([1]Inputs_Outputs!$B$5="Herbaceous",(LCA!$E$29*'[1]LOCH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0" s="5">
        <f>IF(M80="","",$E$2*1000*'[1]LOCH Calc COE Calc'!$C$44)</f>
        <v>4896457.3202133691</v>
      </c>
      <c r="S80" s="6">
        <f>IF(N80="","",SUM(O80:R80)/('[1]LOCH Calc COE Calc'!$C$28))</f>
        <v>62.621743619442597</v>
      </c>
      <c r="T80">
        <f>IF(L80="","",O80/'[1]LOCH Calc COE Calc'!$C$28)</f>
        <v>59.007548147669162</v>
      </c>
      <c r="U80">
        <f>IF(L80="","",P80/'[1]LOCH Calc COE Calc'!$C$28)</f>
        <v>0.19305149811711519</v>
      </c>
      <c r="V80">
        <f>IF(L80="","",Q80/'[1]LOCH Calc COE Calc'!$C$28)</f>
        <v>3.2100000000000004</v>
      </c>
      <c r="W80">
        <f>IF(L80="","",R80/'[1]LOCH Calc COE Calc'!$C$28)</f>
        <v>0.21114397365631307</v>
      </c>
    </row>
    <row r="81" spans="12:23" x14ac:dyDescent="0.25">
      <c r="L81" s="4">
        <f>IF('[1]All Data '!BE86="","",'[1]All Data '!BE86)</f>
        <v>5.5E-2</v>
      </c>
      <c r="M81">
        <f>IF('[1]All Data '!BF86="","",'[1]All Data '!BF86)</f>
        <v>4767.5627999999997</v>
      </c>
      <c r="N81" s="5">
        <f>IF('[1]All Data '!BB86="","",'[1]All Data '!BC86/'[1]All Data '!BH86)</f>
        <v>286617.25</v>
      </c>
      <c r="O81" s="5">
        <f t="shared" si="3"/>
        <v>1366465738.9382999</v>
      </c>
      <c r="P81" s="5">
        <f>IF(M81="","",$C$2*(1-L81)*907.2/0.621371*N81*[1]Transportation!$M$40)</f>
        <v>4470584.9727492845</v>
      </c>
      <c r="Q81" s="5">
        <f>IF(L81="","",IF([1]Inputs_Outputs!$B$5="Herbaceous",(LCA!$E$29*'[1]LOCH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1" s="5">
        <f>IF(M81="","",$E$2*1000*'[1]LOCH Calc COE Calc'!$C$44)</f>
        <v>4896457.3202133691</v>
      </c>
      <c r="S81" s="6">
        <f>IF(N81="","",SUM(O81:R81)/('[1]LOCH Calc COE Calc'!$C$28))</f>
        <v>62.538363655200165</v>
      </c>
      <c r="T81">
        <f>IF(L81="","",O81/'[1]LOCH Calc COE Calc'!$C$28)</f>
        <v>58.924440083155893</v>
      </c>
      <c r="U81">
        <f>IF(L81="","",P81/'[1]LOCH Calc COE Calc'!$C$28)</f>
        <v>0.19277959838795261</v>
      </c>
      <c r="V81">
        <f>IF(L81="","",Q81/'[1]LOCH Calc COE Calc'!$C$28)</f>
        <v>3.2100000000000004</v>
      </c>
      <c r="W81">
        <f>IF(L81="","",R81/'[1]LOCH Calc COE Calc'!$C$28)</f>
        <v>0.21114397365631307</v>
      </c>
    </row>
    <row r="82" spans="12:23" x14ac:dyDescent="0.25">
      <c r="L82" s="4">
        <f>IF('[1]All Data '!BE87="","",'[1]All Data '!BE87)</f>
        <v>5.5E-2</v>
      </c>
      <c r="M82">
        <f>IF('[1]All Data '!BF87="","",'[1]All Data '!BF87)</f>
        <v>4767.5627999999997</v>
      </c>
      <c r="N82" s="5">
        <f>IF('[1]All Data '!BB87="","",'[1]All Data '!BC87/'[1]All Data '!BH87)</f>
        <v>285429</v>
      </c>
      <c r="O82" s="5">
        <f t="shared" si="3"/>
        <v>1360800682.4412</v>
      </c>
      <c r="P82" s="5">
        <f>IF(M82="","",$C$2*(1-L82)*907.2/0.621371*N82*[1]Transportation!$M$40)</f>
        <v>4452050.9431545222</v>
      </c>
      <c r="Q82" s="5">
        <f>IF(L82="","",IF([1]Inputs_Outputs!$B$5="Herbaceous",(LCA!$E$29*'[1]LOCH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2" s="5">
        <f>IF(M82="","",$E$2*1000*'[1]LOCH Calc COE Calc'!$C$44)</f>
        <v>4896457.3202133691</v>
      </c>
      <c r="S82" s="6">
        <f>IF(N82="","",SUM(O82:R82)/('[1]LOCH Calc COE Calc'!$C$28))</f>
        <v>62.293277093639084</v>
      </c>
      <c r="T82">
        <f>IF(L82="","",O82/'[1]LOCH Calc COE Calc'!$C$28)</f>
        <v>58.68015274201084</v>
      </c>
      <c r="U82">
        <f>IF(L82="","",P82/'[1]LOCH Calc COE Calc'!$C$28)</f>
        <v>0.19198037797192918</v>
      </c>
      <c r="V82">
        <f>IF(L82="","",Q82/'[1]LOCH Calc COE Calc'!$C$28)</f>
        <v>3.2100000000000004</v>
      </c>
      <c r="W82">
        <f>IF(L82="","",R82/'[1]LOCH Calc COE Calc'!$C$28)</f>
        <v>0.21114397365631307</v>
      </c>
    </row>
    <row r="83" spans="12:23" x14ac:dyDescent="0.25">
      <c r="L83" s="4">
        <f>IF('[1]All Data '!BE88="","",'[1]All Data '!BE88)</f>
        <v>5.5E-2</v>
      </c>
      <c r="M83">
        <f>IF('[1]All Data '!BF88="","",'[1]All Data '!BF88)</f>
        <v>4767.5627999999997</v>
      </c>
      <c r="N83" s="5">
        <f>IF('[1]All Data '!BB88="","",'[1]All Data '!BC88/'[1]All Data '!BH88)</f>
        <v>284934.5</v>
      </c>
      <c r="O83" s="5">
        <f t="shared" si="3"/>
        <v>1358443122.6366</v>
      </c>
      <c r="P83" s="5">
        <f>IF(M83="","",$C$2*(1-L83)*907.2/0.621371*N83*[1]Transportation!$M$40)</f>
        <v>4444337.854465602</v>
      </c>
      <c r="Q83" s="5">
        <f>IF(L83="","",IF([1]Inputs_Outputs!$B$5="Herbaceous",(LCA!$E$29*'[1]LOCH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3" s="5">
        <f>IF(M83="","",$E$2*1000*'[1]LOCH Calc COE Calc'!$C$44)</f>
        <v>4896457.3202133691</v>
      </c>
      <c r="S83" s="6">
        <f>IF(N83="","",SUM(O83:R83)/('[1]LOCH Calc COE Calc'!$C$28))</f>
        <v>62.191282307447658</v>
      </c>
      <c r="T83">
        <f>IF(L83="","",O83/'[1]LOCH Calc COE Calc'!$C$28)</f>
        <v>58.578490557961828</v>
      </c>
      <c r="U83">
        <f>IF(L83="","",P83/'[1]LOCH Calc COE Calc'!$C$28)</f>
        <v>0.19164777582951509</v>
      </c>
      <c r="V83">
        <f>IF(L83="","",Q83/'[1]LOCH Calc COE Calc'!$C$28)</f>
        <v>3.2100000000000004</v>
      </c>
      <c r="W83">
        <f>IF(L83="","",R83/'[1]LOCH Calc COE Calc'!$C$28)</f>
        <v>0.21114397365631307</v>
      </c>
    </row>
    <row r="84" spans="12:23" x14ac:dyDescent="0.25">
      <c r="L84" s="4">
        <f>IF('[1]All Data '!BE89="","",'[1]All Data '!BE89)</f>
        <v>5.5E-2</v>
      </c>
      <c r="M84">
        <f>IF('[1]All Data '!BF89="","",'[1]All Data '!BF89)</f>
        <v>4767.5627999999997</v>
      </c>
      <c r="N84" s="5">
        <f>IF('[1]All Data '!BB89="","",'[1]All Data '!BC89/'[1]All Data '!BH89)</f>
        <v>278642.5</v>
      </c>
      <c r="O84" s="5">
        <f t="shared" si="3"/>
        <v>1328445617.4989998</v>
      </c>
      <c r="P84" s="5">
        <f>IF(M84="","",$C$2*(1-L84)*907.2/0.621371*N84*[1]Transportation!$M$40)</f>
        <v>4346196.7947473247</v>
      </c>
      <c r="Q84" s="5">
        <f>IF(L84="","",IF([1]Inputs_Outputs!$B$5="Herbaceous",(LCA!$E$29*'[1]LOCH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4" s="5">
        <f>IF(M84="","",$E$2*1000*'[1]LOCH Calc COE Calc'!$C$44)</f>
        <v>4896457.3202133691</v>
      </c>
      <c r="S84" s="6">
        <f>IF(N84="","",SUM(O84:R84)/('[1]LOCH Calc COE Calc'!$C$28))</f>
        <v>60.893504360599465</v>
      </c>
      <c r="T84">
        <f>IF(L84="","",O84/'[1]LOCH Calc COE Calc'!$C$28)</f>
        <v>57.284944628666857</v>
      </c>
      <c r="U84">
        <f>IF(L84="","",P84/'[1]LOCH Calc COE Calc'!$C$28)</f>
        <v>0.1874157582762904</v>
      </c>
      <c r="V84">
        <f>IF(L84="","",Q84/'[1]LOCH Calc COE Calc'!$C$28)</f>
        <v>3.2100000000000004</v>
      </c>
      <c r="W84">
        <f>IF(L84="","",R84/'[1]LOCH Calc COE Calc'!$C$28)</f>
        <v>0.21114397365631307</v>
      </c>
    </row>
    <row r="85" spans="12:23" x14ac:dyDescent="0.25">
      <c r="L85" s="4">
        <f>IF('[1]All Data '!BE90="","",'[1]All Data '!BE90)</f>
        <v>5.5E-2</v>
      </c>
      <c r="M85">
        <f>IF('[1]All Data '!BF90="","",'[1]All Data '!BF90)</f>
        <v>4767.5627999999997</v>
      </c>
      <c r="N85" s="5">
        <f>IF('[1]All Data '!BB90="","",'[1]All Data '!BC90/'[1]All Data '!BH90)</f>
        <v>277542.75</v>
      </c>
      <c r="O85" s="5">
        <f t="shared" si="3"/>
        <v>1323202490.3097</v>
      </c>
      <c r="P85" s="5">
        <f>IF(M85="","",$C$2*(1-L85)*907.2/0.621371*N85*[1]Transportation!$M$40)</f>
        <v>4329043.1662627133</v>
      </c>
      <c r="Q85" s="5">
        <f>IF(L85="","",IF([1]Inputs_Outputs!$B$5="Herbaceous",(LCA!$E$29*'[1]LOCH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5" s="5">
        <f>IF(M85="","",$E$2*1000*'[1]LOCH Calc COE Calc'!$C$44)</f>
        <v>4896457.3202133691</v>
      </c>
      <c r="S85" s="6">
        <f>IF(N85="","",SUM(O85:R85)/('[1]LOCH Calc COE Calc'!$C$28))</f>
        <v>60.666671668761211</v>
      </c>
      <c r="T85">
        <f>IF(L85="","",O85/'[1]LOCH Calc COE Calc'!$C$28)</f>
        <v>57.05885163188649</v>
      </c>
      <c r="U85">
        <f>IF(L85="","",P85/'[1]LOCH Calc COE Calc'!$C$28)</f>
        <v>0.1866760632184139</v>
      </c>
      <c r="V85">
        <f>IF(L85="","",Q85/'[1]LOCH Calc COE Calc'!$C$28)</f>
        <v>3.2100000000000004</v>
      </c>
      <c r="W85">
        <f>IF(L85="","",R85/'[1]LOCH Calc COE Calc'!$C$28)</f>
        <v>0.21114397365631307</v>
      </c>
    </row>
    <row r="86" spans="12:23" x14ac:dyDescent="0.25">
      <c r="L86" s="4">
        <f>IF('[1]All Data '!BE91="","",'[1]All Data '!BE91)</f>
        <v>5.5E-2</v>
      </c>
      <c r="M86">
        <f>IF('[1]All Data '!BF91="","",'[1]All Data '!BF91)</f>
        <v>4767.5627999999997</v>
      </c>
      <c r="N86" s="5">
        <f>IF('[1]All Data '!BB91="","",'[1]All Data '!BC91/'[1]All Data '!BH91)</f>
        <v>275883.75</v>
      </c>
      <c r="O86" s="5">
        <f t="shared" si="3"/>
        <v>1315293103.6244998</v>
      </c>
      <c r="P86" s="5">
        <f>IF(M86="","",$C$2*(1-L86)*907.2/0.621371*N86*[1]Transportation!$M$40)</f>
        <v>4303166.494604636</v>
      </c>
      <c r="Q86" s="5">
        <f>IF(L86="","",IF([1]Inputs_Outputs!$B$5="Herbaceous",(LCA!$E$29*'[1]LOCH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6" s="5">
        <f>IF(M86="","",$E$2*1000*'[1]LOCH Calc COE Calc'!$C$44)</f>
        <v>4896457.3202133691</v>
      </c>
      <c r="S86" s="6">
        <f>IF(N86="","",SUM(O86:R86)/('[1]LOCH Calc COE Calc'!$C$28))</f>
        <v>60.324488958363695</v>
      </c>
      <c r="T86">
        <f>IF(L86="","",O86/'[1]LOCH Calc COE Calc'!$C$28)</f>
        <v>56.717784769728127</v>
      </c>
      <c r="U86">
        <f>IF(L86="","",P86/'[1]LOCH Calc COE Calc'!$C$28)</f>
        <v>0.1855602149792531</v>
      </c>
      <c r="V86">
        <f>IF(L86="","",Q86/'[1]LOCH Calc COE Calc'!$C$28)</f>
        <v>3.2100000000000004</v>
      </c>
      <c r="W86">
        <f>IF(L86="","",R86/'[1]LOCH Calc COE Calc'!$C$28)</f>
        <v>0.21114397365631307</v>
      </c>
    </row>
    <row r="87" spans="12:23" x14ac:dyDescent="0.25">
      <c r="L87" s="4">
        <f>IF('[1]All Data '!BE92="","",'[1]All Data '!BE92)</f>
        <v>5.5E-2</v>
      </c>
      <c r="M87">
        <f>IF('[1]All Data '!BF92="","",'[1]All Data '!BF92)</f>
        <v>4767.5627999999997</v>
      </c>
      <c r="N87" s="5">
        <f>IF('[1]All Data '!BB92="","",'[1]All Data '!BC92/'[1]All Data '!BH92)</f>
        <v>275631.25</v>
      </c>
      <c r="O87" s="5">
        <f t="shared" si="3"/>
        <v>1314089294.0174999</v>
      </c>
      <c r="P87" s="5">
        <f>IF(M87="","",$C$2*(1-L87)*907.2/0.621371*N87*[1]Transportation!$M$40)</f>
        <v>4299228.0620587254</v>
      </c>
      <c r="Q87" s="5">
        <f>IF(L87="","",IF([1]Inputs_Outputs!$B$5="Herbaceous",(LCA!$E$29*'[1]LOCH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7" s="5">
        <f>IF(M87="","",$E$2*1000*'[1]LOCH Calc COE Calc'!$C$44)</f>
        <v>4896457.3202133691</v>
      </c>
      <c r="S87" s="6">
        <f>IF(N87="","",SUM(O87:R87)/('[1]LOCH Calc COE Calc'!$C$28))</f>
        <v>60.272408708589516</v>
      </c>
      <c r="T87">
        <f>IF(L87="","",O87/'[1]LOCH Calc COE Calc'!$C$28)</f>
        <v>56.665874352190471</v>
      </c>
      <c r="U87">
        <f>IF(L87="","",P87/'[1]LOCH Calc COE Calc'!$C$28)</f>
        <v>0.1853903827427322</v>
      </c>
      <c r="V87">
        <f>IF(L87="","",Q87/'[1]LOCH Calc COE Calc'!$C$28)</f>
        <v>3.2100000000000004</v>
      </c>
      <c r="W87">
        <f>IF(L87="","",R87/'[1]LOCH Calc COE Calc'!$C$28)</f>
        <v>0.21114397365631307</v>
      </c>
    </row>
    <row r="88" spans="12:23" x14ac:dyDescent="0.25">
      <c r="L88" s="4">
        <f>IF('[1]All Data '!BE93="","",'[1]All Data '!BE93)</f>
        <v>5.5E-2</v>
      </c>
      <c r="M88">
        <f>IF('[1]All Data '!BF93="","",'[1]All Data '!BF93)</f>
        <v>4767.5627999999997</v>
      </c>
      <c r="N88" s="5">
        <f>IF('[1]All Data '!BB93="","",'[1]All Data '!BC93/'[1]All Data '!BH93)</f>
        <v>274756.25</v>
      </c>
      <c r="O88" s="5">
        <f t="shared" si="3"/>
        <v>1309917676.5674999</v>
      </c>
      <c r="P88" s="5">
        <f>IF(M88="","",$C$2*(1-L88)*907.2/0.621371*N88*[1]Transportation!$M$40)</f>
        <v>4285580.0284837903</v>
      </c>
      <c r="Q88" s="5">
        <f>IF(L88="","",IF([1]Inputs_Outputs!$B$5="Herbaceous",(LCA!$E$29*'[1]LOCH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8" s="5">
        <f>IF(M88="","",$E$2*1000*'[1]LOCH Calc COE Calc'!$C$44)</f>
        <v>4896457.3202133691</v>
      </c>
      <c r="S88" s="6">
        <f>IF(N88="","",SUM(O88:R88)/('[1]LOCH Calc COE Calc'!$C$28))</f>
        <v>60.091932595510663</v>
      </c>
      <c r="T88">
        <f>IF(L88="","",O88/'[1]LOCH Calc COE Calc'!$C$28)</f>
        <v>56.485986766663913</v>
      </c>
      <c r="U88">
        <f>IF(L88="","",P88/'[1]LOCH Calc COE Calc'!$C$28)</f>
        <v>0.18480185519043221</v>
      </c>
      <c r="V88">
        <f>IF(L88="","",Q88/'[1]LOCH Calc COE Calc'!$C$28)</f>
        <v>3.2100000000000004</v>
      </c>
      <c r="W88">
        <f>IF(L88="","",R88/'[1]LOCH Calc COE Calc'!$C$28)</f>
        <v>0.21114397365631307</v>
      </c>
    </row>
    <row r="89" spans="12:23" x14ac:dyDescent="0.25">
      <c r="L89" s="4">
        <f>IF('[1]All Data '!BE94="","",'[1]All Data '!BE94)</f>
        <v>5.5E-2</v>
      </c>
      <c r="M89">
        <f>IF('[1]All Data '!BF94="","",'[1]All Data '!BF94)</f>
        <v>4767.5627999999997</v>
      </c>
      <c r="N89" s="5">
        <f>IF('[1]All Data '!BB94="","",'[1]All Data '!BC94/'[1]All Data '!BH94)</f>
        <v>271164.25</v>
      </c>
      <c r="O89" s="5">
        <f t="shared" si="3"/>
        <v>1292792590.9898999</v>
      </c>
      <c r="P89" s="5">
        <f>IF(M89="","",$C$2*(1-L89)*907.2/0.621371*N89*[1]Transportation!$M$40)</f>
        <v>4229552.9009395987</v>
      </c>
      <c r="Q89" s="5">
        <f>IF(L89="","",IF([1]Inputs_Outputs!$B$5="Herbaceous",(LCA!$E$29*'[1]LOCH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89" s="5">
        <f>IF(M89="","",$E$2*1000*'[1]LOCH Calc COE Calc'!$C$44)</f>
        <v>4896457.3202133691</v>
      </c>
      <c r="S89" s="6">
        <f>IF(N89="","",SUM(O89:R89)/('[1]LOCH Calc COE Calc'!$C$28))</f>
        <v>59.351052369020088</v>
      </c>
      <c r="T89">
        <f>IF(L89="","",O89/'[1]LOCH Calc COE Calc'!$C$28)</f>
        <v>55.74752252985089</v>
      </c>
      <c r="U89">
        <f>IF(L89="","",P89/'[1]LOCH Calc COE Calc'!$C$28)</f>
        <v>0.18238586551287608</v>
      </c>
      <c r="V89">
        <f>IF(L89="","",Q89/'[1]LOCH Calc COE Calc'!$C$28)</f>
        <v>3.2100000000000004</v>
      </c>
      <c r="W89">
        <f>IF(L89="","",R89/'[1]LOCH Calc COE Calc'!$C$28)</f>
        <v>0.21114397365631307</v>
      </c>
    </row>
    <row r="90" spans="12:23" x14ac:dyDescent="0.25">
      <c r="L90" s="4">
        <f>IF('[1]All Data '!BE95="","",'[1]All Data '!BE95)</f>
        <v>5.5E-2</v>
      </c>
      <c r="M90">
        <f>IF('[1]All Data '!BF95="","",'[1]All Data '!BF95)</f>
        <v>4767.5627999999997</v>
      </c>
      <c r="N90" s="5">
        <f>IF('[1]All Data '!BB95="","",'[1]All Data '!BC95/'[1]All Data '!BH95)</f>
        <v>270755</v>
      </c>
      <c r="O90" s="5">
        <f t="shared" si="3"/>
        <v>1290841465.914</v>
      </c>
      <c r="P90" s="5">
        <f>IF(M90="","",$C$2*(1-L90)*907.2/0.621371*N90*[1]Transportation!$M$40)</f>
        <v>4223169.5206646938</v>
      </c>
      <c r="Q90" s="5">
        <f>IF(L90="","",IF([1]Inputs_Outputs!$B$5="Herbaceous",(LCA!$E$29*'[1]LOCH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0" s="5">
        <f>IF(M90="","",$E$2*1000*'[1]LOCH Calc COE Calc'!$C$44)</f>
        <v>4896457.3202133691</v>
      </c>
      <c r="S90" s="6">
        <f>IF(N90="","",SUM(O90:R90)/('[1]LOCH Calc COE Calc'!$C$28))</f>
        <v>59.266641112702921</v>
      </c>
      <c r="T90">
        <f>IF(L90="","",O90/'[1]LOCH Calc COE Calc'!$C$28)</f>
        <v>55.663386536277478</v>
      </c>
      <c r="U90">
        <f>IF(L90="","",P90/'[1]LOCH Calc COE Calc'!$C$28)</f>
        <v>0.18211060276912891</v>
      </c>
      <c r="V90">
        <f>IF(L90="","",Q90/'[1]LOCH Calc COE Calc'!$C$28)</f>
        <v>3.2100000000000004</v>
      </c>
      <c r="W90">
        <f>IF(L90="","",R90/'[1]LOCH Calc COE Calc'!$C$28)</f>
        <v>0.21114397365631307</v>
      </c>
    </row>
    <row r="91" spans="12:23" x14ac:dyDescent="0.25">
      <c r="L91" s="4">
        <f>IF('[1]All Data '!BE96="","",'[1]All Data '!BE96)</f>
        <v>5.5E-2</v>
      </c>
      <c r="M91">
        <f>IF('[1]All Data '!BF96="","",'[1]All Data '!BF96)</f>
        <v>4767.5627999999997</v>
      </c>
      <c r="N91" s="5">
        <f>IF('[1]All Data '!BB96="","",'[1]All Data '!BC96/'[1]All Data '!BH96)</f>
        <v>269971.75</v>
      </c>
      <c r="O91" s="5">
        <f t="shared" si="3"/>
        <v>1287107272.3508999</v>
      </c>
      <c r="P91" s="5">
        <f>IF(M91="","",$C$2*(1-L91)*907.2/0.621371*N91*[1]Transportation!$M$40)</f>
        <v>4210952.5808960441</v>
      </c>
      <c r="Q91" s="5">
        <f>IF(L91="","",IF([1]Inputs_Outputs!$B$5="Herbaceous",(LCA!$E$29*'[1]LOCH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1" s="5">
        <f>IF(M91="","",$E$2*1000*'[1]LOCH Calc COE Calc'!$C$44)</f>
        <v>4896457.3202133691</v>
      </c>
      <c r="S91" s="6">
        <f>IF(N91="","",SUM(O91:R91)/('[1]LOCH Calc COE Calc'!$C$28))</f>
        <v>59.105089209195476</v>
      </c>
      <c r="T91">
        <f>IF(L91="","",O91/'[1]LOCH Calc COE Calc'!$C$28)</f>
        <v>55.502361449004702</v>
      </c>
      <c r="U91">
        <f>IF(L91="","",P91/'[1]LOCH Calc COE Calc'!$C$28)</f>
        <v>0.18158378653445578</v>
      </c>
      <c r="V91">
        <f>IF(L91="","",Q91/'[1]LOCH Calc COE Calc'!$C$28)</f>
        <v>3.2100000000000004</v>
      </c>
      <c r="W91">
        <f>IF(L91="","",R91/'[1]LOCH Calc COE Calc'!$C$28)</f>
        <v>0.21114397365631307</v>
      </c>
    </row>
    <row r="92" spans="12:23" x14ac:dyDescent="0.25">
      <c r="L92" s="4">
        <f>IF('[1]All Data '!BE97="","",'[1]All Data '!BE97)</f>
        <v>5.5E-2</v>
      </c>
      <c r="M92">
        <f>IF('[1]All Data '!BF97="","",'[1]All Data '!BF97)</f>
        <v>4767.5627999999997</v>
      </c>
      <c r="N92" s="5">
        <f>IF('[1]All Data '!BB97="","",'[1]All Data '!BC97/'[1]All Data '!BH97)</f>
        <v>269971.75</v>
      </c>
      <c r="O92" s="5">
        <f t="shared" si="3"/>
        <v>1287107272.3508999</v>
      </c>
      <c r="P92" s="5">
        <f>IF(M92="","",$C$2*(1-L92)*907.2/0.621371*N92*[1]Transportation!$M$40)</f>
        <v>4210952.5808960441</v>
      </c>
      <c r="Q92" s="5">
        <f>IF(L92="","",IF([1]Inputs_Outputs!$B$5="Herbaceous",(LCA!$E$29*'[1]LOCH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2" s="5">
        <f>IF(M92="","",$E$2*1000*'[1]LOCH Calc COE Calc'!$C$44)</f>
        <v>4896457.3202133691</v>
      </c>
      <c r="S92" s="6">
        <f>IF(N92="","",SUM(O92:R92)/('[1]LOCH Calc COE Calc'!$C$28))</f>
        <v>59.105089209195476</v>
      </c>
      <c r="T92">
        <f>IF(L92="","",O92/'[1]LOCH Calc COE Calc'!$C$28)</f>
        <v>55.502361449004702</v>
      </c>
      <c r="U92">
        <f>IF(L92="","",P92/'[1]LOCH Calc COE Calc'!$C$28)</f>
        <v>0.18158378653445578</v>
      </c>
      <c r="V92">
        <f>IF(L92="","",Q92/'[1]LOCH Calc COE Calc'!$C$28)</f>
        <v>3.2100000000000004</v>
      </c>
      <c r="W92">
        <f>IF(L92="","",R92/'[1]LOCH Calc COE Calc'!$C$28)</f>
        <v>0.21114397365631307</v>
      </c>
    </row>
    <row r="93" spans="12:23" x14ac:dyDescent="0.25">
      <c r="L93" s="4">
        <f>IF('[1]All Data '!BE98="","",'[1]All Data '!BE98)</f>
        <v>5.5E-2</v>
      </c>
      <c r="M93">
        <f>IF('[1]All Data '!BF98="","",'[1]All Data '!BF98)</f>
        <v>4767.5627999999997</v>
      </c>
      <c r="N93" s="5">
        <f>IF('[1]All Data '!BB98="","",'[1]All Data '!BC98/'[1]All Data '!BH98)</f>
        <v>269288</v>
      </c>
      <c r="O93" s="5">
        <f t="shared" si="3"/>
        <v>1283847451.2863998</v>
      </c>
      <c r="P93" s="5">
        <f>IF(M93="","",$C$2*(1-L93)*907.2/0.621371*N93*[1]Transportation!$M$40)</f>
        <v>4200287.6175167728</v>
      </c>
      <c r="Q93" s="5">
        <f>IF(L93="","",IF([1]Inputs_Outputs!$B$5="Herbaceous",(LCA!$E$29*'[1]LOCH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3" s="5">
        <f>IF(M93="","",$E$2*1000*'[1]LOCH Calc COE Calc'!$C$44)</f>
        <v>4896457.3202133691</v>
      </c>
      <c r="S93" s="6">
        <f>IF(N93="","",SUM(O93:R93)/('[1]LOCH Calc COE Calc'!$C$28))</f>
        <v>58.964060017975278</v>
      </c>
      <c r="T93">
        <f>IF(L93="","",O93/'[1]LOCH Calc COE Calc'!$C$28)</f>
        <v>55.361792150028947</v>
      </c>
      <c r="U93">
        <f>IF(L93="","",P93/'[1]LOCH Calc COE Calc'!$C$28)</f>
        <v>0.18112389429001563</v>
      </c>
      <c r="V93">
        <f>IF(L93="","",Q93/'[1]LOCH Calc COE Calc'!$C$28)</f>
        <v>3.2100000000000004</v>
      </c>
      <c r="W93">
        <f>IF(L93="","",R93/'[1]LOCH Calc COE Calc'!$C$28)</f>
        <v>0.21114397365631307</v>
      </c>
    </row>
    <row r="94" spans="12:23" x14ac:dyDescent="0.25">
      <c r="L94" s="4">
        <f>IF('[1]All Data '!BE99="","",'[1]All Data '!BE99)</f>
        <v>5.5E-2</v>
      </c>
      <c r="M94">
        <f>IF('[1]All Data '!BF99="","",'[1]All Data '!BF99)</f>
        <v>4767.5627999999997</v>
      </c>
      <c r="N94" s="5">
        <f>IF('[1]All Data '!BB99="","",'[1]All Data '!BC99/'[1]All Data '!BH99)</f>
        <v>268993.5</v>
      </c>
      <c r="O94" s="5">
        <f t="shared" si="3"/>
        <v>1282443404.0418</v>
      </c>
      <c r="P94" s="5">
        <f>IF(M94="","",$C$2*(1-L94)*907.2/0.621371*N94*[1]Transportation!$M$40)</f>
        <v>4195694.0793592669</v>
      </c>
      <c r="Q94" s="5">
        <f>IF(L94="","",IF([1]Inputs_Outputs!$B$5="Herbaceous",(LCA!$E$29*'[1]LOCH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4" s="5">
        <f>IF(M94="","",$E$2*1000*'[1]LOCH Calc COE Calc'!$C$44)</f>
        <v>4896457.3202133691</v>
      </c>
      <c r="S94" s="6">
        <f>IF(N94="","",SUM(O94:R94)/('[1]LOCH Calc COE Calc'!$C$28))</f>
        <v>58.90331691477332</v>
      </c>
      <c r="T94">
        <f>IF(L94="","",O94/'[1]LOCH Calc COE Calc'!$C$28)</f>
        <v>55.301247128386017</v>
      </c>
      <c r="U94">
        <f>IF(L94="","",P94/'[1]LOCH Calc COE Calc'!$C$28)</f>
        <v>0.1809258127309844</v>
      </c>
      <c r="V94">
        <f>IF(L94="","",Q94/'[1]LOCH Calc COE Calc'!$C$28)</f>
        <v>3.2100000000000004</v>
      </c>
      <c r="W94">
        <f>IF(L94="","",R94/'[1]LOCH Calc COE Calc'!$C$28)</f>
        <v>0.21114397365631307</v>
      </c>
    </row>
    <row r="95" spans="12:23" x14ac:dyDescent="0.25">
      <c r="L95" s="4">
        <f>IF('[1]All Data '!BE100="","",'[1]All Data '!BE100)</f>
        <v>5.5E-2</v>
      </c>
      <c r="M95">
        <f>IF('[1]All Data '!BF100="","",'[1]All Data '!BF100)</f>
        <v>4767.5627999999997</v>
      </c>
      <c r="N95" s="5">
        <f>IF('[1]All Data '!BB100="","",'[1]All Data '!BC100/'[1]All Data '!BH100)</f>
        <v>268711.25</v>
      </c>
      <c r="O95" s="5">
        <f t="shared" si="3"/>
        <v>1281097759.4414999</v>
      </c>
      <c r="P95" s="5">
        <f>IF(M95="","",$C$2*(1-L95)*907.2/0.621371*N95*[1]Transportation!$M$40)</f>
        <v>4191291.6136718085</v>
      </c>
      <c r="Q95" s="5">
        <f>IF(L95="","",IF([1]Inputs_Outputs!$B$5="Herbaceous",(LCA!$E$29*'[1]LOCH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5" s="5">
        <f>IF(M95="","",$E$2*1000*'[1]LOCH Calc COE Calc'!$C$44)</f>
        <v>4896457.3202133691</v>
      </c>
      <c r="S95" s="6">
        <f>IF(N95="","",SUM(O95:R95)/('[1]LOCH Calc COE Calc'!$C$28))</f>
        <v>58.845100477154446</v>
      </c>
      <c r="T95">
        <f>IF(L95="","",O95/'[1]LOCH Calc COE Calc'!$C$28)</f>
        <v>55.243220532940448</v>
      </c>
      <c r="U95">
        <f>IF(L95="","",P95/'[1]LOCH Calc COE Calc'!$C$28)</f>
        <v>0.18073597055768531</v>
      </c>
      <c r="V95">
        <f>IF(L95="","",Q95/'[1]LOCH Calc COE Calc'!$C$28)</f>
        <v>3.2100000000000004</v>
      </c>
      <c r="W95">
        <f>IF(L95="","",R95/'[1]LOCH Calc COE Calc'!$C$28)</f>
        <v>0.21114397365631307</v>
      </c>
    </row>
    <row r="96" spans="12:23" x14ac:dyDescent="0.25">
      <c r="L96" s="4">
        <f>IF('[1]All Data '!BE101="","",'[1]All Data '!BE101)</f>
        <v>5.5E-2</v>
      </c>
      <c r="M96">
        <f>IF('[1]All Data '!BF101="","",'[1]All Data '!BF101)</f>
        <v>4767.5627999999997</v>
      </c>
      <c r="N96" s="5">
        <f>IF('[1]All Data '!BB101="","",'[1]All Data '!BC101/'[1]All Data '!BH101)</f>
        <v>357566.33333333331</v>
      </c>
      <c r="O96" s="5">
        <f t="shared" si="3"/>
        <v>1704719949.3323998</v>
      </c>
      <c r="P96" s="5">
        <f>IF(M96="","",$C$2*(1-L96)*907.2/0.621371*N96*[1]Transportation!$M$40)</f>
        <v>5577231.2258283887</v>
      </c>
      <c r="Q96" s="5">
        <f>IF(L96="","",IF([1]Inputs_Outputs!$B$5="Herbaceous",(LCA!$E$29*'[1]LOCH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6" s="5">
        <f>IF(M96="","",$E$2*1000*'[1]LOCH Calc COE Calc'!$C$44)</f>
        <v>4896457.3202133691</v>
      </c>
      <c r="S96" s="6">
        <f>IF(N96="","",SUM(O96:R96)/('[1]LOCH Calc COE Calc'!$C$28))</f>
        <v>77.172209125494874</v>
      </c>
      <c r="T96">
        <f>IF(L96="","",O96/'[1]LOCH Calc COE Calc'!$C$28)</f>
        <v>73.51056499304822</v>
      </c>
      <c r="U96">
        <f>IF(L96="","",P96/'[1]LOCH Calc COE Calc'!$C$28)</f>
        <v>0.24050015879034775</v>
      </c>
      <c r="V96">
        <f>IF(L96="","",Q96/'[1]LOCH Calc COE Calc'!$C$28)</f>
        <v>3.2100000000000004</v>
      </c>
      <c r="W96">
        <f>IF(L96="","",R96/'[1]LOCH Calc COE Calc'!$C$28)</f>
        <v>0.21114397365631307</v>
      </c>
    </row>
    <row r="97" spans="12:23" x14ac:dyDescent="0.25">
      <c r="L97" s="4">
        <f>IF('[1]All Data '!BE102="","",'[1]All Data '!BE102)</f>
        <v>5.5E-2</v>
      </c>
      <c r="M97">
        <f>IF('[1]All Data '!BF102="","",'[1]All Data '!BF102)</f>
        <v>4767.5627999999997</v>
      </c>
      <c r="N97" s="5">
        <f>IF('[1]All Data '!BB102="","",'[1]All Data '!BC102/'[1]All Data '!BH102)</f>
        <v>357526.66666666669</v>
      </c>
      <c r="O97" s="5">
        <f t="shared" si="3"/>
        <v>1704530836.0079999</v>
      </c>
      <c r="P97" s="5">
        <f>IF(M97="","",$C$2*(1-L97)*907.2/0.621371*N97*[1]Transportation!$M$40)</f>
        <v>5576612.5149729913</v>
      </c>
      <c r="Q97" s="5">
        <f>IF(L97="","",IF([1]Inputs_Outputs!$B$5="Herbaceous",(LCA!$E$29*'[1]LOCH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7" s="5">
        <f>IF(M97="","",$E$2*1000*'[1]LOCH Calc COE Calc'!$C$44)</f>
        <v>4896457.3202133691</v>
      </c>
      <c r="S97" s="6">
        <f>IF(N97="","",SUM(O97:R97)/('[1]LOCH Calc COE Calc'!$C$28))</f>
        <v>77.164027541701969</v>
      </c>
      <c r="T97">
        <f>IF(L97="","",O97/'[1]LOCH Calc COE Calc'!$C$28)</f>
        <v>73.502410089171008</v>
      </c>
      <c r="U97">
        <f>IF(L97="","",P97/'[1]LOCH Calc COE Calc'!$C$28)</f>
        <v>0.24047347887464346</v>
      </c>
      <c r="V97">
        <f>IF(L97="","",Q97/'[1]LOCH Calc COE Calc'!$C$28)</f>
        <v>3.2100000000000004</v>
      </c>
      <c r="W97">
        <f>IF(L97="","",R97/'[1]LOCH Calc COE Calc'!$C$28)</f>
        <v>0.21114397365631307</v>
      </c>
    </row>
    <row r="98" spans="12:23" x14ac:dyDescent="0.25">
      <c r="L98" s="4">
        <f>IF('[1]All Data '!BE103="","",'[1]All Data '!BE103)</f>
        <v>5.5E-2</v>
      </c>
      <c r="M98">
        <f>IF('[1]All Data '!BF103="","",'[1]All Data '!BF103)</f>
        <v>4767.5627999999997</v>
      </c>
      <c r="N98" s="5">
        <f>IF('[1]All Data '!BB103="","",'[1]All Data '!BC103/'[1]All Data '!BH103)</f>
        <v>357512</v>
      </c>
      <c r="O98" s="5">
        <f t="shared" si="3"/>
        <v>1704460911.7535999</v>
      </c>
      <c r="P98" s="5">
        <f>IF(M98="","",$C$2*(1-L98)*907.2/0.621371*N98*[1]Transportation!$M$40)</f>
        <v>5576383.7479340211</v>
      </c>
      <c r="Q98" s="5">
        <f>IF(L98="","",IF([1]Inputs_Outputs!$B$5="Herbaceous",(LCA!$E$29*'[1]LOCH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8" s="5">
        <f>IF(M98="","",$E$2*1000*'[1]LOCH Calc COE Calc'!$C$44)</f>
        <v>4896457.3202133691</v>
      </c>
      <c r="S98" s="6">
        <f>IF(N98="","",SUM(O98:R98)/('[1]LOCH Calc COE Calc'!$C$28))</f>
        <v>77.161002418282749</v>
      </c>
      <c r="T98">
        <f>IF(L98="","",O98/'[1]LOCH Calc COE Calc'!$C$28)</f>
        <v>73.499394830594568</v>
      </c>
      <c r="U98">
        <f>IF(L98="","",P98/'[1]LOCH Calc COE Calc'!$C$28)</f>
        <v>0.24046361403186206</v>
      </c>
      <c r="V98">
        <f>IF(L98="","",Q98/'[1]LOCH Calc COE Calc'!$C$28)</f>
        <v>3.2100000000000004</v>
      </c>
      <c r="W98">
        <f>IF(L98="","",R98/'[1]LOCH Calc COE Calc'!$C$28)</f>
        <v>0.21114397365631307</v>
      </c>
    </row>
    <row r="99" spans="12:23" x14ac:dyDescent="0.25">
      <c r="L99" s="4">
        <f>IF('[1]All Data '!BE104="","",'[1]All Data '!BE104)</f>
        <v>5.5E-2</v>
      </c>
      <c r="M99">
        <f>IF('[1]All Data '!BF104="","",'[1]All Data '!BF104)</f>
        <v>4767.5627999999997</v>
      </c>
      <c r="N99" s="5">
        <f>IF('[1]All Data '!BB104="","",'[1]All Data '!BC104/'[1]All Data '!BH104)</f>
        <v>357372</v>
      </c>
      <c r="O99" s="5">
        <f t="shared" si="3"/>
        <v>1703793452.9615998</v>
      </c>
      <c r="P99" s="5">
        <f>IF(M99="","",$C$2*(1-L99)*907.2/0.621371*N99*[1]Transportation!$M$40)</f>
        <v>5574200.0625620307</v>
      </c>
      <c r="Q99" s="5">
        <f>IF(L99="","",IF([1]Inputs_Outputs!$B$5="Herbaceous",(LCA!$E$29*'[1]LOCH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99" s="5">
        <f>IF(M99="","",$E$2*1000*'[1]LOCH Calc COE Calc'!$C$44)</f>
        <v>4896457.3202133691</v>
      </c>
      <c r="S99" s="6">
        <f>IF(N99="","",SUM(O99:R99)/('[1]LOCH Calc COE Calc'!$C$28))</f>
        <v>77.132126240190118</v>
      </c>
      <c r="T99">
        <f>IF(L99="","",O99/'[1]LOCH Calc COE Calc'!$C$28)</f>
        <v>73.470612816910318</v>
      </c>
      <c r="U99">
        <f>IF(L99="","",P99/'[1]LOCH Calc COE Calc'!$C$28)</f>
        <v>0.24036944962349405</v>
      </c>
      <c r="V99">
        <f>IF(L99="","",Q99/'[1]LOCH Calc COE Calc'!$C$28)</f>
        <v>3.2100000000000004</v>
      </c>
      <c r="W99">
        <f>IF(L99="","",R99/'[1]LOCH Calc COE Calc'!$C$28)</f>
        <v>0.21114397365631307</v>
      </c>
    </row>
    <row r="100" spans="12:23" x14ac:dyDescent="0.25">
      <c r="L100" s="4">
        <f>IF('[1]All Data '!BE105="","",'[1]All Data '!BE105)</f>
        <v>5.5E-2</v>
      </c>
      <c r="M100">
        <f>IF('[1]All Data '!BF105="","",'[1]All Data '!BF105)</f>
        <v>4767.5627999999997</v>
      </c>
      <c r="N100" s="5">
        <f>IF('[1]All Data '!BB105="","",'[1]All Data '!BC105/'[1]All Data '!BH105)</f>
        <v>354188.33333333331</v>
      </c>
      <c r="O100" s="5">
        <f t="shared" si="3"/>
        <v>1688615122.1939998</v>
      </c>
      <c r="P100" s="5">
        <f>IF(M100="","",$C$2*(1-L100)*907.2/0.621371*N100*[1]Transportation!$M$40)</f>
        <v>5524542.0173528092</v>
      </c>
      <c r="Q100" s="5">
        <f>IF(L100="","",IF([1]Inputs_Outputs!$B$5="Herbaceous",(LCA!$E$29*'[1]LOCH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0" s="5">
        <f>IF(M100="","",$E$2*1000*'[1]LOCH Calc COE Calc'!$C$44)</f>
        <v>4896457.3202133691</v>
      </c>
      <c r="S100" s="6">
        <f>IF(N100="","",SUM(O100:R100)/('[1]LOCH Calc COE Calc'!$C$28))</f>
        <v>76.475468199803018</v>
      </c>
      <c r="T100">
        <f>IF(L100="","",O100/'[1]LOCH Calc COE Calc'!$C$28)</f>
        <v>72.816096120009689</v>
      </c>
      <c r="U100">
        <f>IF(L100="","",P100/'[1]LOCH Calc COE Calc'!$C$28)</f>
        <v>0.23822810613701126</v>
      </c>
      <c r="V100">
        <f>IF(L100="","",Q100/'[1]LOCH Calc COE Calc'!$C$28)</f>
        <v>3.2100000000000004</v>
      </c>
      <c r="W100">
        <f>IF(L100="","",R100/'[1]LOCH Calc COE Calc'!$C$28)</f>
        <v>0.21114397365631307</v>
      </c>
    </row>
    <row r="101" spans="12:23" x14ac:dyDescent="0.25">
      <c r="L101" s="4">
        <f>IF('[1]All Data '!BE106="","",'[1]All Data '!BE106)</f>
        <v>5.5E-2</v>
      </c>
      <c r="M101">
        <f>IF('[1]All Data '!BF106="","",'[1]All Data '!BF106)</f>
        <v>4767.5627999999997</v>
      </c>
      <c r="N101" s="5">
        <f>IF('[1]All Data '!BB106="","",'[1]All Data '!BC106/'[1]All Data '!BH106)</f>
        <v>353133</v>
      </c>
      <c r="O101" s="5">
        <f t="shared" si="3"/>
        <v>1683583754.2523999</v>
      </c>
      <c r="P101" s="5">
        <f>IF(M101="","",$C$2*(1-L101)*907.2/0.621371*N101*[1]Transportation!$M$40)</f>
        <v>5508081.1890487159</v>
      </c>
      <c r="Q101" s="5">
        <f>IF(L101="","",IF([1]Inputs_Outputs!$B$5="Herbaceous",(LCA!$E$29*'[1]LOCH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1" s="5">
        <f>IF(M101="","",$E$2*1000*'[1]LOCH Calc COE Calc'!$C$44)</f>
        <v>4896457.3202133691</v>
      </c>
      <c r="S101" s="6">
        <f>IF(N101="","",SUM(O101:R101)/('[1]LOCH Calc COE Calc'!$C$28))</f>
        <v>76.257796819228673</v>
      </c>
      <c r="T101">
        <f>IF(L101="","",O101/'[1]LOCH Calc COE Calc'!$C$28)</f>
        <v>72.599134559713661</v>
      </c>
      <c r="U101">
        <f>IF(L101="","",P101/'[1]LOCH Calc COE Calc'!$C$28)</f>
        <v>0.23751828585869436</v>
      </c>
      <c r="V101">
        <f>IF(L101="","",Q101/'[1]LOCH Calc COE Calc'!$C$28)</f>
        <v>3.2100000000000004</v>
      </c>
      <c r="W101">
        <f>IF(L101="","",R101/'[1]LOCH Calc COE Calc'!$C$28)</f>
        <v>0.21114397365631307</v>
      </c>
    </row>
    <row r="102" spans="12:23" x14ac:dyDescent="0.25">
      <c r="L102" s="4">
        <f>IF('[1]All Data '!BE107="","",'[1]All Data '!BE107)</f>
        <v>5.5E-2</v>
      </c>
      <c r="M102">
        <f>IF('[1]All Data '!BF107="","",'[1]All Data '!BF107)</f>
        <v>4767.5627999999997</v>
      </c>
      <c r="N102" s="5">
        <f>IF('[1]All Data '!BB107="","",'[1]All Data '!BC107/'[1]All Data '!BH107)</f>
        <v>350233.33333333331</v>
      </c>
      <c r="O102" s="5">
        <f t="shared" si="3"/>
        <v>1669759411.3199997</v>
      </c>
      <c r="P102" s="5">
        <f>IF(M102="","",$C$2*(1-L102)*907.2/0.621371*N102*[1]Transportation!$M$40)</f>
        <v>5462852.9055941012</v>
      </c>
      <c r="Q102" s="5">
        <f>IF(L102="","",IF([1]Inputs_Outputs!$B$5="Herbaceous",(LCA!$E$29*'[1]LOCH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2" s="5">
        <f>IF(M102="","",$E$2*1000*'[1]LOCH Calc COE Calc'!$C$44)</f>
        <v>4896457.3202133691</v>
      </c>
      <c r="S102" s="6">
        <f>IF(N102="","",SUM(O102:R102)/('[1]LOCH Calc COE Calc'!$C$28))</f>
        <v>75.659716168686586</v>
      </c>
      <c r="T102">
        <f>IF(L102="","",O102/'[1]LOCH Calc COE Calc'!$C$28)</f>
        <v>72.00300423342965</v>
      </c>
      <c r="U102">
        <f>IF(L102="","",P102/'[1]LOCH Calc COE Calc'!$C$28)</f>
        <v>0.23556796160061522</v>
      </c>
      <c r="V102">
        <f>IF(L102="","",Q102/'[1]LOCH Calc COE Calc'!$C$28)</f>
        <v>3.2100000000000004</v>
      </c>
      <c r="W102">
        <f>IF(L102="","",R102/'[1]LOCH Calc COE Calc'!$C$28)</f>
        <v>0.21114397365631307</v>
      </c>
    </row>
    <row r="103" spans="12:23" x14ac:dyDescent="0.25">
      <c r="L103" s="4">
        <f>IF('[1]All Data '!BE108="","",'[1]All Data '!BE108)</f>
        <v>5.5E-2</v>
      </c>
      <c r="M103">
        <f>IF('[1]All Data '!BF108="","",'[1]All Data '!BF108)</f>
        <v>4767.5627999999997</v>
      </c>
      <c r="N103" s="5">
        <f>IF('[1]All Data '!BB108="","",'[1]All Data '!BC108/'[1]All Data '!BH108)</f>
        <v>350233.33333333331</v>
      </c>
      <c r="O103" s="5">
        <f t="shared" si="3"/>
        <v>1669759411.3199997</v>
      </c>
      <c r="P103" s="5">
        <f>IF(M103="","",$C$2*(1-L103)*907.2/0.621371*N103*[1]Transportation!$M$40)</f>
        <v>5462852.9055941012</v>
      </c>
      <c r="Q103" s="5">
        <f>IF(L103="","",IF([1]Inputs_Outputs!$B$5="Herbaceous",(LCA!$E$29*'[1]LOCH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3" s="5">
        <f>IF(M103="","",$E$2*1000*'[1]LOCH Calc COE Calc'!$C$44)</f>
        <v>4896457.3202133691</v>
      </c>
      <c r="S103" s="6">
        <f>IF(N103="","",SUM(O103:R103)/('[1]LOCH Calc COE Calc'!$C$28))</f>
        <v>75.659716168686586</v>
      </c>
      <c r="T103">
        <f>IF(L103="","",O103/'[1]LOCH Calc COE Calc'!$C$28)</f>
        <v>72.00300423342965</v>
      </c>
      <c r="U103">
        <f>IF(L103="","",P103/'[1]LOCH Calc COE Calc'!$C$28)</f>
        <v>0.23556796160061522</v>
      </c>
      <c r="V103">
        <f>IF(L103="","",Q103/'[1]LOCH Calc COE Calc'!$C$28)</f>
        <v>3.2100000000000004</v>
      </c>
      <c r="W103">
        <f>IF(L103="","",R103/'[1]LOCH Calc COE Calc'!$C$28)</f>
        <v>0.21114397365631307</v>
      </c>
    </row>
    <row r="104" spans="12:23" x14ac:dyDescent="0.25">
      <c r="L104" s="4">
        <f>IF('[1]All Data '!BE109="","",'[1]All Data '!BE109)</f>
        <v>5.5E-2</v>
      </c>
      <c r="M104">
        <f>IF('[1]All Data '!BF109="","",'[1]All Data '!BF109)</f>
        <v>4767.5627999999997</v>
      </c>
      <c r="N104" s="5">
        <f>IF('[1]All Data '!BB109="","",'[1]All Data '!BC109/'[1]All Data '!BH109)</f>
        <v>349858.66666666669</v>
      </c>
      <c r="O104" s="5">
        <f t="shared" si="3"/>
        <v>1667973164.4575999</v>
      </c>
      <c r="P104" s="5">
        <f>IF(M104="","",$C$2*(1-L104)*907.2/0.621371*N104*[1]Transportation!$M$40)</f>
        <v>5457008.9475985868</v>
      </c>
      <c r="Q104" s="5">
        <f>IF(L104="","",IF([1]Inputs_Outputs!$B$5="Herbaceous",(LCA!$E$29*'[1]LOCH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4" s="5">
        <f>IF(M104="","",$E$2*1000*'[1]LOCH Calc COE Calc'!$C$44)</f>
        <v>4896457.3202133691</v>
      </c>
      <c r="S104" s="6">
        <f>IF(N104="","",SUM(O104:R104)/('[1]LOCH Calc COE Calc'!$C$28))</f>
        <v>75.582438015886353</v>
      </c>
      <c r="T104">
        <f>IF(L104="","",O104/'[1]LOCH Calc COE Calc'!$C$28)</f>
        <v>71.925978082522292</v>
      </c>
      <c r="U104">
        <f>IF(L104="","",P104/'[1]LOCH Calc COE Calc'!$C$28)</f>
        <v>0.23531595970774469</v>
      </c>
      <c r="V104">
        <f>IF(L104="","",Q104/'[1]LOCH Calc COE Calc'!$C$28)</f>
        <v>3.2100000000000004</v>
      </c>
      <c r="W104">
        <f>IF(L104="","",R104/'[1]LOCH Calc COE Calc'!$C$28)</f>
        <v>0.21114397365631307</v>
      </c>
    </row>
    <row r="105" spans="12:23" x14ac:dyDescent="0.25">
      <c r="L105" s="4">
        <f>IF('[1]All Data '!BE110="","",'[1]All Data '!BE110)</f>
        <v>5.5E-2</v>
      </c>
      <c r="M105">
        <f>IF('[1]All Data '!BF110="","",'[1]All Data '!BF110)</f>
        <v>4767.5627999999997</v>
      </c>
      <c r="N105" s="5">
        <f>IF('[1]All Data '!BB110="","",'[1]All Data '!BC110/'[1]All Data '!BH110)</f>
        <v>346767.33333333331</v>
      </c>
      <c r="O105" s="5">
        <f t="shared" si="3"/>
        <v>1653235038.6551998</v>
      </c>
      <c r="P105" s="5">
        <f>IF(M105="","",$C$2*(1-L105)*907.2/0.621371*N105*[1]Transportation!$M$40)</f>
        <v>5408791.0948847011</v>
      </c>
      <c r="Q105" s="5">
        <f>IF(L105="","",IF([1]Inputs_Outputs!$B$5="Herbaceous",(LCA!$E$29*'[1]LOCH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5" s="5">
        <f>IF(M105="","",$E$2*1000*'[1]LOCH Calc COE Calc'!$C$44)</f>
        <v>4896457.3202133691</v>
      </c>
      <c r="S105" s="6">
        <f>IF(N105="","",SUM(O105:R105)/('[1]LOCH Calc COE Calc'!$C$28))</f>
        <v>74.944824502479364</v>
      </c>
      <c r="T105">
        <f>IF(L105="","",O105/'[1]LOCH Calc COE Calc'!$C$28)</f>
        <v>71.290443808932466</v>
      </c>
      <c r="U105">
        <f>IF(L105="","",P105/'[1]LOCH Calc COE Calc'!$C$28)</f>
        <v>0.2332367198905903</v>
      </c>
      <c r="V105">
        <f>IF(L105="","",Q105/'[1]LOCH Calc COE Calc'!$C$28)</f>
        <v>3.2100000000000004</v>
      </c>
      <c r="W105">
        <f>IF(L105="","",R105/'[1]LOCH Calc COE Calc'!$C$28)</f>
        <v>0.21114397365631307</v>
      </c>
    </row>
    <row r="106" spans="12:23" x14ac:dyDescent="0.25">
      <c r="L106" s="4">
        <f>IF('[1]All Data '!BE111="","",'[1]All Data '!BE111)</f>
        <v>5.5E-2</v>
      </c>
      <c r="M106">
        <f>IF('[1]All Data '!BF111="","",'[1]All Data '!BF111)</f>
        <v>4767.5627999999997</v>
      </c>
      <c r="N106" s="5">
        <f>IF('[1]All Data '!BB111="","",'[1]All Data '!BC111/'[1]All Data '!BH111)</f>
        <v>341934.33333333331</v>
      </c>
      <c r="O106" s="5">
        <f t="shared" si="3"/>
        <v>1630193407.6427999</v>
      </c>
      <c r="P106" s="5">
        <f>IF(M106="","",$C$2*(1-L106)*907.2/0.621371*N106*[1]Transportation!$M$40)</f>
        <v>5333407.1562930867</v>
      </c>
      <c r="Q106" s="5">
        <f>IF(L106="","",IF([1]Inputs_Outputs!$B$5="Herbaceous",(LCA!$E$29*'[1]LOCH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6" s="5">
        <f>IF(M106="","",$E$2*1000*'[1]LOCH Calc COE Calc'!$C$44)</f>
        <v>4896457.3202133691</v>
      </c>
      <c r="S106" s="6">
        <f>IF(N106="","",SUM(O106:R106)/('[1]LOCH Calc COE Calc'!$C$28))</f>
        <v>73.947977583039247</v>
      </c>
      <c r="T106">
        <f>IF(L106="","",O106/'[1]LOCH Calc COE Calc'!$C$28)</f>
        <v>70.296847579389777</v>
      </c>
      <c r="U106">
        <f>IF(L106="","",P106/'[1]LOCH Calc COE Calc'!$C$28)</f>
        <v>0.22998602999314352</v>
      </c>
      <c r="V106">
        <f>IF(L106="","",Q106/'[1]LOCH Calc COE Calc'!$C$28)</f>
        <v>3.2100000000000004</v>
      </c>
      <c r="W106">
        <f>IF(L106="","",R106/'[1]LOCH Calc COE Calc'!$C$28)</f>
        <v>0.21114397365631307</v>
      </c>
    </row>
    <row r="107" spans="12:23" x14ac:dyDescent="0.25">
      <c r="L107" s="4">
        <f>IF('[1]All Data '!BE112="","",'[1]All Data '!BE112)</f>
        <v>5.5E-2</v>
      </c>
      <c r="M107">
        <f>IF('[1]All Data '!BF112="","",'[1]All Data '!BF112)</f>
        <v>4767.5627999999997</v>
      </c>
      <c r="N107" s="5">
        <f>IF('[1]All Data '!BB112="","",'[1]All Data '!BC112/'[1]All Data '!BH112)</f>
        <v>340739.33333333331</v>
      </c>
      <c r="O107" s="5">
        <f t="shared" si="3"/>
        <v>1624496170.0967999</v>
      </c>
      <c r="P107" s="5">
        <f>IF(M107="","",$C$2*(1-L107)*907.2/0.621371*N107*[1]Transportation!$M$40)</f>
        <v>5314767.8418678902</v>
      </c>
      <c r="Q107" s="5">
        <f>IF(L107="","",IF([1]Inputs_Outputs!$B$5="Herbaceous",(LCA!$E$29*'[1]LOCH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7" s="5">
        <f>IF(M107="","",$E$2*1000*'[1]LOCH Calc COE Calc'!$C$44)</f>
        <v>4896457.3202133691</v>
      </c>
      <c r="S107" s="6">
        <f>IF(N107="","",SUM(O107:R107)/('[1]LOCH Calc COE Calc'!$C$28))</f>
        <v>73.701498777177264</v>
      </c>
      <c r="T107">
        <f>IF(L107="","",O107/'[1]LOCH Calc COE Calc'!$C$28)</f>
        <v>70.051172534013517</v>
      </c>
      <c r="U107">
        <f>IF(L107="","",P107/'[1]LOCH Calc COE Calc'!$C$28)</f>
        <v>0.22918226950743098</v>
      </c>
      <c r="V107">
        <f>IF(L107="","",Q107/'[1]LOCH Calc COE Calc'!$C$28)</f>
        <v>3.2100000000000004</v>
      </c>
      <c r="W107">
        <f>IF(L107="","",R107/'[1]LOCH Calc COE Calc'!$C$28)</f>
        <v>0.21114397365631307</v>
      </c>
    </row>
    <row r="108" spans="12:23" x14ac:dyDescent="0.25">
      <c r="L108" s="4">
        <f>IF('[1]All Data '!BE113="","",'[1]All Data '!BE113)</f>
        <v>5.5E-2</v>
      </c>
      <c r="M108">
        <f>IF('[1]All Data '!BF113="","",'[1]All Data '!BF113)</f>
        <v>4767.5627999999997</v>
      </c>
      <c r="N108" s="5">
        <f>IF('[1]All Data '!BB113="","",'[1]All Data '!BC113/'[1]All Data '!BH113)</f>
        <v>340705</v>
      </c>
      <c r="O108" s="5">
        <f t="shared" si="3"/>
        <v>1624332483.7739999</v>
      </c>
      <c r="P108" s="5">
        <f>IF(M108="","",$C$2*(1-L108)*907.2/0.621371*N108*[1]Transportation!$M$40)</f>
        <v>5314232.3190266639</v>
      </c>
      <c r="Q108" s="5">
        <f>IF(L108="","",IF([1]Inputs_Outputs!$B$5="Herbaceous",(LCA!$E$29*'[1]LOCH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8" s="5">
        <f>IF(M108="","",$E$2*1000*'[1]LOCH Calc COE Calc'!$C$44)</f>
        <v>4896457.3202133691</v>
      </c>
      <c r="S108" s="6">
        <f>IF(N108="","",SUM(O108:R108)/('[1]LOCH Calc COE Calc'!$C$28))</f>
        <v>73.69441723826408</v>
      </c>
      <c r="T108">
        <f>IF(L108="","",O108/'[1]LOCH Calc COE Calc'!$C$28)</f>
        <v>70.04411408780048</v>
      </c>
      <c r="U108">
        <f>IF(L108="","",P108/'[1]LOCH Calc COE Calc'!$C$28)</f>
        <v>0.22915917680728357</v>
      </c>
      <c r="V108">
        <f>IF(L108="","",Q108/'[1]LOCH Calc COE Calc'!$C$28)</f>
        <v>3.2100000000000004</v>
      </c>
      <c r="W108">
        <f>IF(L108="","",R108/'[1]LOCH Calc COE Calc'!$C$28)</f>
        <v>0.21114397365631307</v>
      </c>
    </row>
    <row r="109" spans="12:23" x14ac:dyDescent="0.25">
      <c r="L109" s="4">
        <f>IF('[1]All Data '!BE114="","",'[1]All Data '!BE114)</f>
        <v>5.5E-2</v>
      </c>
      <c r="M109">
        <f>IF('[1]All Data '!BF114="","",'[1]All Data '!BF114)</f>
        <v>4767.5627999999997</v>
      </c>
      <c r="N109" s="5">
        <f>IF('[1]All Data '!BB114="","",'[1]All Data '!BC114/'[1]All Data '!BH114)</f>
        <v>339452.33333333331</v>
      </c>
      <c r="O109" s="5">
        <f t="shared" si="3"/>
        <v>1618360316.7731998</v>
      </c>
      <c r="P109" s="5">
        <f>IF(M109="","",$C$2*(1-L109)*907.2/0.621371*N109*[1]Transportation!$M$40)</f>
        <v>5294693.5341982413</v>
      </c>
      <c r="Q109" s="5">
        <f>IF(L109="","",IF([1]Inputs_Outputs!$B$5="Herbaceous",(LCA!$E$29*'[1]LOCH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09" s="5">
        <f>IF(M109="","",$E$2*1000*'[1]LOCH Calc COE Calc'!$C$44)</f>
        <v>4896457.3202133691</v>
      </c>
      <c r="S109" s="6">
        <f>IF(N109="","",SUM(O109:R109)/('[1]LOCH Calc COE Calc'!$C$28))</f>
        <v>73.436044197140134</v>
      </c>
      <c r="T109">
        <f>IF(L109="","",O109/'[1]LOCH Calc COE Calc'!$C$28)</f>
        <v>69.786583593930445</v>
      </c>
      <c r="U109">
        <f>IF(L109="","",P109/'[1]LOCH Calc COE Calc'!$C$28)</f>
        <v>0.22831662955336224</v>
      </c>
      <c r="V109">
        <f>IF(L109="","",Q109/'[1]LOCH Calc COE Calc'!$C$28)</f>
        <v>3.2100000000000004</v>
      </c>
      <c r="W109">
        <f>IF(L109="","",R109/'[1]LOCH Calc COE Calc'!$C$28)</f>
        <v>0.21114397365631307</v>
      </c>
    </row>
    <row r="110" spans="12:23" x14ac:dyDescent="0.25">
      <c r="L110" s="4">
        <f>IF('[1]All Data '!BE115="","",'[1]All Data '!BE115)</f>
        <v>5.5E-2</v>
      </c>
      <c r="M110">
        <f>IF('[1]All Data '!BF115="","",'[1]All Data '!BF115)</f>
        <v>4767.5627999999997</v>
      </c>
      <c r="N110" s="5">
        <f>IF('[1]All Data '!BB115="","",'[1]All Data '!BC115/'[1]All Data '!BH115)</f>
        <v>337818.33333333331</v>
      </c>
      <c r="O110" s="5">
        <f t="shared" si="3"/>
        <v>1610570119.1579998</v>
      </c>
      <c r="P110" s="5">
        <f>IF(M110="","",$C$2*(1-L110)*907.2/0.621371*N110*[1]Transportation!$M$40)</f>
        <v>5269206.8063565912</v>
      </c>
      <c r="Q110" s="5">
        <f>IF(L110="","",IF([1]Inputs_Outputs!$B$5="Herbaceous",(LCA!$E$29*'[1]LOCH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0" s="5">
        <f>IF(M110="","",$E$2*1000*'[1]LOCH Calc COE Calc'!$C$44)</f>
        <v>4896457.3202133691</v>
      </c>
      <c r="S110" s="6">
        <f>IF(N110="","",SUM(O110:R110)/('[1]LOCH Calc COE Calc'!$C$28))</f>
        <v>73.099017947116295</v>
      </c>
      <c r="T110">
        <f>IF(L110="","",O110/'[1]LOCH Calc COE Calc'!$C$28)</f>
        <v>69.45065637707286</v>
      </c>
      <c r="U110">
        <f>IF(L110="","",P110/'[1]LOCH Calc COE Calc'!$C$28)</f>
        <v>0.2272175963871243</v>
      </c>
      <c r="V110">
        <f>IF(L110="","",Q110/'[1]LOCH Calc COE Calc'!$C$28)</f>
        <v>3.2100000000000004</v>
      </c>
      <c r="W110">
        <f>IF(L110="","",R110/'[1]LOCH Calc COE Calc'!$C$28)</f>
        <v>0.21114397365631307</v>
      </c>
    </row>
    <row r="111" spans="12:23" x14ac:dyDescent="0.25">
      <c r="L111" s="4">
        <f>IF('[1]All Data '!BE116="","",'[1]All Data '!BE116)</f>
        <v>5.5000000000000007E-2</v>
      </c>
      <c r="M111">
        <f>IF('[1]All Data '!BF116="","",'[1]All Data '!BF116)</f>
        <v>4767.5627999999997</v>
      </c>
      <c r="N111" s="5">
        <f>IF('[1]All Data '!BB116="","",'[1]All Data '!BC116/'[1]All Data '!BH116)</f>
        <v>331454.33333333331</v>
      </c>
      <c r="O111" s="5">
        <f t="shared" si="3"/>
        <v>1580229349.4987998</v>
      </c>
      <c r="P111" s="5">
        <f>IF(M111="","",$C$2*(1-L111)*907.2/0.621371*N111*[1]Transportation!$M$40)</f>
        <v>5169942.7084470037</v>
      </c>
      <c r="Q111" s="5">
        <f>IF(L111="","",IF([1]Inputs_Outputs!$B$5="Herbaceous",(LCA!$E$29*'[1]LOCH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1" s="5">
        <f>IF(M111="","",$E$2*1000*'[1]LOCH Calc COE Calc'!$C$44)</f>
        <v>4896457.3202133691</v>
      </c>
      <c r="S111" s="6">
        <f>IF(N111="","",SUM(O111:R111)/('[1]LOCH Calc COE Calc'!$C$28))</f>
        <v>71.786389394391904</v>
      </c>
      <c r="T111">
        <f>IF(L111="","",O111/'[1]LOCH Calc COE Calc'!$C$28)</f>
        <v>68.142308269311712</v>
      </c>
      <c r="U111">
        <f>IF(L111="","",P111/'[1]LOCH Calc COE Calc'!$C$28)</f>
        <v>0.22293715142388171</v>
      </c>
      <c r="V111">
        <f>IF(L111="","",Q111/'[1]LOCH Calc COE Calc'!$C$28)</f>
        <v>3.2100000000000004</v>
      </c>
      <c r="W111">
        <f>IF(L111="","",R111/'[1]LOCH Calc COE Calc'!$C$28)</f>
        <v>0.21114397365631307</v>
      </c>
    </row>
    <row r="112" spans="12:23" x14ac:dyDescent="0.25">
      <c r="L112" s="4">
        <f>IF('[1]All Data '!BE117="","",'[1]All Data '!BE117)</f>
        <v>5.5E-2</v>
      </c>
      <c r="M112">
        <f>IF('[1]All Data '!BF117="","",'[1]All Data '!BF117)</f>
        <v>4767.5627999999997</v>
      </c>
      <c r="N112" s="5">
        <f>IF('[1]All Data '!BB117="","",'[1]All Data '!BC117/'[1]All Data '!BH117)</f>
        <v>330507.66666666669</v>
      </c>
      <c r="O112" s="5">
        <f t="shared" si="3"/>
        <v>1575716056.7147999</v>
      </c>
      <c r="P112" s="5">
        <f>IF(M112="","",$C$2*(1-L112)*907.2/0.621371*N112*[1]Transportation!$M$40)</f>
        <v>5155176.8359316466</v>
      </c>
      <c r="Q112" s="5">
        <f>IF(L112="","",IF([1]Inputs_Outputs!$B$5="Herbaceous",(LCA!$E$29*'[1]LOCH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2" s="5">
        <f>IF(M112="","",$E$2*1000*'[1]LOCH Calc COE Calc'!$C$44)</f>
        <v>4896457.3202133691</v>
      </c>
      <c r="S112" s="6">
        <f>IF(N112="","",SUM(O112:R112)/('[1]LOCH Calc COE Calc'!$C$28))</f>
        <v>71.591131428241823</v>
      </c>
      <c r="T112">
        <f>IF(L112="","",O112/'[1]LOCH Calc COE Calc'!$C$28)</f>
        <v>67.947687033922975</v>
      </c>
      <c r="U112">
        <f>IF(L112="","",P112/'[1]LOCH Calc COE Calc'!$C$28)</f>
        <v>0.22230042066253625</v>
      </c>
      <c r="V112">
        <f>IF(L112="","",Q112/'[1]LOCH Calc COE Calc'!$C$28)</f>
        <v>3.2100000000000004</v>
      </c>
      <c r="W112">
        <f>IF(L112="","",R112/'[1]LOCH Calc COE Calc'!$C$28)</f>
        <v>0.21114397365631307</v>
      </c>
    </row>
    <row r="113" spans="12:23" x14ac:dyDescent="0.25">
      <c r="L113" s="4">
        <f>IF('[1]All Data '!BE118="","",'[1]All Data '!BE118)</f>
        <v>5.5E-2</v>
      </c>
      <c r="M113">
        <f>IF('[1]All Data '!BF118="","",'[1]All Data '!BF118)</f>
        <v>4767.5627999999997</v>
      </c>
      <c r="N113" s="5">
        <f>IF('[1]All Data '!BB118="","",'[1]All Data '!BC118/'[1]All Data '!BH118)</f>
        <v>330307</v>
      </c>
      <c r="O113" s="5">
        <f t="shared" si="3"/>
        <v>1574759365.7795999</v>
      </c>
      <c r="P113" s="5">
        <f>IF(M113="","",$C$2*(1-L113)*907.2/0.621371*N113*[1]Transportation!$M$40)</f>
        <v>5152046.8868984617</v>
      </c>
      <c r="Q113" s="5">
        <f>IF(L113="","",IF([1]Inputs_Outputs!$B$5="Herbaceous",(LCA!$E$29*'[1]LOCH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3" s="5">
        <f>IF(M113="","",$E$2*1000*'[1]LOCH Calc COE Calc'!$C$44)</f>
        <v>4896457.3202133691</v>
      </c>
      <c r="S113" s="6">
        <f>IF(N113="","",SUM(O113:R113)/('[1]LOCH Calc COE Calc'!$C$28))</f>
        <v>71.549742239642413</v>
      </c>
      <c r="T113">
        <f>IF(L113="","",O113/'[1]LOCH Calc COE Calc'!$C$28)</f>
        <v>67.906432814308886</v>
      </c>
      <c r="U113">
        <f>IF(L113="","",P113/'[1]LOCH Calc COE Calc'!$C$28)</f>
        <v>0.2221654516772088</v>
      </c>
      <c r="V113">
        <f>IF(L113="","",Q113/'[1]LOCH Calc COE Calc'!$C$28)</f>
        <v>3.2100000000000004</v>
      </c>
      <c r="W113">
        <f>IF(L113="","",R113/'[1]LOCH Calc COE Calc'!$C$28)</f>
        <v>0.21114397365631307</v>
      </c>
    </row>
    <row r="114" spans="12:23" x14ac:dyDescent="0.25">
      <c r="L114" s="4">
        <f>IF('[1]All Data '!BE119="","",'[1]All Data '!BE119)</f>
        <v>5.5E-2</v>
      </c>
      <c r="M114">
        <f>IF('[1]All Data '!BF119="","",'[1]All Data '!BF119)</f>
        <v>4767.5627999999997</v>
      </c>
      <c r="N114" s="5">
        <f>IF('[1]All Data '!BB119="","",'[1]All Data '!BC119/'[1]All Data '!BH119)</f>
        <v>330307</v>
      </c>
      <c r="O114" s="5">
        <f t="shared" si="3"/>
        <v>1574759365.7795999</v>
      </c>
      <c r="P114" s="5">
        <f>IF(M114="","",$C$2*(1-L114)*907.2/0.621371*N114*[1]Transportation!$M$40)</f>
        <v>5152046.8868984617</v>
      </c>
      <c r="Q114" s="5">
        <f>IF(L114="","",IF([1]Inputs_Outputs!$B$5="Herbaceous",(LCA!$E$29*'[1]LOCH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4" s="5">
        <f>IF(M114="","",$E$2*1000*'[1]LOCH Calc COE Calc'!$C$44)</f>
        <v>4896457.3202133691</v>
      </c>
      <c r="S114" s="6">
        <f>IF(N114="","",SUM(O114:R114)/('[1]LOCH Calc COE Calc'!$C$28))</f>
        <v>71.549742239642413</v>
      </c>
      <c r="T114">
        <f>IF(L114="","",O114/'[1]LOCH Calc COE Calc'!$C$28)</f>
        <v>67.906432814308886</v>
      </c>
      <c r="U114">
        <f>IF(L114="","",P114/'[1]LOCH Calc COE Calc'!$C$28)</f>
        <v>0.2221654516772088</v>
      </c>
      <c r="V114">
        <f>IF(L114="","",Q114/'[1]LOCH Calc COE Calc'!$C$28)</f>
        <v>3.2100000000000004</v>
      </c>
      <c r="W114">
        <f>IF(L114="","",R114/'[1]LOCH Calc COE Calc'!$C$28)</f>
        <v>0.21114397365631307</v>
      </c>
    </row>
    <row r="115" spans="12:23" x14ac:dyDescent="0.25">
      <c r="L115" s="4">
        <f>IF('[1]All Data '!BE120="","",'[1]All Data '!BE120)</f>
        <v>5.4999999999999993E-2</v>
      </c>
      <c r="M115">
        <f>IF('[1]All Data '!BF120="","",'[1]All Data '!BF120)</f>
        <v>4767.5627999999997</v>
      </c>
      <c r="N115" s="5">
        <f>IF('[1]All Data '!BB120="","",'[1]All Data '!BC120/'[1]All Data '!BH120)</f>
        <v>329188</v>
      </c>
      <c r="O115" s="5">
        <f t="shared" si="3"/>
        <v>1569424463.0063999</v>
      </c>
      <c r="P115" s="5">
        <f>IF(M115="","",$C$2*(1-L115)*907.2/0.621371*N115*[1]Transportation!$M$40)</f>
        <v>5134593.0016752006</v>
      </c>
      <c r="Q115" s="5">
        <f>IF(L115="","",IF([1]Inputs_Outputs!$B$5="Herbaceous",(LCA!$E$29*'[1]LOCH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5" s="5">
        <f>IF(M115="","",$E$2*1000*'[1]LOCH Calc COE Calc'!$C$44)</f>
        <v>4896457.3202133691</v>
      </c>
      <c r="S115" s="6">
        <f>IF(N115="","",SUM(O115:R115)/('[1]LOCH Calc COE Calc'!$C$28))</f>
        <v>71.318939073316415</v>
      </c>
      <c r="T115">
        <f>IF(L115="","",O115/'[1]LOCH Calc COE Calc'!$C$28)</f>
        <v>67.676382290646927</v>
      </c>
      <c r="U115">
        <f>IF(L115="","",P115/'[1]LOCH Calc COE Calc'!$C$28)</f>
        <v>0.22141280901318167</v>
      </c>
      <c r="V115">
        <f>IF(L115="","",Q115/'[1]LOCH Calc COE Calc'!$C$28)</f>
        <v>3.2100000000000004</v>
      </c>
      <c r="W115">
        <f>IF(L115="","",R115/'[1]LOCH Calc COE Calc'!$C$28)</f>
        <v>0.21114397365631307</v>
      </c>
    </row>
    <row r="116" spans="12:23" x14ac:dyDescent="0.25">
      <c r="L116" s="4">
        <f>IF('[1]All Data '!BE121="","",'[1]All Data '!BE121)</f>
        <v>5.4999999999999993E-2</v>
      </c>
      <c r="M116">
        <f>IF('[1]All Data '!BF121="","",'[1]All Data '!BF121)</f>
        <v>4767.5627999999997</v>
      </c>
      <c r="N116" s="5">
        <f>IF('[1]All Data '!BB121="","",'[1]All Data '!BC121/'[1]All Data '!BH121)</f>
        <v>329188</v>
      </c>
      <c r="O116" s="5">
        <f t="shared" si="3"/>
        <v>1569424463.0063999</v>
      </c>
      <c r="P116" s="5">
        <f>IF(M116="","",$C$2*(1-L116)*907.2/0.621371*N116*[1]Transportation!$M$40)</f>
        <v>5134593.0016752006</v>
      </c>
      <c r="Q116" s="5">
        <f>IF(L116="","",IF([1]Inputs_Outputs!$B$5="Herbaceous",(LCA!$E$29*'[1]LOCH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6" s="5">
        <f>IF(M116="","",$E$2*1000*'[1]LOCH Calc COE Calc'!$C$44)</f>
        <v>4896457.3202133691</v>
      </c>
      <c r="S116" s="6">
        <f>IF(N116="","",SUM(O116:R116)/('[1]LOCH Calc COE Calc'!$C$28))</f>
        <v>71.318939073316415</v>
      </c>
      <c r="T116">
        <f>IF(L116="","",O116/'[1]LOCH Calc COE Calc'!$C$28)</f>
        <v>67.676382290646927</v>
      </c>
      <c r="U116">
        <f>IF(L116="","",P116/'[1]LOCH Calc COE Calc'!$C$28)</f>
        <v>0.22141280901318167</v>
      </c>
      <c r="V116">
        <f>IF(L116="","",Q116/'[1]LOCH Calc COE Calc'!$C$28)</f>
        <v>3.2100000000000004</v>
      </c>
      <c r="W116">
        <f>IF(L116="","",R116/'[1]LOCH Calc COE Calc'!$C$28)</f>
        <v>0.21114397365631307</v>
      </c>
    </row>
    <row r="117" spans="12:23" x14ac:dyDescent="0.25">
      <c r="L117" s="4">
        <f>IF('[1]All Data '!BE122="","",'[1]All Data '!BE122)</f>
        <v>5.5E-2</v>
      </c>
      <c r="M117">
        <f>IF('[1]All Data '!BF122="","",'[1]All Data '!BF122)</f>
        <v>4767.5627999999997</v>
      </c>
      <c r="N117" s="5">
        <f>IF('[1]All Data '!BB122="","",'[1]All Data '!BC122/'[1]All Data '!BH122)</f>
        <v>325015.66666666669</v>
      </c>
      <c r="O117" s="5">
        <f t="shared" si="3"/>
        <v>1549532601.8171999</v>
      </c>
      <c r="P117" s="5">
        <f>IF(M117="","",$C$2*(1-L117)*907.2/0.621371*N117*[1]Transportation!$M$40)</f>
        <v>5069513.9783390239</v>
      </c>
      <c r="Q117" s="5">
        <f>IF(L117="","",IF([1]Inputs_Outputs!$B$5="Herbaceous",(LCA!$E$29*'[1]LOCH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7" s="5">
        <f>IF(M117="","",$E$2*1000*'[1]LOCH Calc COE Calc'!$C$44)</f>
        <v>4896457.3202133691</v>
      </c>
      <c r="S117" s="6">
        <f>IF(N117="","",SUM(O117:R117)/('[1]LOCH Calc COE Calc'!$C$28))</f>
        <v>70.458360213351455</v>
      </c>
      <c r="T117">
        <f>IF(L117="","",O117/'[1]LOCH Calc COE Calc'!$C$28)</f>
        <v>66.818609754252293</v>
      </c>
      <c r="U117">
        <f>IF(L117="","",P117/'[1]LOCH Calc COE Calc'!$C$28)</f>
        <v>0.21860648544284295</v>
      </c>
      <c r="V117">
        <f>IF(L117="","",Q117/'[1]LOCH Calc COE Calc'!$C$28)</f>
        <v>3.2100000000000004</v>
      </c>
      <c r="W117">
        <f>IF(L117="","",R117/'[1]LOCH Calc COE Calc'!$C$28)</f>
        <v>0.21114397365631307</v>
      </c>
    </row>
    <row r="118" spans="12:23" x14ac:dyDescent="0.25">
      <c r="L118" s="4">
        <f>IF('[1]All Data '!BE123="","",'[1]All Data '!BE123)</f>
        <v>5.5E-2</v>
      </c>
      <c r="M118">
        <f>IF('[1]All Data '!BF123="","",'[1]All Data '!BF123)</f>
        <v>4767.5627999999997</v>
      </c>
      <c r="N118" s="5">
        <f>IF('[1]All Data '!BB123="","",'[1]All Data '!BC123/'[1]All Data '!BH123)</f>
        <v>323390</v>
      </c>
      <c r="O118" s="5">
        <f t="shared" si="3"/>
        <v>1541782133.892</v>
      </c>
      <c r="P118" s="5">
        <f>IF(M118="","",$C$2*(1-L118)*907.2/0.621371*N118*[1]Transportation!$M$40)</f>
        <v>5044157.2317695152</v>
      </c>
      <c r="Q118" s="5">
        <f>IF(L118="","",IF([1]Inputs_Outputs!$B$5="Herbaceous",(LCA!$E$29*'[1]LOCH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8" s="5">
        <f>IF(M118="","",$E$2*1000*'[1]LOCH Calc COE Calc'!$C$44)</f>
        <v>4896457.3202133691</v>
      </c>
      <c r="S118" s="6">
        <f>IF(N118="","",SUM(O118:R118)/('[1]LOCH Calc COE Calc'!$C$28))</f>
        <v>70.123052783452195</v>
      </c>
      <c r="T118">
        <f>IF(L118="","",O118/'[1]LOCH Calc COE Calc'!$C$28)</f>
        <v>66.484395752494962</v>
      </c>
      <c r="U118">
        <f>IF(L118="","",P118/'[1]LOCH Calc COE Calc'!$C$28)</f>
        <v>0.21751305730091261</v>
      </c>
      <c r="V118">
        <f>IF(L118="","",Q118/'[1]LOCH Calc COE Calc'!$C$28)</f>
        <v>3.2100000000000004</v>
      </c>
      <c r="W118">
        <f>IF(L118="","",R118/'[1]LOCH Calc COE Calc'!$C$28)</f>
        <v>0.21114397365631307</v>
      </c>
    </row>
    <row r="119" spans="12:23" x14ac:dyDescent="0.25">
      <c r="L119" s="4">
        <f>IF('[1]All Data '!BE124="","",'[1]All Data '!BE124)</f>
        <v>5.5E-2</v>
      </c>
      <c r="M119">
        <f>IF('[1]All Data '!BF124="","",'[1]All Data '!BF124)</f>
        <v>4767.5627999999997</v>
      </c>
      <c r="N119" s="5">
        <f>IF('[1]All Data '!BB124="","",'[1]All Data '!BC124/'[1]All Data '!BH124)</f>
        <v>323183</v>
      </c>
      <c r="O119" s="5">
        <f t="shared" si="3"/>
        <v>1540795248.3923998</v>
      </c>
      <c r="P119" s="5">
        <f>IF(M119="","",$C$2*(1-L119)*907.2/0.621371*N119*[1]Transportation!$M$40)</f>
        <v>5040928.4969695024</v>
      </c>
      <c r="Q119" s="5">
        <f>IF(L119="","",IF([1]Inputs_Outputs!$B$5="Herbaceous",(LCA!$E$29*'[1]LOCH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19" s="5">
        <f>IF(M119="","",$E$2*1000*'[1]LOCH Calc COE Calc'!$C$44)</f>
        <v>4896457.3202133691</v>
      </c>
      <c r="S119" s="6">
        <f>IF(N119="","",SUM(O119:R119)/('[1]LOCH Calc COE Calc'!$C$28))</f>
        <v>70.080357291558101</v>
      </c>
      <c r="T119">
        <f>IF(L119="","",O119/'[1]LOCH Calc COE Calc'!$C$28)</f>
        <v>66.441839489404671</v>
      </c>
      <c r="U119">
        <f>IF(L119="","",P119/'[1]LOCH Calc COE Calc'!$C$28)</f>
        <v>0.21737382849711137</v>
      </c>
      <c r="V119">
        <f>IF(L119="","",Q119/'[1]LOCH Calc COE Calc'!$C$28)</f>
        <v>3.2100000000000004</v>
      </c>
      <c r="W119">
        <f>IF(L119="","",R119/'[1]LOCH Calc COE Calc'!$C$28)</f>
        <v>0.21114397365631307</v>
      </c>
    </row>
    <row r="120" spans="12:23" x14ac:dyDescent="0.25">
      <c r="L120" s="4">
        <f>IF('[1]All Data '!BE125="","",'[1]All Data '!BE125)</f>
        <v>5.5E-2</v>
      </c>
      <c r="M120">
        <f>IF('[1]All Data '!BF125="","",'[1]All Data '!BF125)</f>
        <v>4767.5628000000006</v>
      </c>
      <c r="N120" s="5">
        <f>IF('[1]All Data '!BB125="","",'[1]All Data '!BC125/'[1]All Data '!BH125)</f>
        <v>321176</v>
      </c>
      <c r="O120" s="5">
        <f t="shared" si="3"/>
        <v>1531226749.8528001</v>
      </c>
      <c r="P120" s="5">
        <f>IF(M120="","",$C$2*(1-L120)*907.2/0.621371*N120*[1]Transportation!$M$40)</f>
        <v>5009623.8073867653</v>
      </c>
      <c r="Q120" s="5">
        <f>IF(L120="","",IF([1]Inputs_Outputs!$B$5="Herbaceous",(LCA!$E$29*'[1]LOCH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0" s="5">
        <f>IF(M120="","",$E$2*1000*'[1]LOCH Calc COE Calc'!$C$44)</f>
        <v>4896457.3202133691</v>
      </c>
      <c r="S120" s="6">
        <f>IF(N120="","",SUM(O120:R120)/('[1]LOCH Calc COE Calc'!$C$28))</f>
        <v>69.666396652758962</v>
      </c>
      <c r="T120">
        <f>IF(L120="","",O120/'[1]LOCH Calc COE Calc'!$C$28)</f>
        <v>66.029228764659777</v>
      </c>
      <c r="U120">
        <f>IF(L120="","",P120/'[1]LOCH Calc COE Calc'!$C$28)</f>
        <v>0.2160239144428644</v>
      </c>
      <c r="V120">
        <f>IF(L120="","",Q120/'[1]LOCH Calc COE Calc'!$C$28)</f>
        <v>3.2100000000000004</v>
      </c>
      <c r="W120">
        <f>IF(L120="","",R120/'[1]LOCH Calc COE Calc'!$C$28)</f>
        <v>0.21114397365631307</v>
      </c>
    </row>
    <row r="121" spans="12:23" x14ac:dyDescent="0.25">
      <c r="L121" s="4">
        <f>IF('[1]All Data '!BE126="","",'[1]All Data '!BE126)</f>
        <v>5.5E-2</v>
      </c>
      <c r="M121">
        <f>IF('[1]All Data '!BF126="","",'[1]All Data '!BF126)</f>
        <v>4767.5627999999997</v>
      </c>
      <c r="N121" s="5">
        <f>IF('[1]All Data '!BB126="","",'[1]All Data '!BC126/'[1]All Data '!BH126)</f>
        <v>320742</v>
      </c>
      <c r="O121" s="5">
        <f t="shared" si="3"/>
        <v>1529157627.5976</v>
      </c>
      <c r="P121" s="5">
        <f>IF(M121="","",$C$2*(1-L121)*907.2/0.621371*N121*[1]Transportation!$M$40)</f>
        <v>5002854.3827335974</v>
      </c>
      <c r="Q121" s="5">
        <f>IF(L121="","",IF([1]Inputs_Outputs!$B$5="Herbaceous",(LCA!$E$29*'[1]LOCH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1" s="5">
        <f>IF(M121="","",$E$2*1000*'[1]LOCH Calc COE Calc'!$C$44)</f>
        <v>4896457.3202133691</v>
      </c>
      <c r="S121" s="6">
        <f>IF(N121="","",SUM(O121:R121)/('[1]LOCH Calc COE Calc'!$C$28))</f>
        <v>69.576880500671834</v>
      </c>
      <c r="T121">
        <f>IF(L121="","",O121/'[1]LOCH Calc COE Calc'!$C$28)</f>
        <v>65.940004522238596</v>
      </c>
      <c r="U121">
        <f>IF(L121="","",P121/'[1]LOCH Calc COE Calc'!$C$28)</f>
        <v>0.21573200477692359</v>
      </c>
      <c r="V121">
        <f>IF(L121="","",Q121/'[1]LOCH Calc COE Calc'!$C$28)</f>
        <v>3.2100000000000004</v>
      </c>
      <c r="W121">
        <f>IF(L121="","",R121/'[1]LOCH Calc COE Calc'!$C$28)</f>
        <v>0.21114397365631307</v>
      </c>
    </row>
    <row r="122" spans="12:23" x14ac:dyDescent="0.25">
      <c r="L122" s="4">
        <f>IF('[1]All Data '!BE127="","",'[1]All Data '!BE127)</f>
        <v>5.5E-2</v>
      </c>
      <c r="M122">
        <f>IF('[1]All Data '!BF127="","",'[1]All Data '!BF127)</f>
        <v>4767.5627999999997</v>
      </c>
      <c r="N122" s="5">
        <f>IF('[1]All Data '!BB127="","",'[1]All Data '!BC127/'[1]All Data '!BH127)</f>
        <v>319180.33333333331</v>
      </c>
      <c r="O122" s="5">
        <f t="shared" si="3"/>
        <v>1521712283.6915998</v>
      </c>
      <c r="P122" s="5">
        <f>IF(M122="","",$C$2*(1-L122)*907.2/0.621371*N122*[1]Transportation!$M$40)</f>
        <v>4978495.8923341408</v>
      </c>
      <c r="Q122" s="5">
        <f>IF(L122="","",IF([1]Inputs_Outputs!$B$5="Herbaceous",(LCA!$E$29*'[1]LOCH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2" s="5">
        <f>IF(M122="","",$E$2*1000*'[1]LOCH Calc COE Calc'!$C$44)</f>
        <v>4896457.3202133691</v>
      </c>
      <c r="S122" s="6">
        <f>IF(N122="","",SUM(O122:R122)/('[1]LOCH Calc COE Calc'!$C$28))</f>
        <v>69.254773609329192</v>
      </c>
      <c r="T122">
        <f>IF(L122="","",O122/'[1]LOCH Calc COE Calc'!$C$28)</f>
        <v>65.618948012451185</v>
      </c>
      <c r="U122">
        <f>IF(L122="","",P122/'[1]LOCH Calc COE Calc'!$C$28)</f>
        <v>0.21468162322167575</v>
      </c>
      <c r="V122">
        <f>IF(L122="","",Q122/'[1]LOCH Calc COE Calc'!$C$28)</f>
        <v>3.2100000000000004</v>
      </c>
      <c r="W122">
        <f>IF(L122="","",R122/'[1]LOCH Calc COE Calc'!$C$28)</f>
        <v>0.21114397365631307</v>
      </c>
    </row>
    <row r="123" spans="12:23" x14ac:dyDescent="0.25">
      <c r="L123" s="4">
        <f>IF('[1]All Data '!BE128="","",'[1]All Data '!BE128)</f>
        <v>5.5E-2</v>
      </c>
      <c r="M123">
        <f>IF('[1]All Data '!BF128="","",'[1]All Data '!BF128)</f>
        <v>4767.5627999999997</v>
      </c>
      <c r="N123" s="5">
        <f>IF('[1]All Data '!BB128="","",'[1]All Data '!BC128/'[1]All Data '!BH128)</f>
        <v>316899.66666666669</v>
      </c>
      <c r="O123" s="5">
        <f t="shared" si="3"/>
        <v>1510839062.1324</v>
      </c>
      <c r="P123" s="5">
        <f>IF(M123="","",$C$2*(1-L123)*907.2/0.621371*N123*[1]Transportation!$M$40)</f>
        <v>4942922.6177742528</v>
      </c>
      <c r="Q123" s="5">
        <f>IF(L123="","",IF([1]Inputs_Outputs!$B$5="Herbaceous",(LCA!$E$29*'[1]LOCH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3" s="5">
        <f>IF(M123="","",$E$2*1000*'[1]LOCH Calc COE Calc'!$C$44)</f>
        <v>4896457.3202133691</v>
      </c>
      <c r="S123" s="6">
        <f>IF(N123="","",SUM(O123:R123)/('[1]LOCH Calc COE Calc'!$C$28))</f>
        <v>68.78436691763946</v>
      </c>
      <c r="T123">
        <f>IF(L123="","",O123/'[1]LOCH Calc COE Calc'!$C$28)</f>
        <v>65.150075303813978</v>
      </c>
      <c r="U123">
        <f>IF(L123="","",P123/'[1]LOCH Calc COE Calc'!$C$28)</f>
        <v>0.21314764016916657</v>
      </c>
      <c r="V123">
        <f>IF(L123="","",Q123/'[1]LOCH Calc COE Calc'!$C$28)</f>
        <v>3.2100000000000004</v>
      </c>
      <c r="W123">
        <f>IF(L123="","",R123/'[1]LOCH Calc COE Calc'!$C$28)</f>
        <v>0.21114397365631307</v>
      </c>
    </row>
    <row r="124" spans="12:23" x14ac:dyDescent="0.25">
      <c r="L124" s="4">
        <f>IF('[1]All Data '!BE129="","",'[1]All Data '!BE129)</f>
        <v>5.5E-2</v>
      </c>
      <c r="M124">
        <f>IF('[1]All Data '!BF129="","",'[1]All Data '!BF129)</f>
        <v>4767.5627999999997</v>
      </c>
      <c r="N124" s="5">
        <f>IF('[1]All Data '!BB129="","",'[1]All Data '!BC129/'[1]All Data '!BH129)</f>
        <v>315224.66666666669</v>
      </c>
      <c r="O124" s="5">
        <f t="shared" si="3"/>
        <v>1502853394.4424</v>
      </c>
      <c r="P124" s="5">
        <f>IF(M124="","",$C$2*(1-L124)*907.2/0.621371*N124*[1]Transportation!$M$40)</f>
        <v>4916796.3820736632</v>
      </c>
      <c r="Q124" s="5">
        <f>IF(L124="","",IF([1]Inputs_Outputs!$B$5="Herbaceous",(LCA!$E$29*'[1]LOCH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4" s="5">
        <f>IF(M124="","",$E$2*1000*'[1]LOCH Calc COE Calc'!$C$44)</f>
        <v>4896457.3202133691</v>
      </c>
      <c r="S124" s="6">
        <f>IF(N124="","",SUM(O124:R124)/('[1]LOCH Calc COE Calc'!$C$28))</f>
        <v>68.438884072602789</v>
      </c>
      <c r="T124">
        <f>IF(L124="","",O124/'[1]LOCH Calc COE Calc'!$C$28)</f>
        <v>64.805719068663137</v>
      </c>
      <c r="U124">
        <f>IF(L124="","",P124/'[1]LOCH Calc COE Calc'!$C$28)</f>
        <v>0.21202103028333516</v>
      </c>
      <c r="V124">
        <f>IF(L124="","",Q124/'[1]LOCH Calc COE Calc'!$C$28)</f>
        <v>3.2100000000000004</v>
      </c>
      <c r="W124">
        <f>IF(L124="","",R124/'[1]LOCH Calc COE Calc'!$C$28)</f>
        <v>0.21114397365631307</v>
      </c>
    </row>
    <row r="125" spans="12:23" x14ac:dyDescent="0.25">
      <c r="L125" s="4">
        <f>IF('[1]All Data '!BE130="","",'[1]All Data '!BE130)</f>
        <v>5.5E-2</v>
      </c>
      <c r="M125">
        <f>IF('[1]All Data '!BF130="","",'[1]All Data '!BF130)</f>
        <v>4767.5627999999997</v>
      </c>
      <c r="N125" s="5">
        <f>IF('[1]All Data '!BB130="","",'[1]All Data '!BC130/'[1]All Data '!BH130)</f>
        <v>313880.66666666669</v>
      </c>
      <c r="O125" s="5">
        <f t="shared" si="3"/>
        <v>1496445790.0392001</v>
      </c>
      <c r="P125" s="5">
        <f>IF(M125="","",$C$2*(1-L125)*907.2/0.621371*N125*[1]Transportation!$M$40)</f>
        <v>4895833.0025025615</v>
      </c>
      <c r="Q125" s="5">
        <f>IF(L125="","",IF([1]Inputs_Outputs!$B$5="Herbaceous",(LCA!$E$29*'[1]LOCH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5" s="5">
        <f>IF(M125="","",$E$2*1000*'[1]LOCH Calc COE Calc'!$C$44)</f>
        <v>4896457.3202133691</v>
      </c>
      <c r="S125" s="6">
        <f>IF(N125="","",SUM(O125:R125)/('[1]LOCH Calc COE Calc'!$C$28))</f>
        <v>68.161672762913682</v>
      </c>
      <c r="T125">
        <f>IF(L125="","",O125/'[1]LOCH Calc COE Calc'!$C$28)</f>
        <v>64.529411737294353</v>
      </c>
      <c r="U125">
        <f>IF(L125="","",P125/'[1]LOCH Calc COE Calc'!$C$28)</f>
        <v>0.21111705196300232</v>
      </c>
      <c r="V125">
        <f>IF(L125="","",Q125/'[1]LOCH Calc COE Calc'!$C$28)</f>
        <v>3.2100000000000004</v>
      </c>
      <c r="W125">
        <f>IF(L125="","",R125/'[1]LOCH Calc COE Calc'!$C$28)</f>
        <v>0.21114397365631307</v>
      </c>
    </row>
    <row r="126" spans="12:23" x14ac:dyDescent="0.25">
      <c r="L126" s="4">
        <f>IF('[1]All Data '!BE131="","",'[1]All Data '!BE131)</f>
        <v>5.5E-2</v>
      </c>
      <c r="M126">
        <f>IF('[1]All Data '!BF131="","",'[1]All Data '!BF131)</f>
        <v>4767.5627999999997</v>
      </c>
      <c r="N126" s="5">
        <f>IF('[1]All Data '!BB131="","",'[1]All Data '!BC131/'[1]All Data '!BH131)</f>
        <v>313745</v>
      </c>
      <c r="O126" s="5">
        <f t="shared" si="3"/>
        <v>1495798990.6859999</v>
      </c>
      <c r="P126" s="5">
        <f>IF(M126="","",$C$2*(1-L126)*907.2/0.621371*N126*[1]Transportation!$M$40)</f>
        <v>4893716.9073920865</v>
      </c>
      <c r="Q126" s="5">
        <f>IF(L126="","",IF([1]Inputs_Outputs!$B$5="Herbaceous",(LCA!$E$29*'[1]LOCH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6" s="5">
        <f>IF(M126="","",$E$2*1000*'[1]LOCH Calc COE Calc'!$C$44)</f>
        <v>4896457.3202133691</v>
      </c>
      <c r="S126" s="6">
        <f>IF(N126="","",SUM(O126:R126)/('[1]LOCH Calc COE Calc'!$C$28))</f>
        <v>68.133690371285809</v>
      </c>
      <c r="T126">
        <f>IF(L126="","",O126/'[1]LOCH Calc COE Calc'!$C$28)</f>
        <v>64.501520595462225</v>
      </c>
      <c r="U126">
        <f>IF(L126="","",P126/'[1]LOCH Calc COE Calc'!$C$28)</f>
        <v>0.21102580216727432</v>
      </c>
      <c r="V126">
        <f>IF(L126="","",Q126/'[1]LOCH Calc COE Calc'!$C$28)</f>
        <v>3.2100000000000004</v>
      </c>
      <c r="W126">
        <f>IF(L126="","",R126/'[1]LOCH Calc COE Calc'!$C$28)</f>
        <v>0.21114397365631307</v>
      </c>
    </row>
    <row r="127" spans="12:23" x14ac:dyDescent="0.25">
      <c r="L127" s="4">
        <f>IF('[1]All Data '!BE132="","",'[1]All Data '!BE132)</f>
        <v>5.5E-2</v>
      </c>
      <c r="M127">
        <f>IF('[1]All Data '!BF132="","",'[1]All Data '!BF132)</f>
        <v>4767.5627999999997</v>
      </c>
      <c r="N127" s="5">
        <f>IF('[1]All Data '!BB132="","",'[1]All Data '!BC132/'[1]All Data '!BH132)</f>
        <v>312839.33333333331</v>
      </c>
      <c r="O127" s="5">
        <f t="shared" si="3"/>
        <v>1491481167.9767997</v>
      </c>
      <c r="P127" s="5">
        <f>IF(M127="","",$C$2*(1-L127)*907.2/0.621371*N127*[1]Transportation!$M$40)</f>
        <v>4879590.542735666</v>
      </c>
      <c r="Q127" s="5">
        <f>IF(L127="","",IF([1]Inputs_Outputs!$B$5="Herbaceous",(LCA!$E$29*'[1]LOCH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7" s="5">
        <f>IF(M127="","",$E$2*1000*'[1]LOCH Calc COE Calc'!$C$44)</f>
        <v>4896457.3202133691</v>
      </c>
      <c r="S127" s="6">
        <f>IF(N127="","",SUM(O127:R127)/('[1]LOCH Calc COE Calc'!$C$28))</f>
        <v>67.946889000148573</v>
      </c>
      <c r="T127">
        <f>IF(L127="","",O127/'[1]LOCH Calc COE Calc'!$C$28)</f>
        <v>64.315328378366729</v>
      </c>
      <c r="U127">
        <f>IF(L127="","",P127/'[1]LOCH Calc COE Calc'!$C$28)</f>
        <v>0.21041664812552219</v>
      </c>
      <c r="V127">
        <f>IF(L127="","",Q127/'[1]LOCH Calc COE Calc'!$C$28)</f>
        <v>3.2100000000000004</v>
      </c>
      <c r="W127">
        <f>IF(L127="","",R127/'[1]LOCH Calc COE Calc'!$C$28)</f>
        <v>0.21114397365631307</v>
      </c>
    </row>
    <row r="128" spans="12:23" x14ac:dyDescent="0.25">
      <c r="L128" s="4">
        <f>IF('[1]All Data '!BE133="","",'[1]All Data '!BE133)</f>
        <v>5.5E-2</v>
      </c>
      <c r="M128">
        <f>IF('[1]All Data '!BF133="","",'[1]All Data '!BF133)</f>
        <v>4767.5627999999997</v>
      </c>
      <c r="N128" s="5">
        <f>IF('[1]All Data '!BB133="","",'[1]All Data '!BC133/'[1]All Data '!BH133)</f>
        <v>312099.66666666669</v>
      </c>
      <c r="O128" s="5">
        <f t="shared" si="3"/>
        <v>1487954760.6924</v>
      </c>
      <c r="P128" s="5">
        <f>IF(M128="","",$C$2*(1-L128)*907.2/0.621371*N128*[1]Transportation!$M$40)</f>
        <v>4868053.4050203217</v>
      </c>
      <c r="Q128" s="5">
        <f>IF(L128="","",IF([1]Inputs_Outputs!$B$5="Herbaceous",(LCA!$E$29*'[1]LOCH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8" s="5">
        <f>IF(M128="","",$E$2*1000*'[1]LOCH Calc COE Calc'!$C$44)</f>
        <v>4896457.3202133691</v>
      </c>
      <c r="S128" s="6">
        <f>IF(N128="","",SUM(O128:R128)/('[1]LOCH Calc COE Calc'!$C$28))</f>
        <v>67.794326525892586</v>
      </c>
      <c r="T128">
        <f>IF(L128="","",O128/'[1]LOCH Calc COE Calc'!$C$28)</f>
        <v>64.163263406068296</v>
      </c>
      <c r="U128">
        <f>IF(L128="","",P128/'[1]LOCH Calc COE Calc'!$C$28)</f>
        <v>0.20991914616797797</v>
      </c>
      <c r="V128">
        <f>IF(L128="","",Q128/'[1]LOCH Calc COE Calc'!$C$28)</f>
        <v>3.2100000000000004</v>
      </c>
      <c r="W128">
        <f>IF(L128="","",R128/'[1]LOCH Calc COE Calc'!$C$28)</f>
        <v>0.21114397365631307</v>
      </c>
    </row>
    <row r="129" spans="12:23" x14ac:dyDescent="0.25">
      <c r="L129" s="4">
        <f>IF('[1]All Data '!BE134="","",'[1]All Data '!BE134)</f>
        <v>5.5E-2</v>
      </c>
      <c r="M129">
        <f>IF('[1]All Data '!BF134="","",'[1]All Data '!BF134)</f>
        <v>4767.5627999999997</v>
      </c>
      <c r="N129" s="5">
        <f>IF('[1]All Data '!BB134="","",'[1]All Data '!BC134/'[1]All Data '!BH134)</f>
        <v>307117.66666666669</v>
      </c>
      <c r="O129" s="5">
        <f t="shared" si="3"/>
        <v>1464202762.8227999</v>
      </c>
      <c r="P129" s="5">
        <f>IF(M129="","",$C$2*(1-L129)*907.2/0.621371*N129*[1]Transportation!$M$40)</f>
        <v>4790345.401282805</v>
      </c>
      <c r="Q129" s="5">
        <f>IF(L129="","",IF([1]Inputs_Outputs!$B$5="Herbaceous",(LCA!$E$29*'[1]LOCH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29" s="5">
        <f>IF(M129="","",$E$2*1000*'[1]LOCH Calc COE Calc'!$C$44)</f>
        <v>4896457.3202133691</v>
      </c>
      <c r="S129" s="6">
        <f>IF(N129="","",SUM(O129:R129)/('[1]LOCH Calc COE Calc'!$C$28))</f>
        <v>66.766747102625317</v>
      </c>
      <c r="T129">
        <f>IF(L129="","",O129/'[1]LOCH Calc COE Calc'!$C$28)</f>
        <v>63.13903489053309</v>
      </c>
      <c r="U129">
        <f>IF(L129="","",P129/'[1]LOCH Calc COE Calc'!$C$28)</f>
        <v>0.20656823843591099</v>
      </c>
      <c r="V129">
        <f>IF(L129="","",Q129/'[1]LOCH Calc COE Calc'!$C$28)</f>
        <v>3.2100000000000004</v>
      </c>
      <c r="W129">
        <f>IF(L129="","",R129/'[1]LOCH Calc COE Calc'!$C$28)</f>
        <v>0.21114397365631307</v>
      </c>
    </row>
    <row r="130" spans="12:23" x14ac:dyDescent="0.25">
      <c r="L130" s="4">
        <f>IF('[1]All Data '!BE135="","",'[1]All Data '!BE135)</f>
        <v>5.5E-2</v>
      </c>
      <c r="M130">
        <f>IF('[1]All Data '!BF135="","",'[1]All Data '!BF135)</f>
        <v>4767.5627999999997</v>
      </c>
      <c r="N130" s="5">
        <f>IF('[1]All Data '!BB135="","",'[1]All Data '!BC135/'[1]All Data '!BH135)</f>
        <v>306163.33333333331</v>
      </c>
      <c r="O130" s="5">
        <f t="shared" si="3"/>
        <v>1459652918.7239997</v>
      </c>
      <c r="P130" s="5">
        <f>IF(M130="","",$C$2*(1-L130)*907.2/0.621371*N130*[1]Transportation!$M$40)</f>
        <v>4775459.9459970752</v>
      </c>
      <c r="Q130" s="5">
        <f>IF(L130="","",IF([1]Inputs_Outputs!$B$5="Herbaceous",(LCA!$E$29*'[1]LOCH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0" s="5">
        <f>IF(M130="","",$E$2*1000*'[1]LOCH Calc COE Calc'!$C$44)</f>
        <v>4896457.3202133691</v>
      </c>
      <c r="S130" s="6">
        <f>IF(N130="","",SUM(O130:R130)/('[1]LOCH Calc COE Calc'!$C$28))</f>
        <v>66.569907821960626</v>
      </c>
      <c r="T130">
        <f>IF(L130="","",O130/'[1]LOCH Calc COE Calc'!$C$28)</f>
        <v>62.942837497252121</v>
      </c>
      <c r="U130">
        <f>IF(L130="","",P130/'[1]LOCH Calc COE Calc'!$C$28)</f>
        <v>0.20592635105220244</v>
      </c>
      <c r="V130">
        <f>IF(L130="","",Q130/'[1]LOCH Calc COE Calc'!$C$28)</f>
        <v>3.2100000000000004</v>
      </c>
      <c r="W130">
        <f>IF(L130="","",R130/'[1]LOCH Calc COE Calc'!$C$28)</f>
        <v>0.21114397365631307</v>
      </c>
    </row>
    <row r="131" spans="12:23" x14ac:dyDescent="0.25">
      <c r="L131" s="4">
        <f>IF('[1]All Data '!BE136="","",'[1]All Data '!BE136)</f>
        <v>5.5E-2</v>
      </c>
      <c r="M131">
        <f>IF('[1]All Data '!BF136="","",'[1]All Data '!BF136)</f>
        <v>4767.5627999999997</v>
      </c>
      <c r="N131" s="5">
        <f>IF('[1]All Data '!BB136="","",'[1]All Data '!BC136/'[1]All Data '!BH136)</f>
        <v>305720</v>
      </c>
      <c r="O131" s="5">
        <f t="shared" si="3"/>
        <v>1457539299.2159998</v>
      </c>
      <c r="P131" s="5">
        <f>IF(M131="","",$C$2*(1-L131)*907.2/0.621371*N131*[1]Transportation!$M$40)</f>
        <v>4768544.9423191082</v>
      </c>
      <c r="Q131" s="5">
        <f>IF(L131="","",IF([1]Inputs_Outputs!$B$5="Herbaceous",(LCA!$E$29*'[1]LOCH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1" s="5">
        <f>IF(M131="","",$E$2*1000*'[1]LOCH Calc COE Calc'!$C$44)</f>
        <v>4896457.3202133691</v>
      </c>
      <c r="S131" s="6">
        <f>IF(N131="","",SUM(O131:R131)/('[1]LOCH Calc COE Calc'!$C$28))</f>
        <v>66.478466591334026</v>
      </c>
      <c r="T131">
        <f>IF(L131="","",O131/'[1]LOCH Calc COE Calc'!$C$28)</f>
        <v>62.851694453918668</v>
      </c>
      <c r="U131">
        <f>IF(L131="","",P131/'[1]LOCH Calc COE Calc'!$C$28)</f>
        <v>0.20562816375903711</v>
      </c>
      <c r="V131">
        <f>IF(L131="","",Q131/'[1]LOCH Calc COE Calc'!$C$28)</f>
        <v>3.2100000000000004</v>
      </c>
      <c r="W131">
        <f>IF(L131="","",R131/'[1]LOCH Calc COE Calc'!$C$28)</f>
        <v>0.21114397365631307</v>
      </c>
    </row>
    <row r="132" spans="12:23" x14ac:dyDescent="0.25">
      <c r="L132" s="4">
        <f>IF('[1]All Data '!BE137="","",'[1]All Data '!BE137)</f>
        <v>5.5E-2</v>
      </c>
      <c r="M132">
        <f>IF('[1]All Data '!BF137="","",'[1]All Data '!BF137)</f>
        <v>4767.5627999999997</v>
      </c>
      <c r="N132" s="5">
        <f>IF('[1]All Data '!BB137="","",'[1]All Data '!BC137/'[1]All Data '!BH137)</f>
        <v>305067.66666666669</v>
      </c>
      <c r="O132" s="5">
        <f t="shared" ref="O132:O195" si="4">IF(N132="","",M132*N132)</f>
        <v>1454429259.0827999</v>
      </c>
      <c r="P132" s="5">
        <f>IF(M132="","",$C$2*(1-L132)*907.2/0.621371*N132*[1]Transportation!$M$40)</f>
        <v>4758370.0083358139</v>
      </c>
      <c r="Q132" s="5">
        <f>IF(L132="","",IF([1]Inputs_Outputs!$B$5="Herbaceous",(LCA!$E$29*'[1]LOCH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2" s="5">
        <f>IF(M132="","",$E$2*1000*'[1]LOCH Calc COE Calc'!$C$44)</f>
        <v>4896457.3202133691</v>
      </c>
      <c r="S132" s="6">
        <f>IF(N132="","",SUM(O132:R132)/('[1]LOCH Calc COE Calc'!$C$28))</f>
        <v>66.343917351983421</v>
      </c>
      <c r="T132">
        <f>IF(L132="","",O132/'[1]LOCH Calc COE Calc'!$C$28)</f>
        <v>62.717583975870873</v>
      </c>
      <c r="U132">
        <f>IF(L132="","",P132/'[1]LOCH Calc COE Calc'!$C$28)</f>
        <v>0.20518940245623671</v>
      </c>
      <c r="V132">
        <f>IF(L132="","",Q132/'[1]LOCH Calc COE Calc'!$C$28)</f>
        <v>3.2100000000000004</v>
      </c>
      <c r="W132">
        <f>IF(L132="","",R132/'[1]LOCH Calc COE Calc'!$C$28)</f>
        <v>0.21114397365631307</v>
      </c>
    </row>
    <row r="133" spans="12:23" x14ac:dyDescent="0.25">
      <c r="L133" s="4">
        <f>IF('[1]All Data '!BE138="","",'[1]All Data '!BE138)</f>
        <v>5.5E-2</v>
      </c>
      <c r="M133">
        <f>IF('[1]All Data '!BF138="","",'[1]All Data '!BF138)</f>
        <v>4767.5627999999997</v>
      </c>
      <c r="N133" s="5">
        <f>IF('[1]All Data '!BB138="","",'[1]All Data '!BC138/'[1]All Data '!BH138)</f>
        <v>303368.66666666669</v>
      </c>
      <c r="O133" s="5">
        <f t="shared" si="4"/>
        <v>1446329169.8856001</v>
      </c>
      <c r="P133" s="5">
        <f>IF(M133="","",$C$2*(1-L133)*907.2/0.621371*N133*[1]Transportation!$M$40)</f>
        <v>4731869.426571453</v>
      </c>
      <c r="Q133" s="5">
        <f>IF(L133="","",IF([1]Inputs_Outputs!$B$5="Herbaceous",(LCA!$E$29*'[1]LOCH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3" s="5">
        <f>IF(M133="","",$E$2*1000*'[1]LOCH Calc COE Calc'!$C$44)</f>
        <v>4896457.3202133691</v>
      </c>
      <c r="S133" s="6">
        <f>IF(N133="","",SUM(O133:R133)/('[1]LOCH Calc COE Calc'!$C$28))</f>
        <v>65.99348430498803</v>
      </c>
      <c r="T133">
        <f>IF(L133="","",O133/'[1]LOCH Calc COE Calc'!$C$28)</f>
        <v>62.368293681231314</v>
      </c>
      <c r="U133">
        <f>IF(L133="","",P133/'[1]LOCH Calc COE Calc'!$C$28)</f>
        <v>0.2040466501003993</v>
      </c>
      <c r="V133">
        <f>IF(L133="","",Q133/'[1]LOCH Calc COE Calc'!$C$28)</f>
        <v>3.2100000000000004</v>
      </c>
      <c r="W133">
        <f>IF(L133="","",R133/'[1]LOCH Calc COE Calc'!$C$28)</f>
        <v>0.21114397365631307</v>
      </c>
    </row>
    <row r="134" spans="12:23" x14ac:dyDescent="0.25">
      <c r="L134" s="4">
        <f>IF('[1]All Data '!BE139="","",'[1]All Data '!BE139)</f>
        <v>5.5E-2</v>
      </c>
      <c r="M134">
        <f>IF('[1]All Data '!BF139="","",'[1]All Data '!BF139)</f>
        <v>4767.5627999999988</v>
      </c>
      <c r="N134" s="5">
        <f>IF('[1]All Data '!BB139="","",'[1]All Data '!BC139/'[1]All Data '!BH139)</f>
        <v>302059.33333333331</v>
      </c>
      <c r="O134" s="5">
        <f t="shared" si="4"/>
        <v>1440086840.9927995</v>
      </c>
      <c r="P134" s="5">
        <f>IF(M134="","",$C$2*(1-L134)*907.2/0.621371*N134*[1]Transportation!$M$40)</f>
        <v>4711446.7690924639</v>
      </c>
      <c r="Q134" s="5">
        <f>IF(L134="","",IF([1]Inputs_Outputs!$B$5="Herbaceous",(LCA!$E$29*'[1]LOCH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4" s="5">
        <f>IF(M134="","",$E$2*1000*'[1]LOCH Calc COE Calc'!$C$44)</f>
        <v>4896457.3202133691</v>
      </c>
      <c r="S134" s="6">
        <f>IF(N134="","",SUM(O134:R134)/('[1]LOCH Calc COE Calc'!$C$28))</f>
        <v>65.723423287017056</v>
      </c>
      <c r="T134">
        <f>IF(L134="","",O134/'[1]LOCH Calc COE Calc'!$C$28)</f>
        <v>62.09911332467955</v>
      </c>
      <c r="U134">
        <f>IF(L134="","",P134/'[1]LOCH Calc COE Calc'!$C$28)</f>
        <v>0.20316598868118615</v>
      </c>
      <c r="V134">
        <f>IF(L134="","",Q134/'[1]LOCH Calc COE Calc'!$C$28)</f>
        <v>3.2100000000000004</v>
      </c>
      <c r="W134">
        <f>IF(L134="","",R134/'[1]LOCH Calc COE Calc'!$C$28)</f>
        <v>0.21114397365631307</v>
      </c>
    </row>
    <row r="135" spans="12:23" x14ac:dyDescent="0.25">
      <c r="L135" s="4">
        <f>IF('[1]All Data '!BE140="","",'[1]All Data '!BE140)</f>
        <v>5.5E-2</v>
      </c>
      <c r="M135">
        <f>IF('[1]All Data '!BF140="","",'[1]All Data '!BF140)</f>
        <v>4767.5627999999997</v>
      </c>
      <c r="N135" s="5">
        <f>IF('[1]All Data '!BB140="","",'[1]All Data '!BC140/'[1]All Data '!BH140)</f>
        <v>301631</v>
      </c>
      <c r="O135" s="5">
        <f t="shared" si="4"/>
        <v>1438044734.9268</v>
      </c>
      <c r="P135" s="5">
        <f>IF(M135="","",$C$2*(1-L135)*907.2/0.621371*N135*[1]Transportation!$M$40)</f>
        <v>4704765.7317043524</v>
      </c>
      <c r="Q135" s="5">
        <f>IF(L135="","",IF([1]Inputs_Outputs!$B$5="Herbaceous",(LCA!$E$29*'[1]LOCH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5" s="5">
        <f>IF(M135="","",$E$2*1000*'[1]LOCH Calc COE Calc'!$C$44)</f>
        <v>4896457.3202133691</v>
      </c>
      <c r="S135" s="6">
        <f>IF(N135="","",SUM(O135:R135)/('[1]LOCH Calc COE Calc'!$C$28))</f>
        <v>65.635075932614654</v>
      </c>
      <c r="T135">
        <f>IF(L135="","",O135/'[1]LOCH Calc COE Calc'!$C$28)</f>
        <v>62.011054068526569</v>
      </c>
      <c r="U135">
        <f>IF(L135="","",P135/'[1]LOCH Calc COE Calc'!$C$28)</f>
        <v>0.20287789043177454</v>
      </c>
      <c r="V135">
        <f>IF(L135="","",Q135/'[1]LOCH Calc COE Calc'!$C$28)</f>
        <v>3.2100000000000004</v>
      </c>
      <c r="W135">
        <f>IF(L135="","",R135/'[1]LOCH Calc COE Calc'!$C$28)</f>
        <v>0.21114397365631307</v>
      </c>
    </row>
    <row r="136" spans="12:23" x14ac:dyDescent="0.25">
      <c r="L136" s="4">
        <f>IF('[1]All Data '!BE141="","",'[1]All Data '!BE141)</f>
        <v>5.5E-2</v>
      </c>
      <c r="M136">
        <f>IF('[1]All Data '!BF141="","",'[1]All Data '!BF141)</f>
        <v>4767.5627999999997</v>
      </c>
      <c r="N136" s="5">
        <f>IF('[1]All Data '!BB141="","",'[1]All Data '!BC141/'[1]All Data '!BH141)</f>
        <v>299461</v>
      </c>
      <c r="O136" s="5">
        <f t="shared" si="4"/>
        <v>1427699123.6508</v>
      </c>
      <c r="P136" s="5">
        <f>IF(M136="","",$C$2*(1-L136)*907.2/0.621371*N136*[1]Transportation!$M$40)</f>
        <v>4670918.6084385132</v>
      </c>
      <c r="Q136" s="5">
        <f>IF(L136="","",IF([1]Inputs_Outputs!$B$5="Herbaceous",(LCA!$E$29*'[1]LOCH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6" s="5">
        <f>IF(M136="","",$E$2*1000*'[1]LOCH Calc COE Calc'!$C$44)</f>
        <v>4896457.3202133691</v>
      </c>
      <c r="S136" s="6">
        <f>IF(N136="","",SUM(O136:R136)/('[1]LOCH Calc COE Calc'!$C$28))</f>
        <v>65.187495172179098</v>
      </c>
      <c r="T136">
        <f>IF(L136="","",O136/'[1]LOCH Calc COE Calc'!$C$28)</f>
        <v>61.564932856420711</v>
      </c>
      <c r="U136">
        <f>IF(L136="","",P136/'[1]LOCH Calc COE Calc'!$C$28)</f>
        <v>0.20141834210207055</v>
      </c>
      <c r="V136">
        <f>IF(L136="","",Q136/'[1]LOCH Calc COE Calc'!$C$28)</f>
        <v>3.2100000000000004</v>
      </c>
      <c r="W136">
        <f>IF(L136="","",R136/'[1]LOCH Calc COE Calc'!$C$28)</f>
        <v>0.21114397365631307</v>
      </c>
    </row>
    <row r="137" spans="12:23" x14ac:dyDescent="0.25">
      <c r="L137" s="4">
        <f>IF('[1]All Data '!BE142="","",'[1]All Data '!BE142)</f>
        <v>5.5E-2</v>
      </c>
      <c r="M137">
        <f>IF('[1]All Data '!BF142="","",'[1]All Data '!BF142)</f>
        <v>4767.5627999999997</v>
      </c>
      <c r="N137" s="5">
        <f>IF('[1]All Data '!BB142="","",'[1]All Data '!BC142/'[1]All Data '!BH142)</f>
        <v>299019.33333333331</v>
      </c>
      <c r="O137" s="5">
        <f t="shared" si="4"/>
        <v>1425593450.0807998</v>
      </c>
      <c r="P137" s="5">
        <f>IF(M137="","",$C$2*(1-L137)*907.2/0.621371*N137*[1]Transportation!$M$40)</f>
        <v>4664029.6010149736</v>
      </c>
      <c r="Q137" s="5">
        <f>IF(L137="","",IF([1]Inputs_Outputs!$B$5="Herbaceous",(LCA!$E$29*'[1]LOCH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7" s="5">
        <f>IF(M137="","",$E$2*1000*'[1]LOCH Calc COE Calc'!$C$44)</f>
        <v>4896457.3202133691</v>
      </c>
      <c r="S137" s="6">
        <f>IF(N137="","",SUM(O137:R137)/('[1]LOCH Calc COE Calc'!$C$28))</f>
        <v>65.096397705577388</v>
      </c>
      <c r="T137">
        <f>IF(L137="","",O137/'[1]LOCH Calc COE Calc'!$C$28)</f>
        <v>61.474132456107299</v>
      </c>
      <c r="U137">
        <f>IF(L137="","",P137/'[1]LOCH Calc COE Calc'!$C$28)</f>
        <v>0.20112127581376668</v>
      </c>
      <c r="V137">
        <f>IF(L137="","",Q137/'[1]LOCH Calc COE Calc'!$C$28)</f>
        <v>3.2100000000000004</v>
      </c>
      <c r="W137">
        <f>IF(L137="","",R137/'[1]LOCH Calc COE Calc'!$C$28)</f>
        <v>0.21114397365631307</v>
      </c>
    </row>
    <row r="138" spans="12:23" x14ac:dyDescent="0.25">
      <c r="L138" s="4">
        <f>IF('[1]All Data '!BE143="","",'[1]All Data '!BE143)</f>
        <v>5.5E-2</v>
      </c>
      <c r="M138">
        <f>IF('[1]All Data '!BF143="","",'[1]All Data '!BF143)</f>
        <v>4767.5627999999997</v>
      </c>
      <c r="N138" s="5">
        <f>IF('[1]All Data '!BB143="","",'[1]All Data '!BC143/'[1]All Data '!BH143)</f>
        <v>298559.33333333331</v>
      </c>
      <c r="O138" s="5">
        <f t="shared" si="4"/>
        <v>1423400371.1927998</v>
      </c>
      <c r="P138" s="5">
        <f>IF(M138="","",$C$2*(1-L138)*907.2/0.621371*N138*[1]Transportation!$M$40)</f>
        <v>4656854.6347927228</v>
      </c>
      <c r="Q138" s="5">
        <f>IF(L138="","",IF([1]Inputs_Outputs!$B$5="Herbaceous",(LCA!$E$29*'[1]LOCH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8" s="5">
        <f>IF(M138="","",$E$2*1000*'[1]LOCH Calc COE Calc'!$C$44)</f>
        <v>4896457.3202133691</v>
      </c>
      <c r="S138" s="6">
        <f>IF(N138="","",SUM(O138:R138)/('[1]LOCH Calc COE Calc'!$C$28))</f>
        <v>65.001518834701642</v>
      </c>
      <c r="T138">
        <f>IF(L138="","",O138/'[1]LOCH Calc COE Calc'!$C$28)</f>
        <v>61.37956298257334</v>
      </c>
      <c r="U138">
        <f>IF(L138="","",P138/'[1]LOCH Calc COE Calc'!$C$28)</f>
        <v>0.20081187847198614</v>
      </c>
      <c r="V138">
        <f>IF(L138="","",Q138/'[1]LOCH Calc COE Calc'!$C$28)</f>
        <v>3.2100000000000004</v>
      </c>
      <c r="W138">
        <f>IF(L138="","",R138/'[1]LOCH Calc COE Calc'!$C$28)</f>
        <v>0.21114397365631307</v>
      </c>
    </row>
    <row r="139" spans="12:23" x14ac:dyDescent="0.25">
      <c r="L139" s="4">
        <f>IF('[1]All Data '!BE144="","",'[1]All Data '!BE144)</f>
        <v>5.5E-2</v>
      </c>
      <c r="M139">
        <f>IF('[1]All Data '!BF144="","",'[1]All Data '!BF144)</f>
        <v>4767.5627999999997</v>
      </c>
      <c r="N139" s="5">
        <f>IF('[1]All Data '!BB144="","",'[1]All Data '!BC144/'[1]All Data '!BH144)</f>
        <v>297172.66666666669</v>
      </c>
      <c r="O139" s="5">
        <f t="shared" si="4"/>
        <v>1416789350.7767999</v>
      </c>
      <c r="P139" s="5">
        <f>IF(M139="","",$C$2*(1-L139)*907.2/0.621371*N139*[1]Transportation!$M$40)</f>
        <v>4635225.7511082543</v>
      </c>
      <c r="Q139" s="5">
        <f>IF(L139="","",IF([1]Inputs_Outputs!$B$5="Herbaceous",(LCA!$E$29*'[1]LOCH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39" s="5">
        <f>IF(M139="","",$E$2*1000*'[1]LOCH Calc COE Calc'!$C$44)</f>
        <v>4896457.3202133691</v>
      </c>
      <c r="S139" s="6">
        <f>IF(N139="","",SUM(O139:R139)/('[1]LOCH Calc COE Calc'!$C$28))</f>
        <v>64.71550716597477</v>
      </c>
      <c r="T139">
        <f>IF(L139="","",O139/'[1]LOCH Calc COE Calc'!$C$28)</f>
        <v>61.094483989891259</v>
      </c>
      <c r="U139">
        <f>IF(L139="","",P139/'[1]LOCH Calc COE Calc'!$C$28)</f>
        <v>0.19987920242719834</v>
      </c>
      <c r="V139">
        <f>IF(L139="","",Q139/'[1]LOCH Calc COE Calc'!$C$28)</f>
        <v>3.2100000000000004</v>
      </c>
      <c r="W139">
        <f>IF(L139="","",R139/'[1]LOCH Calc COE Calc'!$C$28)</f>
        <v>0.21114397365631307</v>
      </c>
    </row>
    <row r="140" spans="12:23" x14ac:dyDescent="0.25">
      <c r="L140" s="4">
        <f>IF('[1]All Data '!BE145="","",'[1]All Data '!BE145)</f>
        <v>5.5E-2</v>
      </c>
      <c r="M140">
        <f>IF('[1]All Data '!BF145="","",'[1]All Data '!BF145)</f>
        <v>4767.5627999999997</v>
      </c>
      <c r="N140" s="5">
        <f>IF('[1]All Data '!BB145="","",'[1]All Data '!BC145/'[1]All Data '!BH145)</f>
        <v>296605.66666666669</v>
      </c>
      <c r="O140" s="5">
        <f t="shared" si="4"/>
        <v>1414086142.6691999</v>
      </c>
      <c r="P140" s="5">
        <f>IF(M140="","",$C$2*(1-L140)*907.2/0.621371*N140*[1]Transportation!$M$40)</f>
        <v>4626381.8253516965</v>
      </c>
      <c r="Q140" s="5">
        <f>IF(L140="","",IF([1]Inputs_Outputs!$B$5="Herbaceous",(LCA!$E$29*'[1]LOCH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0" s="5">
        <f>IF(M140="","",$E$2*1000*'[1]LOCH Calc COE Calc'!$C$44)</f>
        <v>4896457.3202133691</v>
      </c>
      <c r="S140" s="6">
        <f>IF(N140="","",SUM(O140:R140)/('[1]LOCH Calc COE Calc'!$C$28))</f>
        <v>64.598558644699679</v>
      </c>
      <c r="T140">
        <f>IF(L140="","",O140/'[1]LOCH Calc COE Calc'!$C$28)</f>
        <v>60.977916834470051</v>
      </c>
      <c r="U140">
        <f>IF(L140="","",P140/'[1]LOCH Calc COE Calc'!$C$28)</f>
        <v>0.19949783657330797</v>
      </c>
      <c r="V140">
        <f>IF(L140="","",Q140/'[1]LOCH Calc COE Calc'!$C$28)</f>
        <v>3.2100000000000004</v>
      </c>
      <c r="W140">
        <f>IF(L140="","",R140/'[1]LOCH Calc COE Calc'!$C$28)</f>
        <v>0.21114397365631307</v>
      </c>
    </row>
    <row r="141" spans="12:23" x14ac:dyDescent="0.25">
      <c r="L141" s="4">
        <f>IF('[1]All Data '!BE146="","",'[1]All Data '!BE146)</f>
        <v>5.5E-2</v>
      </c>
      <c r="M141">
        <f>IF('[1]All Data '!BF146="","",'[1]All Data '!BF146)</f>
        <v>4767.5627999999997</v>
      </c>
      <c r="N141" s="5">
        <f>IF('[1]All Data '!BB146="","",'[1]All Data '!BC146/'[1]All Data '!BH146)</f>
        <v>296250.33333333331</v>
      </c>
      <c r="O141" s="5">
        <f t="shared" si="4"/>
        <v>1412392068.6875999</v>
      </c>
      <c r="P141" s="5">
        <f>IF(M141="","",$C$2*(1-L141)*907.2/0.621371*N141*[1]Transportation!$M$40)</f>
        <v>4620839.4239075501</v>
      </c>
      <c r="Q141" s="5">
        <f>IF(L141="","",IF([1]Inputs_Outputs!$B$5="Herbaceous",(LCA!$E$29*'[1]LOCH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1" s="5">
        <f>IF(M141="","",$E$2*1000*'[1]LOCH Calc COE Calc'!$C$44)</f>
        <v>4896457.3202133691</v>
      </c>
      <c r="S141" s="6">
        <f>IF(N141="","",SUM(O141:R141)/('[1]LOCH Calc COE Calc'!$C$28))</f>
        <v>64.525268154588403</v>
      </c>
      <c r="T141">
        <f>IF(L141="","",O141/'[1]LOCH Calc COE Calc'!$C$28)</f>
        <v>60.904865342595265</v>
      </c>
      <c r="U141">
        <f>IF(L141="","",P141/'[1]LOCH Calc COE Calc'!$C$28)</f>
        <v>0.19925883833683103</v>
      </c>
      <c r="V141">
        <f>IF(L141="","",Q141/'[1]LOCH Calc COE Calc'!$C$28)</f>
        <v>3.2100000000000004</v>
      </c>
      <c r="W141">
        <f>IF(L141="","",R141/'[1]LOCH Calc COE Calc'!$C$28)</f>
        <v>0.21114397365631307</v>
      </c>
    </row>
    <row r="142" spans="12:23" x14ac:dyDescent="0.25">
      <c r="L142" s="4">
        <f>IF('[1]All Data '!BE147="","",'[1]All Data '!BE147)</f>
        <v>5.4999999999999993E-2</v>
      </c>
      <c r="M142">
        <f>IF('[1]All Data '!BF147="","",'[1]All Data '!BF147)</f>
        <v>4767.5627999999997</v>
      </c>
      <c r="N142" s="5">
        <f>IF('[1]All Data '!BB147="","",'[1]All Data '!BC147/'[1]All Data '!BH147)</f>
        <v>295330</v>
      </c>
      <c r="O142" s="5">
        <f t="shared" si="4"/>
        <v>1408004321.724</v>
      </c>
      <c r="P142" s="5">
        <f>IF(M142="","",$C$2*(1-L142)*907.2/0.621371*N142*[1]Transportation!$M$40)</f>
        <v>4606484.2922121622</v>
      </c>
      <c r="Q142" s="5">
        <f>IF(L142="","",IF([1]Inputs_Outputs!$B$5="Herbaceous",(LCA!$E$29*'[1]LOCH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2" s="5">
        <f>IF(M142="","",$E$2*1000*'[1]LOCH Calc COE Calc'!$C$44)</f>
        <v>4896457.3202133691</v>
      </c>
      <c r="S142" s="6">
        <f>IF(N142="","",SUM(O142:R142)/('[1]LOCH Calc COE Calc'!$C$28))</f>
        <v>64.335441660031947</v>
      </c>
      <c r="T142">
        <f>IF(L142="","",O142/'[1]LOCH Calc COE Calc'!$C$28)</f>
        <v>60.715657866923337</v>
      </c>
      <c r="U142">
        <f>IF(L142="","",P142/'[1]LOCH Calc COE Calc'!$C$28)</f>
        <v>0.19863981945229761</v>
      </c>
      <c r="V142">
        <f>IF(L142="","",Q142/'[1]LOCH Calc COE Calc'!$C$28)</f>
        <v>3.2100000000000004</v>
      </c>
      <c r="W142">
        <f>IF(L142="","",R142/'[1]LOCH Calc COE Calc'!$C$28)</f>
        <v>0.21114397365631307</v>
      </c>
    </row>
    <row r="143" spans="12:23" x14ac:dyDescent="0.25">
      <c r="L143" s="4">
        <f>IF('[1]All Data '!BE148="","",'[1]All Data '!BE148)</f>
        <v>5.5E-2</v>
      </c>
      <c r="M143">
        <f>IF('[1]All Data '!BF148="","",'[1]All Data '!BF148)</f>
        <v>4767.5627999999997</v>
      </c>
      <c r="N143" s="5">
        <f>IF('[1]All Data '!BB148="","",'[1]All Data '!BC148/'[1]All Data '!BH148)</f>
        <v>294840</v>
      </c>
      <c r="O143" s="5">
        <f t="shared" si="4"/>
        <v>1405668215.9519999</v>
      </c>
      <c r="P143" s="5">
        <f>IF(M143="","",$C$2*(1-L143)*907.2/0.621371*N143*[1]Transportation!$M$40)</f>
        <v>4598841.3934101984</v>
      </c>
      <c r="Q143" s="5">
        <f>IF(L143="","",IF([1]Inputs_Outputs!$B$5="Herbaceous",(LCA!$E$29*'[1]LOCH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3" s="5">
        <f>IF(M143="","",$E$2*1000*'[1]LOCH Calc COE Calc'!$C$44)</f>
        <v>4896457.3202133691</v>
      </c>
      <c r="S143" s="6">
        <f>IF(N143="","",SUM(O143:R143)/('[1]LOCH Calc COE Calc'!$C$28))</f>
        <v>64.234375036707789</v>
      </c>
      <c r="T143">
        <f>IF(L143="","",O143/'[1]LOCH Calc COE Calc'!$C$28)</f>
        <v>60.614920819028463</v>
      </c>
      <c r="U143">
        <f>IF(L143="","",P143/'[1]LOCH Calc COE Calc'!$C$28)</f>
        <v>0.19831024402300962</v>
      </c>
      <c r="V143">
        <f>IF(L143="","",Q143/'[1]LOCH Calc COE Calc'!$C$28)</f>
        <v>3.2100000000000004</v>
      </c>
      <c r="W143">
        <f>IF(L143="","",R143/'[1]LOCH Calc COE Calc'!$C$28)</f>
        <v>0.21114397365631307</v>
      </c>
    </row>
    <row r="144" spans="12:23" x14ac:dyDescent="0.25">
      <c r="L144" s="4">
        <f>IF('[1]All Data '!BE149="","",'[1]All Data '!BE149)</f>
        <v>5.5000000000000007E-2</v>
      </c>
      <c r="M144">
        <f>IF('[1]All Data '!BF149="","",'[1]All Data '!BF149)</f>
        <v>4767.5627999999997</v>
      </c>
      <c r="N144" s="5">
        <f>IF('[1]All Data '!BB149="","",'[1]All Data '!BC149/'[1]All Data '!BH149)</f>
        <v>294354</v>
      </c>
      <c r="O144" s="5">
        <f t="shared" si="4"/>
        <v>1403351180.4312</v>
      </c>
      <c r="P144" s="5">
        <f>IF(M144="","",$C$2*(1-L144)*907.2/0.621371*N144*[1]Transportation!$M$40)</f>
        <v>4591260.8856188618</v>
      </c>
      <c r="Q144" s="5">
        <f>IF(L144="","",IF([1]Inputs_Outputs!$B$5="Herbaceous",(LCA!$E$29*'[1]LOCH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4" s="5">
        <f>IF(M144="","",$E$2*1000*'[1]LOCH Calc COE Calc'!$C$44)</f>
        <v>4896457.3202133691</v>
      </c>
      <c r="S144" s="6">
        <f>IF(N144="","",SUM(O144:R144)/('[1]LOCH Calc COE Calc'!$C$28))</f>
        <v>64.134133447043425</v>
      </c>
      <c r="T144">
        <f>IF(L144="","",O144/'[1]LOCH Calc COE Calc'!$C$28)</f>
        <v>60.515006114381713</v>
      </c>
      <c r="U144">
        <f>IF(L144="","",P144/'[1]LOCH Calc COE Calc'!$C$28)</f>
        <v>0.19798335900538921</v>
      </c>
      <c r="V144">
        <f>IF(L144="","",Q144/'[1]LOCH Calc COE Calc'!$C$28)</f>
        <v>3.2100000000000004</v>
      </c>
      <c r="W144">
        <f>IF(L144="","",R144/'[1]LOCH Calc COE Calc'!$C$28)</f>
        <v>0.21114397365631307</v>
      </c>
    </row>
    <row r="145" spans="12:23" x14ac:dyDescent="0.25">
      <c r="L145" s="4">
        <f>IF('[1]All Data '!BE150="","",'[1]All Data '!BE150)</f>
        <v>5.5000000000000007E-2</v>
      </c>
      <c r="M145">
        <f>IF('[1]All Data '!BF150="","",'[1]All Data '!BF150)</f>
        <v>4767.5627999999997</v>
      </c>
      <c r="N145" s="5">
        <f>IF('[1]All Data '!BB150="","",'[1]All Data '!BC150/'[1]All Data '!BH150)</f>
        <v>294354</v>
      </c>
      <c r="O145" s="5">
        <f t="shared" si="4"/>
        <v>1403351180.4312</v>
      </c>
      <c r="P145" s="5">
        <f>IF(M145="","",$C$2*(1-L145)*907.2/0.621371*N145*[1]Transportation!$M$40)</f>
        <v>4591260.8856188618</v>
      </c>
      <c r="Q145" s="5">
        <f>IF(L145="","",IF([1]Inputs_Outputs!$B$5="Herbaceous",(LCA!$E$29*'[1]LOCH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5" s="5">
        <f>IF(M145="","",$E$2*1000*'[1]LOCH Calc COE Calc'!$C$44)</f>
        <v>4896457.3202133691</v>
      </c>
      <c r="S145" s="6">
        <f>IF(N145="","",SUM(O145:R145)/('[1]LOCH Calc COE Calc'!$C$28))</f>
        <v>64.134133447043425</v>
      </c>
      <c r="T145">
        <f>IF(L145="","",O145/'[1]LOCH Calc COE Calc'!$C$28)</f>
        <v>60.515006114381713</v>
      </c>
      <c r="U145">
        <f>IF(L145="","",P145/'[1]LOCH Calc COE Calc'!$C$28)</f>
        <v>0.19798335900538921</v>
      </c>
      <c r="V145">
        <f>IF(L145="","",Q145/'[1]LOCH Calc COE Calc'!$C$28)</f>
        <v>3.2100000000000004</v>
      </c>
      <c r="W145">
        <f>IF(L145="","",R145/'[1]LOCH Calc COE Calc'!$C$28)</f>
        <v>0.21114397365631307</v>
      </c>
    </row>
    <row r="146" spans="12:23" x14ac:dyDescent="0.25">
      <c r="L146" s="4">
        <f>IF('[1]All Data '!BE151="","",'[1]All Data '!BE151)</f>
        <v>5.5000000000000007E-2</v>
      </c>
      <c r="M146">
        <f>IF('[1]All Data '!BF151="","",'[1]All Data '!BF151)</f>
        <v>4767.5627999999997</v>
      </c>
      <c r="N146" s="5">
        <f>IF('[1]All Data '!BB151="","",'[1]All Data '!BC151/'[1]All Data '!BH151)</f>
        <v>294354</v>
      </c>
      <c r="O146" s="5">
        <f t="shared" si="4"/>
        <v>1403351180.4312</v>
      </c>
      <c r="P146" s="5">
        <f>IF(M146="","",$C$2*(1-L146)*907.2/0.621371*N146*[1]Transportation!$M$40)</f>
        <v>4591260.8856188618</v>
      </c>
      <c r="Q146" s="5">
        <f>IF(L146="","",IF([1]Inputs_Outputs!$B$5="Herbaceous",(LCA!$E$29*'[1]LOCH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6" s="5">
        <f>IF(M146="","",$E$2*1000*'[1]LOCH Calc COE Calc'!$C$44)</f>
        <v>4896457.3202133691</v>
      </c>
      <c r="S146" s="6">
        <f>IF(N146="","",SUM(O146:R146)/('[1]LOCH Calc COE Calc'!$C$28))</f>
        <v>64.134133447043425</v>
      </c>
      <c r="T146">
        <f>IF(L146="","",O146/'[1]LOCH Calc COE Calc'!$C$28)</f>
        <v>60.515006114381713</v>
      </c>
      <c r="U146">
        <f>IF(L146="","",P146/'[1]LOCH Calc COE Calc'!$C$28)</f>
        <v>0.19798335900538921</v>
      </c>
      <c r="V146">
        <f>IF(L146="","",Q146/'[1]LOCH Calc COE Calc'!$C$28)</f>
        <v>3.2100000000000004</v>
      </c>
      <c r="W146">
        <f>IF(L146="","",R146/'[1]LOCH Calc COE Calc'!$C$28)</f>
        <v>0.21114397365631307</v>
      </c>
    </row>
    <row r="147" spans="12:23" x14ac:dyDescent="0.25">
      <c r="L147" s="4">
        <f>IF('[1]All Data '!BE152="","",'[1]All Data '!BE152)</f>
        <v>5.5E-2</v>
      </c>
      <c r="M147">
        <f>IF('[1]All Data '!BF152="","",'[1]All Data '!BF152)</f>
        <v>4767.5627999999997</v>
      </c>
      <c r="N147" s="5">
        <f>IF('[1]All Data '!BB152="","",'[1]All Data '!BC152/'[1]All Data '!BH152)</f>
        <v>292260.66666666669</v>
      </c>
      <c r="O147" s="5">
        <f t="shared" si="4"/>
        <v>1393371082.3032</v>
      </c>
      <c r="P147" s="5">
        <f>IF(M147="","",$C$2*(1-L147)*907.2/0.621371*N147*[1]Transportation!$M$40)</f>
        <v>4558609.5900567314</v>
      </c>
      <c r="Q147" s="5">
        <f>IF(L147="","",IF([1]Inputs_Outputs!$B$5="Herbaceous",(LCA!$E$29*'[1]LOCH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7" s="5">
        <f>IF(M147="","",$E$2*1000*'[1]LOCH Calc COE Calc'!$C$44)</f>
        <v>4896457.3202133691</v>
      </c>
      <c r="S147" s="6">
        <f>IF(N147="","",SUM(O147:R147)/('[1]LOCH Calc COE Calc'!$C$28))</f>
        <v>63.702365831753809</v>
      </c>
      <c r="T147">
        <f>IF(L147="","",O147/'[1]LOCH Calc COE Calc'!$C$28)</f>
        <v>60.084646481198178</v>
      </c>
      <c r="U147">
        <f>IF(L147="","",P147/'[1]LOCH Calc COE Calc'!$C$28)</f>
        <v>0.19657537689931534</v>
      </c>
      <c r="V147">
        <f>IF(L147="","",Q147/'[1]LOCH Calc COE Calc'!$C$28)</f>
        <v>3.2100000000000004</v>
      </c>
      <c r="W147">
        <f>IF(L147="","",R147/'[1]LOCH Calc COE Calc'!$C$28)</f>
        <v>0.21114397365631307</v>
      </c>
    </row>
    <row r="148" spans="12:23" x14ac:dyDescent="0.25">
      <c r="L148" s="4">
        <f>IF('[1]All Data '!BE153="","",'[1]All Data '!BE153)</f>
        <v>5.5E-2</v>
      </c>
      <c r="M148">
        <f>IF('[1]All Data '!BF153="","",'[1]All Data '!BF153)</f>
        <v>4767.5627999999997</v>
      </c>
      <c r="N148" s="5">
        <f>IF('[1]All Data '!BB153="","",'[1]All Data '!BC153/'[1]All Data '!BH153)</f>
        <v>291772</v>
      </c>
      <c r="O148" s="5">
        <f t="shared" si="4"/>
        <v>1391041333.2816</v>
      </c>
      <c r="P148" s="5">
        <f>IF(M148="","",$C$2*(1-L148)*907.2/0.621371*N148*[1]Transportation!$M$40)</f>
        <v>4550987.4882583106</v>
      </c>
      <c r="Q148" s="5">
        <f>IF(L148="","",IF([1]Inputs_Outputs!$B$5="Herbaceous",(LCA!$E$29*'[1]LOCH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8" s="5">
        <f>IF(M148="","",$E$2*1000*'[1]LOCH Calc COE Calc'!$C$44)</f>
        <v>4896457.3202133691</v>
      </c>
      <c r="S148" s="6">
        <f>IF(N148="","",SUM(O148:R148)/('[1]LOCH Calc COE Calc'!$C$28))</f>
        <v>63.601574219649585</v>
      </c>
      <c r="T148">
        <f>IF(L148="","",O148/'[1]LOCH Calc COE Calc'!$C$28)</f>
        <v>59.984183547719347</v>
      </c>
      <c r="U148">
        <f>IF(L148="","",P148/'[1]LOCH Calc COE Calc'!$C$28)</f>
        <v>0.19624669827391655</v>
      </c>
      <c r="V148">
        <f>IF(L148="","",Q148/'[1]LOCH Calc COE Calc'!$C$28)</f>
        <v>3.2100000000000004</v>
      </c>
      <c r="W148">
        <f>IF(L148="","",R148/'[1]LOCH Calc COE Calc'!$C$28)</f>
        <v>0.21114397365631307</v>
      </c>
    </row>
    <row r="149" spans="12:23" x14ac:dyDescent="0.25">
      <c r="L149" s="4">
        <f>IF('[1]All Data '!BE154="","",'[1]All Data '!BE154)</f>
        <v>5.5E-2</v>
      </c>
      <c r="M149">
        <f>IF('[1]All Data '!BF154="","",'[1]All Data '!BF154)</f>
        <v>4767.5627999999997</v>
      </c>
      <c r="N149" s="5">
        <f>IF('[1]All Data '!BB154="","",'[1]All Data '!BC154/'[1]All Data '!BH154)</f>
        <v>291443.66666666669</v>
      </c>
      <c r="O149" s="5">
        <f t="shared" si="4"/>
        <v>1389475983.4956</v>
      </c>
      <c r="P149" s="5">
        <f>IF(M149="","",$C$2*(1-L149)*907.2/0.621371*N149*[1]Transportation!$M$40)</f>
        <v>4545866.2261359068</v>
      </c>
      <c r="Q149" s="5">
        <f>IF(L149="","",IF([1]Inputs_Outputs!$B$5="Herbaceous",(LCA!$E$29*'[1]LOCH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49" s="5">
        <f>IF(M149="","",$E$2*1000*'[1]LOCH Calc COE Calc'!$C$44)</f>
        <v>4896457.3202133691</v>
      </c>
      <c r="S149" s="6">
        <f>IF(N149="","",SUM(O149:R149)/('[1]LOCH Calc COE Calc'!$C$28))</f>
        <v>63.533852706741897</v>
      </c>
      <c r="T149">
        <f>IF(L149="","",O149/'[1]LOCH Calc COE Calc'!$C$28)</f>
        <v>59.916682872769385</v>
      </c>
      <c r="U149">
        <f>IF(L149="","",P149/'[1]LOCH Calc COE Calc'!$C$28)</f>
        <v>0.1960258603161964</v>
      </c>
      <c r="V149">
        <f>IF(L149="","",Q149/'[1]LOCH Calc COE Calc'!$C$28)</f>
        <v>3.2100000000000004</v>
      </c>
      <c r="W149">
        <f>IF(L149="","",R149/'[1]LOCH Calc COE Calc'!$C$28)</f>
        <v>0.21114397365631307</v>
      </c>
    </row>
    <row r="150" spans="12:23" x14ac:dyDescent="0.25">
      <c r="L150" s="4">
        <f>IF('[1]All Data '!BE155="","",'[1]All Data '!BE155)</f>
        <v>5.4999999999999993E-2</v>
      </c>
      <c r="M150">
        <f>IF('[1]All Data '!BF155="","",'[1]All Data '!BF155)</f>
        <v>4767.5627999999997</v>
      </c>
      <c r="N150" s="5">
        <f>IF('[1]All Data '!BB155="","",'[1]All Data '!BC155/'[1]All Data '!BH155)</f>
        <v>290313</v>
      </c>
      <c r="O150" s="5">
        <f t="shared" si="4"/>
        <v>1384085459.1564</v>
      </c>
      <c r="P150" s="5">
        <f>IF(M150="","",$C$2*(1-L150)*907.2/0.621371*N150*[1]Transportation!$M$40)</f>
        <v>4528230.3671316467</v>
      </c>
      <c r="Q150" s="5">
        <f>IF(L150="","",IF([1]Inputs_Outputs!$B$5="Herbaceous",(LCA!$E$29*'[1]LOCH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0" s="5">
        <f>IF(M150="","",$E$2*1000*'[1]LOCH Calc COE Calc'!$C$44)</f>
        <v>4896457.3202133691</v>
      </c>
      <c r="S150" s="6">
        <f>IF(N150="","",SUM(O150:R150)/('[1]LOCH Calc COE Calc'!$C$28))</f>
        <v>63.300643192241523</v>
      </c>
      <c r="T150">
        <f>IF(L150="","",O150/'[1]LOCH Calc COE Calc'!$C$28)</f>
        <v>59.684233847967064</v>
      </c>
      <c r="U150">
        <f>IF(L150="","",P150/'[1]LOCH Calc COE Calc'!$C$28)</f>
        <v>0.19526537061813859</v>
      </c>
      <c r="V150">
        <f>IF(L150="","",Q150/'[1]LOCH Calc COE Calc'!$C$28)</f>
        <v>3.2100000000000004</v>
      </c>
      <c r="W150">
        <f>IF(L150="","",R150/'[1]LOCH Calc COE Calc'!$C$28)</f>
        <v>0.21114397365631307</v>
      </c>
    </row>
    <row r="151" spans="12:23" x14ac:dyDescent="0.25">
      <c r="L151" s="4">
        <f>IF('[1]All Data '!BE156="","",'[1]All Data '!BE156)</f>
        <v>5.5E-2</v>
      </c>
      <c r="M151">
        <f>IF('[1]All Data '!BF156="","",'[1]All Data '!BF156)</f>
        <v>4767.5627999999997</v>
      </c>
      <c r="N151" s="5">
        <f>IF('[1]All Data '!BB156="","",'[1]All Data '!BC156/'[1]All Data '!BH156)</f>
        <v>290036.33333333331</v>
      </c>
      <c r="O151" s="5">
        <f t="shared" si="4"/>
        <v>1382766433.4483998</v>
      </c>
      <c r="P151" s="5">
        <f>IF(M151="","",$C$2*(1-L151)*907.2/0.621371*N151*[1]Transportation!$M$40)</f>
        <v>4523914.9888965245</v>
      </c>
      <c r="Q151" s="5">
        <f>IF(L151="","",IF([1]Inputs_Outputs!$B$5="Herbaceous",(LCA!$E$29*'[1]LOCH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1" s="5">
        <f>IF(M151="","",$E$2*1000*'[1]LOCH Calc COE Calc'!$C$44)</f>
        <v>4896457.3202133691</v>
      </c>
      <c r="S151" s="6">
        <f>IF(N151="","",SUM(O151:R151)/('[1]LOCH Calc COE Calc'!$C$28))</f>
        <v>63.243578364106106</v>
      </c>
      <c r="T151">
        <f>IF(L151="","",O151/'[1]LOCH Calc COE Calc'!$C$28)</f>
        <v>59.62735510663866</v>
      </c>
      <c r="U151">
        <f>IF(L151="","",P151/'[1]LOCH Calc COE Calc'!$C$28)</f>
        <v>0.19507928381112566</v>
      </c>
      <c r="V151">
        <f>IF(L151="","",Q151/'[1]LOCH Calc COE Calc'!$C$28)</f>
        <v>3.2100000000000004</v>
      </c>
      <c r="W151">
        <f>IF(L151="","",R151/'[1]LOCH Calc COE Calc'!$C$28)</f>
        <v>0.21114397365631307</v>
      </c>
    </row>
    <row r="152" spans="12:23" x14ac:dyDescent="0.25">
      <c r="L152" s="4">
        <f>IF('[1]All Data '!BE157="","",'[1]All Data '!BE157)</f>
        <v>5.5E-2</v>
      </c>
      <c r="M152">
        <f>IF('[1]All Data '!BF157="","",'[1]All Data '!BF157)</f>
        <v>4767.5627999999997</v>
      </c>
      <c r="N152" s="5">
        <f>IF('[1]All Data '!BB157="","",'[1]All Data '!BC157/'[1]All Data '!BH157)</f>
        <v>287567</v>
      </c>
      <c r="O152" s="5">
        <f t="shared" si="4"/>
        <v>1370993731.7075999</v>
      </c>
      <c r="P152" s="5">
        <f>IF(M152="","",$C$2*(1-L152)*907.2/0.621371*N152*[1]Transportation!$M$40)</f>
        <v>4485398.9383353358</v>
      </c>
      <c r="Q152" s="5">
        <f>IF(L152="","",IF([1]Inputs_Outputs!$B$5="Herbaceous",(LCA!$E$29*'[1]LOCH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2" s="5">
        <f>IF(M152="","",$E$2*1000*'[1]LOCH Calc COE Calc'!$C$44)</f>
        <v>4896457.3202133691</v>
      </c>
      <c r="S152" s="6">
        <f>IF(N152="","",SUM(O152:R152)/('[1]LOCH Calc COE Calc'!$C$28))</f>
        <v>62.734257584796332</v>
      </c>
      <c r="T152">
        <f>IF(L152="","",O152/'[1]LOCH Calc COE Calc'!$C$28)</f>
        <v>59.119695208131724</v>
      </c>
      <c r="U152">
        <f>IF(L152="","",P152/'[1]LOCH Calc COE Calc'!$C$28)</f>
        <v>0.19341840300829197</v>
      </c>
      <c r="V152">
        <f>IF(L152="","",Q152/'[1]LOCH Calc COE Calc'!$C$28)</f>
        <v>3.2100000000000004</v>
      </c>
      <c r="W152">
        <f>IF(L152="","",R152/'[1]LOCH Calc COE Calc'!$C$28)</f>
        <v>0.21114397365631307</v>
      </c>
    </row>
    <row r="153" spans="12:23" x14ac:dyDescent="0.25">
      <c r="L153" s="4">
        <f>IF('[1]All Data '!BE158="","",'[1]All Data '!BE158)</f>
        <v>5.5E-2</v>
      </c>
      <c r="M153">
        <f>IF('[1]All Data '!BF158="","",'[1]All Data '!BF158)</f>
        <v>4767.5627999999997</v>
      </c>
      <c r="N153" s="5">
        <f>IF('[1]All Data '!BB158="","",'[1]All Data '!BC158/'[1]All Data '!BH158)</f>
        <v>282073.66666666669</v>
      </c>
      <c r="O153" s="5">
        <f t="shared" si="4"/>
        <v>1344803920.0596001</v>
      </c>
      <c r="P153" s="5">
        <f>IF(M153="","",$C$2*(1-L153)*907.2/0.621371*N153*[1]Transportation!$M$40)</f>
        <v>4399715.283739171</v>
      </c>
      <c r="Q153" s="5">
        <f>IF(L153="","",IF([1]Inputs_Outputs!$B$5="Herbaceous",(LCA!$E$29*'[1]LOCH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3" s="5">
        <f>IF(M153="","",$E$2*1000*'[1]LOCH Calc COE Calc'!$C$44)</f>
        <v>4896457.3202133691</v>
      </c>
      <c r="S153" s="6">
        <f>IF(N153="","",SUM(O153:R153)/('[1]LOCH Calc COE Calc'!$C$28))</f>
        <v>61.601211358686029</v>
      </c>
      <c r="T153">
        <f>IF(L153="","",O153/'[1]LOCH Calc COE Calc'!$C$28)</f>
        <v>57.990343814045005</v>
      </c>
      <c r="U153">
        <f>IF(L153="","",P153/'[1]LOCH Calc COE Calc'!$C$28)</f>
        <v>0.18972357098470946</v>
      </c>
      <c r="V153">
        <f>IF(L153="","",Q153/'[1]LOCH Calc COE Calc'!$C$28)</f>
        <v>3.2100000000000004</v>
      </c>
      <c r="W153">
        <f>IF(L153="","",R153/'[1]LOCH Calc COE Calc'!$C$28)</f>
        <v>0.21114397365631307</v>
      </c>
    </row>
    <row r="154" spans="12:23" x14ac:dyDescent="0.25">
      <c r="L154" s="4">
        <f>IF('[1]All Data '!BE159="","",'[1]All Data '!BE159)</f>
        <v>5.5E-2</v>
      </c>
      <c r="M154">
        <f>IF('[1]All Data '!BF159="","",'[1]All Data '!BF159)</f>
        <v>4767.5627999999997</v>
      </c>
      <c r="N154" s="5">
        <f>IF('[1]All Data '!BB159="","",'[1]All Data '!BC159/'[1]All Data '!BH159)</f>
        <v>282073.66666666669</v>
      </c>
      <c r="O154" s="5">
        <f t="shared" si="4"/>
        <v>1344803920.0596001</v>
      </c>
      <c r="P154" s="5">
        <f>IF(M154="","",$C$2*(1-L154)*907.2/0.621371*N154*[1]Transportation!$M$40)</f>
        <v>4399715.283739171</v>
      </c>
      <c r="Q154" s="5">
        <f>IF(L154="","",IF([1]Inputs_Outputs!$B$5="Herbaceous",(LCA!$E$29*'[1]LOCH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4" s="5">
        <f>IF(M154="","",$E$2*1000*'[1]LOCH Calc COE Calc'!$C$44)</f>
        <v>4896457.3202133691</v>
      </c>
      <c r="S154" s="6">
        <f>IF(N154="","",SUM(O154:R154)/('[1]LOCH Calc COE Calc'!$C$28))</f>
        <v>61.601211358686029</v>
      </c>
      <c r="T154">
        <f>IF(L154="","",O154/'[1]LOCH Calc COE Calc'!$C$28)</f>
        <v>57.990343814045005</v>
      </c>
      <c r="U154">
        <f>IF(L154="","",P154/'[1]LOCH Calc COE Calc'!$C$28)</f>
        <v>0.18972357098470946</v>
      </c>
      <c r="V154">
        <f>IF(L154="","",Q154/'[1]LOCH Calc COE Calc'!$C$28)</f>
        <v>3.2100000000000004</v>
      </c>
      <c r="W154">
        <f>IF(L154="","",R154/'[1]LOCH Calc COE Calc'!$C$28)</f>
        <v>0.21114397365631307</v>
      </c>
    </row>
    <row r="155" spans="12:23" x14ac:dyDescent="0.25">
      <c r="L155" s="4">
        <f>IF('[1]All Data '!BE160="","",'[1]All Data '!BE160)</f>
        <v>5.5E-2</v>
      </c>
      <c r="M155">
        <f>IF('[1]All Data '!BF160="","",'[1]All Data '!BF160)</f>
        <v>4767.5627999999997</v>
      </c>
      <c r="N155" s="5">
        <f>IF('[1]All Data '!BB160="","",'[1]All Data '!BC160/'[1]All Data '!BH160)</f>
        <v>282073.66666666669</v>
      </c>
      <c r="O155" s="5">
        <f t="shared" si="4"/>
        <v>1344803920.0596001</v>
      </c>
      <c r="P155" s="5">
        <f>IF(M155="","",$C$2*(1-L155)*907.2/0.621371*N155*[1]Transportation!$M$40)</f>
        <v>4399715.283739171</v>
      </c>
      <c r="Q155" s="5">
        <f>IF(L155="","",IF([1]Inputs_Outputs!$B$5="Herbaceous",(LCA!$E$29*'[1]LOCH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5" s="5">
        <f>IF(M155="","",$E$2*1000*'[1]LOCH Calc COE Calc'!$C$44)</f>
        <v>4896457.3202133691</v>
      </c>
      <c r="S155" s="6">
        <f>IF(N155="","",SUM(O155:R155)/('[1]LOCH Calc COE Calc'!$C$28))</f>
        <v>61.601211358686029</v>
      </c>
      <c r="T155">
        <f>IF(L155="","",O155/'[1]LOCH Calc COE Calc'!$C$28)</f>
        <v>57.990343814045005</v>
      </c>
      <c r="U155">
        <f>IF(L155="","",P155/'[1]LOCH Calc COE Calc'!$C$28)</f>
        <v>0.18972357098470946</v>
      </c>
      <c r="V155">
        <f>IF(L155="","",Q155/'[1]LOCH Calc COE Calc'!$C$28)</f>
        <v>3.2100000000000004</v>
      </c>
      <c r="W155">
        <f>IF(L155="","",R155/'[1]LOCH Calc COE Calc'!$C$28)</f>
        <v>0.21114397365631307</v>
      </c>
    </row>
    <row r="156" spans="12:23" x14ac:dyDescent="0.25">
      <c r="L156" s="4">
        <f>IF('[1]All Data '!BE161="","",'[1]All Data '!BE161)</f>
        <v>5.4999999999999993E-2</v>
      </c>
      <c r="M156">
        <f>IF('[1]All Data '!BF161="","",'[1]All Data '!BF161)</f>
        <v>4767.5627999999997</v>
      </c>
      <c r="N156" s="5">
        <f>IF('[1]All Data '!BB161="","",'[1]All Data '!BC161/'[1]All Data '!BH161)</f>
        <v>281305</v>
      </c>
      <c r="O156" s="5">
        <f t="shared" si="4"/>
        <v>1341139253.454</v>
      </c>
      <c r="P156" s="5">
        <f>IF(M156="","",$C$2*(1-L156)*907.2/0.621371*N156*[1]Transportation!$M$40)</f>
        <v>4387725.8111967705</v>
      </c>
      <c r="Q156" s="5">
        <f>IF(L156="","",IF([1]Inputs_Outputs!$B$5="Herbaceous",(LCA!$E$29*'[1]LOCH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6" s="5">
        <f>IF(M156="","",$E$2*1000*'[1]LOCH Calc COE Calc'!$C$44)</f>
        <v>4896457.3202133691</v>
      </c>
      <c r="S156" s="6">
        <f>IF(N156="","",SUM(O156:R156)/('[1]LOCH Calc COE Calc'!$C$28))</f>
        <v>61.442667390396565</v>
      </c>
      <c r="T156">
        <f>IF(L156="","",O156/'[1]LOCH Calc COE Calc'!$C$28)</f>
        <v>57.832316853197675</v>
      </c>
      <c r="U156">
        <f>IF(L156="","",P156/'[1]LOCH Calc COE Calc'!$C$28)</f>
        <v>0.18920656354257467</v>
      </c>
      <c r="V156">
        <f>IF(L156="","",Q156/'[1]LOCH Calc COE Calc'!$C$28)</f>
        <v>3.2100000000000004</v>
      </c>
      <c r="W156">
        <f>IF(L156="","",R156/'[1]LOCH Calc COE Calc'!$C$28)</f>
        <v>0.21114397365631307</v>
      </c>
    </row>
    <row r="157" spans="12:23" x14ac:dyDescent="0.25">
      <c r="L157" s="4">
        <f>IF('[1]All Data '!BE162="","",'[1]All Data '!BE162)</f>
        <v>5.5000000000000007E-2</v>
      </c>
      <c r="M157">
        <f>IF('[1]All Data '!BF162="","",'[1]All Data '!BF162)</f>
        <v>4767.5627999999997</v>
      </c>
      <c r="N157" s="5">
        <f>IF('[1]All Data '!BB162="","",'[1]All Data '!BC162/'[1]All Data '!BH162)</f>
        <v>281054</v>
      </c>
      <c r="O157" s="5">
        <f t="shared" si="4"/>
        <v>1339942595.1912</v>
      </c>
      <c r="P157" s="5">
        <f>IF(M157="","",$C$2*(1-L157)*907.2/0.621371*N157*[1]Transportation!$M$40)</f>
        <v>4383810.775279846</v>
      </c>
      <c r="Q157" s="5">
        <f>IF(L157="","",IF([1]Inputs_Outputs!$B$5="Herbaceous",(LCA!$E$29*'[1]LOCH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7" s="5">
        <f>IF(M157="","",$E$2*1000*'[1]LOCH Calc COE Calc'!$C$44)</f>
        <v>4896457.3202133691</v>
      </c>
      <c r="S157" s="6">
        <f>IF(N157="","",SUM(O157:R157)/('[1]LOCH Calc COE Calc'!$C$28))</f>
        <v>61.390896528244795</v>
      </c>
      <c r="T157">
        <f>IF(L157="","",O157/'[1]LOCH Calc COE Calc'!$C$28)</f>
        <v>57.780714814378058</v>
      </c>
      <c r="U157">
        <f>IF(L157="","",P157/'[1]LOCH Calc COE Calc'!$C$28)</f>
        <v>0.18903774021042918</v>
      </c>
      <c r="V157">
        <f>IF(L157="","",Q157/'[1]LOCH Calc COE Calc'!$C$28)</f>
        <v>3.2100000000000004</v>
      </c>
      <c r="W157">
        <f>IF(L157="","",R157/'[1]LOCH Calc COE Calc'!$C$28)</f>
        <v>0.21114397365631307</v>
      </c>
    </row>
    <row r="158" spans="12:23" x14ac:dyDescent="0.25">
      <c r="L158" s="4">
        <f>IF('[1]All Data '!BE163="","",'[1]All Data '!BE163)</f>
        <v>5.5E-2</v>
      </c>
      <c r="M158">
        <f>IF('[1]All Data '!BF163="","",'[1]All Data '!BF163)</f>
        <v>4767.5627999999997</v>
      </c>
      <c r="N158" s="5">
        <f>IF('[1]All Data '!BB163="","",'[1]All Data '!BC163/'[1]All Data '!BH163)</f>
        <v>281036</v>
      </c>
      <c r="O158" s="5">
        <f t="shared" si="4"/>
        <v>1339856779.0607998</v>
      </c>
      <c r="P158" s="5">
        <f>IF(M158="","",$C$2*(1-L158)*907.2/0.621371*N158*[1]Transportation!$M$40)</f>
        <v>4383530.0157320183</v>
      </c>
      <c r="Q158" s="5">
        <f>IF(L158="","",IF([1]Inputs_Outputs!$B$5="Herbaceous",(LCA!$E$29*'[1]LOCH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8" s="5">
        <f>IF(M158="","",$E$2*1000*'[1]LOCH Calc COE Calc'!$C$44)</f>
        <v>4896457.3202133691</v>
      </c>
      <c r="S158" s="6">
        <f>IF(N158="","",SUM(O158:R158)/('[1]LOCH Calc COE Calc'!$C$28))</f>
        <v>61.387183876775744</v>
      </c>
      <c r="T158">
        <f>IF(L158="","",O158/'[1]LOCH Calc COE Calc'!$C$28)</f>
        <v>57.777014269761501</v>
      </c>
      <c r="U158">
        <f>IF(L158="","",P158/'[1]LOCH Calc COE Calc'!$C$28)</f>
        <v>0.18902563335792472</v>
      </c>
      <c r="V158">
        <f>IF(L158="","",Q158/'[1]LOCH Calc COE Calc'!$C$28)</f>
        <v>3.2100000000000004</v>
      </c>
      <c r="W158">
        <f>IF(L158="","",R158/'[1]LOCH Calc COE Calc'!$C$28)</f>
        <v>0.21114397365631307</v>
      </c>
    </row>
    <row r="159" spans="12:23" x14ac:dyDescent="0.25">
      <c r="L159" s="4">
        <f>IF('[1]All Data '!BE164="","",'[1]All Data '!BE164)</f>
        <v>5.5E-2</v>
      </c>
      <c r="M159">
        <f>IF('[1]All Data '!BF164="","",'[1]All Data '!BF164)</f>
        <v>4767.5627999999997</v>
      </c>
      <c r="N159" s="5">
        <f>IF('[1]All Data '!BB164="","",'[1]All Data '!BC164/'[1]All Data '!BH164)</f>
        <v>281036</v>
      </c>
      <c r="O159" s="5">
        <f t="shared" si="4"/>
        <v>1339856779.0607998</v>
      </c>
      <c r="P159" s="5">
        <f>IF(M159="","",$C$2*(1-L159)*907.2/0.621371*N159*[1]Transportation!$M$40)</f>
        <v>4383530.0157320183</v>
      </c>
      <c r="Q159" s="5">
        <f>IF(L159="","",IF([1]Inputs_Outputs!$B$5="Herbaceous",(LCA!$E$29*'[1]LOCH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59" s="5">
        <f>IF(M159="","",$E$2*1000*'[1]LOCH Calc COE Calc'!$C$44)</f>
        <v>4896457.3202133691</v>
      </c>
      <c r="S159" s="6">
        <f>IF(N159="","",SUM(O159:R159)/('[1]LOCH Calc COE Calc'!$C$28))</f>
        <v>61.387183876775744</v>
      </c>
      <c r="T159">
        <f>IF(L159="","",O159/'[1]LOCH Calc COE Calc'!$C$28)</f>
        <v>57.777014269761501</v>
      </c>
      <c r="U159">
        <f>IF(L159="","",P159/'[1]LOCH Calc COE Calc'!$C$28)</f>
        <v>0.18902563335792472</v>
      </c>
      <c r="V159">
        <f>IF(L159="","",Q159/'[1]LOCH Calc COE Calc'!$C$28)</f>
        <v>3.2100000000000004</v>
      </c>
      <c r="W159">
        <f>IF(L159="","",R159/'[1]LOCH Calc COE Calc'!$C$28)</f>
        <v>0.21114397365631307</v>
      </c>
    </row>
    <row r="160" spans="12:23" x14ac:dyDescent="0.25">
      <c r="L160" s="4">
        <f>IF('[1]All Data '!BE165="","",'[1]All Data '!BE165)</f>
        <v>5.5E-2</v>
      </c>
      <c r="M160">
        <f>IF('[1]All Data '!BF165="","",'[1]All Data '!BF165)</f>
        <v>4767.5627999999997</v>
      </c>
      <c r="N160" s="5">
        <f>IF('[1]All Data '!BB165="","",'[1]All Data '!BC165/'[1]All Data '!BH165)</f>
        <v>280284.33333333331</v>
      </c>
      <c r="O160" s="5">
        <f t="shared" si="4"/>
        <v>1336273161.0227997</v>
      </c>
      <c r="P160" s="5">
        <f>IF(M160="","",$C$2*(1-L160)*907.2/0.621371*N160*[1]Transportation!$M$40)</f>
        <v>4371805.7049847879</v>
      </c>
      <c r="Q160" s="5">
        <f>IF(L160="","",IF([1]Inputs_Outputs!$B$5="Herbaceous",(LCA!$E$29*'[1]LOCH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0" s="5">
        <f>IF(M160="","",$E$2*1000*'[1]LOCH Calc COE Calc'!$C$44)</f>
        <v>4896457.3202133691</v>
      </c>
      <c r="S160" s="6">
        <f>IF(N160="","",SUM(O160:R160)/('[1]LOCH Calc COE Calc'!$C$28))</f>
        <v>61.232146301540382</v>
      </c>
      <c r="T160">
        <f>IF(L160="","",O160/'[1]LOCH Calc COE Calc'!$C$28)</f>
        <v>57.622482267718681</v>
      </c>
      <c r="U160">
        <f>IF(L160="","",P160/'[1]LOCH Calc COE Calc'!$C$28)</f>
        <v>0.18852006016537745</v>
      </c>
      <c r="V160">
        <f>IF(L160="","",Q160/'[1]LOCH Calc COE Calc'!$C$28)</f>
        <v>3.2100000000000004</v>
      </c>
      <c r="W160">
        <f>IF(L160="","",R160/'[1]LOCH Calc COE Calc'!$C$28)</f>
        <v>0.21114397365631307</v>
      </c>
    </row>
    <row r="161" spans="12:23" x14ac:dyDescent="0.25">
      <c r="L161" s="4">
        <f>IF('[1]All Data '!BE166="","",'[1]All Data '!BE166)</f>
        <v>5.5E-2</v>
      </c>
      <c r="M161">
        <f>IF('[1]All Data '!BF166="","",'[1]All Data '!BF166)</f>
        <v>4767.5627999999997</v>
      </c>
      <c r="N161" s="5">
        <f>IF('[1]All Data '!BB166="","",'[1]All Data '!BC166/'[1]All Data '!BH166)</f>
        <v>280284.33333333331</v>
      </c>
      <c r="O161" s="5">
        <f t="shared" si="4"/>
        <v>1336273161.0227997</v>
      </c>
      <c r="P161" s="5">
        <f>IF(M161="","",$C$2*(1-L161)*907.2/0.621371*N161*[1]Transportation!$M$40)</f>
        <v>4371805.7049847879</v>
      </c>
      <c r="Q161" s="5">
        <f>IF(L161="","",IF([1]Inputs_Outputs!$B$5="Herbaceous",(LCA!$E$29*'[1]LOCH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1" s="5">
        <f>IF(M161="","",$E$2*1000*'[1]LOCH Calc COE Calc'!$C$44)</f>
        <v>4896457.3202133691</v>
      </c>
      <c r="S161" s="6">
        <f>IF(N161="","",SUM(O161:R161)/('[1]LOCH Calc COE Calc'!$C$28))</f>
        <v>61.232146301540382</v>
      </c>
      <c r="T161">
        <f>IF(L161="","",O161/'[1]LOCH Calc COE Calc'!$C$28)</f>
        <v>57.622482267718681</v>
      </c>
      <c r="U161">
        <f>IF(L161="","",P161/'[1]LOCH Calc COE Calc'!$C$28)</f>
        <v>0.18852006016537745</v>
      </c>
      <c r="V161">
        <f>IF(L161="","",Q161/'[1]LOCH Calc COE Calc'!$C$28)</f>
        <v>3.2100000000000004</v>
      </c>
      <c r="W161">
        <f>IF(L161="","",R161/'[1]LOCH Calc COE Calc'!$C$28)</f>
        <v>0.21114397365631307</v>
      </c>
    </row>
    <row r="162" spans="12:23" x14ac:dyDescent="0.25">
      <c r="L162" s="4">
        <f>IF('[1]All Data '!BE167="","",'[1]All Data '!BE167)</f>
        <v>5.5E-2</v>
      </c>
      <c r="M162">
        <f>IF('[1]All Data '!BF167="","",'[1]All Data '!BF167)</f>
        <v>4767.5627999999997</v>
      </c>
      <c r="N162" s="5">
        <f>IF('[1]All Data '!BB167="","",'[1]All Data '!BC167/'[1]All Data '!BH167)</f>
        <v>278727.33333333331</v>
      </c>
      <c r="O162" s="5">
        <f t="shared" si="4"/>
        <v>1328850065.7431998</v>
      </c>
      <c r="P162" s="5">
        <f>IF(M162="","",$C$2*(1-L162)*907.2/0.621371*N162*[1]Transportation!$M$40)</f>
        <v>4347520.0040977318</v>
      </c>
      <c r="Q162" s="5">
        <f>IF(L162="","",IF([1]Inputs_Outputs!$B$5="Herbaceous",(LCA!$E$29*'[1]LOCH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2" s="5">
        <f>IF(M162="","",$E$2*1000*'[1]LOCH Calc COE Calc'!$C$44)</f>
        <v>4896457.3202133691</v>
      </c>
      <c r="S162" s="6">
        <f>IF(N162="","",SUM(O162:R162)/('[1]LOCH Calc COE Calc'!$C$28))</f>
        <v>60.91100194946749</v>
      </c>
      <c r="T162">
        <f>IF(L162="","",O162/'[1]LOCH Calc COE Calc'!$C$28)</f>
        <v>57.30238515838743</v>
      </c>
      <c r="U162">
        <f>IF(L162="","",P162/'[1]LOCH Calc COE Calc'!$C$28)</f>
        <v>0.18747281742374192</v>
      </c>
      <c r="V162">
        <f>IF(L162="","",Q162/'[1]LOCH Calc COE Calc'!$C$28)</f>
        <v>3.2100000000000004</v>
      </c>
      <c r="W162">
        <f>IF(L162="","",R162/'[1]LOCH Calc COE Calc'!$C$28)</f>
        <v>0.21114397365631307</v>
      </c>
    </row>
    <row r="163" spans="12:23" x14ac:dyDescent="0.25">
      <c r="L163" s="4">
        <f>IF('[1]All Data '!BE168="","",'[1]All Data '!BE168)</f>
        <v>5.4999999999999993E-2</v>
      </c>
      <c r="M163">
        <f>IF('[1]All Data '!BF168="","",'[1]All Data '!BF168)</f>
        <v>4767.5627999999997</v>
      </c>
      <c r="N163" s="5">
        <f>IF('[1]All Data '!BB168="","",'[1]All Data '!BC168/'[1]All Data '!BH168)</f>
        <v>278296.66666666669</v>
      </c>
      <c r="O163" s="5">
        <f t="shared" si="4"/>
        <v>1326796835.3640001</v>
      </c>
      <c r="P163" s="5">
        <f>IF(M163="","",$C$2*(1-L163)*907.2/0.621371*N163*[1]Transportation!$M$40)</f>
        <v>4340802.5719534215</v>
      </c>
      <c r="Q163" s="5">
        <f>IF(L163="","",IF([1]Inputs_Outputs!$B$5="Herbaceous",(LCA!$E$29*'[1]LOCH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3" s="5">
        <f>IF(M163="","",$E$2*1000*'[1]LOCH Calc COE Calc'!$C$44)</f>
        <v>4896457.3202133691</v>
      </c>
      <c r="S163" s="6">
        <f>IF(N163="","",SUM(O163:R163)/('[1]LOCH Calc COE Calc'!$C$28))</f>
        <v>60.822173325430214</v>
      </c>
      <c r="T163">
        <f>IF(L163="","",O163/'[1]LOCH Calc COE Calc'!$C$28)</f>
        <v>57.213846202006373</v>
      </c>
      <c r="U163">
        <f>IF(L163="","",P163/'[1]LOCH Calc COE Calc'!$C$28)</f>
        <v>0.18718314976752418</v>
      </c>
      <c r="V163">
        <f>IF(L163="","",Q163/'[1]LOCH Calc COE Calc'!$C$28)</f>
        <v>3.2100000000000004</v>
      </c>
      <c r="W163">
        <f>IF(L163="","",R163/'[1]LOCH Calc COE Calc'!$C$28)</f>
        <v>0.21114397365631307</v>
      </c>
    </row>
    <row r="164" spans="12:23" x14ac:dyDescent="0.25">
      <c r="L164" s="4">
        <f>IF('[1]All Data '!BE169="","",'[1]All Data '!BE169)</f>
        <v>5.5E-2</v>
      </c>
      <c r="M164">
        <f>IF('[1]All Data '!BF169="","",'[1]All Data '!BF169)</f>
        <v>4767.5627999999997</v>
      </c>
      <c r="N164" s="5">
        <f>IF('[1]All Data '!BB169="","",'[1]All Data '!BC169/'[1]All Data '!BH169)</f>
        <v>278252.33333333331</v>
      </c>
      <c r="O164" s="5">
        <f t="shared" si="4"/>
        <v>1326585473.4131999</v>
      </c>
      <c r="P164" s="5">
        <f>IF(M164="","",$C$2*(1-L164)*907.2/0.621371*N164*[1]Transportation!$M$40)</f>
        <v>4340111.0715856235</v>
      </c>
      <c r="Q164" s="5">
        <f>IF(L164="","",IF([1]Inputs_Outputs!$B$5="Herbaceous",(LCA!$E$29*'[1]LOCH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4" s="5">
        <f>IF(M164="","",$E$2*1000*'[1]LOCH Calc COE Calc'!$C$44)</f>
        <v>4896457.3202133691</v>
      </c>
      <c r="S164" s="6">
        <f>IF(N164="","",SUM(O164:R164)/('[1]LOCH Calc COE Calc'!$C$28))</f>
        <v>60.813029202367545</v>
      </c>
      <c r="T164">
        <f>IF(L164="","",O164/'[1]LOCH Calc COE Calc'!$C$28)</f>
        <v>57.204731897673021</v>
      </c>
      <c r="U164">
        <f>IF(L164="","",P164/'[1]LOCH Calc COE Calc'!$C$28)</f>
        <v>0.18715333103820761</v>
      </c>
      <c r="V164">
        <f>IF(L164="","",Q164/'[1]LOCH Calc COE Calc'!$C$28)</f>
        <v>3.2100000000000004</v>
      </c>
      <c r="W164">
        <f>IF(L164="","",R164/'[1]LOCH Calc COE Calc'!$C$28)</f>
        <v>0.21114397365631307</v>
      </c>
    </row>
    <row r="165" spans="12:23" x14ac:dyDescent="0.25">
      <c r="L165" s="4">
        <f>IF('[1]All Data '!BE170="","",'[1]All Data '!BE170)</f>
        <v>5.5E-2</v>
      </c>
      <c r="M165">
        <f>IF('[1]All Data '!BF170="","",'[1]All Data '!BF170)</f>
        <v>4767.5627999999997</v>
      </c>
      <c r="N165" s="5">
        <f>IF('[1]All Data '!BB170="","",'[1]All Data '!BC170/'[1]All Data '!BH170)</f>
        <v>277598</v>
      </c>
      <c r="O165" s="5">
        <f t="shared" si="4"/>
        <v>1323465898.1543999</v>
      </c>
      <c r="P165" s="5">
        <f>IF(M165="","",$C$2*(1-L165)*907.2/0.621371*N165*[1]Transportation!$M$40)</f>
        <v>4329904.9420970157</v>
      </c>
      <c r="Q165" s="5">
        <f>IF(L165="","",IF([1]Inputs_Outputs!$B$5="Herbaceous",(LCA!$E$29*'[1]LOCH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5" s="5">
        <f>IF(M165="","",$E$2*1000*'[1]LOCH Calc COE Calc'!$C$44)</f>
        <v>4896457.3202133691</v>
      </c>
      <c r="S165" s="6">
        <f>IF(N165="","",SUM(O165:R165)/('[1]LOCH Calc COE Calc'!$C$28))</f>
        <v>60.678067446187043</v>
      </c>
      <c r="T165">
        <f>IF(L165="","",O165/'[1]LOCH Calc COE Calc'!$C$28)</f>
        <v>57.07021024800116</v>
      </c>
      <c r="U165">
        <f>IF(L165="","",P165/'[1]LOCH Calc COE Calc'!$C$28)</f>
        <v>0.1867132245295734</v>
      </c>
      <c r="V165">
        <f>IF(L165="","",Q165/'[1]LOCH Calc COE Calc'!$C$28)</f>
        <v>3.2100000000000004</v>
      </c>
      <c r="W165">
        <f>IF(L165="","",R165/'[1]LOCH Calc COE Calc'!$C$28)</f>
        <v>0.21114397365631307</v>
      </c>
    </row>
    <row r="166" spans="12:23" x14ac:dyDescent="0.25">
      <c r="L166" s="4">
        <f>IF('[1]All Data '!BE171="","",'[1]All Data '!BE171)</f>
        <v>5.5E-2</v>
      </c>
      <c r="M166">
        <f>IF('[1]All Data '!BF171="","",'[1]All Data '!BF171)</f>
        <v>4767.5627999999997</v>
      </c>
      <c r="N166" s="5">
        <f>IF('[1]All Data '!BB171="","",'[1]All Data '!BC171/'[1]All Data '!BH171)</f>
        <v>276883</v>
      </c>
      <c r="O166" s="5">
        <f t="shared" si="4"/>
        <v>1320057090.7523999</v>
      </c>
      <c r="P166" s="5">
        <f>IF(M166="","",$C$2*(1-L166)*907.2/0.621371*N166*[1]Transportation!$M$40)</f>
        <v>4318752.5489472114</v>
      </c>
      <c r="Q166" s="5">
        <f>IF(L166="","",IF([1]Inputs_Outputs!$B$5="Herbaceous",(LCA!$E$29*'[1]LOCH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6" s="5">
        <f>IF(M166="","",$E$2*1000*'[1]LOCH Calc COE Calc'!$C$44)</f>
        <v>4896457.3202133691</v>
      </c>
      <c r="S166" s="6">
        <f>IF(N166="","",SUM(O166:R166)/('[1]LOCH Calc COE Calc'!$C$28))</f>
        <v>60.530592679499748</v>
      </c>
      <c r="T166">
        <f>IF(L166="","",O166/'[1]LOCH Calc COE Calc'!$C$28)</f>
        <v>56.923216392399461</v>
      </c>
      <c r="U166">
        <f>IF(L166="","",P166/'[1]LOCH Calc COE Calc'!$C$28)</f>
        <v>0.18623231344397967</v>
      </c>
      <c r="V166">
        <f>IF(L166="","",Q166/'[1]LOCH Calc COE Calc'!$C$28)</f>
        <v>3.2100000000000004</v>
      </c>
      <c r="W166">
        <f>IF(L166="","",R166/'[1]LOCH Calc COE Calc'!$C$28)</f>
        <v>0.21114397365631307</v>
      </c>
    </row>
    <row r="167" spans="12:23" x14ac:dyDescent="0.25">
      <c r="L167" s="4">
        <f>IF('[1]All Data '!BE172="","",'[1]All Data '!BE172)</f>
        <v>5.5E-2</v>
      </c>
      <c r="M167">
        <f>IF('[1]All Data '!BF172="","",'[1]All Data '!BF172)</f>
        <v>4767.5627999999997</v>
      </c>
      <c r="N167" s="5">
        <f>IF('[1]All Data '!BB172="","",'[1]All Data '!BC172/'[1]All Data '!BH172)</f>
        <v>275901</v>
      </c>
      <c r="O167" s="5">
        <f t="shared" si="4"/>
        <v>1315375344.0827999</v>
      </c>
      <c r="P167" s="5">
        <f>IF(M167="","",$C$2*(1-L167)*907.2/0.621371*N167*[1]Transportation!$M$40)</f>
        <v>4303435.5558379702</v>
      </c>
      <c r="Q167" s="5">
        <f>IF(L167="","",IF([1]Inputs_Outputs!$B$5="Herbaceous",(LCA!$E$29*'[1]LOCH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7" s="5">
        <f>IF(M167="","",$E$2*1000*'[1]LOCH Calc COE Calc'!$C$44)</f>
        <v>4896457.3202133691</v>
      </c>
      <c r="S167" s="6">
        <f>IF(N167="","",SUM(O167:R167)/('[1]LOCH Calc COE Calc'!$C$28))</f>
        <v>60.328046916021535</v>
      </c>
      <c r="T167">
        <f>IF(L167="","",O167/'[1]LOCH Calc COE Calc'!$C$28)</f>
        <v>56.721331124985653</v>
      </c>
      <c r="U167">
        <f>IF(L167="","",P167/'[1]LOCH Calc COE Calc'!$C$28)</f>
        <v>0.18557181737956985</v>
      </c>
      <c r="V167">
        <f>IF(L167="","",Q167/'[1]LOCH Calc COE Calc'!$C$28)</f>
        <v>3.2100000000000004</v>
      </c>
      <c r="W167">
        <f>IF(L167="","",R167/'[1]LOCH Calc COE Calc'!$C$28)</f>
        <v>0.21114397365631307</v>
      </c>
    </row>
    <row r="168" spans="12:23" x14ac:dyDescent="0.25">
      <c r="L168" s="4">
        <f>IF('[1]All Data '!BE173="","",'[1]All Data '!BE173)</f>
        <v>5.5E-2</v>
      </c>
      <c r="M168">
        <f>IF('[1]All Data '!BF173="","",'[1]All Data '!BF173)</f>
        <v>4767.5627999999997</v>
      </c>
      <c r="N168" s="5">
        <f>IF('[1]All Data '!BB173="","",'[1]All Data '!BC173/'[1]All Data '!BH173)</f>
        <v>275200.66666666669</v>
      </c>
      <c r="O168" s="5">
        <f t="shared" si="4"/>
        <v>1312036460.9352</v>
      </c>
      <c r="P168" s="5">
        <f>IF(M168="","",$C$2*(1-L168)*907.2/0.621371*N168*[1]Transportation!$M$40)</f>
        <v>4292511.9297271362</v>
      </c>
      <c r="Q168" s="5">
        <f>IF(L168="","",IF([1]Inputs_Outputs!$B$5="Herbaceous",(LCA!$E$29*'[1]LOCH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8" s="5">
        <f>IF(M168="","",$E$2*1000*'[1]LOCH Calc COE Calc'!$C$44)</f>
        <v>4896457.3202133691</v>
      </c>
      <c r="S168" s="6">
        <f>IF(N168="","",SUM(O168:R168)/('[1]LOCH Calc COE Calc'!$C$28))</f>
        <v>60.183597272753474</v>
      </c>
      <c r="T168">
        <f>IF(L168="","",O168/'[1]LOCH Calc COE Calc'!$C$28)</f>
        <v>56.577352527960407</v>
      </c>
      <c r="U168">
        <f>IF(L168="","",P168/'[1]LOCH Calc COE Calc'!$C$28)</f>
        <v>0.18510077113675755</v>
      </c>
      <c r="V168">
        <f>IF(L168="","",Q168/'[1]LOCH Calc COE Calc'!$C$28)</f>
        <v>3.2100000000000004</v>
      </c>
      <c r="W168">
        <f>IF(L168="","",R168/'[1]LOCH Calc COE Calc'!$C$28)</f>
        <v>0.21114397365631307</v>
      </c>
    </row>
    <row r="169" spans="12:23" x14ac:dyDescent="0.25">
      <c r="L169" s="4">
        <f>IF('[1]All Data '!BE174="","",'[1]All Data '!BE174)</f>
        <v>5.5E-2</v>
      </c>
      <c r="M169">
        <f>IF('[1]All Data '!BF174="","",'[1]All Data '!BF174)</f>
        <v>4767.5627999999997</v>
      </c>
      <c r="N169" s="5">
        <f>IF('[1]All Data '!BB174="","",'[1]All Data '!BC174/'[1]All Data '!BH174)</f>
        <v>273931</v>
      </c>
      <c r="O169" s="5">
        <f t="shared" si="4"/>
        <v>1305983245.3667998</v>
      </c>
      <c r="P169" s="5">
        <f>IF(M169="","",$C$2*(1-L169)*907.2/0.621371*N169*[1]Transportation!$M$40)</f>
        <v>4272707.9831035445</v>
      </c>
      <c r="Q169" s="5">
        <f>IF(L169="","",IF([1]Inputs_Outputs!$B$5="Herbaceous",(LCA!$E$29*'[1]LOCH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69" s="5">
        <f>IF(M169="","",$E$2*1000*'[1]LOCH Calc COE Calc'!$C$44)</f>
        <v>4896457.3202133691</v>
      </c>
      <c r="S169" s="6">
        <f>IF(N169="","",SUM(O169:R169)/('[1]LOCH Calc COE Calc'!$C$28))</f>
        <v>59.921717838575425</v>
      </c>
      <c r="T169">
        <f>IF(L169="","",O169/'[1]LOCH Calc COE Calc'!$C$28)</f>
        <v>56.316327075285862</v>
      </c>
      <c r="U169">
        <f>IF(L169="","",P169/'[1]LOCH Calc COE Calc'!$C$28)</f>
        <v>0.1842467896332487</v>
      </c>
      <c r="V169">
        <f>IF(L169="","",Q169/'[1]LOCH Calc COE Calc'!$C$28)</f>
        <v>3.2100000000000004</v>
      </c>
      <c r="W169">
        <f>IF(L169="","",R169/'[1]LOCH Calc COE Calc'!$C$28)</f>
        <v>0.21114397365631307</v>
      </c>
    </row>
    <row r="170" spans="12:23" x14ac:dyDescent="0.25">
      <c r="L170" s="4">
        <f>IF('[1]All Data '!BE175="","",'[1]All Data '!BE175)</f>
        <v>5.5000000000000007E-2</v>
      </c>
      <c r="M170">
        <f>IF('[1]All Data '!BF175="","",'[1]All Data '!BF175)</f>
        <v>4767.5627999999997</v>
      </c>
      <c r="N170" s="5">
        <f>IF('[1]All Data '!BB175="","",'[1]All Data '!BC175/'[1]All Data '!BH175)</f>
        <v>273879</v>
      </c>
      <c r="O170" s="5">
        <f t="shared" si="4"/>
        <v>1305735332.1011999</v>
      </c>
      <c r="P170" s="5">
        <f>IF(M170="","",$C$2*(1-L170)*907.2/0.621371*N170*[1]Transportation!$M$40)</f>
        <v>4271896.8999653766</v>
      </c>
      <c r="Q170" s="5">
        <f>IF(L170="","",IF([1]Inputs_Outputs!$B$5="Herbaceous",(LCA!$E$29*'[1]LOCH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0" s="5">
        <f>IF(M170="","",$E$2*1000*'[1]LOCH Calc COE Calc'!$C$44)</f>
        <v>4896457.3202133691</v>
      </c>
      <c r="S170" s="6">
        <f>IF(N170="","",SUM(O170:R170)/('[1]LOCH Calc COE Calc'!$C$28))</f>
        <v>59.910992400998168</v>
      </c>
      <c r="T170">
        <f>IF(L170="","",O170/'[1]LOCH Calc COE Calc'!$C$28)</f>
        <v>56.305636613060287</v>
      </c>
      <c r="U170">
        <f>IF(L170="","",P170/'[1]LOCH Calc COE Calc'!$C$28)</f>
        <v>0.18421181428156916</v>
      </c>
      <c r="V170">
        <f>IF(L170="","",Q170/'[1]LOCH Calc COE Calc'!$C$28)</f>
        <v>3.2100000000000004</v>
      </c>
      <c r="W170">
        <f>IF(L170="","",R170/'[1]LOCH Calc COE Calc'!$C$28)</f>
        <v>0.21114397365631307</v>
      </c>
    </row>
    <row r="171" spans="12:23" x14ac:dyDescent="0.25">
      <c r="L171" s="4">
        <f>IF('[1]All Data '!BE176="","",'[1]All Data '!BE176)</f>
        <v>5.5E-2</v>
      </c>
      <c r="M171">
        <f>IF('[1]All Data '!BF176="","",'[1]All Data '!BF176)</f>
        <v>4767.5627999999997</v>
      </c>
      <c r="N171" s="5">
        <f>IF('[1]All Data '!BB176="","",'[1]All Data '!BC176/'[1]All Data '!BH176)</f>
        <v>272881.66666666669</v>
      </c>
      <c r="O171" s="5">
        <f t="shared" si="4"/>
        <v>1300980482.802</v>
      </c>
      <c r="P171" s="5">
        <f>IF(M171="","",$C$2*(1-L171)*907.2/0.621371*N171*[1]Transportation!$M$40)</f>
        <v>4256340.7413153937</v>
      </c>
      <c r="Q171" s="5">
        <f>IF(L171="","",IF([1]Inputs_Outputs!$B$5="Herbaceous",(LCA!$E$29*'[1]LOCH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1" s="5">
        <f>IF(M171="","",$E$2*1000*'[1]LOCH Calc COE Calc'!$C$44)</f>
        <v>4896457.3202133691</v>
      </c>
      <c r="S171" s="6">
        <f>IF(N171="","",SUM(O171:R171)/('[1]LOCH Calc COE Calc'!$C$28))</f>
        <v>59.705284008490771</v>
      </c>
      <c r="T171">
        <f>IF(L171="","",O171/'[1]LOCH Calc COE Calc'!$C$28)</f>
        <v>56.100599029862025</v>
      </c>
      <c r="U171">
        <f>IF(L171="","",P171/'[1]LOCH Calc COE Calc'!$C$28)</f>
        <v>0.18354100497243331</v>
      </c>
      <c r="V171">
        <f>IF(L171="","",Q171/'[1]LOCH Calc COE Calc'!$C$28)</f>
        <v>3.2100000000000004</v>
      </c>
      <c r="W171">
        <f>IF(L171="","",R171/'[1]LOCH Calc COE Calc'!$C$28)</f>
        <v>0.21114397365631307</v>
      </c>
    </row>
    <row r="172" spans="12:23" x14ac:dyDescent="0.25">
      <c r="L172" s="4">
        <f>IF('[1]All Data '!BE177="","",'[1]All Data '!BE177)</f>
        <v>5.5E-2</v>
      </c>
      <c r="M172">
        <f>IF('[1]All Data '!BF177="","",'[1]All Data '!BF177)</f>
        <v>4767.5627999999997</v>
      </c>
      <c r="N172" s="5">
        <f>IF('[1]All Data '!BB177="","",'[1]All Data '!BC177/'[1]All Data '!BH177)</f>
        <v>272126</v>
      </c>
      <c r="O172" s="5">
        <f t="shared" si="4"/>
        <v>1297377794.5128</v>
      </c>
      <c r="P172" s="5">
        <f>IF(M172="","",$C$2*(1-L172)*907.2/0.621371*N172*[1]Transportation!$M$40)</f>
        <v>4244554.0395575352</v>
      </c>
      <c r="Q172" s="5">
        <f>IF(L172="","",IF([1]Inputs_Outputs!$B$5="Herbaceous",(LCA!$E$29*'[1]LOCH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2" s="5">
        <f>IF(M172="","",$E$2*1000*'[1]LOCH Calc COE Calc'!$C$44)</f>
        <v>4896457.3202133691</v>
      </c>
      <c r="S172" s="6">
        <f>IF(N172="","",SUM(O172:R172)/('[1]LOCH Calc COE Calc'!$C$28))</f>
        <v>59.549421399595616</v>
      </c>
      <c r="T172">
        <f>IF(L172="","",O172/'[1]LOCH Calc COE Calc'!$C$28)</f>
        <v>55.945244684571087</v>
      </c>
      <c r="U172">
        <f>IF(L172="","",P172/'[1]LOCH Calc COE Calc'!$C$28)</f>
        <v>0.18303274136821843</v>
      </c>
      <c r="V172">
        <f>IF(L172="","",Q172/'[1]LOCH Calc COE Calc'!$C$28)</f>
        <v>3.2100000000000004</v>
      </c>
      <c r="W172">
        <f>IF(L172="","",R172/'[1]LOCH Calc COE Calc'!$C$28)</f>
        <v>0.21114397365631307</v>
      </c>
    </row>
    <row r="173" spans="12:23" x14ac:dyDescent="0.25">
      <c r="L173" s="4">
        <f>IF('[1]All Data '!BE178="","",'[1]All Data '!BE178)</f>
        <v>5.5E-2</v>
      </c>
      <c r="M173">
        <f>IF('[1]All Data '!BF178="","",'[1]All Data '!BF178)</f>
        <v>4767.5627999999997</v>
      </c>
      <c r="N173" s="5">
        <f>IF('[1]All Data '!BB178="","",'[1]All Data '!BC178/'[1]All Data '!BH178)</f>
        <v>270558</v>
      </c>
      <c r="O173" s="5">
        <f t="shared" si="4"/>
        <v>1289902256.0423999</v>
      </c>
      <c r="P173" s="5">
        <f>IF(M173="","",$C$2*(1-L173)*907.2/0.621371*N173*[1]Transportation!$M$40)</f>
        <v>4220096.7633912507</v>
      </c>
      <c r="Q173" s="5">
        <f>IF(L173="","",IF([1]Inputs_Outputs!$B$5="Herbaceous",(LCA!$E$29*'[1]LOCH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3" s="5">
        <f>IF(M173="","",$E$2*1000*'[1]LOCH Calc COE Calc'!$C$44)</f>
        <v>4896457.3202133691</v>
      </c>
      <c r="S173" s="6">
        <f>IF(N173="","",SUM(O173:R173)/('[1]LOCH Calc COE Calc'!$C$28))</f>
        <v>59.226008204958305</v>
      </c>
      <c r="T173">
        <f>IF(L173="","",O173/'[1]LOCH Calc COE Calc'!$C$28)</f>
        <v>55.622886131307496</v>
      </c>
      <c r="U173">
        <f>IF(L173="","",P173/'[1]LOCH Calc COE Calc'!$C$28)</f>
        <v>0.18197809999449679</v>
      </c>
      <c r="V173">
        <f>IF(L173="","",Q173/'[1]LOCH Calc COE Calc'!$C$28)</f>
        <v>3.2100000000000004</v>
      </c>
      <c r="W173">
        <f>IF(L173="","",R173/'[1]LOCH Calc COE Calc'!$C$28)</f>
        <v>0.21114397365631307</v>
      </c>
    </row>
    <row r="174" spans="12:23" x14ac:dyDescent="0.25">
      <c r="L174" s="4">
        <f>IF('[1]All Data '!BE179="","",'[1]All Data '!BE179)</f>
        <v>5.5E-2</v>
      </c>
      <c r="M174">
        <f>IF('[1]All Data '!BF179="","",'[1]All Data '!BF179)</f>
        <v>4767.5627999999997</v>
      </c>
      <c r="N174" s="5">
        <f>IF('[1]All Data '!BB179="","",'[1]All Data '!BC179/'[1]All Data '!BH179)</f>
        <v>269601.33333333331</v>
      </c>
      <c r="O174" s="5">
        <f t="shared" si="4"/>
        <v>1285341287.6303999</v>
      </c>
      <c r="P174" s="5">
        <f>IF(M174="","",$C$2*(1-L174)*907.2/0.621371*N174*[1]Transportation!$M$40)</f>
        <v>4205174.9133493211</v>
      </c>
      <c r="Q174" s="5">
        <f>IF(L174="","",IF([1]Inputs_Outputs!$B$5="Herbaceous",(LCA!$E$29*'[1]LOCH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4" s="5">
        <f>IF(M174="","",$E$2*1000*'[1]LOCH Calc COE Calc'!$C$44)</f>
        <v>4896457.3202133691</v>
      </c>
      <c r="S174" s="6">
        <f>IF(N174="","",SUM(O174:R174)/('[1]LOCH Calc COE Calc'!$C$28))</f>
        <v>59.028687654658761</v>
      </c>
      <c r="T174">
        <f>IF(L174="","",O174/'[1]LOCH Calc COE Calc'!$C$28)</f>
        <v>55.426209037798465</v>
      </c>
      <c r="U174">
        <f>IF(L174="","",P174/'[1]LOCH Calc COE Calc'!$C$28)</f>
        <v>0.1813346432039821</v>
      </c>
      <c r="V174">
        <f>IF(L174="","",Q174/'[1]LOCH Calc COE Calc'!$C$28)</f>
        <v>3.2100000000000004</v>
      </c>
      <c r="W174">
        <f>IF(L174="","",R174/'[1]LOCH Calc COE Calc'!$C$28)</f>
        <v>0.21114397365631307</v>
      </c>
    </row>
    <row r="175" spans="12:23" x14ac:dyDescent="0.25">
      <c r="L175" s="4">
        <f>IF('[1]All Data '!BE180="","",'[1]All Data '!BE180)</f>
        <v>5.5E-2</v>
      </c>
      <c r="M175">
        <f>IF('[1]All Data '!BF180="","",'[1]All Data '!BF180)</f>
        <v>4767.5627999999997</v>
      </c>
      <c r="N175" s="5">
        <f>IF('[1]All Data '!BB180="","",'[1]All Data '!BC180/'[1]All Data '!BH180)</f>
        <v>402685</v>
      </c>
      <c r="O175" s="5">
        <f t="shared" si="4"/>
        <v>1919826026.1179998</v>
      </c>
      <c r="P175" s="5">
        <f>IF(M175="","",$C$2*(1-L175)*907.2/0.621371*N175*[1]Transportation!$M$40)</f>
        <v>6280981.0287117949</v>
      </c>
      <c r="Q175" s="5">
        <f>IF(L175="","",IF([1]Inputs_Outputs!$B$5="Herbaceous",(LCA!$E$29*'[1]LOCH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5" s="5">
        <f>IF(M175="","",$E$2*1000*'[1]LOCH Calc COE Calc'!$C$44)</f>
        <v>4896457.3202133691</v>
      </c>
      <c r="S175" s="6">
        <f>IF(N175="","",SUM(O175:R175)/('[1]LOCH Calc COE Calc'!$C$28))</f>
        <v>86.478313796695517</v>
      </c>
      <c r="T175">
        <f>IF(L175="","",O175/'[1]LOCH Calc COE Calc'!$C$28)</f>
        <v>82.786322717441578</v>
      </c>
      <c r="U175">
        <f>IF(L175="","",P175/'[1]LOCH Calc COE Calc'!$C$28)</f>
        <v>0.27084710559763131</v>
      </c>
      <c r="V175">
        <f>IF(L175="","",Q175/'[1]LOCH Calc COE Calc'!$C$28)</f>
        <v>3.2100000000000004</v>
      </c>
      <c r="W175">
        <f>IF(L175="","",R175/'[1]LOCH Calc COE Calc'!$C$28)</f>
        <v>0.21114397365631307</v>
      </c>
    </row>
    <row r="176" spans="12:23" x14ac:dyDescent="0.25">
      <c r="L176" s="4">
        <f>IF('[1]All Data '!BE181="","",'[1]All Data '!BE181)</f>
        <v>5.5E-2</v>
      </c>
      <c r="M176">
        <f>IF('[1]All Data '!BF181="","",'[1]All Data '!BF181)</f>
        <v>4767.5627999999997</v>
      </c>
      <c r="N176" s="5">
        <f>IF('[1]All Data '!BB181="","",'[1]All Data '!BC181/'[1]All Data '!BH181)</f>
        <v>400767.5</v>
      </c>
      <c r="O176" s="5">
        <f t="shared" si="4"/>
        <v>1910684224.4489999</v>
      </c>
      <c r="P176" s="5">
        <f>IF(M176="","",$C$2*(1-L176)*907.2/0.621371*N176*[1]Transportation!$M$40)</f>
        <v>6251072.3379918654</v>
      </c>
      <c r="Q176" s="5">
        <f>IF(L176="","",IF([1]Inputs_Outputs!$B$5="Herbaceous",(LCA!$E$29*'[1]LOCH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6" s="5">
        <f>IF(M176="","",$E$2*1000*'[1]LOCH Calc COE Calc'!$C$44)</f>
        <v>4896457.3202133691</v>
      </c>
      <c r="S176" s="6">
        <f>IF(N176="","",SUM(O176:R176)/('[1]LOCH Calc COE Calc'!$C$28))</f>
        <v>86.082813286034153</v>
      </c>
      <c r="T176">
        <f>IF(L176="","",O176/'[1]LOCH Calc COE Calc'!$C$28)</f>
        <v>82.392111922873383</v>
      </c>
      <c r="U176">
        <f>IF(L176="","",P176/'[1]LOCH Calc COE Calc'!$C$28)</f>
        <v>0.26955738950444819</v>
      </c>
      <c r="V176">
        <f>IF(L176="","",Q176/'[1]LOCH Calc COE Calc'!$C$28)</f>
        <v>3.2100000000000004</v>
      </c>
      <c r="W176">
        <f>IF(L176="","",R176/'[1]LOCH Calc COE Calc'!$C$28)</f>
        <v>0.21114397365631307</v>
      </c>
    </row>
    <row r="177" spans="12:23" x14ac:dyDescent="0.25">
      <c r="L177" s="4">
        <f>IF('[1]All Data '!BE182="","",'[1]All Data '!BE182)</f>
        <v>5.5E-2</v>
      </c>
      <c r="M177">
        <f>IF('[1]All Data '!BF182="","",'[1]All Data '!BF182)</f>
        <v>4767.5627999999997</v>
      </c>
      <c r="N177" s="5">
        <f>IF('[1]All Data '!BB182="","",'[1]All Data '!BC182/'[1]All Data '!BH182)</f>
        <v>400179.5</v>
      </c>
      <c r="O177" s="5">
        <f t="shared" si="4"/>
        <v>1907880897.5225999</v>
      </c>
      <c r="P177" s="5">
        <f>IF(M177="","",$C$2*(1-L177)*907.2/0.621371*N177*[1]Transportation!$M$40)</f>
        <v>6241900.8594295084</v>
      </c>
      <c r="Q177" s="5">
        <f>IF(L177="","",IF([1]Inputs_Outputs!$B$5="Herbaceous",(LCA!$E$29*'[1]LOCH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7" s="5">
        <f>IF(M177="","",$E$2*1000*'[1]LOCH Calc COE Calc'!$C$44)</f>
        <v>4896457.3202133691</v>
      </c>
      <c r="S177" s="6">
        <f>IF(N177="","",SUM(O177:R177)/('[1]LOCH Calc COE Calc'!$C$28))</f>
        <v>85.961533338045157</v>
      </c>
      <c r="T177">
        <f>IF(L177="","",O177/'[1]LOCH Calc COE Calc'!$C$28)</f>
        <v>82.271227465399534</v>
      </c>
      <c r="U177">
        <f>IF(L177="","",P177/'[1]LOCH Calc COE Calc'!$C$28)</f>
        <v>0.26916189898930254</v>
      </c>
      <c r="V177">
        <f>IF(L177="","",Q177/'[1]LOCH Calc COE Calc'!$C$28)</f>
        <v>3.2100000000000004</v>
      </c>
      <c r="W177">
        <f>IF(L177="","",R177/'[1]LOCH Calc COE Calc'!$C$28)</f>
        <v>0.21114397365631307</v>
      </c>
    </row>
    <row r="178" spans="12:23" x14ac:dyDescent="0.25">
      <c r="L178" s="4">
        <f>IF('[1]All Data '!BE183="","",'[1]All Data '!BE183)</f>
        <v>5.5E-2</v>
      </c>
      <c r="M178">
        <f>IF('[1]All Data '!BF183="","",'[1]All Data '!BF183)</f>
        <v>4767.5627999999997</v>
      </c>
      <c r="N178" s="5">
        <f>IF('[1]All Data '!BB183="","",'[1]All Data '!BC183/'[1]All Data '!BH183)</f>
        <v>399549.5</v>
      </c>
      <c r="O178" s="5">
        <f t="shared" si="4"/>
        <v>1904877332.9585998</v>
      </c>
      <c r="P178" s="5">
        <f>IF(M178="","",$C$2*(1-L178)*907.2/0.621371*N178*[1]Transportation!$M$40)</f>
        <v>6232074.2752555553</v>
      </c>
      <c r="Q178" s="5">
        <f>IF(L178="","",IF([1]Inputs_Outputs!$B$5="Herbaceous",(LCA!$E$29*'[1]LOCH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8" s="5">
        <f>IF(M178="","",$E$2*1000*'[1]LOCH Calc COE Calc'!$C$44)</f>
        <v>4896457.3202133691</v>
      </c>
      <c r="S178" s="6">
        <f>IF(N178="","",SUM(O178:R178)/('[1]LOCH Calc COE Calc'!$C$28))</f>
        <v>85.831590536628369</v>
      </c>
      <c r="T178">
        <f>IF(L178="","",O178/'[1]LOCH Calc COE Calc'!$C$28)</f>
        <v>82.141708403820417</v>
      </c>
      <c r="U178">
        <f>IF(L178="","",P178/'[1]LOCH Calc COE Calc'!$C$28)</f>
        <v>0.26873815915164656</v>
      </c>
      <c r="V178">
        <f>IF(L178="","",Q178/'[1]LOCH Calc COE Calc'!$C$28)</f>
        <v>3.2100000000000004</v>
      </c>
      <c r="W178">
        <f>IF(L178="","",R178/'[1]LOCH Calc COE Calc'!$C$28)</f>
        <v>0.21114397365631307</v>
      </c>
    </row>
    <row r="179" spans="12:23" x14ac:dyDescent="0.25">
      <c r="L179" s="4">
        <f>IF('[1]All Data '!BE184="","",'[1]All Data '!BE184)</f>
        <v>5.5E-2</v>
      </c>
      <c r="M179">
        <f>IF('[1]All Data '!BF184="","",'[1]All Data '!BF184)</f>
        <v>4767.5627999999997</v>
      </c>
      <c r="N179" s="5">
        <f>IF('[1]All Data '!BB184="","",'[1]All Data '!BC184/'[1]All Data '!BH184)</f>
        <v>396499.5</v>
      </c>
      <c r="O179" s="5">
        <f t="shared" si="4"/>
        <v>1890336266.4185998</v>
      </c>
      <c r="P179" s="5">
        <f>IF(M179="","",$C$2*(1-L179)*907.2/0.621371*N179*[1]Transportation!$M$40)</f>
        <v>6184501.1296514953</v>
      </c>
      <c r="Q179" s="5">
        <f>IF(L179="","",IF([1]Inputs_Outputs!$B$5="Herbaceous",(LCA!$E$29*'[1]LOCH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79" s="5">
        <f>IF(M179="","",$E$2*1000*'[1]LOCH Calc COE Calc'!$C$44)</f>
        <v>4896457.3202133691</v>
      </c>
      <c r="S179" s="6">
        <f>IF(N179="","",SUM(O179:R179)/('[1]LOCH Calc COE Calc'!$C$28))</f>
        <v>85.202502371039216</v>
      </c>
      <c r="T179">
        <f>IF(L179="","",O179/'[1]LOCH Calc COE Calc'!$C$28)</f>
        <v>81.514671677127851</v>
      </c>
      <c r="U179">
        <f>IF(L179="","",P179/'[1]LOCH Calc COE Calc'!$C$28)</f>
        <v>0.26668672025505802</v>
      </c>
      <c r="V179">
        <f>IF(L179="","",Q179/'[1]LOCH Calc COE Calc'!$C$28)</f>
        <v>3.2100000000000004</v>
      </c>
      <c r="W179">
        <f>IF(L179="","",R179/'[1]LOCH Calc COE Calc'!$C$28)</f>
        <v>0.21114397365631307</v>
      </c>
    </row>
    <row r="180" spans="12:23" x14ac:dyDescent="0.25">
      <c r="L180" s="4">
        <f>IF('[1]All Data '!BE185="","",'[1]All Data '!BE185)</f>
        <v>5.5E-2</v>
      </c>
      <c r="M180">
        <f>IF('[1]All Data '!BF185="","",'[1]All Data '!BF185)</f>
        <v>4767.5627999999997</v>
      </c>
      <c r="N180" s="5">
        <f>IF('[1]All Data '!BB185="","",'[1]All Data '!BC185/'[1]All Data '!BH185)</f>
        <v>396203.5</v>
      </c>
      <c r="O180" s="5">
        <f t="shared" si="4"/>
        <v>1888925067.8297999</v>
      </c>
      <c r="P180" s="5">
        <f>IF(M180="","",$C$2*(1-L180)*907.2/0.621371*N180*[1]Transportation!$M$40)</f>
        <v>6179884.1948650032</v>
      </c>
      <c r="Q180" s="5">
        <f>IF(L180="","",IF([1]Inputs_Outputs!$B$5="Herbaceous",(LCA!$E$29*'[1]LOCH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0" s="5">
        <f>IF(M180="","",$E$2*1000*'[1]LOCH Calc COE Calc'!$C$44)</f>
        <v>4896457.3202133691</v>
      </c>
      <c r="S180" s="6">
        <f>IF(N180="","",SUM(O180:R180)/('[1]LOCH Calc COE Calc'!$C$28))</f>
        <v>85.141449880214836</v>
      </c>
      <c r="T180">
        <f>IF(L180="","",O180/'[1]LOCH Calc COE Calc'!$C$28)</f>
        <v>81.453818276766867</v>
      </c>
      <c r="U180">
        <f>IF(L180="","",P180/'[1]LOCH Calc COE Calc'!$C$28)</f>
        <v>0.26648762979165136</v>
      </c>
      <c r="V180">
        <f>IF(L180="","",Q180/'[1]LOCH Calc COE Calc'!$C$28)</f>
        <v>3.2100000000000004</v>
      </c>
      <c r="W180">
        <f>IF(L180="","",R180/'[1]LOCH Calc COE Calc'!$C$28)</f>
        <v>0.21114397365631307</v>
      </c>
    </row>
    <row r="181" spans="12:23" x14ac:dyDescent="0.25">
      <c r="L181" s="4">
        <f>IF('[1]All Data '!BE186="","",'[1]All Data '!BE186)</f>
        <v>5.5E-2</v>
      </c>
      <c r="M181">
        <f>IF('[1]All Data '!BF186="","",'[1]All Data '!BF186)</f>
        <v>4767.5627999999997</v>
      </c>
      <c r="N181" s="5">
        <f>IF('[1]All Data '!BB186="","",'[1]All Data '!BC186/'[1]All Data '!BH186)</f>
        <v>395585</v>
      </c>
      <c r="O181" s="5">
        <f t="shared" si="4"/>
        <v>1885976330.2379999</v>
      </c>
      <c r="P181" s="5">
        <f>IF(M181="","",$C$2*(1-L181)*907.2/0.621371*N181*[1]Transportation!$M$40)</f>
        <v>6170236.984846605</v>
      </c>
      <c r="Q181" s="5">
        <f>IF(L181="","",IF([1]Inputs_Outputs!$B$5="Herbaceous",(LCA!$E$29*'[1]LOCH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1" s="5">
        <f>IF(M181="","",$E$2*1000*'[1]LOCH Calc COE Calc'!$C$44)</f>
        <v>4896457.3202133691</v>
      </c>
      <c r="S181" s="6">
        <f>IF(N181="","",SUM(O181:R181)/('[1]LOCH Calc COE Calc'!$C$28))</f>
        <v>85.013879050569955</v>
      </c>
      <c r="T181">
        <f>IF(L181="","",O181/'[1]LOCH Calc COE Calc'!$C$28)</f>
        <v>81.326663452026096</v>
      </c>
      <c r="U181">
        <f>IF(L181="","",P181/'[1]LOCH Calc COE Calc'!$C$28)</f>
        <v>0.26607162488753983</v>
      </c>
      <c r="V181">
        <f>IF(L181="","",Q181/'[1]LOCH Calc COE Calc'!$C$28)</f>
        <v>3.2100000000000004</v>
      </c>
      <c r="W181">
        <f>IF(L181="","",R181/'[1]LOCH Calc COE Calc'!$C$28)</f>
        <v>0.21114397365631307</v>
      </c>
    </row>
    <row r="182" spans="12:23" x14ac:dyDescent="0.25">
      <c r="L182" s="4">
        <f>IF('[1]All Data '!BE187="","",'[1]All Data '!BE187)</f>
        <v>5.4999999999999993E-2</v>
      </c>
      <c r="M182">
        <f>IF('[1]All Data '!BF187="","",'[1]All Data '!BF187)</f>
        <v>4767.5627999999997</v>
      </c>
      <c r="N182" s="5">
        <f>IF('[1]All Data '!BB187="","",'[1]All Data '!BC187/'[1]All Data '!BH187)</f>
        <v>394807.5</v>
      </c>
      <c r="O182" s="5">
        <f t="shared" si="4"/>
        <v>1882269550.1609998</v>
      </c>
      <c r="P182" s="5">
        <f>IF(M182="","",$C$2*(1-L182)*907.2/0.621371*N182*[1]Transportation!$M$40)</f>
        <v>6158109.7321557347</v>
      </c>
      <c r="Q182" s="5">
        <f>IF(L182="","",IF([1]Inputs_Outputs!$B$5="Herbaceous",(LCA!$E$29*'[1]LOCH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2" s="5">
        <f>IF(M182="","",$E$2*1000*'[1]LOCH Calc COE Calc'!$C$44)</f>
        <v>4896457.3202133691</v>
      </c>
      <c r="S182" s="6">
        <f>IF(N182="","",SUM(O182:R182)/('[1]LOCH Calc COE Calc'!$C$28))</f>
        <v>84.85351313294845</v>
      </c>
      <c r="T182">
        <f>IF(L182="","",O182/'[1]LOCH Calc COE Calc'!$C$28)</f>
        <v>81.166820483172486</v>
      </c>
      <c r="U182">
        <f>IF(L182="","",P182/'[1]LOCH Calc COE Calc'!$C$28)</f>
        <v>0.265548676119639</v>
      </c>
      <c r="V182">
        <f>IF(L182="","",Q182/'[1]LOCH Calc COE Calc'!$C$28)</f>
        <v>3.2100000000000004</v>
      </c>
      <c r="W182">
        <f>IF(L182="","",R182/'[1]LOCH Calc COE Calc'!$C$28)</f>
        <v>0.21114397365631307</v>
      </c>
    </row>
    <row r="183" spans="12:23" x14ac:dyDescent="0.25">
      <c r="L183" s="4">
        <f>IF('[1]All Data '!BE188="","",'[1]All Data '!BE188)</f>
        <v>5.5E-2</v>
      </c>
      <c r="M183">
        <f>IF('[1]All Data '!BF188="","",'[1]All Data '!BF188)</f>
        <v>4767.5627999999997</v>
      </c>
      <c r="N183" s="5">
        <f>IF('[1]All Data '!BB188="","",'[1]All Data '!BC188/'[1]All Data '!BH188)</f>
        <v>394347</v>
      </c>
      <c r="O183" s="5">
        <f t="shared" si="4"/>
        <v>1880074087.4915998</v>
      </c>
      <c r="P183" s="5">
        <f>IF(M183="","",$C$2*(1-L183)*907.2/0.621371*N183*[1]Transportation!$M$40)</f>
        <v>6150926.9670571545</v>
      </c>
      <c r="Q183" s="5">
        <f>IF(L183="","",IF([1]Inputs_Outputs!$B$5="Herbaceous",(LCA!$E$29*'[1]LOCH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3" s="5">
        <f>IF(M183="","",$E$2*1000*'[1]LOCH Calc COE Calc'!$C$44)</f>
        <v>4896457.3202133691</v>
      </c>
      <c r="S183" s="6">
        <f>IF(N183="","",SUM(O183:R183)/('[1]LOCH Calc COE Calc'!$C$28))</f>
        <v>84.75853113286523</v>
      </c>
      <c r="T183">
        <f>IF(L183="","",O183/'[1]LOCH Calc COE Calc'!$C$28)</f>
        <v>81.072148216732515</v>
      </c>
      <c r="U183">
        <f>IF(L183="","",P183/'[1]LOCH Calc COE Calc'!$C$28)</f>
        <v>0.26523894247640001</v>
      </c>
      <c r="V183">
        <f>IF(L183="","",Q183/'[1]LOCH Calc COE Calc'!$C$28)</f>
        <v>3.2100000000000004</v>
      </c>
      <c r="W183">
        <f>IF(L183="","",R183/'[1]LOCH Calc COE Calc'!$C$28)</f>
        <v>0.21114397365631307</v>
      </c>
    </row>
    <row r="184" spans="12:23" x14ac:dyDescent="0.25">
      <c r="L184" s="4">
        <f>IF('[1]All Data '!BE189="","",'[1]All Data '!BE189)</f>
        <v>5.5E-2</v>
      </c>
      <c r="M184">
        <f>IF('[1]All Data '!BF189="","",'[1]All Data '!BF189)</f>
        <v>4767.5627999999997</v>
      </c>
      <c r="N184" s="5">
        <f>IF('[1]All Data '!BB189="","",'[1]All Data '!BC189/'[1]All Data '!BH189)</f>
        <v>394026</v>
      </c>
      <c r="O184" s="5">
        <f t="shared" si="4"/>
        <v>1878543699.8327999</v>
      </c>
      <c r="P184" s="5">
        <f>IF(M184="","",$C$2*(1-L184)*907.2/0.621371*N184*[1]Transportation!$M$40)</f>
        <v>6145920.0884542353</v>
      </c>
      <c r="Q184" s="5">
        <f>IF(L184="","",IF([1]Inputs_Outputs!$B$5="Herbaceous",(LCA!$E$29*'[1]LOCH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4" s="5">
        <f>IF(M184="","",$E$2*1000*'[1]LOCH Calc COE Calc'!$C$44)</f>
        <v>4896457.3202133691</v>
      </c>
      <c r="S184" s="6">
        <f>IF(N184="","",SUM(O184:R184)/('[1]LOCH Calc COE Calc'!$C$28))</f>
        <v>84.692322181667166</v>
      </c>
      <c r="T184">
        <f>IF(L184="","",O184/'[1]LOCH Calc COE Calc'!$C$28)</f>
        <v>81.006155171070773</v>
      </c>
      <c r="U184">
        <f>IF(L184="","",P184/'[1]LOCH Calc COE Calc'!$C$28)</f>
        <v>0.26502303694007051</v>
      </c>
      <c r="V184">
        <f>IF(L184="","",Q184/'[1]LOCH Calc COE Calc'!$C$28)</f>
        <v>3.2100000000000004</v>
      </c>
      <c r="W184">
        <f>IF(L184="","",R184/'[1]LOCH Calc COE Calc'!$C$28)</f>
        <v>0.21114397365631307</v>
      </c>
    </row>
    <row r="185" spans="12:23" x14ac:dyDescent="0.25">
      <c r="L185" s="4">
        <f>IF('[1]All Data '!BE190="","",'[1]All Data '!BE190)</f>
        <v>5.5E-2</v>
      </c>
      <c r="M185">
        <f>IF('[1]All Data '!BF190="","",'[1]All Data '!BF190)</f>
        <v>4767.5627999999997</v>
      </c>
      <c r="N185" s="5">
        <f>IF('[1]All Data '!BB190="","",'[1]All Data '!BC190/'[1]All Data '!BH190)</f>
        <v>392699.5</v>
      </c>
      <c r="O185" s="5">
        <f t="shared" si="4"/>
        <v>1872219527.7786</v>
      </c>
      <c r="P185" s="5">
        <f>IF(M185="","",$C$2*(1-L185)*907.2/0.621371*N185*[1]Transportation!$M$40)</f>
        <v>6125229.6695546331</v>
      </c>
      <c r="Q185" s="5">
        <f>IF(L185="","",IF([1]Inputs_Outputs!$B$5="Herbaceous",(LCA!$E$29*'[1]LOCH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5" s="5">
        <f>IF(M185="","",$E$2*1000*'[1]LOCH Calc COE Calc'!$C$44)</f>
        <v>4896457.3202133691</v>
      </c>
      <c r="S185" s="6">
        <f>IF(N185="","",SUM(O185:R185)/('[1]LOCH Calc COE Calc'!$C$28))</f>
        <v>84.418720394239628</v>
      </c>
      <c r="T185">
        <f>IF(L185="","",O185/'[1]LOCH Calc COE Calc'!$C$28)</f>
        <v>80.733445591412519</v>
      </c>
      <c r="U185">
        <f>IF(L185="","",P185/'[1]LOCH Calc COE Calc'!$C$28)</f>
        <v>0.26413082917078368</v>
      </c>
      <c r="V185">
        <f>IF(L185="","",Q185/'[1]LOCH Calc COE Calc'!$C$28)</f>
        <v>3.2100000000000004</v>
      </c>
      <c r="W185">
        <f>IF(L185="","",R185/'[1]LOCH Calc COE Calc'!$C$28)</f>
        <v>0.21114397365631307</v>
      </c>
    </row>
    <row r="186" spans="12:23" x14ac:dyDescent="0.25">
      <c r="L186" s="4">
        <f>IF('[1]All Data '!BE191="","",'[1]All Data '!BE191)</f>
        <v>5.5E-2</v>
      </c>
      <c r="M186">
        <f>IF('[1]All Data '!BF191="","",'[1]All Data '!BF191)</f>
        <v>4767.5627999999997</v>
      </c>
      <c r="N186" s="5">
        <f>IF('[1]All Data '!BB191="","",'[1]All Data '!BC191/'[1]All Data '!BH191)</f>
        <v>391691</v>
      </c>
      <c r="O186" s="5">
        <f t="shared" si="4"/>
        <v>1867411440.6947999</v>
      </c>
      <c r="P186" s="5">
        <f>IF(M186="","",$C$2*(1-L186)*907.2/0.621371*N186*[1]Transportation!$M$40)</f>
        <v>6109499.3359999787</v>
      </c>
      <c r="Q186" s="5">
        <f>IF(L186="","",IF([1]Inputs_Outputs!$B$5="Herbaceous",(LCA!$E$29*'[1]LOCH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6" s="5">
        <f>IF(M186="","",$E$2*1000*'[1]LOCH Calc COE Calc'!$C$44)</f>
        <v>4896457.3202133691</v>
      </c>
      <c r="S186" s="6">
        <f>IF(N186="","",SUM(O186:R186)/('[1]LOCH Calc COE Calc'!$C$28))</f>
        <v>84.210708782765295</v>
      </c>
      <c r="T186">
        <f>IF(L186="","",O186/'[1]LOCH Calc COE Calc'!$C$28)</f>
        <v>80.526112299979914</v>
      </c>
      <c r="U186">
        <f>IF(L186="","",P186/'[1]LOCH Calc COE Calc'!$C$28)</f>
        <v>0.26345250912907558</v>
      </c>
      <c r="V186">
        <f>IF(L186="","",Q186/'[1]LOCH Calc COE Calc'!$C$28)</f>
        <v>3.2100000000000004</v>
      </c>
      <c r="W186">
        <f>IF(L186="","",R186/'[1]LOCH Calc COE Calc'!$C$28)</f>
        <v>0.21114397365631307</v>
      </c>
    </row>
    <row r="187" spans="12:23" x14ac:dyDescent="0.25">
      <c r="L187" s="4">
        <f>IF('[1]All Data '!BE192="","",'[1]All Data '!BE192)</f>
        <v>5.5E-2</v>
      </c>
      <c r="M187">
        <f>IF('[1]All Data '!BF192="","",'[1]All Data '!BF192)</f>
        <v>4767.5627999999997</v>
      </c>
      <c r="N187" s="5">
        <f>IF('[1]All Data '!BB192="","",'[1]All Data '!BC192/'[1]All Data '!BH192)</f>
        <v>391349</v>
      </c>
      <c r="O187" s="5">
        <f t="shared" si="4"/>
        <v>1865780934.2171998</v>
      </c>
      <c r="P187" s="5">
        <f>IF(M187="","",$C$2*(1-L187)*907.2/0.621371*N187*[1]Transportation!$M$40)</f>
        <v>6104164.9045912614</v>
      </c>
      <c r="Q187" s="5">
        <f>IF(L187="","",IF([1]Inputs_Outputs!$B$5="Herbaceous",(LCA!$E$29*'[1]LOCH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7" s="5">
        <f>IF(M187="","",$E$2*1000*'[1]LOCH Calc COE Calc'!$C$44)</f>
        <v>4896457.3202133691</v>
      </c>
      <c r="S187" s="6">
        <f>IF(N187="","",SUM(O187:R187)/('[1]LOCH Calc COE Calc'!$C$28))</f>
        <v>84.140168404853341</v>
      </c>
      <c r="T187">
        <f>IF(L187="","",O187/'[1]LOCH Calc COE Calc'!$C$28)</f>
        <v>80.455801952265531</v>
      </c>
      <c r="U187">
        <f>IF(L187="","",P187/'[1]LOCH Calc COE Calc'!$C$28)</f>
        <v>0.26322247893149092</v>
      </c>
      <c r="V187">
        <f>IF(L187="","",Q187/'[1]LOCH Calc COE Calc'!$C$28)</f>
        <v>3.2100000000000004</v>
      </c>
      <c r="W187">
        <f>IF(L187="","",R187/'[1]LOCH Calc COE Calc'!$C$28)</f>
        <v>0.21114397365631307</v>
      </c>
    </row>
    <row r="188" spans="12:23" x14ac:dyDescent="0.25">
      <c r="L188" s="4">
        <f>IF('[1]All Data '!BE193="","",'[1]All Data '!BE193)</f>
        <v>5.5E-2</v>
      </c>
      <c r="M188">
        <f>IF('[1]All Data '!BF193="","",'[1]All Data '!BF193)</f>
        <v>4767.5627999999997</v>
      </c>
      <c r="N188" s="5">
        <f>IF('[1]All Data '!BB193="","",'[1]All Data '!BC193/'[1]All Data '!BH193)</f>
        <v>391349</v>
      </c>
      <c r="O188" s="5">
        <f t="shared" si="4"/>
        <v>1865780934.2171998</v>
      </c>
      <c r="P188" s="5">
        <f>IF(M188="","",$C$2*(1-L188)*907.2/0.621371*N188*[1]Transportation!$M$40)</f>
        <v>6104164.9045912614</v>
      </c>
      <c r="Q188" s="5">
        <f>IF(L188="","",IF([1]Inputs_Outputs!$B$5="Herbaceous",(LCA!$E$29*'[1]LOCH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8" s="5">
        <f>IF(M188="","",$E$2*1000*'[1]LOCH Calc COE Calc'!$C$44)</f>
        <v>4896457.3202133691</v>
      </c>
      <c r="S188" s="6">
        <f>IF(N188="","",SUM(O188:R188)/('[1]LOCH Calc COE Calc'!$C$28))</f>
        <v>84.140168404853341</v>
      </c>
      <c r="T188">
        <f>IF(L188="","",O188/'[1]LOCH Calc COE Calc'!$C$28)</f>
        <v>80.455801952265531</v>
      </c>
      <c r="U188">
        <f>IF(L188="","",P188/'[1]LOCH Calc COE Calc'!$C$28)</f>
        <v>0.26322247893149092</v>
      </c>
      <c r="V188">
        <f>IF(L188="","",Q188/'[1]LOCH Calc COE Calc'!$C$28)</f>
        <v>3.2100000000000004</v>
      </c>
      <c r="W188">
        <f>IF(L188="","",R188/'[1]LOCH Calc COE Calc'!$C$28)</f>
        <v>0.21114397365631307</v>
      </c>
    </row>
    <row r="189" spans="12:23" x14ac:dyDescent="0.25">
      <c r="L189" s="4">
        <f>IF('[1]All Data '!BE194="","",'[1]All Data '!BE194)</f>
        <v>5.5E-2</v>
      </c>
      <c r="M189">
        <f>IF('[1]All Data '!BF194="","",'[1]All Data '!BF194)</f>
        <v>4767.5627999999997</v>
      </c>
      <c r="N189" s="5">
        <f>IF('[1]All Data '!BB194="","",'[1]All Data '!BC194/'[1]All Data '!BH194)</f>
        <v>391038.5</v>
      </c>
      <c r="O189" s="5">
        <f t="shared" si="4"/>
        <v>1864300605.9677999</v>
      </c>
      <c r="P189" s="5">
        <f>IF(M189="","",$C$2*(1-L189)*907.2/0.621371*N189*[1]Transportation!$M$40)</f>
        <v>6099321.8023912413</v>
      </c>
      <c r="Q189" s="5">
        <f>IF(L189="","",IF([1]Inputs_Outputs!$B$5="Herbaceous",(LCA!$E$29*'[1]LOCH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89" s="5">
        <f>IF(M189="","",$E$2*1000*'[1]LOCH Calc COE Calc'!$C$44)</f>
        <v>4896457.3202133691</v>
      </c>
      <c r="S189" s="6">
        <f>IF(N189="","",SUM(O189:R189)/('[1]LOCH Calc COE Calc'!$C$28))</f>
        <v>84.076125167012208</v>
      </c>
      <c r="T189">
        <f>IF(L189="","",O189/'[1]LOCH Calc COE Calc'!$C$28)</f>
        <v>80.39196755763011</v>
      </c>
      <c r="U189">
        <f>IF(L189="","",P189/'[1]LOCH Calc COE Calc'!$C$28)</f>
        <v>0.26301363572578901</v>
      </c>
      <c r="V189">
        <f>IF(L189="","",Q189/'[1]LOCH Calc COE Calc'!$C$28)</f>
        <v>3.2100000000000004</v>
      </c>
      <c r="W189">
        <f>IF(L189="","",R189/'[1]LOCH Calc COE Calc'!$C$28)</f>
        <v>0.21114397365631307</v>
      </c>
    </row>
    <row r="190" spans="12:23" x14ac:dyDescent="0.25">
      <c r="L190" s="4">
        <f>IF('[1]All Data '!BE195="","",'[1]All Data '!BE195)</f>
        <v>5.5E-2</v>
      </c>
      <c r="M190">
        <f>IF('[1]All Data '!BF195="","",'[1]All Data '!BF195)</f>
        <v>4767.5627999999997</v>
      </c>
      <c r="N190" s="5">
        <f>IF('[1]All Data '!BB195="","",'[1]All Data '!BC195/'[1]All Data '!BH195)</f>
        <v>387739</v>
      </c>
      <c r="O190" s="5">
        <f t="shared" si="4"/>
        <v>1848570032.5091999</v>
      </c>
      <c r="P190" s="5">
        <f>IF(M190="","",$C$2*(1-L190)*907.2/0.621371*N190*[1]Transportation!$M$40)</f>
        <v>6047857.0174992429</v>
      </c>
      <c r="Q190" s="5">
        <f>IF(L190="","",IF([1]Inputs_Outputs!$B$5="Herbaceous",(LCA!$E$29*'[1]LOCH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0" s="5">
        <f>IF(M190="","",$E$2*1000*'[1]LOCH Calc COE Calc'!$C$44)</f>
        <v>4896457.3202133691</v>
      </c>
      <c r="S190" s="6">
        <f>IF(N190="","",SUM(O190:R190)/('[1]LOCH Calc COE Calc'!$C$28))</f>
        <v>83.395575526893708</v>
      </c>
      <c r="T190">
        <f>IF(L190="","",O190/'[1]LOCH Calc COE Calc'!$C$28)</f>
        <v>79.713637170835966</v>
      </c>
      <c r="U190">
        <f>IF(L190="","",P190/'[1]LOCH Calc COE Calc'!$C$28)</f>
        <v>0.26079438240143032</v>
      </c>
      <c r="V190">
        <f>IF(L190="","",Q190/'[1]LOCH Calc COE Calc'!$C$28)</f>
        <v>3.2100000000000004</v>
      </c>
      <c r="W190">
        <f>IF(L190="","",R190/'[1]LOCH Calc COE Calc'!$C$28)</f>
        <v>0.21114397365631307</v>
      </c>
    </row>
    <row r="191" spans="12:23" x14ac:dyDescent="0.25">
      <c r="L191" s="4">
        <f>IF('[1]All Data '!BE196="","",'[1]All Data '!BE196)</f>
        <v>5.5E-2</v>
      </c>
      <c r="M191">
        <f>IF('[1]All Data '!BF196="","",'[1]All Data '!BF196)</f>
        <v>4767.5627999999997</v>
      </c>
      <c r="N191" s="5">
        <f>IF('[1]All Data '!BB196="","",'[1]All Data '!BC196/'[1]All Data '!BH196)</f>
        <v>386521.5</v>
      </c>
      <c r="O191" s="5">
        <f t="shared" si="4"/>
        <v>1842765524.8002</v>
      </c>
      <c r="P191" s="5">
        <f>IF(M191="","",$C$2*(1-L191)*907.2/0.621371*N191*[1]Transportation!$M$40)</f>
        <v>6028866.7536392622</v>
      </c>
      <c r="Q191" s="5">
        <f>IF(L191="","",IF([1]Inputs_Outputs!$B$5="Herbaceous",(LCA!$E$29*'[1]LOCH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1" s="5">
        <f>IF(M191="","",$E$2*1000*'[1]LOCH Calc COE Calc'!$C$44)</f>
        <v>4896457.3202133691</v>
      </c>
      <c r="S191" s="6">
        <f>IF(N191="","",SUM(O191:R191)/('[1]LOCH Calc COE Calc'!$C$28))</f>
        <v>83.144455906695413</v>
      </c>
      <c r="T191">
        <f>IF(L191="","",O191/'[1]LOCH Calc COE Calc'!$C$28)</f>
        <v>79.46333644468902</v>
      </c>
      <c r="U191">
        <f>IF(L191="","",P191/'[1]LOCH Calc COE Calc'!$C$28)</f>
        <v>0.25997548835008721</v>
      </c>
      <c r="V191">
        <f>IF(L191="","",Q191/'[1]LOCH Calc COE Calc'!$C$28)</f>
        <v>3.2100000000000004</v>
      </c>
      <c r="W191">
        <f>IF(L191="","",R191/'[1]LOCH Calc COE Calc'!$C$28)</f>
        <v>0.21114397365631307</v>
      </c>
    </row>
    <row r="192" spans="12:23" x14ac:dyDescent="0.25">
      <c r="L192" s="4">
        <f>IF('[1]All Data '!BE197="","",'[1]All Data '!BE197)</f>
        <v>5.5E-2</v>
      </c>
      <c r="M192">
        <f>IF('[1]All Data '!BF197="","",'[1]All Data '!BF197)</f>
        <v>4767.5627999999997</v>
      </c>
      <c r="N192" s="5">
        <f>IF('[1]All Data '!BB197="","",'[1]All Data '!BC197/'[1]All Data '!BH197)</f>
        <v>385902.5</v>
      </c>
      <c r="O192" s="5">
        <f t="shared" si="4"/>
        <v>1839814403.4269998</v>
      </c>
      <c r="P192" s="5">
        <f>IF(M192="","",$C$2*(1-L192)*907.2/0.621371*N192*[1]Transportation!$M$40)</f>
        <v>6019211.7447445355</v>
      </c>
      <c r="Q192" s="5">
        <f>IF(L192="","",IF([1]Inputs_Outputs!$B$5="Herbaceous",(LCA!$E$29*'[1]LOCH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2" s="5">
        <f>IF(M192="","",$E$2*1000*'[1]LOCH Calc COE Calc'!$C$44)</f>
        <v>4896457.3202133691</v>
      </c>
      <c r="S192" s="6">
        <f>IF(N192="","",SUM(O192:R192)/('[1]LOCH Calc COE Calc'!$C$28))</f>
        <v>83.016781947843057</v>
      </c>
      <c r="T192">
        <f>IF(L192="","",O192/'[1]LOCH Calc COE Calc'!$C$28)</f>
        <v>79.336078827042229</v>
      </c>
      <c r="U192">
        <f>IF(L192="","",P192/'[1]LOCH Calc COE Calc'!$C$28)</f>
        <v>0.25955914714451722</v>
      </c>
      <c r="V192">
        <f>IF(L192="","",Q192/'[1]LOCH Calc COE Calc'!$C$28)</f>
        <v>3.2100000000000004</v>
      </c>
      <c r="W192">
        <f>IF(L192="","",R192/'[1]LOCH Calc COE Calc'!$C$28)</f>
        <v>0.21114397365631307</v>
      </c>
    </row>
    <row r="193" spans="12:23" x14ac:dyDescent="0.25">
      <c r="L193" s="4">
        <f>IF('[1]All Data '!BE198="","",'[1]All Data '!BE198)</f>
        <v>5.5E-2</v>
      </c>
      <c r="M193">
        <f>IF('[1]All Data '!BF198="","",'[1]All Data '!BF198)</f>
        <v>4767.5627999999997</v>
      </c>
      <c r="N193" s="5">
        <f>IF('[1]All Data '!BB198="","",'[1]All Data '!BC198/'[1]All Data '!BH198)</f>
        <v>384866</v>
      </c>
      <c r="O193" s="5">
        <f t="shared" si="4"/>
        <v>1834872824.5847998</v>
      </c>
      <c r="P193" s="5">
        <f>IF(M193="","",$C$2*(1-L193)*907.2/0.621371*N193*[1]Transportation!$M$40)</f>
        <v>6003044.6741154846</v>
      </c>
      <c r="Q193" s="5">
        <f>IF(L193="","",IF([1]Inputs_Outputs!$B$5="Herbaceous",(LCA!$E$29*'[1]LOCH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3" s="5">
        <f>IF(M193="","",$E$2*1000*'[1]LOCH Calc COE Calc'!$C$44)</f>
        <v>4896457.3202133691</v>
      </c>
      <c r="S193" s="6">
        <f>IF(N193="","",SUM(O193:R193)/('[1]LOCH Calc COE Calc'!$C$28))</f>
        <v>82.802995100750209</v>
      </c>
      <c r="T193">
        <f>IF(L193="","",O193/'[1]LOCH Calc COE Calc'!$C$28)</f>
        <v>79.12298913287276</v>
      </c>
      <c r="U193">
        <f>IF(L193="","",P193/'[1]LOCH Calc COE Calc'!$C$28)</f>
        <v>0.25886199422113559</v>
      </c>
      <c r="V193">
        <f>IF(L193="","",Q193/'[1]LOCH Calc COE Calc'!$C$28)</f>
        <v>3.2100000000000004</v>
      </c>
      <c r="W193">
        <f>IF(L193="","",R193/'[1]LOCH Calc COE Calc'!$C$28)</f>
        <v>0.21114397365631307</v>
      </c>
    </row>
    <row r="194" spans="12:23" x14ac:dyDescent="0.25">
      <c r="L194" s="4">
        <f>IF('[1]All Data '!BE199="","",'[1]All Data '!BE199)</f>
        <v>5.5E-2</v>
      </c>
      <c r="M194">
        <f>IF('[1]All Data '!BF199="","",'[1]All Data '!BF199)</f>
        <v>4767.5627999999997</v>
      </c>
      <c r="N194" s="5">
        <f>IF('[1]All Data '!BB199="","",'[1]All Data '!BC199/'[1]All Data '!BH199)</f>
        <v>384088.5</v>
      </c>
      <c r="O194" s="5">
        <f t="shared" si="4"/>
        <v>1831166044.5077999</v>
      </c>
      <c r="P194" s="5">
        <f>IF(M194="","",$C$2*(1-L194)*907.2/0.621371*N194*[1]Transportation!$M$40)</f>
        <v>5990917.4214246124</v>
      </c>
      <c r="Q194" s="5">
        <f>IF(L194="","",IF([1]Inputs_Outputs!$B$5="Herbaceous",(LCA!$E$29*'[1]LOCH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4" s="5">
        <f>IF(M194="","",$E$2*1000*'[1]LOCH Calc COE Calc'!$C$44)</f>
        <v>4896457.3202133691</v>
      </c>
      <c r="S194" s="6">
        <f>IF(N194="","",SUM(O194:R194)/('[1]LOCH Calc COE Calc'!$C$28))</f>
        <v>82.642629183128719</v>
      </c>
      <c r="T194">
        <f>IF(L194="","",O194/'[1]LOCH Calc COE Calc'!$C$28)</f>
        <v>78.963146164019165</v>
      </c>
      <c r="U194">
        <f>IF(L194="","",P194/'[1]LOCH Calc COE Calc'!$C$28)</f>
        <v>0.25833904545323472</v>
      </c>
      <c r="V194">
        <f>IF(L194="","",Q194/'[1]LOCH Calc COE Calc'!$C$28)</f>
        <v>3.2100000000000004</v>
      </c>
      <c r="W194">
        <f>IF(L194="","",R194/'[1]LOCH Calc COE Calc'!$C$28)</f>
        <v>0.21114397365631307</v>
      </c>
    </row>
    <row r="195" spans="12:23" x14ac:dyDescent="0.25">
      <c r="L195" s="4">
        <f>IF('[1]All Data '!BE200="","",'[1]All Data '!BE200)</f>
        <v>5.4999999999999993E-2</v>
      </c>
      <c r="M195">
        <f>IF('[1]All Data '!BF200="","",'[1]All Data '!BF200)</f>
        <v>4767.5627999999997</v>
      </c>
      <c r="N195" s="5">
        <f>IF('[1]All Data '!BB200="","",'[1]All Data '!BC200/'[1]All Data '!BH200)</f>
        <v>381282.5</v>
      </c>
      <c r="O195" s="5">
        <f t="shared" si="4"/>
        <v>1817788263.2909999</v>
      </c>
      <c r="P195" s="5">
        <f>IF(M195="","",$C$2*(1-L195)*907.2/0.621371*N195*[1]Transportation!$M$40)</f>
        <v>5947150.1274688775</v>
      </c>
      <c r="Q195" s="5">
        <f>IF(L195="","",IF([1]Inputs_Outputs!$B$5="Herbaceous",(LCA!$E$29*'[1]LOCH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5" s="5">
        <f>IF(M195="","",$E$2*1000*'[1]LOCH Calc COE Calc'!$C$44)</f>
        <v>4896457.3202133691</v>
      </c>
      <c r="S195" s="6">
        <f>IF(N195="","",SUM(O195:R195)/('[1]LOCH Calc COE Calc'!$C$28))</f>
        <v>82.063868070786697</v>
      </c>
      <c r="T195">
        <f>IF(L195="","",O195/'[1]LOCH Calc COE Calc'!$C$28)</f>
        <v>78.386272375462013</v>
      </c>
      <c r="U195">
        <f>IF(L195="","",P195/'[1]LOCH Calc COE Calc'!$C$28)</f>
        <v>0.25645172166837321</v>
      </c>
      <c r="V195">
        <f>IF(L195="","",Q195/'[1]LOCH Calc COE Calc'!$C$28)</f>
        <v>3.2100000000000004</v>
      </c>
      <c r="W195">
        <f>IF(L195="","",R195/'[1]LOCH Calc COE Calc'!$C$28)</f>
        <v>0.21114397365631307</v>
      </c>
    </row>
    <row r="196" spans="12:23" x14ac:dyDescent="0.25">
      <c r="L196" s="4">
        <f>IF('[1]All Data '!BE201="","",'[1]All Data '!BE201)</f>
        <v>5.5000000000000007E-2</v>
      </c>
      <c r="M196">
        <f>IF('[1]All Data '!BF201="","",'[1]All Data '!BF201)</f>
        <v>4767.5627999999997</v>
      </c>
      <c r="N196" s="5">
        <f>IF('[1]All Data '!BB201="","",'[1]All Data '!BC201/'[1]All Data '!BH201)</f>
        <v>380505.5</v>
      </c>
      <c r="O196" s="5">
        <f t="shared" ref="O196:O259" si="5">IF(N196="","",M196*N196)</f>
        <v>1814083866.9954</v>
      </c>
      <c r="P196" s="5">
        <f>IF(M196="","",$C$2*(1-L196)*907.2/0.621371*N196*[1]Transportation!$M$40)</f>
        <v>5935030.6736543346</v>
      </c>
      <c r="Q196" s="5">
        <f>IF(L196="","",IF([1]Inputs_Outputs!$B$5="Herbaceous",(LCA!$E$29*'[1]LOCH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6" s="5">
        <f>IF(M196="","",$E$2*1000*'[1]LOCH Calc COE Calc'!$C$44)</f>
        <v>4896457.3202133691</v>
      </c>
      <c r="S196" s="6">
        <f>IF(N196="","",SUM(O196:R196)/('[1]LOCH Calc COE Calc'!$C$28))</f>
        <v>81.903605282372681</v>
      </c>
      <c r="T196">
        <f>IF(L196="","",O196/'[1]LOCH Calc COE Calc'!$C$28)</f>
        <v>78.226532199514423</v>
      </c>
      <c r="U196">
        <f>IF(L196="","",P196/'[1]LOCH Calc COE Calc'!$C$28)</f>
        <v>0.25592910920193079</v>
      </c>
      <c r="V196">
        <f>IF(L196="","",Q196/'[1]LOCH Calc COE Calc'!$C$28)</f>
        <v>3.2100000000000004</v>
      </c>
      <c r="W196">
        <f>IF(L196="","",R196/'[1]LOCH Calc COE Calc'!$C$28)</f>
        <v>0.21114397365631307</v>
      </c>
    </row>
    <row r="197" spans="12:23" x14ac:dyDescent="0.25">
      <c r="L197" s="4">
        <f>IF('[1]All Data '!BE202="","",'[1]All Data '!BE202)</f>
        <v>5.5000000000000007E-2</v>
      </c>
      <c r="M197">
        <f>IF('[1]All Data '!BF202="","",'[1]All Data '!BF202)</f>
        <v>4767.5627999999997</v>
      </c>
      <c r="N197" s="5">
        <f>IF('[1]All Data '!BB202="","",'[1]All Data '!BC202/'[1]All Data '!BH202)</f>
        <v>380505.5</v>
      </c>
      <c r="O197" s="5">
        <f t="shared" si="5"/>
        <v>1814083866.9954</v>
      </c>
      <c r="P197" s="5">
        <f>IF(M197="","",$C$2*(1-L197)*907.2/0.621371*N197*[1]Transportation!$M$40)</f>
        <v>5935030.6736543346</v>
      </c>
      <c r="Q197" s="5">
        <f>IF(L197="","",IF([1]Inputs_Outputs!$B$5="Herbaceous",(LCA!$E$29*'[1]LOCH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7" s="5">
        <f>IF(M197="","",$E$2*1000*'[1]LOCH Calc COE Calc'!$C$44)</f>
        <v>4896457.3202133691</v>
      </c>
      <c r="S197" s="6">
        <f>IF(N197="","",SUM(O197:R197)/('[1]LOCH Calc COE Calc'!$C$28))</f>
        <v>81.903605282372681</v>
      </c>
      <c r="T197">
        <f>IF(L197="","",O197/'[1]LOCH Calc COE Calc'!$C$28)</f>
        <v>78.226532199514423</v>
      </c>
      <c r="U197">
        <f>IF(L197="","",P197/'[1]LOCH Calc COE Calc'!$C$28)</f>
        <v>0.25592910920193079</v>
      </c>
      <c r="V197">
        <f>IF(L197="","",Q197/'[1]LOCH Calc COE Calc'!$C$28)</f>
        <v>3.2100000000000004</v>
      </c>
      <c r="W197">
        <f>IF(L197="","",R197/'[1]LOCH Calc COE Calc'!$C$28)</f>
        <v>0.21114397365631307</v>
      </c>
    </row>
    <row r="198" spans="12:23" x14ac:dyDescent="0.25">
      <c r="L198" s="4">
        <f>IF('[1]All Data '!BE203="","",'[1]All Data '!BE203)</f>
        <v>5.5000000000000007E-2</v>
      </c>
      <c r="M198">
        <f>IF('[1]All Data '!BF203="","",'[1]All Data '!BF203)</f>
        <v>4767.5627999999997</v>
      </c>
      <c r="N198" s="5">
        <f>IF('[1]All Data '!BB203="","",'[1]All Data '!BC203/'[1]All Data '!BH203)</f>
        <v>380505.5</v>
      </c>
      <c r="O198" s="5">
        <f t="shared" si="5"/>
        <v>1814083866.9954</v>
      </c>
      <c r="P198" s="5">
        <f>IF(M198="","",$C$2*(1-L198)*907.2/0.621371*N198*[1]Transportation!$M$40)</f>
        <v>5935030.6736543346</v>
      </c>
      <c r="Q198" s="5">
        <f>IF(L198="","",IF([1]Inputs_Outputs!$B$5="Herbaceous",(LCA!$E$29*'[1]LOCH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8" s="5">
        <f>IF(M198="","",$E$2*1000*'[1]LOCH Calc COE Calc'!$C$44)</f>
        <v>4896457.3202133691</v>
      </c>
      <c r="S198" s="6">
        <f>IF(N198="","",SUM(O198:R198)/('[1]LOCH Calc COE Calc'!$C$28))</f>
        <v>81.903605282372681</v>
      </c>
      <c r="T198">
        <f>IF(L198="","",O198/'[1]LOCH Calc COE Calc'!$C$28)</f>
        <v>78.226532199514423</v>
      </c>
      <c r="U198">
        <f>IF(L198="","",P198/'[1]LOCH Calc COE Calc'!$C$28)</f>
        <v>0.25592910920193079</v>
      </c>
      <c r="V198">
        <f>IF(L198="","",Q198/'[1]LOCH Calc COE Calc'!$C$28)</f>
        <v>3.2100000000000004</v>
      </c>
      <c r="W198">
        <f>IF(L198="","",R198/'[1]LOCH Calc COE Calc'!$C$28)</f>
        <v>0.21114397365631307</v>
      </c>
    </row>
    <row r="199" spans="12:23" x14ac:dyDescent="0.25">
      <c r="L199" s="4">
        <f>IF('[1]All Data '!BE204="","",'[1]All Data '!BE204)</f>
        <v>5.5E-2</v>
      </c>
      <c r="M199">
        <f>IF('[1]All Data '!BF204="","",'[1]All Data '!BF204)</f>
        <v>4767.5627999999997</v>
      </c>
      <c r="N199" s="5">
        <f>IF('[1]All Data '!BB204="","",'[1]All Data '!BC204/'[1]All Data '!BH204)</f>
        <v>377949</v>
      </c>
      <c r="O199" s="5">
        <f t="shared" si="5"/>
        <v>1801895592.6971998</v>
      </c>
      <c r="P199" s="5">
        <f>IF(M199="","",$C$2*(1-L199)*907.2/0.621371*N199*[1]Transportation!$M$40)</f>
        <v>5895155.0189865381</v>
      </c>
      <c r="Q199" s="5">
        <f>IF(L199="","",IF([1]Inputs_Outputs!$B$5="Herbaceous",(LCA!$E$29*'[1]LOCH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199" s="5">
        <f>IF(M199="","",$E$2*1000*'[1]LOCH Calc COE Calc'!$C$44)</f>
        <v>4896457.3202133691</v>
      </c>
      <c r="S199" s="6">
        <f>IF(N199="","",SUM(O199:R199)/('[1]LOCH Calc COE Calc'!$C$28))</f>
        <v>81.376305644559991</v>
      </c>
      <c r="T199">
        <f>IF(L199="","",O199/'[1]LOCH Calc COE Calc'!$C$28)</f>
        <v>77.700952071058836</v>
      </c>
      <c r="U199">
        <f>IF(L199="","",P199/'[1]LOCH Calc COE Calc'!$C$28)</f>
        <v>0.25420959984483943</v>
      </c>
      <c r="V199">
        <f>IF(L199="","",Q199/'[1]LOCH Calc COE Calc'!$C$28)</f>
        <v>3.2100000000000004</v>
      </c>
      <c r="W199">
        <f>IF(L199="","",R199/'[1]LOCH Calc COE Calc'!$C$28)</f>
        <v>0.21114397365631307</v>
      </c>
    </row>
    <row r="200" spans="12:23" x14ac:dyDescent="0.25">
      <c r="L200" s="4">
        <f>IF('[1]All Data '!BE205="","",'[1]All Data '!BE205)</f>
        <v>5.5000000000000007E-2</v>
      </c>
      <c r="M200">
        <f>IF('[1]All Data '!BF205="","",'[1]All Data '!BF205)</f>
        <v>4767.5627999999997</v>
      </c>
      <c r="N200" s="5">
        <f>IF('[1]All Data '!BB205="","",'[1]All Data '!BC205/'[1]All Data '!BH205)</f>
        <v>377392.5</v>
      </c>
      <c r="O200" s="5">
        <f t="shared" si="5"/>
        <v>1799242443.9989998</v>
      </c>
      <c r="P200" s="5">
        <f>IF(M200="","",$C$2*(1-L200)*907.2/0.621371*N200*[1]Transportation!$M$40)</f>
        <v>5886474.8696328793</v>
      </c>
      <c r="Q200" s="5">
        <f>IF(L200="","",IF([1]Inputs_Outputs!$B$5="Herbaceous",(LCA!$E$29*'[1]LOCH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0" s="5">
        <f>IF(M200="","",$E$2*1000*'[1]LOCH Calc COE Calc'!$C$44)</f>
        <v>4896457.3202133691</v>
      </c>
      <c r="S200" s="6">
        <f>IF(N200="","",SUM(O200:R200)/('[1]LOCH Calc COE Calc'!$C$28))</f>
        <v>81.261522836641845</v>
      </c>
      <c r="T200">
        <f>IF(L200="","",O200/'[1]LOCH Calc COE Calc'!$C$28)</f>
        <v>77.586543566663948</v>
      </c>
      <c r="U200">
        <f>IF(L200="","",P200/'[1]LOCH Calc COE Calc'!$C$28)</f>
        <v>0.25383529632157664</v>
      </c>
      <c r="V200">
        <f>IF(L200="","",Q200/'[1]LOCH Calc COE Calc'!$C$28)</f>
        <v>3.2100000000000004</v>
      </c>
      <c r="W200">
        <f>IF(L200="","",R200/'[1]LOCH Calc COE Calc'!$C$28)</f>
        <v>0.21114397365631307</v>
      </c>
    </row>
    <row r="201" spans="12:23" x14ac:dyDescent="0.25">
      <c r="L201" s="4">
        <f>IF('[1]All Data '!BE206="","",'[1]All Data '!BE206)</f>
        <v>5.5E-2</v>
      </c>
      <c r="M201">
        <f>IF('[1]All Data '!BF206="","",'[1]All Data '!BF206)</f>
        <v>4767.5627999999997</v>
      </c>
      <c r="N201" s="5">
        <f>IF('[1]All Data '!BB206="","",'[1]All Data '!BC206/'[1]All Data '!BH206)</f>
        <v>377340</v>
      </c>
      <c r="O201" s="5">
        <f t="shared" si="5"/>
        <v>1798992146.9519999</v>
      </c>
      <c r="P201" s="5">
        <f>IF(M201="","",$C$2*(1-L201)*907.2/0.621371*N201*[1]Transportation!$M$40)</f>
        <v>5885655.987618383</v>
      </c>
      <c r="Q201" s="5">
        <f>IF(L201="","",IF([1]Inputs_Outputs!$B$5="Herbaceous",(LCA!$E$29*'[1]LOCH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1" s="5">
        <f>IF(M201="","",$E$2*1000*'[1]LOCH Calc COE Calc'!$C$44)</f>
        <v>4896457.3202133691</v>
      </c>
      <c r="S201" s="6">
        <f>IF(N201="","",SUM(O201:R201)/('[1]LOCH Calc COE Calc'!$C$28))</f>
        <v>81.250694269857107</v>
      </c>
      <c r="T201">
        <f>IF(L201="","",O201/'[1]LOCH Calc COE Calc'!$C$28)</f>
        <v>77.57575031153236</v>
      </c>
      <c r="U201">
        <f>IF(L201="","",P201/'[1]LOCH Calc COE Calc'!$C$28)</f>
        <v>0.25379998466843862</v>
      </c>
      <c r="V201">
        <f>IF(L201="","",Q201/'[1]LOCH Calc COE Calc'!$C$28)</f>
        <v>3.2100000000000004</v>
      </c>
      <c r="W201">
        <f>IF(L201="","",R201/'[1]LOCH Calc COE Calc'!$C$28)</f>
        <v>0.21114397365631307</v>
      </c>
    </row>
    <row r="202" spans="12:23" x14ac:dyDescent="0.25">
      <c r="L202" s="4">
        <f>IF('[1]All Data '!BE207="","",'[1]All Data '!BE207)</f>
        <v>5.5E-2</v>
      </c>
      <c r="M202">
        <f>IF('[1]All Data '!BF207="","",'[1]All Data '!BF207)</f>
        <v>4767.5627999999997</v>
      </c>
      <c r="N202" s="5">
        <f>IF('[1]All Data '!BB207="","",'[1]All Data '!BC207/'[1]All Data '!BH207)</f>
        <v>376116</v>
      </c>
      <c r="O202" s="5">
        <f t="shared" si="5"/>
        <v>1793156650.0848</v>
      </c>
      <c r="P202" s="5">
        <f>IF(M202="","",$C$2*(1-L202)*907.2/0.621371*N202*[1]Transportation!$M$40)</f>
        <v>5866564.3383661304</v>
      </c>
      <c r="Q202" s="5">
        <f>IF(L202="","",IF([1]Inputs_Outputs!$B$5="Herbaceous",(LCA!$E$29*'[1]LOCH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2" s="5">
        <f>IF(M202="","",$E$2*1000*'[1]LOCH Calc COE Calc'!$C$44)</f>
        <v>4896457.3202133691</v>
      </c>
      <c r="S202" s="6">
        <f>IF(N202="","",SUM(O202:R202)/('[1]LOCH Calc COE Calc'!$C$28))</f>
        <v>80.99823396996166</v>
      </c>
      <c r="T202">
        <f>IF(L202="","",O202/'[1]LOCH Calc COE Calc'!$C$28)</f>
        <v>77.324113277607211</v>
      </c>
      <c r="U202">
        <f>IF(L202="","",P202/'[1]LOCH Calc COE Calc'!$C$28)</f>
        <v>0.25297671869813548</v>
      </c>
      <c r="V202">
        <f>IF(L202="","",Q202/'[1]LOCH Calc COE Calc'!$C$28)</f>
        <v>3.2100000000000004</v>
      </c>
      <c r="W202">
        <f>IF(L202="","",R202/'[1]LOCH Calc COE Calc'!$C$28)</f>
        <v>0.21114397365631307</v>
      </c>
    </row>
    <row r="203" spans="12:23" x14ac:dyDescent="0.25">
      <c r="L203" s="4">
        <f>IF('[1]All Data '!BE208="","",'[1]All Data '!BE208)</f>
        <v>5.5E-2</v>
      </c>
      <c r="M203">
        <f>IF('[1]All Data '!BF208="","",'[1]All Data '!BF208)</f>
        <v>4767.5627999999997</v>
      </c>
      <c r="N203" s="5">
        <f>IF('[1]All Data '!BB208="","",'[1]All Data '!BC208/'[1]All Data '!BH208)</f>
        <v>375663.5</v>
      </c>
      <c r="O203" s="5">
        <f t="shared" si="5"/>
        <v>1790999327.9177999</v>
      </c>
      <c r="P203" s="5">
        <f>IF(M203="","",$C$2*(1-L203)*907.2/0.621371*N203*[1]Transportation!$M$40)</f>
        <v>5859506.3552888073</v>
      </c>
      <c r="Q203" s="5">
        <f>IF(L203="","",IF([1]Inputs_Outputs!$B$5="Herbaceous",(LCA!$E$29*'[1]LOCH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3" s="5">
        <f>IF(M203="","",$E$2*1000*'[1]LOCH Calc COE Calc'!$C$44)</f>
        <v>4896457.3202133691</v>
      </c>
      <c r="S203" s="6">
        <f>IF(N203="","",SUM(O203:R203)/('[1]LOCH Calc COE Calc'!$C$28))</f>
        <v>80.904902037198013</v>
      </c>
      <c r="T203">
        <f>IF(L203="","",O203/'[1]LOCH Calc COE Calc'!$C$28)</f>
        <v>77.231085697663474</v>
      </c>
      <c r="U203">
        <f>IF(L203="","",P203/'[1]LOCH Calc COE Calc'!$C$28)</f>
        <v>0.25267236587823183</v>
      </c>
      <c r="V203">
        <f>IF(L203="","",Q203/'[1]LOCH Calc COE Calc'!$C$28)</f>
        <v>3.2100000000000004</v>
      </c>
      <c r="W203">
        <f>IF(L203="","",R203/'[1]LOCH Calc COE Calc'!$C$28)</f>
        <v>0.21114397365631307</v>
      </c>
    </row>
    <row r="204" spans="12:23" x14ac:dyDescent="0.25">
      <c r="L204" s="4">
        <f>IF('[1]All Data '!BE209="","",'[1]All Data '!BE209)</f>
        <v>5.5E-2</v>
      </c>
      <c r="M204">
        <f>IF('[1]All Data '!BF209="","",'[1]All Data '!BF209)</f>
        <v>4767.5627999999997</v>
      </c>
      <c r="N204" s="5">
        <f>IF('[1]All Data '!BB209="","",'[1]All Data '!BC209/'[1]All Data '!BH209)</f>
        <v>375550</v>
      </c>
      <c r="O204" s="5">
        <f t="shared" si="5"/>
        <v>1790458209.54</v>
      </c>
      <c r="P204" s="5">
        <f>IF(M204="","",$C$2*(1-L204)*907.2/0.621371*N204*[1]Transportation!$M$40)</f>
        <v>5857736.0103622302</v>
      </c>
      <c r="Q204" s="5">
        <f>IF(L204="","",IF([1]Inputs_Outputs!$B$5="Herbaceous",(LCA!$E$29*'[1]LOCH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4" s="5">
        <f>IF(M204="","",$E$2*1000*'[1]LOCH Calc COE Calc'!$C$44)</f>
        <v>4896457.3202133691</v>
      </c>
      <c r="S204" s="6">
        <f>IF(N204="","",SUM(O204:R204)/('[1]LOCH Calc COE Calc'!$C$28))</f>
        <v>80.881491707101503</v>
      </c>
      <c r="T204">
        <f>IF(L204="","",O204/'[1]LOCH Calc COE Calc'!$C$28)</f>
        <v>77.207751707998028</v>
      </c>
      <c r="U204">
        <f>IF(L204="","",P204/'[1]LOCH Calc COE Calc'!$C$28)</f>
        <v>0.25259602544716203</v>
      </c>
      <c r="V204">
        <f>IF(L204="","",Q204/'[1]LOCH Calc COE Calc'!$C$28)</f>
        <v>3.2100000000000004</v>
      </c>
      <c r="W204">
        <f>IF(L204="","",R204/'[1]LOCH Calc COE Calc'!$C$28)</f>
        <v>0.21114397365631307</v>
      </c>
    </row>
    <row r="205" spans="12:23" x14ac:dyDescent="0.25">
      <c r="L205" s="4">
        <f>IF('[1]All Data '!BE210="","",'[1]All Data '!BE210)</f>
        <v>5.5E-2</v>
      </c>
      <c r="M205">
        <f>IF('[1]All Data '!BF210="","",'[1]All Data '!BF210)</f>
        <v>4767.5627999999997</v>
      </c>
      <c r="N205" s="5">
        <f>IF('[1]All Data '!BB210="","",'[1]All Data '!BC210/'[1]All Data '!BH210)</f>
        <v>374826</v>
      </c>
      <c r="O205" s="5">
        <f t="shared" si="5"/>
        <v>1787006494.0727999</v>
      </c>
      <c r="P205" s="5">
        <f>IF(M205="","",$C$2*(1-L205)*907.2/0.621371*N205*[1]Transportation!$M$40)</f>
        <v>5846443.237438512</v>
      </c>
      <c r="Q205" s="5">
        <f>IF(L205="","",IF([1]Inputs_Outputs!$B$5="Herbaceous",(LCA!$E$29*'[1]LOCH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5" s="5">
        <f>IF(M205="","",$E$2*1000*'[1]LOCH Calc COE Calc'!$C$44)</f>
        <v>4896457.3202133691</v>
      </c>
      <c r="S205" s="6">
        <f>IF(N205="","",SUM(O205:R205)/('[1]LOCH Calc COE Calc'!$C$28))</f>
        <v>80.732160614679685</v>
      </c>
      <c r="T205">
        <f>IF(L205="","",O205/'[1]LOCH Calc COE Calc'!$C$28)</f>
        <v>77.058907580088061</v>
      </c>
      <c r="U205">
        <f>IF(L205="","",P205/'[1]LOCH Calc COE Calc'!$C$28)</f>
        <v>0.2521090609353161</v>
      </c>
      <c r="V205">
        <f>IF(L205="","",Q205/'[1]LOCH Calc COE Calc'!$C$28)</f>
        <v>3.2100000000000004</v>
      </c>
      <c r="W205">
        <f>IF(L205="","",R205/'[1]LOCH Calc COE Calc'!$C$28)</f>
        <v>0.21114397365631307</v>
      </c>
    </row>
    <row r="206" spans="12:23" x14ac:dyDescent="0.25">
      <c r="L206" s="4">
        <f>IF('[1]All Data '!BE211="","",'[1]All Data '!BE211)</f>
        <v>5.5E-2</v>
      </c>
      <c r="M206">
        <f>IF('[1]All Data '!BF211="","",'[1]All Data '!BF211)</f>
        <v>4767.5627999999997</v>
      </c>
      <c r="N206" s="5">
        <f>IF('[1]All Data '!BB211="","",'[1]All Data '!BC211/'[1]All Data '!BH211)</f>
        <v>374809.5</v>
      </c>
      <c r="O206" s="5">
        <f t="shared" si="5"/>
        <v>1786927829.2865999</v>
      </c>
      <c r="P206" s="5">
        <f>IF(M206="","",$C$2*(1-L206)*907.2/0.621371*N206*[1]Transportation!$M$40)</f>
        <v>5846185.8745196704</v>
      </c>
      <c r="Q206" s="5">
        <f>IF(L206="","",IF([1]Inputs_Outputs!$B$5="Herbaceous",(LCA!$E$29*'[1]LOCH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6" s="5">
        <f>IF(M206="","",$E$2*1000*'[1]LOCH Calc COE Calc'!$C$44)</f>
        <v>4896457.3202133691</v>
      </c>
      <c r="S206" s="6">
        <f>IF(N206="","",SUM(O206:R206)/('[1]LOCH Calc COE Calc'!$C$28))</f>
        <v>80.72875735083305</v>
      </c>
      <c r="T206">
        <f>IF(L206="","",O206/'[1]LOCH Calc COE Calc'!$C$28)</f>
        <v>77.055515414189557</v>
      </c>
      <c r="U206">
        <f>IF(L206="","",P206/'[1]LOCH Calc COE Calc'!$C$28)</f>
        <v>0.25209796298718701</v>
      </c>
      <c r="V206">
        <f>IF(L206="","",Q206/'[1]LOCH Calc COE Calc'!$C$28)</f>
        <v>3.2100000000000004</v>
      </c>
      <c r="W206">
        <f>IF(L206="","",R206/'[1]LOCH Calc COE Calc'!$C$28)</f>
        <v>0.21114397365631307</v>
      </c>
    </row>
    <row r="207" spans="12:23" x14ac:dyDescent="0.25">
      <c r="L207" s="4">
        <f>IF('[1]All Data '!BE212="","",'[1]All Data '!BE212)</f>
        <v>5.5E-2</v>
      </c>
      <c r="M207">
        <f>IF('[1]All Data '!BF212="","",'[1]All Data '!BF212)</f>
        <v>4767.5627999999997</v>
      </c>
      <c r="N207" s="5">
        <f>IF('[1]All Data '!BB212="","",'[1]All Data '!BC212/'[1]All Data '!BH212)</f>
        <v>371464</v>
      </c>
      <c r="O207" s="5">
        <f t="shared" si="5"/>
        <v>1770977947.9391999</v>
      </c>
      <c r="P207" s="5">
        <f>IF(M207="","",$C$2*(1-L207)*907.2/0.621371*N207*[1]Transportation!$M$40)</f>
        <v>5794003.5930054458</v>
      </c>
      <c r="Q207" s="5">
        <f>IF(L207="","",IF([1]Inputs_Outputs!$B$5="Herbaceous",(LCA!$E$29*'[1]LOCH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7" s="5">
        <f>IF(M207="","",$E$2*1000*'[1]LOCH Calc COE Calc'!$C$44)</f>
        <v>4896457.3202133691</v>
      </c>
      <c r="S207" s="6">
        <f>IF(N207="","",SUM(O207:R207)/('[1]LOCH Calc COE Calc'!$C$28))</f>
        <v>80.038719823626977</v>
      </c>
      <c r="T207">
        <f>IF(L207="","",O207/'[1]LOCH Calc COE Calc'!$C$28)</f>
        <v>76.367728080042014</v>
      </c>
      <c r="U207">
        <f>IF(L207="","",P207/'[1]LOCH Calc COE Calc'!$C$28)</f>
        <v>0.24984776992865024</v>
      </c>
      <c r="V207">
        <f>IF(L207="","",Q207/'[1]LOCH Calc COE Calc'!$C$28)</f>
        <v>3.2100000000000004</v>
      </c>
      <c r="W207">
        <f>IF(L207="","",R207/'[1]LOCH Calc COE Calc'!$C$28)</f>
        <v>0.21114397365631307</v>
      </c>
    </row>
    <row r="208" spans="12:23" x14ac:dyDescent="0.25">
      <c r="L208" s="4">
        <f>IF('[1]All Data '!BE213="","",'[1]All Data '!BE213)</f>
        <v>5.5E-2</v>
      </c>
      <c r="M208">
        <f>IF('[1]All Data '!BF213="","",'[1]All Data '!BF213)</f>
        <v>4767.5627999999997</v>
      </c>
      <c r="N208" s="5">
        <f>IF('[1]All Data '!BB213="","",'[1]All Data '!BC213/'[1]All Data '!BH213)</f>
        <v>368562.5</v>
      </c>
      <c r="O208" s="5">
        <f t="shared" si="5"/>
        <v>1757144864.4749999</v>
      </c>
      <c r="P208" s="5">
        <f>IF(M208="","",$C$2*(1-L208)*907.2/0.621371*N208*[1]Transportation!$M$40)</f>
        <v>5748746.7136709606</v>
      </c>
      <c r="Q208" s="5">
        <f>IF(L208="","",IF([1]Inputs_Outputs!$B$5="Herbaceous",(LCA!$E$29*'[1]LOCH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8" s="5">
        <f>IF(M208="","",$E$2*1000*'[1]LOCH Calc COE Calc'!$C$44)</f>
        <v>4896457.3202133691</v>
      </c>
      <c r="S208" s="6">
        <f>IF(N208="","",SUM(O208:R208)/('[1]LOCH Calc COE Calc'!$C$28))</f>
        <v>79.440261032657489</v>
      </c>
      <c r="T208">
        <f>IF(L208="","",O208/'[1]LOCH Calc COE Calc'!$C$28)</f>
        <v>75.771220846435952</v>
      </c>
      <c r="U208">
        <f>IF(L208="","",P208/'[1]LOCH Calc COE Calc'!$C$28)</f>
        <v>0.24789621256522343</v>
      </c>
      <c r="V208">
        <f>IF(L208="","",Q208/'[1]LOCH Calc COE Calc'!$C$28)</f>
        <v>3.2100000000000004</v>
      </c>
      <c r="W208">
        <f>IF(L208="","",R208/'[1]LOCH Calc COE Calc'!$C$28)</f>
        <v>0.21114397365631307</v>
      </c>
    </row>
    <row r="209" spans="12:23" x14ac:dyDescent="0.25">
      <c r="L209" s="4">
        <f>IF('[1]All Data '!BE214="","",'[1]All Data '!BE214)</f>
        <v>5.5E-2</v>
      </c>
      <c r="M209">
        <f>IF('[1]All Data '!BF214="","",'[1]All Data '!BF214)</f>
        <v>4767.5627999999997</v>
      </c>
      <c r="N209" s="5">
        <f>IF('[1]All Data '!BB214="","",'[1]All Data '!BC214/'[1]All Data '!BH214)</f>
        <v>367577.5</v>
      </c>
      <c r="O209" s="5">
        <f t="shared" si="5"/>
        <v>1752448815.1169999</v>
      </c>
      <c r="P209" s="5">
        <f>IF(M209="","",$C$2*(1-L209)*907.2/0.621371*N209*[1]Transportation!$M$40)</f>
        <v>5733382.9273037482</v>
      </c>
      <c r="Q209" s="5">
        <f>IF(L209="","",IF([1]Inputs_Outputs!$B$5="Herbaceous",(LCA!$E$29*'[1]LOCH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09" s="5">
        <f>IF(M209="","",$E$2*1000*'[1]LOCH Calc COE Calc'!$C$44)</f>
        <v>4896457.3202133691</v>
      </c>
      <c r="S209" s="6">
        <f>IF(N209="","",SUM(O209:R209)/('[1]LOCH Calc COE Calc'!$C$28))</f>
        <v>79.23709649393443</v>
      </c>
      <c r="T209">
        <f>IF(L209="","",O209/'[1]LOCH Calc COE Calc'!$C$28)</f>
        <v>75.56871882158606</v>
      </c>
      <c r="U209">
        <f>IF(L209="","",P209/'[1]LOCH Calc COE Calc'!$C$28)</f>
        <v>0.24723369869206285</v>
      </c>
      <c r="V209">
        <f>IF(L209="","",Q209/'[1]LOCH Calc COE Calc'!$C$28)</f>
        <v>3.2100000000000004</v>
      </c>
      <c r="W209">
        <f>IF(L209="","",R209/'[1]LOCH Calc COE Calc'!$C$28)</f>
        <v>0.21114397365631307</v>
      </c>
    </row>
    <row r="210" spans="12:23" x14ac:dyDescent="0.25">
      <c r="L210" s="4">
        <f>IF('[1]All Data '!BE215="","",'[1]All Data '!BE215)</f>
        <v>5.4999999999999993E-2</v>
      </c>
      <c r="M210">
        <f>IF('[1]All Data '!BF215="","",'[1]All Data '!BF215)</f>
        <v>4767.5627999999997</v>
      </c>
      <c r="N210" s="5">
        <f>IF('[1]All Data '!BB215="","",'[1]All Data '!BC215/'[1]All Data '!BH215)</f>
        <v>362082</v>
      </c>
      <c r="O210" s="5">
        <f t="shared" si="5"/>
        <v>1726248673.7495999</v>
      </c>
      <c r="P210" s="5">
        <f>IF(M210="","",$C$2*(1-L210)*907.2/0.621371*N210*[1]Transportation!$M$40)</f>
        <v>5647665.4775768258</v>
      </c>
      <c r="Q210" s="5">
        <f>IF(L210="","",IF([1]Inputs_Outputs!$B$5="Herbaceous",(LCA!$E$29*'[1]LOCH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0" s="5">
        <f>IF(M210="","",$E$2*1000*'[1]LOCH Calc COE Calc'!$C$44)</f>
        <v>4896457.3202133691</v>
      </c>
      <c r="S210" s="6">
        <f>IF(N210="","",SUM(O210:R210)/('[1]LOCH Calc COE Calc'!$C$28))</f>
        <v>78.103603374591742</v>
      </c>
      <c r="T210">
        <f>IF(L210="","",O210/'[1]LOCH Calc COE Calc'!$C$28)</f>
        <v>74.438921991573267</v>
      </c>
      <c r="U210">
        <f>IF(L210="","",P210/'[1]LOCH Calc COE Calc'!$C$28)</f>
        <v>0.24353740936216037</v>
      </c>
      <c r="V210">
        <f>IF(L210="","",Q210/'[1]LOCH Calc COE Calc'!$C$28)</f>
        <v>3.2100000000000004</v>
      </c>
      <c r="W210">
        <f>IF(L210="","",R210/'[1]LOCH Calc COE Calc'!$C$28)</f>
        <v>0.21114397365631307</v>
      </c>
    </row>
    <row r="211" spans="12:23" x14ac:dyDescent="0.25">
      <c r="L211" s="4">
        <f>IF('[1]All Data '!BE216="","",'[1]All Data '!BE216)</f>
        <v>5.5E-2</v>
      </c>
      <c r="M211">
        <f>IF('[1]All Data '!BF216="","",'[1]All Data '!BF216)</f>
        <v>4767.5627999999997</v>
      </c>
      <c r="N211" s="5">
        <f>IF('[1]All Data '!BB216="","",'[1]All Data '!BC216/'[1]All Data '!BH216)</f>
        <v>361211</v>
      </c>
      <c r="O211" s="5">
        <f t="shared" si="5"/>
        <v>1722096126.5507998</v>
      </c>
      <c r="P211" s="5">
        <f>IF(M211="","",$C$2*(1-L211)*907.2/0.621371*N211*[1]Transportation!$M$40)</f>
        <v>5634079.8350125188</v>
      </c>
      <c r="Q211" s="5">
        <f>IF(L211="","",IF([1]Inputs_Outputs!$B$5="Herbaceous",(LCA!$E$29*'[1]LOCH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1" s="5">
        <f>IF(M211="","",$E$2*1000*'[1]LOCH Calc COE Calc'!$C$44)</f>
        <v>4896457.3202133691</v>
      </c>
      <c r="S211" s="6">
        <f>IF(N211="","",SUM(O211:R211)/('[1]LOCH Calc COE Calc'!$C$28))</f>
        <v>77.923952295172668</v>
      </c>
      <c r="T211">
        <f>IF(L211="","",O211/'[1]LOCH Calc COE Calc'!$C$28)</f>
        <v>74.259856749294826</v>
      </c>
      <c r="U211">
        <f>IF(L211="","",P211/'[1]LOCH Calc COE Calc'!$C$28)</f>
        <v>0.24295157222152802</v>
      </c>
      <c r="V211">
        <f>IF(L211="","",Q211/'[1]LOCH Calc COE Calc'!$C$28)</f>
        <v>3.2100000000000004</v>
      </c>
      <c r="W211">
        <f>IF(L211="","",R211/'[1]LOCH Calc COE Calc'!$C$28)</f>
        <v>0.21114397365631307</v>
      </c>
    </row>
    <row r="212" spans="12:23" x14ac:dyDescent="0.25">
      <c r="L212" s="4">
        <f>IF('[1]All Data '!BE217="","",'[1]All Data '!BE217)</f>
        <v>5.5E-2</v>
      </c>
      <c r="M212">
        <f>IF('[1]All Data '!BF217="","",'[1]All Data '!BF217)</f>
        <v>4767.5627999999997</v>
      </c>
      <c r="N212" s="5">
        <f>IF('[1]All Data '!BB217="","",'[1]All Data '!BC217/'[1]All Data '!BH217)</f>
        <v>359702.5</v>
      </c>
      <c r="O212" s="5">
        <f t="shared" si="5"/>
        <v>1714904258.0669999</v>
      </c>
      <c r="P212" s="5">
        <f>IF(M212="","",$C$2*(1-L212)*907.2/0.621371*N212*[1]Transportation!$M$40)</f>
        <v>5610550.62512933</v>
      </c>
      <c r="Q212" s="5">
        <f>IF(L212="","",IF([1]Inputs_Outputs!$B$5="Herbaceous",(LCA!$E$29*'[1]LOCH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2" s="5">
        <f>IF(M212="","",$E$2*1000*'[1]LOCH Calc COE Calc'!$C$44)</f>
        <v>4896457.3202133691</v>
      </c>
      <c r="S212" s="6">
        <f>IF(N212="","",SUM(O212:R212)/('[1]LOCH Calc COE Calc'!$C$28))</f>
        <v>77.612811476224721</v>
      </c>
      <c r="T212">
        <f>IF(L212="","",O212/'[1]LOCH Calc COE Calc'!$C$28)</f>
        <v>73.949730551847054</v>
      </c>
      <c r="U212">
        <f>IF(L212="","",P212/'[1]LOCH Calc COE Calc'!$C$28)</f>
        <v>0.24193695072136279</v>
      </c>
      <c r="V212">
        <f>IF(L212="","",Q212/'[1]LOCH Calc COE Calc'!$C$28)</f>
        <v>3.2100000000000004</v>
      </c>
      <c r="W212">
        <f>IF(L212="","",R212/'[1]LOCH Calc COE Calc'!$C$28)</f>
        <v>0.21114397365631307</v>
      </c>
    </row>
    <row r="213" spans="12:23" x14ac:dyDescent="0.25">
      <c r="L213" s="4">
        <f>IF('[1]All Data '!BE218="","",'[1]All Data '!BE218)</f>
        <v>5.5E-2</v>
      </c>
      <c r="M213">
        <f>IF('[1]All Data '!BF218="","",'[1]All Data '!BF218)</f>
        <v>4767.5627999999997</v>
      </c>
      <c r="N213" s="5">
        <f>IF('[1]All Data '!BB218="","",'[1]All Data '!BC218/'[1]All Data '!BH218)</f>
        <v>358597.5</v>
      </c>
      <c r="O213" s="5">
        <f t="shared" si="5"/>
        <v>1709636101.1729999</v>
      </c>
      <c r="P213" s="5">
        <f>IF(M213="","",$C$2*(1-L213)*907.2/0.621371*N213*[1]Transportation!$M$40)</f>
        <v>5593315.1084432695</v>
      </c>
      <c r="Q213" s="5">
        <f>IF(L213="","",IF([1]Inputs_Outputs!$B$5="Herbaceous",(LCA!$E$29*'[1]LOCH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3" s="5">
        <f>IF(M213="","",$E$2*1000*'[1]LOCH Calc COE Calc'!$C$44)</f>
        <v>4896457.3202133691</v>
      </c>
      <c r="S213" s="6">
        <f>IF(N213="","",SUM(O213:R213)/('[1]LOCH Calc COE Calc'!$C$28))</f>
        <v>77.384895927708001</v>
      </c>
      <c r="T213">
        <f>IF(L213="","",O213/'[1]LOCH Calc COE Calc'!$C$28)</f>
        <v>73.722558229553513</v>
      </c>
      <c r="U213">
        <f>IF(L213="","",P213/'[1]LOCH Calc COE Calc'!$C$28)</f>
        <v>0.24119372449817253</v>
      </c>
      <c r="V213">
        <f>IF(L213="","",Q213/'[1]LOCH Calc COE Calc'!$C$28)</f>
        <v>3.2100000000000004</v>
      </c>
      <c r="W213">
        <f>IF(L213="","",R213/'[1]LOCH Calc COE Calc'!$C$28)</f>
        <v>0.21114397365631307</v>
      </c>
    </row>
    <row r="214" spans="12:23" x14ac:dyDescent="0.25">
      <c r="L214" s="4">
        <f>IF('[1]All Data '!BE219="","",'[1]All Data '!BE219)</f>
        <v>5.4999999999999993E-2</v>
      </c>
      <c r="M214">
        <f>IF('[1]All Data '!BF219="","",'[1]All Data '!BF219)</f>
        <v>4767.5627999999997</v>
      </c>
      <c r="N214" s="5">
        <f>IF('[1]All Data '!BB219="","",'[1]All Data '!BC219/'[1]All Data '!BH219)</f>
        <v>358295</v>
      </c>
      <c r="O214" s="5">
        <f t="shared" si="5"/>
        <v>1708193913.4259999</v>
      </c>
      <c r="P214" s="5">
        <f>IF(M214="","",$C$2*(1-L214)*907.2/0.621371*N214*[1]Transportation!$M$40)</f>
        <v>5588596.7882645056</v>
      </c>
      <c r="Q214" s="5">
        <f>IF(L214="","",IF([1]Inputs_Outputs!$B$5="Herbaceous",(LCA!$E$29*'[1]LOCH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4" s="5">
        <f>IF(M214="","",$E$2*1000*'[1]LOCH Calc COE Calc'!$C$44)</f>
        <v>4896457.3202133691</v>
      </c>
      <c r="S214" s="6">
        <f>IF(N214="","",SUM(O214:R214)/('[1]LOCH Calc COE Calc'!$C$28))</f>
        <v>77.322502757186456</v>
      </c>
      <c r="T214">
        <f>IF(L214="","",O214/'[1]LOCH Calc COE Calc'!$C$28)</f>
        <v>73.660368521414327</v>
      </c>
      <c r="U214">
        <f>IF(L214="","",P214/'[1]LOCH Calc COE Calc'!$C$28)</f>
        <v>0.24099026211580593</v>
      </c>
      <c r="V214">
        <f>IF(L214="","",Q214/'[1]LOCH Calc COE Calc'!$C$28)</f>
        <v>3.2100000000000004</v>
      </c>
      <c r="W214">
        <f>IF(L214="","",R214/'[1]LOCH Calc COE Calc'!$C$28)</f>
        <v>0.21114397365631307</v>
      </c>
    </row>
    <row r="215" spans="12:23" x14ac:dyDescent="0.25">
      <c r="L215" s="4">
        <f>IF('[1]All Data '!BE220="","",'[1]All Data '!BE220)</f>
        <v>5.5E-2</v>
      </c>
      <c r="M215">
        <f>IF('[1]All Data '!BF220="","",'[1]All Data '!BF220)</f>
        <v>4767.5627999999997</v>
      </c>
      <c r="N215" s="5">
        <f>IF('[1]All Data '!BB220="","",'[1]All Data '!BC220/'[1]All Data '!BH220)</f>
        <v>357865.5</v>
      </c>
      <c r="O215" s="5">
        <f t="shared" si="5"/>
        <v>1706146245.2033999</v>
      </c>
      <c r="P215" s="5">
        <f>IF(M215="","",$C$2*(1-L215)*907.2/0.621371*N215*[1]Transportation!$M$40)</f>
        <v>5581897.5534982942</v>
      </c>
      <c r="Q215" s="5">
        <f>IF(L215="","",IF([1]Inputs_Outputs!$B$5="Herbaceous",(LCA!$E$29*'[1]LOCH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5" s="5">
        <f>IF(M215="","",$E$2*1000*'[1]LOCH Calc COE Calc'!$C$44)</f>
        <v>4896457.3202133691</v>
      </c>
      <c r="S215" s="6">
        <f>IF(N215="","",SUM(O215:R215)/('[1]LOCH Calc COE Calc'!$C$28))</f>
        <v>77.23391476796661</v>
      </c>
      <c r="T215">
        <f>IF(L215="","",O215/'[1]LOCH Calc COE Calc'!$C$28)</f>
        <v>73.572069415147297</v>
      </c>
      <c r="U215">
        <f>IF(L215="","",P215/'[1]LOCH Calc COE Calc'!$C$28)</f>
        <v>0.24070137916299122</v>
      </c>
      <c r="V215">
        <f>IF(L215="","",Q215/'[1]LOCH Calc COE Calc'!$C$28)</f>
        <v>3.2100000000000004</v>
      </c>
      <c r="W215">
        <f>IF(L215="","",R215/'[1]LOCH Calc COE Calc'!$C$28)</f>
        <v>0.21114397365631307</v>
      </c>
    </row>
    <row r="216" spans="12:23" x14ac:dyDescent="0.25">
      <c r="L216" s="4">
        <f>IF('[1]All Data '!BE221="","",'[1]All Data '!BE221)</f>
        <v>5.5E-2</v>
      </c>
      <c r="M216">
        <f>IF('[1]All Data '!BF221="","",'[1]All Data '!BF221)</f>
        <v>4767.5627999999997</v>
      </c>
      <c r="N216" s="5">
        <f>IF('[1]All Data '!BB221="","",'[1]All Data '!BC221/'[1]All Data '!BH221)</f>
        <v>356924</v>
      </c>
      <c r="O216" s="5">
        <f t="shared" si="5"/>
        <v>1701657584.8271999</v>
      </c>
      <c r="P216" s="5">
        <f>IF(M216="","",$C$2*(1-L216)*907.2/0.621371*N216*[1]Transportation!$M$40)</f>
        <v>5567212.2693716642</v>
      </c>
      <c r="Q216" s="5">
        <f>IF(L216="","",IF([1]Inputs_Outputs!$B$5="Herbaceous",(LCA!$E$29*'[1]LOCH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6" s="5">
        <f>IF(M216="","",$E$2*1000*'[1]LOCH Calc COE Calc'!$C$44)</f>
        <v>4896457.3202133691</v>
      </c>
      <c r="S216" s="6">
        <f>IF(N216="","",SUM(O216:R216)/('[1]LOCH Calc COE Calc'!$C$28))</f>
        <v>77.039722470293754</v>
      </c>
      <c r="T216">
        <f>IF(L216="","",O216/'[1]LOCH Calc COE Calc'!$C$28)</f>
        <v>73.378510373120719</v>
      </c>
      <c r="U216">
        <f>IF(L216="","",P216/'[1]LOCH Calc COE Calc'!$C$28)</f>
        <v>0.24006812351671644</v>
      </c>
      <c r="V216">
        <f>IF(L216="","",Q216/'[1]LOCH Calc COE Calc'!$C$28)</f>
        <v>3.2100000000000004</v>
      </c>
      <c r="W216">
        <f>IF(L216="","",R216/'[1]LOCH Calc COE Calc'!$C$28)</f>
        <v>0.21114397365631307</v>
      </c>
    </row>
    <row r="217" spans="12:23" x14ac:dyDescent="0.25">
      <c r="L217" s="4">
        <f>IF('[1]All Data '!BE222="","",'[1]All Data '!BE222)</f>
        <v>5.5E-2</v>
      </c>
      <c r="M217">
        <f>IF('[1]All Data '!BF222="","",'[1]All Data '!BF222)</f>
        <v>4767.5627999999997</v>
      </c>
      <c r="N217" s="5">
        <f>IF('[1]All Data '!BB222="","",'[1]All Data '!BC222/'[1]All Data '!BH222)</f>
        <v>356126.5</v>
      </c>
      <c r="O217" s="5">
        <f t="shared" si="5"/>
        <v>1697855453.4942</v>
      </c>
      <c r="P217" s="5">
        <f>IF(M217="","",$C$2*(1-L217)*907.2/0.621371*N217*[1]Transportation!$M$40)</f>
        <v>5554773.0616276516</v>
      </c>
      <c r="Q217" s="5">
        <f>IF(L217="","",IF([1]Inputs_Outputs!$B$5="Herbaceous",(LCA!$E$29*'[1]LOCH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7" s="5">
        <f>IF(M217="","",$E$2*1000*'[1]LOCH Calc COE Calc'!$C$44)</f>
        <v>4896457.3202133691</v>
      </c>
      <c r="S217" s="6">
        <f>IF(N217="","",SUM(O217:R217)/('[1]LOCH Calc COE Calc'!$C$28))</f>
        <v>76.875231384373308</v>
      </c>
      <c r="T217">
        <f>IF(L217="","",O217/'[1]LOCH Calc COE Calc'!$C$28)</f>
        <v>73.214555688026522</v>
      </c>
      <c r="U217">
        <f>IF(L217="","",P217/'[1]LOCH Calc COE Calc'!$C$28)</f>
        <v>0.23953172269047729</v>
      </c>
      <c r="V217">
        <f>IF(L217="","",Q217/'[1]LOCH Calc COE Calc'!$C$28)</f>
        <v>3.2100000000000004</v>
      </c>
      <c r="W217">
        <f>IF(L217="","",R217/'[1]LOCH Calc COE Calc'!$C$28)</f>
        <v>0.21114397365631307</v>
      </c>
    </row>
    <row r="218" spans="12:23" x14ac:dyDescent="0.25">
      <c r="L218" s="4">
        <f>IF('[1]All Data '!BE223="","",'[1]All Data '!BE223)</f>
        <v>5.5E-2</v>
      </c>
      <c r="M218">
        <f>IF('[1]All Data '!BF223="","",'[1]All Data '!BF223)</f>
        <v>4767.5627999999997</v>
      </c>
      <c r="N218" s="5">
        <f>IF('[1]All Data '!BB223="","",'[1]All Data '!BC223/'[1]All Data '!BH223)</f>
        <v>355847</v>
      </c>
      <c r="O218" s="5">
        <f t="shared" si="5"/>
        <v>1696522919.6915998</v>
      </c>
      <c r="P218" s="5">
        <f>IF(M218="","",$C$2*(1-L218)*907.2/0.621371*N218*[1]Transportation!$M$40)</f>
        <v>5550413.4897600012</v>
      </c>
      <c r="Q218" s="5">
        <f>IF(L218="","",IF([1]Inputs_Outputs!$B$5="Herbaceous",(LCA!$E$29*'[1]LOCH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8" s="5">
        <f>IF(M218="","",$E$2*1000*'[1]LOCH Calc COE Calc'!$C$44)</f>
        <v>4896457.3202133691</v>
      </c>
      <c r="S218" s="6">
        <f>IF(N218="","",SUM(O218:R218)/('[1]LOCH Calc COE Calc'!$C$28))</f>
        <v>76.817582157395549</v>
      </c>
      <c r="T218">
        <f>IF(L218="","",O218/'[1]LOCH Calc COE Calc'!$C$28)</f>
        <v>73.157094453564028</v>
      </c>
      <c r="U218">
        <f>IF(L218="","",P218/'[1]LOCH Calc COE Calc'!$C$28)</f>
        <v>0.23934373017519978</v>
      </c>
      <c r="V218">
        <f>IF(L218="","",Q218/'[1]LOCH Calc COE Calc'!$C$28)</f>
        <v>3.2100000000000004</v>
      </c>
      <c r="W218">
        <f>IF(L218="","",R218/'[1]LOCH Calc COE Calc'!$C$28)</f>
        <v>0.21114397365631307</v>
      </c>
    </row>
    <row r="219" spans="12:23" x14ac:dyDescent="0.25">
      <c r="L219" s="4">
        <f>IF('[1]All Data '!BE224="","",'[1]All Data '!BE224)</f>
        <v>5.5000000000000007E-2</v>
      </c>
      <c r="M219">
        <f>IF('[1]All Data '!BF224="","",'[1]All Data '!BF224)</f>
        <v>4767.5627999999997</v>
      </c>
      <c r="N219" s="5">
        <f>IF('[1]All Data '!BB224="","",'[1]All Data '!BC224/'[1]All Data '!BH224)</f>
        <v>354692.5</v>
      </c>
      <c r="O219" s="5">
        <f t="shared" si="5"/>
        <v>1691018768.4389999</v>
      </c>
      <c r="P219" s="5">
        <f>IF(M219="","",$C$2*(1-L219)*907.2/0.621371*N219*[1]Transportation!$M$40)</f>
        <v>5532405.8843174148</v>
      </c>
      <c r="Q219" s="5">
        <f>IF(L219="","",IF([1]Inputs_Outputs!$B$5="Herbaceous",(LCA!$E$29*'[1]LOCH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19" s="5">
        <f>IF(M219="","",$E$2*1000*'[1]LOCH Calc COE Calc'!$C$44)</f>
        <v>4896457.3202133691</v>
      </c>
      <c r="S219" s="6">
        <f>IF(N219="","",SUM(O219:R219)/('[1]LOCH Calc COE Calc'!$C$28))</f>
        <v>76.579456817338937</v>
      </c>
      <c r="T219">
        <f>IF(L219="","",O219/'[1]LOCH Calc COE Calc'!$C$28)</f>
        <v>72.919745633574991</v>
      </c>
      <c r="U219">
        <f>IF(L219="","",P219/'[1]LOCH Calc COE Calc'!$C$28)</f>
        <v>0.23856721010762219</v>
      </c>
      <c r="V219">
        <f>IF(L219="","",Q219/'[1]LOCH Calc COE Calc'!$C$28)</f>
        <v>3.2100000000000004</v>
      </c>
      <c r="W219">
        <f>IF(L219="","",R219/'[1]LOCH Calc COE Calc'!$C$28)</f>
        <v>0.21114397365631307</v>
      </c>
    </row>
    <row r="220" spans="12:23" x14ac:dyDescent="0.25">
      <c r="L220" s="4">
        <f>IF('[1]All Data '!BE225="","",'[1]All Data '!BE225)</f>
        <v>5.5000000000000007E-2</v>
      </c>
      <c r="M220">
        <f>IF('[1]All Data '!BF225="","",'[1]All Data '!BF225)</f>
        <v>4767.5627999999997</v>
      </c>
      <c r="N220" s="5">
        <f>IF('[1]All Data '!BB225="","",'[1]All Data '!BC225/'[1]All Data '!BH225)</f>
        <v>354692.5</v>
      </c>
      <c r="O220" s="5">
        <f t="shared" si="5"/>
        <v>1691018768.4389999</v>
      </c>
      <c r="P220" s="5">
        <f>IF(M220="","",$C$2*(1-L220)*907.2/0.621371*N220*[1]Transportation!$M$40)</f>
        <v>5532405.8843174148</v>
      </c>
      <c r="Q220" s="5">
        <f>IF(L220="","",IF([1]Inputs_Outputs!$B$5="Herbaceous",(LCA!$E$29*'[1]LOCH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0" s="5">
        <f>IF(M220="","",$E$2*1000*'[1]LOCH Calc COE Calc'!$C$44)</f>
        <v>4896457.3202133691</v>
      </c>
      <c r="S220" s="6">
        <f>IF(N220="","",SUM(O220:R220)/('[1]LOCH Calc COE Calc'!$C$28))</f>
        <v>76.579456817338937</v>
      </c>
      <c r="T220">
        <f>IF(L220="","",O220/'[1]LOCH Calc COE Calc'!$C$28)</f>
        <v>72.919745633574991</v>
      </c>
      <c r="U220">
        <f>IF(L220="","",P220/'[1]LOCH Calc COE Calc'!$C$28)</f>
        <v>0.23856721010762219</v>
      </c>
      <c r="V220">
        <f>IF(L220="","",Q220/'[1]LOCH Calc COE Calc'!$C$28)</f>
        <v>3.2100000000000004</v>
      </c>
      <c r="W220">
        <f>IF(L220="","",R220/'[1]LOCH Calc COE Calc'!$C$28)</f>
        <v>0.21114397365631307</v>
      </c>
    </row>
    <row r="221" spans="12:23" x14ac:dyDescent="0.25">
      <c r="L221" s="4">
        <f>IF('[1]All Data '!BE226="","",'[1]All Data '!BE226)</f>
        <v>5.5E-2</v>
      </c>
      <c r="M221">
        <f>IF('[1]All Data '!BF226="","",'[1]All Data '!BF226)</f>
        <v>4767.5627999999997</v>
      </c>
      <c r="N221" s="5">
        <f>IF('[1]All Data '!BB226="","",'[1]All Data '!BC226/'[1]All Data '!BH226)</f>
        <v>353427</v>
      </c>
      <c r="O221" s="5">
        <f t="shared" si="5"/>
        <v>1684985417.7155998</v>
      </c>
      <c r="P221" s="5">
        <f>IF(M221="","",$C$2*(1-L221)*907.2/0.621371*N221*[1]Transportation!$M$40)</f>
        <v>5512666.9283298943</v>
      </c>
      <c r="Q221" s="5">
        <f>IF(L221="","",IF([1]Inputs_Outputs!$B$5="Herbaceous",(LCA!$E$29*'[1]LOCH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1" s="5">
        <f>IF(M221="","",$E$2*1000*'[1]LOCH Calc COE Calc'!$C$44)</f>
        <v>4896457.3202133691</v>
      </c>
      <c r="S221" s="6">
        <f>IF(N221="","",SUM(O221:R221)/('[1]LOCH Calc COE Calc'!$C$28))</f>
        <v>76.318436793223171</v>
      </c>
      <c r="T221">
        <f>IF(L221="","",O221/'[1]LOCH Calc COE Calc'!$C$28)</f>
        <v>72.659576788450579</v>
      </c>
      <c r="U221">
        <f>IF(L221="","",P221/'[1]LOCH Calc COE Calc'!$C$28)</f>
        <v>0.23771603111626718</v>
      </c>
      <c r="V221">
        <f>IF(L221="","",Q221/'[1]LOCH Calc COE Calc'!$C$28)</f>
        <v>3.2100000000000004</v>
      </c>
      <c r="W221">
        <f>IF(L221="","",R221/'[1]LOCH Calc COE Calc'!$C$28)</f>
        <v>0.21114397365631307</v>
      </c>
    </row>
    <row r="222" spans="12:23" x14ac:dyDescent="0.25">
      <c r="L222" s="4">
        <f>IF('[1]All Data '!BE227="","",'[1]All Data '!BE227)</f>
        <v>5.4999999999999993E-2</v>
      </c>
      <c r="M222">
        <f>IF('[1]All Data '!BF227="","",'[1]All Data '!BF227)</f>
        <v>4767.5627999999997</v>
      </c>
      <c r="N222" s="5">
        <f>IF('[1]All Data '!BB227="","",'[1]All Data '!BC227/'[1]All Data '!BH227)</f>
        <v>352495.5</v>
      </c>
      <c r="O222" s="5">
        <f t="shared" si="5"/>
        <v>1680544432.9673998</v>
      </c>
      <c r="P222" s="5">
        <f>IF(M222="","",$C$2*(1-L222)*907.2/0.621371*N222*[1]Transportation!$M$40)</f>
        <v>5498137.6217298349</v>
      </c>
      <c r="Q222" s="5">
        <f>IF(L222="","",IF([1]Inputs_Outputs!$B$5="Herbaceous",(LCA!$E$29*'[1]LOCH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2" s="5">
        <f>IF(M222="","",$E$2*1000*'[1]LOCH Calc COE Calc'!$C$44)</f>
        <v>4896457.3202133691</v>
      </c>
      <c r="S222" s="6">
        <f>IF(N222="","",SUM(O222:R222)/('[1]LOCH Calc COE Calc'!$C$28))</f>
        <v>76.126307079699785</v>
      </c>
      <c r="T222">
        <f>IF(L222="","",O222/'[1]LOCH Calc COE Calc'!$C$28)</f>
        <v>72.468073604544315</v>
      </c>
      <c r="U222">
        <f>IF(L222="","",P222/'[1]LOCH Calc COE Calc'!$C$28)</f>
        <v>0.23708950149916153</v>
      </c>
      <c r="V222">
        <f>IF(L222="","",Q222/'[1]LOCH Calc COE Calc'!$C$28)</f>
        <v>3.2100000000000004</v>
      </c>
      <c r="W222">
        <f>IF(L222="","",R222/'[1]LOCH Calc COE Calc'!$C$28)</f>
        <v>0.21114397365631307</v>
      </c>
    </row>
    <row r="223" spans="12:23" x14ac:dyDescent="0.25">
      <c r="L223" s="4">
        <f>IF('[1]All Data '!BE228="","",'[1]All Data '!BE228)</f>
        <v>5.5E-2</v>
      </c>
      <c r="M223">
        <f>IF('[1]All Data '!BF228="","",'[1]All Data '!BF228)</f>
        <v>4767.5627999999997</v>
      </c>
      <c r="N223" s="5">
        <f>IF('[1]All Data '!BB228="","",'[1]All Data '!BC228/'[1]All Data '!BH228)</f>
        <v>352365.5</v>
      </c>
      <c r="O223" s="5">
        <f t="shared" si="5"/>
        <v>1679924649.8033998</v>
      </c>
      <c r="P223" s="5">
        <f>IF(M223="","",$C$2*(1-L223)*907.2/0.621371*N223*[1]Transportation!$M$40)</f>
        <v>5496109.9138844162</v>
      </c>
      <c r="Q223" s="5">
        <f>IF(L223="","",IF([1]Inputs_Outputs!$B$5="Herbaceous",(LCA!$E$29*'[1]LOCH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3" s="5">
        <f>IF(M223="","",$E$2*1000*'[1]LOCH Calc COE Calc'!$C$44)</f>
        <v>4896457.3202133691</v>
      </c>
      <c r="S223" s="6">
        <f>IF(N223="","",SUM(O223:R223)/('[1]LOCH Calc COE Calc'!$C$28))</f>
        <v>76.099493485756639</v>
      </c>
      <c r="T223">
        <f>IF(L223="","",O223/'[1]LOCH Calc COE Calc'!$C$28)</f>
        <v>72.441347448980366</v>
      </c>
      <c r="U223">
        <f>IF(L223="","",P223/'[1]LOCH Calc COE Calc'!$C$28)</f>
        <v>0.23700206311996269</v>
      </c>
      <c r="V223">
        <f>IF(L223="","",Q223/'[1]LOCH Calc COE Calc'!$C$28)</f>
        <v>3.2100000000000004</v>
      </c>
      <c r="W223">
        <f>IF(L223="","",R223/'[1]LOCH Calc COE Calc'!$C$28)</f>
        <v>0.21114397365631307</v>
      </c>
    </row>
    <row r="224" spans="12:23" x14ac:dyDescent="0.25">
      <c r="L224" s="4">
        <f>IF('[1]All Data '!BE229="","",'[1]All Data '!BE229)</f>
        <v>5.5E-2</v>
      </c>
      <c r="M224">
        <f>IF('[1]All Data '!BF229="","",'[1]All Data '!BF229)</f>
        <v>4767.5627999999997</v>
      </c>
      <c r="N224" s="5">
        <f>IF('[1]All Data '!BB229="","",'[1]All Data '!BC229/'[1]All Data '!BH229)</f>
        <v>351384.5</v>
      </c>
      <c r="O224" s="5">
        <f t="shared" si="5"/>
        <v>1675247670.6966</v>
      </c>
      <c r="P224" s="5">
        <f>IF(M224="","",$C$2*(1-L224)*907.2/0.621371*N224*[1]Transportation!$M$40)</f>
        <v>5480808.518527831</v>
      </c>
      <c r="Q224" s="5">
        <f>IF(L224="","",IF([1]Inputs_Outputs!$B$5="Herbaceous",(LCA!$E$29*'[1]LOCH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4" s="5">
        <f>IF(M224="","",$E$2*1000*'[1]LOCH Calc COE Calc'!$C$44)</f>
        <v>4896457.3202133691</v>
      </c>
      <c r="S224" s="6">
        <f>IF(N224="","",SUM(O224:R224)/('[1]LOCH Calc COE Calc'!$C$28))</f>
        <v>75.897153980693375</v>
      </c>
      <c r="T224">
        <f>IF(L224="","",O224/'[1]LOCH Calc COE Calc'!$C$28)</f>
        <v>72.239667767378606</v>
      </c>
      <c r="U224">
        <f>IF(L224="","",P224/'[1]LOCH Calc COE Calc'!$C$28)</f>
        <v>0.23634223965846973</v>
      </c>
      <c r="V224">
        <f>IF(L224="","",Q224/'[1]LOCH Calc COE Calc'!$C$28)</f>
        <v>3.2100000000000004</v>
      </c>
      <c r="W224">
        <f>IF(L224="","",R224/'[1]LOCH Calc COE Calc'!$C$28)</f>
        <v>0.21114397365631307</v>
      </c>
    </row>
    <row r="225" spans="12:23" x14ac:dyDescent="0.25">
      <c r="L225" s="4">
        <f>IF('[1]All Data '!BE230="","",'[1]All Data '!BE230)</f>
        <v>5.4999999999999993E-2</v>
      </c>
      <c r="M225">
        <f>IF('[1]All Data '!BF230="","",'[1]All Data '!BF230)</f>
        <v>4767.5627999999997</v>
      </c>
      <c r="N225" s="5">
        <f>IF('[1]All Data '!BB230="","",'[1]All Data '!BC230/'[1]All Data '!BH230)</f>
        <v>351283</v>
      </c>
      <c r="O225" s="5">
        <f t="shared" si="5"/>
        <v>1674763763.0723999</v>
      </c>
      <c r="P225" s="5">
        <f>IF(M225="","",$C$2*(1-L225)*907.2/0.621371*N225*[1]Transportation!$M$40)</f>
        <v>5479225.3466331391</v>
      </c>
      <c r="Q225" s="5">
        <f>IF(L225="","",IF([1]Inputs_Outputs!$B$5="Herbaceous",(LCA!$E$29*'[1]LOCH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5" s="5">
        <f>IF(M225="","",$E$2*1000*'[1]LOCH Calc COE Calc'!$C$44)</f>
        <v>4896457.3202133691</v>
      </c>
      <c r="S225" s="6">
        <f>IF(N225="","",SUM(O225:R225)/('[1]LOCH Calc COE Calc'!$C$28))</f>
        <v>75.876218751576232</v>
      </c>
      <c r="T225">
        <f>IF(L225="","",O225/'[1]LOCH Calc COE Calc'!$C$28)</f>
        <v>72.218800807457512</v>
      </c>
      <c r="U225">
        <f>IF(L225="","",P225/'[1]LOCH Calc COE Calc'!$C$28)</f>
        <v>0.23627397046240295</v>
      </c>
      <c r="V225">
        <f>IF(L225="","",Q225/'[1]LOCH Calc COE Calc'!$C$28)</f>
        <v>3.2100000000000004</v>
      </c>
      <c r="W225">
        <f>IF(L225="","",R225/'[1]LOCH Calc COE Calc'!$C$28)</f>
        <v>0.21114397365631307</v>
      </c>
    </row>
    <row r="226" spans="12:23" x14ac:dyDescent="0.25">
      <c r="L226" s="4">
        <f>IF('[1]All Data '!BE231="","",'[1]All Data '!BE231)</f>
        <v>5.5E-2</v>
      </c>
      <c r="M226">
        <f>IF('[1]All Data '!BF231="","",'[1]All Data '!BF231)</f>
        <v>4767.5627999999997</v>
      </c>
      <c r="N226" s="5">
        <f>IF('[1]All Data '!BB231="","",'[1]All Data '!BC231/'[1]All Data '!BH231)</f>
        <v>351078</v>
      </c>
      <c r="O226" s="5">
        <f t="shared" si="5"/>
        <v>1673786412.6983998</v>
      </c>
      <c r="P226" s="5">
        <f>IF(M226="","",$C$2*(1-L226)*907.2/0.621371*N226*[1]Transportation!$M$40)</f>
        <v>5476027.8073384399</v>
      </c>
      <c r="Q226" s="5">
        <f>IF(L226="","",IF([1]Inputs_Outputs!$B$5="Herbaceous",(LCA!$E$29*'[1]LOCH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6" s="5">
        <f>IF(M226="","",$E$2*1000*'[1]LOCH Calc COE Calc'!$C$44)</f>
        <v>4896457.3202133691</v>
      </c>
      <c r="S226" s="6">
        <f>IF(N226="","",SUM(O226:R226)/('[1]LOCH Calc COE Calc'!$C$28))</f>
        <v>75.83393577651205</v>
      </c>
      <c r="T226">
        <f>IF(L226="","",O226/'[1]LOCH Calc COE Calc'!$C$28)</f>
        <v>72.176655715991288</v>
      </c>
      <c r="U226">
        <f>IF(L226="","",P226/'[1]LOCH Calc COE Calc'!$C$28)</f>
        <v>0.23613608686443552</v>
      </c>
      <c r="V226">
        <f>IF(L226="","",Q226/'[1]LOCH Calc COE Calc'!$C$28)</f>
        <v>3.2100000000000004</v>
      </c>
      <c r="W226">
        <f>IF(L226="","",R226/'[1]LOCH Calc COE Calc'!$C$28)</f>
        <v>0.21114397365631307</v>
      </c>
    </row>
    <row r="227" spans="12:23" x14ac:dyDescent="0.25">
      <c r="L227" s="4">
        <f>IF('[1]All Data '!BE232="","",'[1]All Data '!BE232)</f>
        <v>5.5E-2</v>
      </c>
      <c r="M227">
        <f>IF('[1]All Data '!BF232="","",'[1]All Data '!BF232)</f>
        <v>4767.5627999999997</v>
      </c>
      <c r="N227" s="5">
        <f>IF('[1]All Data '!BB232="","",'[1]All Data '!BC232/'[1]All Data '!BH232)</f>
        <v>350116.5</v>
      </c>
      <c r="O227" s="5">
        <f t="shared" si="5"/>
        <v>1669202401.0661998</v>
      </c>
      <c r="P227" s="5">
        <f>IF(M227="","",$C$2*(1-L227)*907.2/0.621371*N227*[1]Transportation!$M$40)</f>
        <v>5461030.5681586675</v>
      </c>
      <c r="Q227" s="5">
        <f>IF(L227="","",IF([1]Inputs_Outputs!$B$5="Herbaceous",(LCA!$E$29*'[1]LOCH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7" s="5">
        <f>IF(M227="","",$E$2*1000*'[1]LOCH Calc COE Calc'!$C$44)</f>
        <v>4896457.3202133691</v>
      </c>
      <c r="S227" s="6">
        <f>IF(N227="","",SUM(O227:R227)/('[1]LOCH Calc COE Calc'!$C$28))</f>
        <v>75.635618310540238</v>
      </c>
      <c r="T227">
        <f>IF(L227="","",O227/'[1]LOCH Calc COE Calc'!$C$28)</f>
        <v>71.978984957724109</v>
      </c>
      <c r="U227">
        <f>IF(L227="","",P227/'[1]LOCH Calc COE Calc'!$C$28)</f>
        <v>0.2354893791598224</v>
      </c>
      <c r="V227">
        <f>IF(L227="","",Q227/'[1]LOCH Calc COE Calc'!$C$28)</f>
        <v>3.2100000000000004</v>
      </c>
      <c r="W227">
        <f>IF(L227="","",R227/'[1]LOCH Calc COE Calc'!$C$28)</f>
        <v>0.21114397365631307</v>
      </c>
    </row>
    <row r="228" spans="12:23" x14ac:dyDescent="0.25">
      <c r="L228" s="4">
        <f>IF('[1]All Data '!BE233="","",'[1]All Data '!BE233)</f>
        <v>5.5E-2</v>
      </c>
      <c r="M228">
        <f>IF('[1]All Data '!BF233="","",'[1]All Data '!BF233)</f>
        <v>4767.5627999999997</v>
      </c>
      <c r="N228" s="5">
        <f>IF('[1]All Data '!BB233="","",'[1]All Data '!BC233/'[1]All Data '!BH233)</f>
        <v>349100.5</v>
      </c>
      <c r="O228" s="5">
        <f t="shared" si="5"/>
        <v>1664358557.2614</v>
      </c>
      <c r="P228" s="5">
        <f>IF(M228="","",$C$2*(1-L228)*907.2/0.621371*N228*[1]Transportation!$M$40)</f>
        <v>5445183.2514590863</v>
      </c>
      <c r="Q228" s="5">
        <f>IF(L228="","",IF([1]Inputs_Outputs!$B$5="Herbaceous",(LCA!$E$29*'[1]LOCH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8" s="5">
        <f>IF(M228="","",$E$2*1000*'[1]LOCH Calc COE Calc'!$C$44)</f>
        <v>4896457.3202133691</v>
      </c>
      <c r="S228" s="6">
        <f>IF(N228="","",SUM(O228:R228)/('[1]LOCH Calc COE Calc'!$C$28))</f>
        <v>75.426059760953834</v>
      </c>
      <c r="T228">
        <f>IF(L228="","",O228/'[1]LOCH Calc COE Calc'!$C$28)</f>
        <v>71.770109772701275</v>
      </c>
      <c r="U228">
        <f>IF(L228="","",P228/'[1]LOCH Calc COE Calc'!$C$28)</f>
        <v>0.23480601459623751</v>
      </c>
      <c r="V228">
        <f>IF(L228="","",Q228/'[1]LOCH Calc COE Calc'!$C$28)</f>
        <v>3.2100000000000004</v>
      </c>
      <c r="W228">
        <f>IF(L228="","",R228/'[1]LOCH Calc COE Calc'!$C$28)</f>
        <v>0.21114397365631307</v>
      </c>
    </row>
    <row r="229" spans="12:23" x14ac:dyDescent="0.25">
      <c r="L229" s="4">
        <f>IF('[1]All Data '!BE234="","",'[1]All Data '!BE234)</f>
        <v>5.5000000000000007E-2</v>
      </c>
      <c r="M229">
        <f>IF('[1]All Data '!BF234="","",'[1]All Data '!BF234)</f>
        <v>4767.5627999999997</v>
      </c>
      <c r="N229" s="5">
        <f>IF('[1]All Data '!BB234="","",'[1]All Data '!BC234/'[1]All Data '!BH234)</f>
        <v>345792.5</v>
      </c>
      <c r="O229" s="5">
        <f t="shared" si="5"/>
        <v>1648587459.5189998</v>
      </c>
      <c r="P229" s="5">
        <f>IF(M229="","",$C$2*(1-L229)*907.2/0.621371*N229*[1]Transportation!$M$40)</f>
        <v>5393585.8856695015</v>
      </c>
      <c r="Q229" s="5">
        <f>IF(L229="","",IF([1]Inputs_Outputs!$B$5="Herbaceous",(LCA!$E$29*'[1]LOCH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29" s="5">
        <f>IF(M229="","",$E$2*1000*'[1]LOCH Calc COE Calc'!$C$44)</f>
        <v>4896457.3202133691</v>
      </c>
      <c r="S229" s="6">
        <f>IF(N229="","",SUM(O229:R229)/('[1]LOCH Calc COE Calc'!$C$28))</f>
        <v>74.743756924308272</v>
      </c>
      <c r="T229">
        <f>IF(L229="","",O229/'[1]LOCH Calc COE Calc'!$C$28)</f>
        <v>71.090031906504876</v>
      </c>
      <c r="U229">
        <f>IF(L229="","",P229/'[1]LOCH Calc COE Calc'!$C$28)</f>
        <v>0.23258104414708503</v>
      </c>
      <c r="V229">
        <f>IF(L229="","",Q229/'[1]LOCH Calc COE Calc'!$C$28)</f>
        <v>3.2100000000000004</v>
      </c>
      <c r="W229">
        <f>IF(L229="","",R229/'[1]LOCH Calc COE Calc'!$C$28)</f>
        <v>0.21114397365631307</v>
      </c>
    </row>
    <row r="230" spans="12:23" x14ac:dyDescent="0.25">
      <c r="L230" s="4">
        <f>IF('[1]All Data '!BE235="","",'[1]All Data '!BE235)</f>
        <v>5.5000000000000007E-2</v>
      </c>
      <c r="M230">
        <f>IF('[1]All Data '!BF235="","",'[1]All Data '!BF235)</f>
        <v>4767.5627999999997</v>
      </c>
      <c r="N230" s="5">
        <f>IF('[1]All Data '!BB235="","",'[1]All Data '!BC235/'[1]All Data '!BH235)</f>
        <v>345792.5</v>
      </c>
      <c r="O230" s="5">
        <f t="shared" si="5"/>
        <v>1648587459.5189998</v>
      </c>
      <c r="P230" s="5">
        <f>IF(M230="","",$C$2*(1-L230)*907.2/0.621371*N230*[1]Transportation!$M$40)</f>
        <v>5393585.8856695015</v>
      </c>
      <c r="Q230" s="5">
        <f>IF(L230="","",IF([1]Inputs_Outputs!$B$5="Herbaceous",(LCA!$E$29*'[1]LOCH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0" s="5">
        <f>IF(M230="","",$E$2*1000*'[1]LOCH Calc COE Calc'!$C$44)</f>
        <v>4896457.3202133691</v>
      </c>
      <c r="S230" s="6">
        <f>IF(N230="","",SUM(O230:R230)/('[1]LOCH Calc COE Calc'!$C$28))</f>
        <v>74.743756924308272</v>
      </c>
      <c r="T230">
        <f>IF(L230="","",O230/'[1]LOCH Calc COE Calc'!$C$28)</f>
        <v>71.090031906504876</v>
      </c>
      <c r="U230">
        <f>IF(L230="","",P230/'[1]LOCH Calc COE Calc'!$C$28)</f>
        <v>0.23258104414708503</v>
      </c>
      <c r="V230">
        <f>IF(L230="","",Q230/'[1]LOCH Calc COE Calc'!$C$28)</f>
        <v>3.2100000000000004</v>
      </c>
      <c r="W230">
        <f>IF(L230="","",R230/'[1]LOCH Calc COE Calc'!$C$28)</f>
        <v>0.21114397365631307</v>
      </c>
    </row>
    <row r="231" spans="12:23" x14ac:dyDescent="0.25">
      <c r="L231" s="4">
        <f>IF('[1]All Data '!BE236="","",'[1]All Data '!BE236)</f>
        <v>5.5E-2</v>
      </c>
      <c r="M231">
        <f>IF('[1]All Data '!BF236="","",'[1]All Data '!BF236)</f>
        <v>4767.5627999999997</v>
      </c>
      <c r="N231" s="5">
        <f>IF('[1]All Data '!BB236="","",'[1]All Data '!BC236/'[1]All Data '!BH236)</f>
        <v>336803</v>
      </c>
      <c r="O231" s="5">
        <f t="shared" si="5"/>
        <v>1605729453.7284</v>
      </c>
      <c r="P231" s="5">
        <f>IF(M231="","",$C$2*(1-L231)*907.2/0.621371*N231*[1]Transportation!$M$40)</f>
        <v>5253369.8881587805</v>
      </c>
      <c r="Q231" s="5">
        <f>IF(L231="","",IF([1]Inputs_Outputs!$B$5="Herbaceous",(LCA!$E$29*'[1]LOCH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1" s="5">
        <f>IF(M231="","",$E$2*1000*'[1]LOCH Calc COE Calc'!$C$44)</f>
        <v>4896457.3202133691</v>
      </c>
      <c r="S231" s="6">
        <f>IF(N231="","",SUM(O231:R231)/('[1]LOCH Calc COE Calc'!$C$28))</f>
        <v>72.889596903139847</v>
      </c>
      <c r="T231">
        <f>IF(L231="","",O231/'[1]LOCH Calc COE Calc'!$C$28)</f>
        <v>69.241918249258049</v>
      </c>
      <c r="U231">
        <f>IF(L231="","",P231/'[1]LOCH Calc COE Calc'!$C$28)</f>
        <v>0.22653468022548398</v>
      </c>
      <c r="V231">
        <f>IF(L231="","",Q231/'[1]LOCH Calc COE Calc'!$C$28)</f>
        <v>3.2100000000000004</v>
      </c>
      <c r="W231">
        <f>IF(L231="","",R231/'[1]LOCH Calc COE Calc'!$C$28)</f>
        <v>0.21114397365631307</v>
      </c>
    </row>
    <row r="232" spans="12:23" x14ac:dyDescent="0.25">
      <c r="L232" s="4">
        <f>IF('[1]All Data '!BE237="","",'[1]All Data '!BE237)</f>
        <v>5.5E-2</v>
      </c>
      <c r="M232">
        <f>IF('[1]All Data '!BF237="","",'[1]All Data '!BF237)</f>
        <v>4767.5627999999997</v>
      </c>
      <c r="N232" s="5">
        <f>IF('[1]All Data '!BB237="","",'[1]All Data '!BC237/'[1]All Data '!BH237)</f>
        <v>336747</v>
      </c>
      <c r="O232" s="5">
        <f t="shared" si="5"/>
        <v>1605462470.2115998</v>
      </c>
      <c r="P232" s="5">
        <f>IF(M232="","",$C$2*(1-L232)*907.2/0.621371*N232*[1]Transportation!$M$40)</f>
        <v>5252496.4140099846</v>
      </c>
      <c r="Q232" s="5">
        <f>IF(L232="","",IF([1]Inputs_Outputs!$B$5="Herbaceous",(LCA!$E$29*'[1]LOCH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2" s="5">
        <f>IF(M232="","",$E$2*1000*'[1]LOCH Calc COE Calc'!$C$44)</f>
        <v>4896457.3202133691</v>
      </c>
      <c r="S232" s="6">
        <f>IF(N232="","",SUM(O232:R232)/('[1]LOCH Calc COE Calc'!$C$28))</f>
        <v>72.878046431902803</v>
      </c>
      <c r="T232">
        <f>IF(L232="","",O232/'[1]LOCH Calc COE Calc'!$C$28)</f>
        <v>69.230405443784349</v>
      </c>
      <c r="U232">
        <f>IF(L232="","",P232/'[1]LOCH Calc COE Calc'!$C$28)</f>
        <v>0.2264970144621368</v>
      </c>
      <c r="V232">
        <f>IF(L232="","",Q232/'[1]LOCH Calc COE Calc'!$C$28)</f>
        <v>3.2100000000000004</v>
      </c>
      <c r="W232">
        <f>IF(L232="","",R232/'[1]LOCH Calc COE Calc'!$C$28)</f>
        <v>0.21114397365631307</v>
      </c>
    </row>
    <row r="233" spans="12:23" x14ac:dyDescent="0.25">
      <c r="L233" s="4">
        <f>IF('[1]All Data '!BE238="","",'[1]All Data '!BE238)</f>
        <v>5.5E-2</v>
      </c>
      <c r="M233">
        <f>IF('[1]All Data '!BF238="","",'[1]All Data '!BF238)</f>
        <v>4767.5627999999997</v>
      </c>
      <c r="N233" s="5">
        <f>IF('[1]All Data '!BB238="","",'[1]All Data '!BC238/'[1]All Data '!BH238)</f>
        <v>336747</v>
      </c>
      <c r="O233" s="5">
        <f t="shared" si="5"/>
        <v>1605462470.2115998</v>
      </c>
      <c r="P233" s="5">
        <f>IF(M233="","",$C$2*(1-L233)*907.2/0.621371*N233*[1]Transportation!$M$40)</f>
        <v>5252496.4140099846</v>
      </c>
      <c r="Q233" s="5">
        <f>IF(L233="","",IF([1]Inputs_Outputs!$B$5="Herbaceous",(LCA!$E$29*'[1]LOCH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3" s="5">
        <f>IF(M233="","",$E$2*1000*'[1]LOCH Calc COE Calc'!$C$44)</f>
        <v>4896457.3202133691</v>
      </c>
      <c r="S233" s="6">
        <f>IF(N233="","",SUM(O233:R233)/('[1]LOCH Calc COE Calc'!$C$28))</f>
        <v>72.878046431902803</v>
      </c>
      <c r="T233">
        <f>IF(L233="","",O233/'[1]LOCH Calc COE Calc'!$C$28)</f>
        <v>69.230405443784349</v>
      </c>
      <c r="U233">
        <f>IF(L233="","",P233/'[1]LOCH Calc COE Calc'!$C$28)</f>
        <v>0.2264970144621368</v>
      </c>
      <c r="V233">
        <f>IF(L233="","",Q233/'[1]LOCH Calc COE Calc'!$C$28)</f>
        <v>3.2100000000000004</v>
      </c>
      <c r="W233">
        <f>IF(L233="","",R233/'[1]LOCH Calc COE Calc'!$C$28)</f>
        <v>0.21114397365631307</v>
      </c>
    </row>
    <row r="234" spans="12:23" x14ac:dyDescent="0.25">
      <c r="L234" s="4">
        <f>IF('[1]All Data '!BE239="","",'[1]All Data '!BE239)</f>
        <v>5.5E-2</v>
      </c>
      <c r="M234">
        <f>IF('[1]All Data '!BF239="","",'[1]All Data '!BF239)</f>
        <v>4767.5627999999997</v>
      </c>
      <c r="N234" s="5">
        <f>IF('[1]All Data '!BB239="","",'[1]All Data '!BC239/'[1]All Data '!BH239)</f>
        <v>334850.5</v>
      </c>
      <c r="O234" s="5">
        <f t="shared" si="5"/>
        <v>1596420787.3613999</v>
      </c>
      <c r="P234" s="5">
        <f>IF(M234="","",$C$2*(1-L234)*907.2/0.621371*N234*[1]Transportation!$M$40)</f>
        <v>5222915.2760958532</v>
      </c>
      <c r="Q234" s="5">
        <f>IF(L234="","",IF([1]Inputs_Outputs!$B$5="Herbaceous",(LCA!$E$29*'[1]LOCH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4" s="5">
        <f>IF(M234="","",$E$2*1000*'[1]LOCH Calc COE Calc'!$C$44)</f>
        <v>4896457.3202133691</v>
      </c>
      <c r="S234" s="6">
        <f>IF(N234="","",SUM(O234:R234)/('[1]LOCH Calc COE Calc'!$C$28))</f>
        <v>72.486877347955314</v>
      </c>
      <c r="T234">
        <f>IF(L234="","",O234/'[1]LOCH Calc COE Calc'!$C$28)</f>
        <v>68.84051195126878</v>
      </c>
      <c r="U234">
        <f>IF(L234="","",P234/'[1]LOCH Calc COE Calc'!$C$28)</f>
        <v>0.22522142303020884</v>
      </c>
      <c r="V234">
        <f>IF(L234="","",Q234/'[1]LOCH Calc COE Calc'!$C$28)</f>
        <v>3.2100000000000004</v>
      </c>
      <c r="W234">
        <f>IF(L234="","",R234/'[1]LOCH Calc COE Calc'!$C$28)</f>
        <v>0.21114397365631307</v>
      </c>
    </row>
    <row r="235" spans="12:23" x14ac:dyDescent="0.25">
      <c r="L235" s="4">
        <f>IF('[1]All Data '!BE240="","",'[1]All Data '!BE240)</f>
        <v>5.5E-2</v>
      </c>
      <c r="M235">
        <f>IF('[1]All Data '!BF240="","",'[1]All Data '!BF240)</f>
        <v>4767.5627999999997</v>
      </c>
      <c r="N235" s="5">
        <f>IF('[1]All Data '!BB240="","",'[1]All Data '!BC240/'[1]All Data '!BH240)</f>
        <v>334661</v>
      </c>
      <c r="O235" s="5">
        <f t="shared" si="5"/>
        <v>1595517334.2107999</v>
      </c>
      <c r="P235" s="5">
        <f>IF(M235="","",$C$2*(1-L235)*907.2/0.621371*N235*[1]Transportation!$M$40)</f>
        <v>5219959.5019673388</v>
      </c>
      <c r="Q235" s="5">
        <f>IF(L235="","",IF([1]Inputs_Outputs!$B$5="Herbaceous",(LCA!$E$29*'[1]LOCH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5" s="5">
        <f>IF(M235="","",$E$2*1000*'[1]LOCH Calc COE Calc'!$C$44)</f>
        <v>4896457.3202133691</v>
      </c>
      <c r="S235" s="6">
        <f>IF(N235="","",SUM(O235:R235)/('[1]LOCH Calc COE Calc'!$C$28))</f>
        <v>72.447791378322805</v>
      </c>
      <c r="T235">
        <f>IF(L235="","",O235/'[1]LOCH Calc COE Calc'!$C$28)</f>
        <v>68.801553439889034</v>
      </c>
      <c r="U235">
        <f>IF(L235="","",P235/'[1]LOCH Calc COE Calc'!$C$28)</f>
        <v>0.22509396477745358</v>
      </c>
      <c r="V235">
        <f>IF(L235="","",Q235/'[1]LOCH Calc COE Calc'!$C$28)</f>
        <v>3.2100000000000004</v>
      </c>
      <c r="W235">
        <f>IF(L235="","",R235/'[1]LOCH Calc COE Calc'!$C$28)</f>
        <v>0.21114397365631307</v>
      </c>
    </row>
    <row r="236" spans="12:23" x14ac:dyDescent="0.25">
      <c r="L236" s="4">
        <f>IF('[1]All Data '!BE241="","",'[1]All Data '!BE241)</f>
        <v>5.5E-2</v>
      </c>
      <c r="M236">
        <f>IF('[1]All Data '!BF241="","",'[1]All Data '!BF241)</f>
        <v>4767.5627999999997</v>
      </c>
      <c r="N236" s="5">
        <f>IF('[1]All Data '!BB241="","",'[1]All Data '!BC241/'[1]All Data '!BH241)</f>
        <v>334661</v>
      </c>
      <c r="O236" s="5">
        <f t="shared" si="5"/>
        <v>1595517334.2107999</v>
      </c>
      <c r="P236" s="5">
        <f>IF(M236="","",$C$2*(1-L236)*907.2/0.621371*N236*[1]Transportation!$M$40)</f>
        <v>5219959.5019673388</v>
      </c>
      <c r="Q236" s="5">
        <f>IF(L236="","",IF([1]Inputs_Outputs!$B$5="Herbaceous",(LCA!$E$29*'[1]LOCH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6" s="5">
        <f>IF(M236="","",$E$2*1000*'[1]LOCH Calc COE Calc'!$C$44)</f>
        <v>4896457.3202133691</v>
      </c>
      <c r="S236" s="6">
        <f>IF(N236="","",SUM(O236:R236)/('[1]LOCH Calc COE Calc'!$C$28))</f>
        <v>72.447791378322805</v>
      </c>
      <c r="T236">
        <f>IF(L236="","",O236/'[1]LOCH Calc COE Calc'!$C$28)</f>
        <v>68.801553439889034</v>
      </c>
      <c r="U236">
        <f>IF(L236="","",P236/'[1]LOCH Calc COE Calc'!$C$28)</f>
        <v>0.22509396477745358</v>
      </c>
      <c r="V236">
        <f>IF(L236="","",Q236/'[1]LOCH Calc COE Calc'!$C$28)</f>
        <v>3.2100000000000004</v>
      </c>
      <c r="W236">
        <f>IF(L236="","",R236/'[1]LOCH Calc COE Calc'!$C$28)</f>
        <v>0.21114397365631307</v>
      </c>
    </row>
    <row r="237" spans="12:23" x14ac:dyDescent="0.25">
      <c r="L237" s="4">
        <f>IF('[1]All Data '!BE242="","",'[1]All Data '!BE242)</f>
        <v>5.5E-2</v>
      </c>
      <c r="M237">
        <f>IF('[1]All Data '!BF242="","",'[1]All Data '!BF242)</f>
        <v>4767.5627999999997</v>
      </c>
      <c r="N237" s="5">
        <f>IF('[1]All Data '!BB242="","",'[1]All Data '!BC242/'[1]All Data '!BH242)</f>
        <v>333859</v>
      </c>
      <c r="O237" s="5">
        <f t="shared" si="5"/>
        <v>1591693748.8451998</v>
      </c>
      <c r="P237" s="5">
        <f>IF(M237="","",$C$2*(1-L237)*907.2/0.621371*N237*[1]Transportation!$M$40)</f>
        <v>5207450.1043363698</v>
      </c>
      <c r="Q237" s="5">
        <f>IF(L237="","",IF([1]Inputs_Outputs!$B$5="Herbaceous",(LCA!$E$29*'[1]LOCH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7" s="5">
        <f>IF(M237="","",$E$2*1000*'[1]LOCH Calc COE Calc'!$C$44)</f>
        <v>4896457.3202133691</v>
      </c>
      <c r="S237" s="6">
        <f>IF(N237="","",SUM(O237:R237)/('[1]LOCH Calc COE Calc'!$C$28))</f>
        <v>72.282372129535091</v>
      </c>
      <c r="T237">
        <f>IF(L237="","",O237/'[1]LOCH Calc COE Calc'!$C$28)</f>
        <v>68.636673618640685</v>
      </c>
      <c r="U237">
        <f>IF(L237="","",P237/'[1]LOCH Calc COE Calc'!$C$28)</f>
        <v>0.22455453723808833</v>
      </c>
      <c r="V237">
        <f>IF(L237="","",Q237/'[1]LOCH Calc COE Calc'!$C$28)</f>
        <v>3.2100000000000004</v>
      </c>
      <c r="W237">
        <f>IF(L237="","",R237/'[1]LOCH Calc COE Calc'!$C$28)</f>
        <v>0.21114397365631307</v>
      </c>
    </row>
    <row r="238" spans="12:23" x14ac:dyDescent="0.25">
      <c r="L238" s="4">
        <f>IF('[1]All Data '!BE243="","",'[1]All Data '!BE243)</f>
        <v>5.5E-2</v>
      </c>
      <c r="M238">
        <f>IF('[1]All Data '!BF243="","",'[1]All Data '!BF243)</f>
        <v>4767.5627999999997</v>
      </c>
      <c r="N238" s="5">
        <f>IF('[1]All Data '!BB243="","",'[1]All Data '!BC243/'[1]All Data '!BH243)</f>
        <v>332213.5</v>
      </c>
      <c r="O238" s="5">
        <f t="shared" si="5"/>
        <v>1583848724.2577999</v>
      </c>
      <c r="P238" s="5">
        <f>IF(M238="","",$C$2*(1-L238)*907.2/0.621371*N238*[1]Transportation!$M$40)</f>
        <v>5181784.0023391638</v>
      </c>
      <c r="Q238" s="5">
        <f>IF(L238="","",IF([1]Inputs_Outputs!$B$5="Herbaceous",(LCA!$E$29*'[1]LOCH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8" s="5">
        <f>IF(M238="","",$E$2*1000*'[1]LOCH Calc COE Calc'!$C$44)</f>
        <v>4896457.3202133691</v>
      </c>
      <c r="S238" s="6">
        <f>IF(N238="","",SUM(O238:R238)/('[1]LOCH Calc COE Calc'!$C$28))</f>
        <v>71.942973907739372</v>
      </c>
      <c r="T238">
        <f>IF(L238="","",O238/'[1]LOCH Calc COE Calc'!$C$28)</f>
        <v>68.298382164944755</v>
      </c>
      <c r="U238">
        <f>IF(L238="","",P238/'[1]LOCH Calc COE Calc'!$C$28)</f>
        <v>0.22344776913830589</v>
      </c>
      <c r="V238">
        <f>IF(L238="","",Q238/'[1]LOCH Calc COE Calc'!$C$28)</f>
        <v>3.2100000000000004</v>
      </c>
      <c r="W238">
        <f>IF(L238="","",R238/'[1]LOCH Calc COE Calc'!$C$28)</f>
        <v>0.21114397365631307</v>
      </c>
    </row>
    <row r="239" spans="12:23" x14ac:dyDescent="0.25">
      <c r="L239" s="4">
        <f>IF('[1]All Data '!BE244="","",'[1]All Data '!BE244)</f>
        <v>5.5E-2</v>
      </c>
      <c r="M239">
        <f>IF('[1]All Data '!BF244="","",'[1]All Data '!BF244)</f>
        <v>4767.5627999999997</v>
      </c>
      <c r="N239" s="5">
        <f>IF('[1]All Data '!BB244="","",'[1]All Data '!BC244/'[1]All Data '!BH244)</f>
        <v>331416</v>
      </c>
      <c r="O239" s="5">
        <f t="shared" si="5"/>
        <v>1580046592.9247999</v>
      </c>
      <c r="P239" s="5">
        <f>IF(M239="","",$C$2*(1-L239)*907.2/0.621371*N239*[1]Transportation!$M$40)</f>
        <v>5169344.7945951503</v>
      </c>
      <c r="Q239" s="5">
        <f>IF(L239="","",IF([1]Inputs_Outputs!$B$5="Herbaceous",(LCA!$E$29*'[1]LOCH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39" s="5">
        <f>IF(M239="","",$E$2*1000*'[1]LOCH Calc COE Calc'!$C$44)</f>
        <v>4896457.3202133691</v>
      </c>
      <c r="S239" s="6">
        <f>IF(N239="","",SUM(O239:R239)/('[1]LOCH Calc COE Calc'!$C$28))</f>
        <v>71.77848282181894</v>
      </c>
      <c r="T239">
        <f>IF(L239="","",O239/'[1]LOCH Calc COE Calc'!$C$28)</f>
        <v>68.134427479850544</v>
      </c>
      <c r="U239">
        <f>IF(L239="","",P239/'[1]LOCH Calc COE Calc'!$C$28)</f>
        <v>0.2229113683120667</v>
      </c>
      <c r="V239">
        <f>IF(L239="","",Q239/'[1]LOCH Calc COE Calc'!$C$28)</f>
        <v>3.2100000000000004</v>
      </c>
      <c r="W239">
        <f>IF(L239="","",R239/'[1]LOCH Calc COE Calc'!$C$28)</f>
        <v>0.21114397365631307</v>
      </c>
    </row>
    <row r="240" spans="12:23" x14ac:dyDescent="0.25">
      <c r="L240" s="4">
        <f>IF('[1]All Data '!BE245="","",'[1]All Data '!BE245)</f>
        <v>5.5E-2</v>
      </c>
      <c r="M240">
        <f>IF('[1]All Data '!BF245="","",'[1]All Data '!BF245)</f>
        <v>4767.5627999999997</v>
      </c>
      <c r="N240" s="5">
        <f>IF('[1]All Data '!BB245="","",'[1]All Data '!BC245/'[1]All Data '!BH245)</f>
        <v>329086</v>
      </c>
      <c r="O240" s="5">
        <f t="shared" si="5"/>
        <v>1568938171.6007998</v>
      </c>
      <c r="P240" s="5">
        <f>IF(M240="","",$C$2*(1-L240)*907.2/0.621371*N240*[1]Transportation!$M$40)</f>
        <v>5133002.0309041794</v>
      </c>
      <c r="Q240" s="5">
        <f>IF(L240="","",IF([1]Inputs_Outputs!$B$5="Herbaceous",(LCA!$E$29*'[1]LOCH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0" s="5">
        <f>IF(M240="","",$E$2*1000*'[1]LOCH Calc COE Calc'!$C$44)</f>
        <v>4896457.3202133691</v>
      </c>
      <c r="S240" s="6">
        <f>IF(N240="","",SUM(O240:R240)/('[1]LOCH Calc COE Calc'!$C$28))</f>
        <v>71.297900714991812</v>
      </c>
      <c r="T240">
        <f>IF(L240="","",O240/'[1]LOCH Calc COE Calc'!$C$28)</f>
        <v>67.655412537819828</v>
      </c>
      <c r="U240">
        <f>IF(L240="","",P240/'[1]LOCH Calc COE Calc'!$C$28)</f>
        <v>0.2213442035156564</v>
      </c>
      <c r="V240">
        <f>IF(L240="","",Q240/'[1]LOCH Calc COE Calc'!$C$28)</f>
        <v>3.2100000000000004</v>
      </c>
      <c r="W240">
        <f>IF(L240="","",R240/'[1]LOCH Calc COE Calc'!$C$28)</f>
        <v>0.21114397365631307</v>
      </c>
    </row>
    <row r="241" spans="12:23" x14ac:dyDescent="0.25">
      <c r="L241" s="4">
        <f>IF('[1]All Data '!BE246="","",'[1]All Data '!BE246)</f>
        <v>5.5E-2</v>
      </c>
      <c r="M241">
        <f>IF('[1]All Data '!BF246="","",'[1]All Data '!BF246)</f>
        <v>4767.5627999999997</v>
      </c>
      <c r="N241" s="5">
        <f>IF('[1]All Data '!BB246="","",'[1]All Data '!BC246/'[1]All Data '!BH246)</f>
        <v>328441.5</v>
      </c>
      <c r="O241" s="5">
        <f t="shared" si="5"/>
        <v>1565865477.3762</v>
      </c>
      <c r="P241" s="5">
        <f>IF(M241="","",$C$2*(1-L241)*907.2/0.621371*N241*[1]Transportation!$M$40)</f>
        <v>5122949.2793166991</v>
      </c>
      <c r="Q241" s="5">
        <f>IF(L241="","",IF([1]Inputs_Outputs!$B$5="Herbaceous",(LCA!$E$29*'[1]LOCH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1" s="5">
        <f>IF(M241="","",$E$2*1000*'[1]LOCH Calc COE Calc'!$C$44)</f>
        <v>4896457.3202133691</v>
      </c>
      <c r="S241" s="6">
        <f>IF(N241="","",SUM(O241:R241)/('[1]LOCH Calc COE Calc'!$C$28))</f>
        <v>71.164967166558299</v>
      </c>
      <c r="T241">
        <f>IF(L241="","",O241/'[1]LOCH Calc COE Calc'!$C$28)</f>
        <v>67.522912481966273</v>
      </c>
      <c r="U241">
        <f>IF(L241="","",P241/'[1]LOCH Calc COE Calc'!$C$28)</f>
        <v>0.22091071093570516</v>
      </c>
      <c r="V241">
        <f>IF(L241="","",Q241/'[1]LOCH Calc COE Calc'!$C$28)</f>
        <v>3.2100000000000004</v>
      </c>
      <c r="W241">
        <f>IF(L241="","",R241/'[1]LOCH Calc COE Calc'!$C$28)</f>
        <v>0.21114397365631307</v>
      </c>
    </row>
    <row r="242" spans="12:23" x14ac:dyDescent="0.25">
      <c r="L242" s="4">
        <f>IF('[1]All Data '!BE247="","",'[1]All Data '!BE247)</f>
        <v>5.5E-2</v>
      </c>
      <c r="M242">
        <f>IF('[1]All Data '!BF247="","",'[1]All Data '!BF247)</f>
        <v>4767.5627999999997</v>
      </c>
      <c r="N242" s="5">
        <f>IF('[1]All Data '!BB247="","",'[1]All Data '!BC247/'[1]All Data '!BH247)</f>
        <v>328076</v>
      </c>
      <c r="O242" s="5">
        <f t="shared" si="5"/>
        <v>1564122933.1727998</v>
      </c>
      <c r="P242" s="5">
        <f>IF(M242="","",$C$2*(1-L242)*907.2/0.621371*N242*[1]Transportation!$M$40)</f>
        <v>5117248.3007205408</v>
      </c>
      <c r="Q242" s="5">
        <f>IF(L242="","",IF([1]Inputs_Outputs!$B$5="Herbaceous",(LCA!$E$29*'[1]LOCH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2" s="5">
        <f>IF(M242="","",$E$2*1000*'[1]LOCH Calc COE Calc'!$C$44)</f>
        <v>4896457.3202133691</v>
      </c>
      <c r="S242" s="6">
        <f>IF(N242="","",SUM(O242:R242)/('[1]LOCH Calc COE Calc'!$C$28))</f>
        <v>71.089579715895056</v>
      </c>
      <c r="T242">
        <f>IF(L242="","",O242/'[1]LOCH Calc COE Calc'!$C$28)</f>
        <v>67.447770867669178</v>
      </c>
      <c r="U242">
        <f>IF(L242="","",P242/'[1]LOCH Calc COE Calc'!$C$28)</f>
        <v>0.22066487456957301</v>
      </c>
      <c r="V242">
        <f>IF(L242="","",Q242/'[1]LOCH Calc COE Calc'!$C$28)</f>
        <v>3.2100000000000004</v>
      </c>
      <c r="W242">
        <f>IF(L242="","",R242/'[1]LOCH Calc COE Calc'!$C$28)</f>
        <v>0.21114397365631307</v>
      </c>
    </row>
    <row r="243" spans="12:23" x14ac:dyDescent="0.25">
      <c r="L243" s="4">
        <f>IF('[1]All Data '!BE248="","",'[1]All Data '!BE248)</f>
        <v>5.5E-2</v>
      </c>
      <c r="M243">
        <f>IF('[1]All Data '!BF248="","",'[1]All Data '!BF248)</f>
        <v>4767.5627999999997</v>
      </c>
      <c r="N243" s="5">
        <f>IF('[1]All Data '!BB248="","",'[1]All Data '!BC248/'[1]All Data '!BH248)</f>
        <v>327950</v>
      </c>
      <c r="O243" s="5">
        <f t="shared" si="5"/>
        <v>1563522220.26</v>
      </c>
      <c r="P243" s="5">
        <f>IF(M243="","",$C$2*(1-L243)*907.2/0.621371*N243*[1]Transportation!$M$40)</f>
        <v>5115282.9838857502</v>
      </c>
      <c r="Q243" s="5">
        <f>IF(L243="","",IF([1]Inputs_Outputs!$B$5="Herbaceous",(LCA!$E$29*'[1]LOCH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3" s="5">
        <f>IF(M243="","",$E$2*1000*'[1]LOCH Calc COE Calc'!$C$44)</f>
        <v>4896457.3202133691</v>
      </c>
      <c r="S243" s="6">
        <f>IF(N243="","",SUM(O243:R243)/('[1]LOCH Calc COE Calc'!$C$28))</f>
        <v>71.063591155611718</v>
      </c>
      <c r="T243">
        <f>IF(L243="","",O243/'[1]LOCH Calc COE Calc'!$C$28)</f>
        <v>67.42186705535336</v>
      </c>
      <c r="U243">
        <f>IF(L243="","",P243/'[1]LOCH Calc COE Calc'!$C$28)</f>
        <v>0.22058012660204179</v>
      </c>
      <c r="V243">
        <f>IF(L243="","",Q243/'[1]LOCH Calc COE Calc'!$C$28)</f>
        <v>3.2100000000000004</v>
      </c>
      <c r="W243">
        <f>IF(L243="","",R243/'[1]LOCH Calc COE Calc'!$C$28)</f>
        <v>0.21114397365631307</v>
      </c>
    </row>
    <row r="244" spans="12:23" x14ac:dyDescent="0.25">
      <c r="L244" s="4">
        <f>IF('[1]All Data '!BE249="","",'[1]All Data '!BE249)</f>
        <v>5.5E-2</v>
      </c>
      <c r="M244">
        <f>IF('[1]All Data '!BF249="","",'[1]All Data '!BF249)</f>
        <v>4767.5627999999997</v>
      </c>
      <c r="N244" s="5">
        <f>IF('[1]All Data '!BB249="","",'[1]All Data '!BC249/'[1]All Data '!BH249)</f>
        <v>324291.5</v>
      </c>
      <c r="O244" s="5">
        <f t="shared" si="5"/>
        <v>1546080091.7561998</v>
      </c>
      <c r="P244" s="5">
        <f>IF(M244="","",$C$2*(1-L244)*907.2/0.621371*N244*[1]Transportation!$M$40)</f>
        <v>5058218.6057898635</v>
      </c>
      <c r="Q244" s="5">
        <f>IF(L244="","",IF([1]Inputs_Outputs!$B$5="Herbaceous",(LCA!$E$29*'[1]LOCH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4" s="5">
        <f>IF(M244="","",$E$2*1000*'[1]LOCH Calc COE Calc'!$C$44)</f>
        <v>4896457.3202133691</v>
      </c>
      <c r="S244" s="6">
        <f>IF(N244="","",SUM(O244:R244)/('[1]LOCH Calc COE Calc'!$C$28))</f>
        <v>70.308994744527141</v>
      </c>
      <c r="T244">
        <f>IF(L244="","",O244/'[1]LOCH Calc COE Calc'!$C$28)</f>
        <v>66.669731362040309</v>
      </c>
      <c r="U244">
        <f>IF(L244="","",P244/'[1]LOCH Calc COE Calc'!$C$28)</f>
        <v>0.21811940883051087</v>
      </c>
      <c r="V244">
        <f>IF(L244="","",Q244/'[1]LOCH Calc COE Calc'!$C$28)</f>
        <v>3.2100000000000004</v>
      </c>
      <c r="W244">
        <f>IF(L244="","",R244/'[1]LOCH Calc COE Calc'!$C$28)</f>
        <v>0.21114397365631307</v>
      </c>
    </row>
    <row r="245" spans="12:23" x14ac:dyDescent="0.25">
      <c r="L245" s="4">
        <f>IF('[1]All Data '!BE250="","",'[1]All Data '!BE250)</f>
        <v>5.5E-2</v>
      </c>
      <c r="M245">
        <f>IF('[1]All Data '!BF250="","",'[1]All Data '!BF250)</f>
        <v>4767.5627999999997</v>
      </c>
      <c r="N245" s="5">
        <f>IF('[1]All Data '!BB250="","",'[1]All Data '!BC250/'[1]All Data '!BH250)</f>
        <v>324159.5</v>
      </c>
      <c r="O245" s="5">
        <f t="shared" si="5"/>
        <v>1545450773.4665999</v>
      </c>
      <c r="P245" s="5">
        <f>IF(M245="","",$C$2*(1-L245)*907.2/0.621371*N245*[1]Transportation!$M$40)</f>
        <v>5056159.7024391303</v>
      </c>
      <c r="Q245" s="5">
        <f>IF(L245="","",IF([1]Inputs_Outputs!$B$5="Herbaceous",(LCA!$E$29*'[1]LOCH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5" s="5">
        <f>IF(M245="","",$E$2*1000*'[1]LOCH Calc COE Calc'!$C$44)</f>
        <v>4896457.3202133691</v>
      </c>
      <c r="S245" s="6">
        <f>IF(N245="","",SUM(O245:R245)/('[1]LOCH Calc COE Calc'!$C$28))</f>
        <v>70.281768633754112</v>
      </c>
      <c r="T245">
        <f>IF(L245="","",O245/'[1]LOCH Calc COE Calc'!$C$28)</f>
        <v>66.642594034852308</v>
      </c>
      <c r="U245">
        <f>IF(L245="","",P245/'[1]LOCH Calc COE Calc'!$C$28)</f>
        <v>0.21803062524547817</v>
      </c>
      <c r="V245">
        <f>IF(L245="","",Q245/'[1]LOCH Calc COE Calc'!$C$28)</f>
        <v>3.2100000000000004</v>
      </c>
      <c r="W245">
        <f>IF(L245="","",R245/'[1]LOCH Calc COE Calc'!$C$28)</f>
        <v>0.21114397365631307</v>
      </c>
    </row>
    <row r="246" spans="12:23" x14ac:dyDescent="0.25">
      <c r="L246" s="4">
        <f>IF('[1]All Data '!BE251="","",'[1]All Data '!BE251)</f>
        <v>5.5E-2</v>
      </c>
      <c r="M246">
        <f>IF('[1]All Data '!BF251="","",'[1]All Data '!BF251)</f>
        <v>4767.5627999999997</v>
      </c>
      <c r="N246" s="5">
        <f>IF('[1]All Data '!BB251="","",'[1]All Data '!BC251/'[1]All Data '!BH251)</f>
        <v>324146.5</v>
      </c>
      <c r="O246" s="5">
        <f t="shared" si="5"/>
        <v>1545388795.1501999</v>
      </c>
      <c r="P246" s="5">
        <f>IF(M246="","",$C$2*(1-L246)*907.2/0.621371*N246*[1]Transportation!$M$40)</f>
        <v>5055956.9316545883</v>
      </c>
      <c r="Q246" s="5">
        <f>IF(L246="","",IF([1]Inputs_Outputs!$B$5="Herbaceous",(LCA!$E$29*'[1]LOCH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6" s="5">
        <f>IF(M246="","",$E$2*1000*'[1]LOCH Calc COE Calc'!$C$44)</f>
        <v>4896457.3202133691</v>
      </c>
      <c r="S246" s="6">
        <f>IF(N246="","",SUM(O246:R246)/('[1]LOCH Calc COE Calc'!$C$28))</f>
        <v>70.279087274359796</v>
      </c>
      <c r="T246">
        <f>IF(L246="","",O246/'[1]LOCH Calc COE Calc'!$C$28)</f>
        <v>66.639921419295916</v>
      </c>
      <c r="U246">
        <f>IF(L246="","",P246/'[1]LOCH Calc COE Calc'!$C$28)</f>
        <v>0.21802188140755829</v>
      </c>
      <c r="V246">
        <f>IF(L246="","",Q246/'[1]LOCH Calc COE Calc'!$C$28)</f>
        <v>3.2100000000000004</v>
      </c>
      <c r="W246">
        <f>IF(L246="","",R246/'[1]LOCH Calc COE Calc'!$C$28)</f>
        <v>0.21114397365631307</v>
      </c>
    </row>
    <row r="247" spans="12:23" x14ac:dyDescent="0.25">
      <c r="L247" s="4">
        <f>IF('[1]All Data '!BE252="","",'[1]All Data '!BE252)</f>
        <v>5.5E-2</v>
      </c>
      <c r="M247">
        <f>IF('[1]All Data '!BF252="","",'[1]All Data '!BF252)</f>
        <v>4767.5627999999997</v>
      </c>
      <c r="N247" s="5">
        <f>IF('[1]All Data '!BB252="","",'[1]All Data '!BC252/'[1]All Data '!BH252)</f>
        <v>321241.5</v>
      </c>
      <c r="O247" s="5">
        <f t="shared" si="5"/>
        <v>1531539025.2161999</v>
      </c>
      <c r="P247" s="5">
        <f>IF(M247="","",$C$2*(1-L247)*907.2/0.621371*N247*[1]Transportation!$M$40)</f>
        <v>5010645.4601858035</v>
      </c>
      <c r="Q247" s="5">
        <f>IF(L247="","",IF([1]Inputs_Outputs!$B$5="Herbaceous",(LCA!$E$29*'[1]LOCH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7" s="5">
        <f>IF(M247="","",$E$2*1000*'[1]LOCH Calc COE Calc'!$C$44)</f>
        <v>4896457.3202133691</v>
      </c>
      <c r="S247" s="6">
        <f>IF(N247="","",SUM(O247:R247)/('[1]LOCH Calc COE Calc'!$C$28))</f>
        <v>69.679906578937988</v>
      </c>
      <c r="T247">
        <f>IF(L247="","",O247/'[1]LOCH Calc COE Calc'!$C$28)</f>
        <v>66.042694635347743</v>
      </c>
      <c r="U247">
        <f>IF(L247="","",P247/'[1]LOCH Calc COE Calc'!$C$28)</f>
        <v>0.2160679699339223</v>
      </c>
      <c r="V247">
        <f>IF(L247="","",Q247/'[1]LOCH Calc COE Calc'!$C$28)</f>
        <v>3.2100000000000004</v>
      </c>
      <c r="W247">
        <f>IF(L247="","",R247/'[1]LOCH Calc COE Calc'!$C$28)</f>
        <v>0.21114397365631307</v>
      </c>
    </row>
    <row r="248" spans="12:23" x14ac:dyDescent="0.25">
      <c r="L248" s="4">
        <f>IF('[1]All Data '!BE253="","",'[1]All Data '!BE253)</f>
        <v>5.5E-2</v>
      </c>
      <c r="M248">
        <f>IF('[1]All Data '!BF253="","",'[1]All Data '!BF253)</f>
        <v>4767.5627999999997</v>
      </c>
      <c r="N248" s="5">
        <f>IF('[1]All Data '!BB253="","",'[1]All Data '!BC253/'[1]All Data '!BH253)</f>
        <v>321241.5</v>
      </c>
      <c r="O248" s="5">
        <f t="shared" si="5"/>
        <v>1531539025.2161999</v>
      </c>
      <c r="P248" s="5">
        <f>IF(M248="","",$C$2*(1-L248)*907.2/0.621371*N248*[1]Transportation!$M$40)</f>
        <v>5010645.4601858035</v>
      </c>
      <c r="Q248" s="5">
        <f>IF(L248="","",IF([1]Inputs_Outputs!$B$5="Herbaceous",(LCA!$E$29*'[1]LOCH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8" s="5">
        <f>IF(M248="","",$E$2*1000*'[1]LOCH Calc COE Calc'!$C$44)</f>
        <v>4896457.3202133691</v>
      </c>
      <c r="S248" s="6">
        <f>IF(N248="","",SUM(O248:R248)/('[1]LOCH Calc COE Calc'!$C$28))</f>
        <v>69.679906578937988</v>
      </c>
      <c r="T248">
        <f>IF(L248="","",O248/'[1]LOCH Calc COE Calc'!$C$28)</f>
        <v>66.042694635347743</v>
      </c>
      <c r="U248">
        <f>IF(L248="","",P248/'[1]LOCH Calc COE Calc'!$C$28)</f>
        <v>0.2160679699339223</v>
      </c>
      <c r="V248">
        <f>IF(L248="","",Q248/'[1]LOCH Calc COE Calc'!$C$28)</f>
        <v>3.2100000000000004</v>
      </c>
      <c r="W248">
        <f>IF(L248="","",R248/'[1]LOCH Calc COE Calc'!$C$28)</f>
        <v>0.21114397365631307</v>
      </c>
    </row>
    <row r="249" spans="12:23" x14ac:dyDescent="0.25">
      <c r="L249" s="4">
        <f>IF('[1]All Data '!BE254="","",'[1]All Data '!BE254)</f>
        <v>5.5E-2</v>
      </c>
      <c r="M249">
        <f>IF('[1]All Data '!BF254="","",'[1]All Data '!BF254)</f>
        <v>4767.5627999999997</v>
      </c>
      <c r="N249" s="5">
        <f>IF('[1]All Data '!BB254="","",'[1]All Data '!BC254/'[1]All Data '!BH254)</f>
        <v>320602.5</v>
      </c>
      <c r="O249" s="5">
        <f t="shared" si="5"/>
        <v>1528492552.5869999</v>
      </c>
      <c r="P249" s="5">
        <f>IF(M249="","",$C$2*(1-L249)*907.2/0.621371*N249*[1]Transportation!$M$40)</f>
        <v>5000678.4962379364</v>
      </c>
      <c r="Q249" s="5">
        <f>IF(L249="","",IF([1]Inputs_Outputs!$B$5="Herbaceous",(LCA!$E$29*'[1]LOCH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49" s="5">
        <f>IF(M249="","",$E$2*1000*'[1]LOCH Calc COE Calc'!$C$44)</f>
        <v>4896457.3202133691</v>
      </c>
      <c r="S249" s="6">
        <f>IF(N249="","",SUM(O249:R249)/('[1]LOCH Calc COE Calc'!$C$28))</f>
        <v>69.548107451786692</v>
      </c>
      <c r="T249">
        <f>IF(L249="","",O249/'[1]LOCH Calc COE Calc'!$C$28)</f>
        <v>65.911325301460352</v>
      </c>
      <c r="U249">
        <f>IF(L249="","",P249/'[1]LOCH Calc COE Calc'!$C$28)</f>
        <v>0.21563817667001406</v>
      </c>
      <c r="V249">
        <f>IF(L249="","",Q249/'[1]LOCH Calc COE Calc'!$C$28)</f>
        <v>3.2100000000000004</v>
      </c>
      <c r="W249">
        <f>IF(L249="","",R249/'[1]LOCH Calc COE Calc'!$C$28)</f>
        <v>0.21114397365631307</v>
      </c>
    </row>
    <row r="250" spans="12:23" x14ac:dyDescent="0.25">
      <c r="L250" s="4">
        <f>IF('[1]All Data '!BE255="","",'[1]All Data '!BE255)</f>
        <v>5.4999999999999993E-2</v>
      </c>
      <c r="M250">
        <f>IF('[1]All Data '!BF255="","",'[1]All Data '!BF255)</f>
        <v>4767.5627999999997</v>
      </c>
      <c r="N250" s="5">
        <f>IF('[1]All Data '!BB255="","",'[1]All Data '!BC255/'[1]All Data '!BH255)</f>
        <v>319044.5</v>
      </c>
      <c r="O250" s="5">
        <f t="shared" si="5"/>
        <v>1521064689.7445998</v>
      </c>
      <c r="P250" s="5">
        <f>IF(M250="","",$C$2*(1-L250)*907.2/0.621371*N250*[1]Transportation!$M$40)</f>
        <v>4976377.1975982226</v>
      </c>
      <c r="Q250" s="5">
        <f>IF(L250="","",IF([1]Inputs_Outputs!$B$5="Herbaceous",(LCA!$E$29*'[1]LOCH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0" s="5">
        <f>IF(M250="","",$E$2*1000*'[1]LOCH Calc COE Calc'!$C$44)</f>
        <v>4896457.3202133691</v>
      </c>
      <c r="S250" s="6">
        <f>IF(N250="","",SUM(O250:R250)/('[1]LOCH Calc COE Calc'!$C$28))</f>
        <v>69.226756841298851</v>
      </c>
      <c r="T250">
        <f>IF(L250="","",O250/'[1]LOCH Calc COE Calc'!$C$28)</f>
        <v>65.591022606317068</v>
      </c>
      <c r="U250">
        <f>IF(L250="","",P250/'[1]LOCH Calc COE Calc'!$C$28)</f>
        <v>0.21459026132546158</v>
      </c>
      <c r="V250">
        <f>IF(L250="","",Q250/'[1]LOCH Calc COE Calc'!$C$28)</f>
        <v>3.2100000000000004</v>
      </c>
      <c r="W250">
        <f>IF(L250="","",R250/'[1]LOCH Calc COE Calc'!$C$28)</f>
        <v>0.21114397365631307</v>
      </c>
    </row>
    <row r="251" spans="12:23" x14ac:dyDescent="0.25">
      <c r="L251" s="4">
        <f>IF('[1]All Data '!BE256="","",'[1]All Data '!BE256)</f>
        <v>5.5E-2</v>
      </c>
      <c r="M251">
        <f>IF('[1]All Data '!BF256="","",'[1]All Data '!BF256)</f>
        <v>4767.5627999999997</v>
      </c>
      <c r="N251" s="5">
        <f>IF('[1]All Data '!BB256="","",'[1]All Data '!BC256/'[1]All Data '!BH256)</f>
        <v>317915.5</v>
      </c>
      <c r="O251" s="5">
        <f t="shared" si="5"/>
        <v>1515682111.3434</v>
      </c>
      <c r="P251" s="5">
        <f>IF(M251="","",$C$2*(1-L251)*907.2/0.621371*N251*[1]Transportation!$M$40)</f>
        <v>4958767.3348483918</v>
      </c>
      <c r="Q251" s="5">
        <f>IF(L251="","",IF([1]Inputs_Outputs!$B$5="Herbaceous",(LCA!$E$29*'[1]LOCH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1" s="5">
        <f>IF(M251="","",$E$2*1000*'[1]LOCH Calc COE Calc'!$C$44)</f>
        <v>4896457.3202133691</v>
      </c>
      <c r="S251" s="6">
        <f>IF(N251="","",SUM(O251:R251)/('[1]LOCH Calc COE Calc'!$C$28))</f>
        <v>68.993891090823396</v>
      </c>
      <c r="T251">
        <f>IF(L251="","",O251/'[1]LOCH Calc COE Calc'!$C$28)</f>
        <v>65.358916224534809</v>
      </c>
      <c r="U251">
        <f>IF(L251="","",P251/'[1]LOCH Calc COE Calc'!$C$28)</f>
        <v>0.21383089263226535</v>
      </c>
      <c r="V251">
        <f>IF(L251="","",Q251/'[1]LOCH Calc COE Calc'!$C$28)</f>
        <v>3.2100000000000004</v>
      </c>
      <c r="W251">
        <f>IF(L251="","",R251/'[1]LOCH Calc COE Calc'!$C$28)</f>
        <v>0.21114397365631307</v>
      </c>
    </row>
    <row r="252" spans="12:23" x14ac:dyDescent="0.25">
      <c r="L252" s="4">
        <f>IF('[1]All Data '!BE257="","",'[1]All Data '!BE257)</f>
        <v>5.5E-2</v>
      </c>
      <c r="M252">
        <f>IF('[1]All Data '!BF257="","",'[1]All Data '!BF257)</f>
        <v>4767.5627999999997</v>
      </c>
      <c r="N252" s="5">
        <f>IF('[1]All Data '!BB257="","",'[1]All Data '!BC257/'[1]All Data '!BH257)</f>
        <v>317377.5</v>
      </c>
      <c r="O252" s="5">
        <f t="shared" si="5"/>
        <v>1513117162.5569999</v>
      </c>
      <c r="P252" s="5">
        <f>IF(M252="","",$C$2*(1-L252)*907.2/0.621371*N252*[1]Transportation!$M$40)</f>
        <v>4950375.7439188883</v>
      </c>
      <c r="Q252" s="5">
        <f>IF(L252="","",IF([1]Inputs_Outputs!$B$5="Herbaceous",(LCA!$E$29*'[1]LOCH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2" s="5">
        <f>IF(M252="","",$E$2*1000*'[1]LOCH Calc COE Calc'!$C$44)</f>
        <v>4896457.3202133691</v>
      </c>
      <c r="S252" s="6">
        <f>IF(N252="","",SUM(O252:R252)/('[1]LOCH Calc COE Calc'!$C$28))</f>
        <v>68.882924063581754</v>
      </c>
      <c r="T252">
        <f>IF(L252="","",O252/'[1]LOCH Calc COE Calc'!$C$28)</f>
        <v>65.248311057662477</v>
      </c>
      <c r="U252">
        <f>IF(L252="","",P252/'[1]LOCH Calc COE Calc'!$C$28)</f>
        <v>0.21346903226296543</v>
      </c>
      <c r="V252">
        <f>IF(L252="","",Q252/'[1]LOCH Calc COE Calc'!$C$28)</f>
        <v>3.2100000000000004</v>
      </c>
      <c r="W252">
        <f>IF(L252="","",R252/'[1]LOCH Calc COE Calc'!$C$28)</f>
        <v>0.21114397365631307</v>
      </c>
    </row>
    <row r="253" spans="12:23" x14ac:dyDescent="0.25">
      <c r="L253" s="4">
        <f>IF('[1]All Data '!BE258="","",'[1]All Data '!BE258)</f>
        <v>5.4999999999999993E-2</v>
      </c>
      <c r="M253">
        <f>IF('[1]All Data '!BF258="","",'[1]All Data '!BF258)</f>
        <v>4767.5627999999997</v>
      </c>
      <c r="N253" s="5">
        <f>IF('[1]All Data '!BB258="","",'[1]All Data '!BC258/'[1]All Data '!BH258)</f>
        <v>317033</v>
      </c>
      <c r="O253" s="5">
        <f t="shared" si="5"/>
        <v>1511474737.1724</v>
      </c>
      <c r="P253" s="5">
        <f>IF(M253="","",$C$2*(1-L253)*907.2/0.621371*N253*[1]Transportation!$M$40)</f>
        <v>4945002.3181285281</v>
      </c>
      <c r="Q253" s="5">
        <f>IF(L253="","",IF([1]Inputs_Outputs!$B$5="Herbaceous",(LCA!$E$29*'[1]LOCH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3" s="5">
        <f>IF(M253="","",$E$2*1000*'[1]LOCH Calc COE Calc'!$C$44)</f>
        <v>4896457.3202133691</v>
      </c>
      <c r="S253" s="6">
        <f>IF(N253="","",SUM(O253:R253)/('[1]LOCH Calc COE Calc'!$C$28))</f>
        <v>68.811868039632429</v>
      </c>
      <c r="T253">
        <f>IF(L253="","",O253/'[1]LOCH Calc COE Calc'!$C$28)</f>
        <v>65.177486745418022</v>
      </c>
      <c r="U253">
        <f>IF(L253="","",P253/'[1]LOCH Calc COE Calc'!$C$28)</f>
        <v>0.21323732055808844</v>
      </c>
      <c r="V253">
        <f>IF(L253="","",Q253/'[1]LOCH Calc COE Calc'!$C$28)</f>
        <v>3.2100000000000004</v>
      </c>
      <c r="W253">
        <f>IF(L253="","",R253/'[1]LOCH Calc COE Calc'!$C$28)</f>
        <v>0.21114397365631307</v>
      </c>
    </row>
    <row r="254" spans="12:23" x14ac:dyDescent="0.25">
      <c r="L254" s="4">
        <f>IF('[1]All Data '!BE259="","",'[1]All Data '!BE259)</f>
        <v>5.5E-2</v>
      </c>
      <c r="M254">
        <f>IF('[1]All Data '!BF259="","",'[1]All Data '!BF259)</f>
        <v>4767.5627999999997</v>
      </c>
      <c r="N254" s="5">
        <f>IF('[1]All Data '!BB259="","",'[1]All Data '!BC259/'[1]All Data '!BH259)</f>
        <v>314727</v>
      </c>
      <c r="O254" s="5">
        <f t="shared" si="5"/>
        <v>1500480737.3555999</v>
      </c>
      <c r="P254" s="5">
        <f>IF(M254="","",$C$2*(1-L254)*907.2/0.621371*N254*[1]Transportation!$M$40)</f>
        <v>4909033.9005013276</v>
      </c>
      <c r="Q254" s="5">
        <f>IF(L254="","",IF([1]Inputs_Outputs!$B$5="Herbaceous",(LCA!$E$29*'[1]LOCH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4" s="5">
        <f>IF(M254="","",$E$2*1000*'[1]LOCH Calc COE Calc'!$C$44)</f>
        <v>4896457.3202133691</v>
      </c>
      <c r="S254" s="6">
        <f>IF(N254="","",SUM(O254:R254)/('[1]LOCH Calc COE Calc'!$C$28))</f>
        <v>68.336236134764036</v>
      </c>
      <c r="T254">
        <f>IF(L254="","",O254/'[1]LOCH Calc COE Calc'!$C$28)</f>
        <v>64.703405862876039</v>
      </c>
      <c r="U254">
        <f>IF(L254="","",P254/'[1]LOCH Calc COE Calc'!$C$28)</f>
        <v>0.21168629823168411</v>
      </c>
      <c r="V254">
        <f>IF(L254="","",Q254/'[1]LOCH Calc COE Calc'!$C$28)</f>
        <v>3.2100000000000004</v>
      </c>
      <c r="W254">
        <f>IF(L254="","",R254/'[1]LOCH Calc COE Calc'!$C$28)</f>
        <v>0.21114397365631307</v>
      </c>
    </row>
    <row r="255" spans="12:23" x14ac:dyDescent="0.25">
      <c r="L255" s="4">
        <f>IF('[1]All Data '!BE260="","",'[1]All Data '!BE260)</f>
        <v>5.5E-2</v>
      </c>
      <c r="M255">
        <f>IF('[1]All Data '!BF260="","",'[1]All Data '!BF260)</f>
        <v>4767.5627999999997</v>
      </c>
      <c r="N255" s="5">
        <f>IF('[1]All Data '!BB260="","",'[1]All Data '!BC260/'[1]All Data '!BH260)</f>
        <v>314727</v>
      </c>
      <c r="O255" s="5">
        <f t="shared" si="5"/>
        <v>1500480737.3555999</v>
      </c>
      <c r="P255" s="5">
        <f>IF(M255="","",$C$2*(1-L255)*907.2/0.621371*N255*[1]Transportation!$M$40)</f>
        <v>4909033.9005013276</v>
      </c>
      <c r="Q255" s="5">
        <f>IF(L255="","",IF([1]Inputs_Outputs!$B$5="Herbaceous",(LCA!$E$29*'[1]LOCH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5" s="5">
        <f>IF(M255="","",$E$2*1000*'[1]LOCH Calc COE Calc'!$C$44)</f>
        <v>4896457.3202133691</v>
      </c>
      <c r="S255" s="6">
        <f>IF(N255="","",SUM(O255:R255)/('[1]LOCH Calc COE Calc'!$C$28))</f>
        <v>68.336236134764036</v>
      </c>
      <c r="T255">
        <f>IF(L255="","",O255/'[1]LOCH Calc COE Calc'!$C$28)</f>
        <v>64.703405862876039</v>
      </c>
      <c r="U255">
        <f>IF(L255="","",P255/'[1]LOCH Calc COE Calc'!$C$28)</f>
        <v>0.21168629823168411</v>
      </c>
      <c r="V255">
        <f>IF(L255="","",Q255/'[1]LOCH Calc COE Calc'!$C$28)</f>
        <v>3.2100000000000004</v>
      </c>
      <c r="W255">
        <f>IF(L255="","",R255/'[1]LOCH Calc COE Calc'!$C$28)</f>
        <v>0.21114397365631307</v>
      </c>
    </row>
    <row r="256" spans="12:23" x14ac:dyDescent="0.25">
      <c r="L256" s="4">
        <f>IF('[1]All Data '!BE261="","",'[1]All Data '!BE261)</f>
        <v>5.5E-2</v>
      </c>
      <c r="M256">
        <f>IF('[1]All Data '!BF261="","",'[1]All Data '!BF261)</f>
        <v>4767.5627999999997</v>
      </c>
      <c r="N256" s="5">
        <f>IF('[1]All Data '!BB261="","",'[1]All Data '!BC261/'[1]All Data '!BH261)</f>
        <v>314176.5</v>
      </c>
      <c r="O256" s="5">
        <f t="shared" si="5"/>
        <v>1497856194.0342</v>
      </c>
      <c r="P256" s="5">
        <f>IF(M256="","",$C$2*(1-L256)*907.2/0.621371*N256*[1]Transportation!$M$40)</f>
        <v>4900447.3376636114</v>
      </c>
      <c r="Q256" s="5">
        <f>IF(L256="","",IF([1]Inputs_Outputs!$B$5="Herbaceous",(LCA!$E$29*'[1]LOCH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6" s="5">
        <f>IF(M256="","",$E$2*1000*'[1]LOCH Calc COE Calc'!$C$44)</f>
        <v>4896457.3202133691</v>
      </c>
      <c r="S256" s="6">
        <f>IF(N256="","",SUM(O256:R256)/('[1]LOCH Calc COE Calc'!$C$28))</f>
        <v>68.222690877335566</v>
      </c>
      <c r="T256">
        <f>IF(L256="","",O256/'[1]LOCH Calc COE Calc'!$C$28)</f>
        <v>64.590230873353335</v>
      </c>
      <c r="U256">
        <f>IF(L256="","",P256/'[1]LOCH Calc COE Calc'!$C$28)</f>
        <v>0.2113160303259228</v>
      </c>
      <c r="V256">
        <f>IF(L256="","",Q256/'[1]LOCH Calc COE Calc'!$C$28)</f>
        <v>3.2100000000000004</v>
      </c>
      <c r="W256">
        <f>IF(L256="","",R256/'[1]LOCH Calc COE Calc'!$C$28)</f>
        <v>0.21114397365631307</v>
      </c>
    </row>
    <row r="257" spans="12:23" x14ac:dyDescent="0.25">
      <c r="L257" s="4">
        <f>IF('[1]All Data '!BE262="","",'[1]All Data '!BE262)</f>
        <v>5.5E-2</v>
      </c>
      <c r="M257">
        <f>IF('[1]All Data '!BF262="","",'[1]All Data '!BF262)</f>
        <v>4767.5627999999997</v>
      </c>
      <c r="N257" s="5">
        <f>IF('[1]All Data '!BB262="","",'[1]All Data '!BC262/'[1]All Data '!BH262)</f>
        <v>314164</v>
      </c>
      <c r="O257" s="5">
        <f t="shared" si="5"/>
        <v>1497796599.4991999</v>
      </c>
      <c r="P257" s="5">
        <f>IF(M257="","",$C$2*(1-L257)*907.2/0.621371*N257*[1]Transportation!$M$40)</f>
        <v>4900252.3657553978</v>
      </c>
      <c r="Q257" s="5">
        <f>IF(L257="","",IF([1]Inputs_Outputs!$B$5="Herbaceous",(LCA!$E$29*'[1]LOCH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7" s="5">
        <f>IF(M257="","",$E$2*1000*'[1]LOCH Calc COE Calc'!$C$44)</f>
        <v>4896457.3202133691</v>
      </c>
      <c r="S257" s="6">
        <f>IF(N257="","",SUM(O257:R257)/('[1]LOCH Calc COE Calc'!$C$28))</f>
        <v>68.220112647148724</v>
      </c>
      <c r="T257">
        <f>IF(L257="","",O257/'[1]LOCH Calc COE Calc'!$C$28)</f>
        <v>64.587661050702948</v>
      </c>
      <c r="U257">
        <f>IF(L257="","",P257/'[1]LOCH Calc COE Calc'!$C$28)</f>
        <v>0.21130762278946136</v>
      </c>
      <c r="V257">
        <f>IF(L257="","",Q257/'[1]LOCH Calc COE Calc'!$C$28)</f>
        <v>3.2100000000000004</v>
      </c>
      <c r="W257">
        <f>IF(L257="","",R257/'[1]LOCH Calc COE Calc'!$C$28)</f>
        <v>0.21114397365631307</v>
      </c>
    </row>
    <row r="258" spans="12:23" x14ac:dyDescent="0.25">
      <c r="L258" s="4">
        <f>IF('[1]All Data '!BE263="","",'[1]All Data '!BE263)</f>
        <v>5.5E-2</v>
      </c>
      <c r="M258">
        <f>IF('[1]All Data '!BF263="","",'[1]All Data '!BF263)</f>
        <v>4767.5627999999997</v>
      </c>
      <c r="N258" s="5">
        <f>IF('[1]All Data '!BB263="","",'[1]All Data '!BC263/'[1]All Data '!BH263)</f>
        <v>314164</v>
      </c>
      <c r="O258" s="5">
        <f t="shared" si="5"/>
        <v>1497796599.4991999</v>
      </c>
      <c r="P258" s="5">
        <f>IF(M258="","",$C$2*(1-L258)*907.2/0.621371*N258*[1]Transportation!$M$40)</f>
        <v>4900252.3657553978</v>
      </c>
      <c r="Q258" s="5">
        <f>IF(L258="","",IF([1]Inputs_Outputs!$B$5="Herbaceous",(LCA!$E$29*'[1]LOCH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8" s="5">
        <f>IF(M258="","",$E$2*1000*'[1]LOCH Calc COE Calc'!$C$44)</f>
        <v>4896457.3202133691</v>
      </c>
      <c r="S258" s="6">
        <f>IF(N258="","",SUM(O258:R258)/('[1]LOCH Calc COE Calc'!$C$28))</f>
        <v>68.220112647148724</v>
      </c>
      <c r="T258">
        <f>IF(L258="","",O258/'[1]LOCH Calc COE Calc'!$C$28)</f>
        <v>64.587661050702948</v>
      </c>
      <c r="U258">
        <f>IF(L258="","",P258/'[1]LOCH Calc COE Calc'!$C$28)</f>
        <v>0.21130762278946136</v>
      </c>
      <c r="V258">
        <f>IF(L258="","",Q258/'[1]LOCH Calc COE Calc'!$C$28)</f>
        <v>3.2100000000000004</v>
      </c>
      <c r="W258">
        <f>IF(L258="","",R258/'[1]LOCH Calc COE Calc'!$C$28)</f>
        <v>0.21114397365631307</v>
      </c>
    </row>
    <row r="259" spans="12:23" x14ac:dyDescent="0.25">
      <c r="L259" s="4">
        <f>IF('[1]All Data '!BE264="","",'[1]All Data '!BE264)</f>
        <v>5.5E-2</v>
      </c>
      <c r="M259">
        <f>IF('[1]All Data '!BF264="","",'[1]All Data '!BF264)</f>
        <v>4767.5627999999997</v>
      </c>
      <c r="N259" s="5">
        <f>IF('[1]All Data '!BB264="","",'[1]All Data '!BC264/'[1]All Data '!BH264)</f>
        <v>313263</v>
      </c>
      <c r="O259" s="5">
        <f t="shared" si="5"/>
        <v>1493501025.4164</v>
      </c>
      <c r="P259" s="5">
        <f>IF(M259="","",$C$2*(1-L259)*907.2/0.621371*N259*[1]Transportation!$M$40)</f>
        <v>4886198.7906113788</v>
      </c>
      <c r="Q259" s="5">
        <f>IF(L259="","",IF([1]Inputs_Outputs!$B$5="Herbaceous",(LCA!$E$29*'[1]LOCH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59" s="5">
        <f>IF(M259="","",$E$2*1000*'[1]LOCH Calc COE Calc'!$C$44)</f>
        <v>4896457.3202133691</v>
      </c>
      <c r="S259" s="6">
        <f>IF(N259="","",SUM(O259:R259)/('[1]LOCH Calc COE Calc'!$C$28))</f>
        <v>68.034273815281239</v>
      </c>
      <c r="T259">
        <f>IF(L259="","",O259/'[1]LOCH Calc COE Calc'!$C$28)</f>
        <v>64.402428234063606</v>
      </c>
      <c r="U259">
        <f>IF(L259="","",P259/'[1]LOCH Calc COE Calc'!$C$28)</f>
        <v>0.21070160756132161</v>
      </c>
      <c r="V259">
        <f>IF(L259="","",Q259/'[1]LOCH Calc COE Calc'!$C$28)</f>
        <v>3.2100000000000004</v>
      </c>
      <c r="W259">
        <f>IF(L259="","",R259/'[1]LOCH Calc COE Calc'!$C$28)</f>
        <v>0.21114397365631307</v>
      </c>
    </row>
    <row r="260" spans="12:23" x14ac:dyDescent="0.25">
      <c r="L260" s="4">
        <f>IF('[1]All Data '!BE265="","",'[1]All Data '!BE265)</f>
        <v>5.4999999999999993E-2</v>
      </c>
      <c r="M260">
        <f>IF('[1]All Data '!BF265="","",'[1]All Data '!BF265)</f>
        <v>4767.5627999999997</v>
      </c>
      <c r="N260" s="5">
        <f>IF('[1]All Data '!BB265="","",'[1]All Data '!BC265/'[1]All Data '!BH265)</f>
        <v>312845.5</v>
      </c>
      <c r="O260" s="5">
        <f t="shared" ref="O260:O323" si="6">IF(N260="","",M260*N260)</f>
        <v>1491510567.9473999</v>
      </c>
      <c r="P260" s="5">
        <f>IF(M260="","",$C$2*(1-L260)*907.2/0.621371*N260*[1]Transportation!$M$40)</f>
        <v>4879686.7288770527</v>
      </c>
      <c r="Q260" s="5">
        <f>IF(L260="","",IF([1]Inputs_Outputs!$B$5="Herbaceous",(LCA!$E$29*'[1]LOCH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0" s="5">
        <f>IF(M260="","",$E$2*1000*'[1]LOCH Calc COE Calc'!$C$44)</f>
        <v>4896457.3202133691</v>
      </c>
      <c r="S260" s="6">
        <f>IF(N260="","",SUM(O260:R260)/('[1]LOCH Calc COE Calc'!$C$28))</f>
        <v>67.94816092704076</v>
      </c>
      <c r="T260">
        <f>IF(L260="","",O260/'[1]LOCH Calc COE Calc'!$C$28)</f>
        <v>64.316596157540928</v>
      </c>
      <c r="U260">
        <f>IF(L260="","",P260/'[1]LOCH Calc COE Calc'!$C$28)</f>
        <v>0.21042079584350989</v>
      </c>
      <c r="V260">
        <f>IF(L260="","",Q260/'[1]LOCH Calc COE Calc'!$C$28)</f>
        <v>3.2100000000000004</v>
      </c>
      <c r="W260">
        <f>IF(L260="","",R260/'[1]LOCH Calc COE Calc'!$C$28)</f>
        <v>0.21114397365631307</v>
      </c>
    </row>
    <row r="261" spans="12:23" x14ac:dyDescent="0.25">
      <c r="L261" s="4">
        <f>IF('[1]All Data '!BE266="","",'[1]All Data '!BE266)</f>
        <v>5.5000000000000007E-2</v>
      </c>
      <c r="M261">
        <f>IF('[1]All Data '!BF266="","",'[1]All Data '!BF266)</f>
        <v>4767.5627999999997</v>
      </c>
      <c r="N261" s="5">
        <f>IF('[1]All Data '!BB266="","",'[1]All Data '!BC266/'[1]All Data '!BH266)</f>
        <v>312430.5</v>
      </c>
      <c r="O261" s="5">
        <f t="shared" si="6"/>
        <v>1489532029.3853998</v>
      </c>
      <c r="P261" s="5">
        <f>IF(M261="","",$C$2*(1-L261)*907.2/0.621371*N261*[1]Transportation!$M$40)</f>
        <v>4873213.6615243685</v>
      </c>
      <c r="Q261" s="5">
        <f>IF(L261="","",IF([1]Inputs_Outputs!$B$5="Herbaceous",(LCA!$E$29*'[1]LOCH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1" s="5">
        <f>IF(M261="","",$E$2*1000*'[1]LOCH Calc COE Calc'!$C$44)</f>
        <v>4896457.3202133691</v>
      </c>
      <c r="S261" s="6">
        <f>IF(N261="","",SUM(O261:R261)/('[1]LOCH Calc COE Calc'!$C$28))</f>
        <v>67.862563684837639</v>
      </c>
      <c r="T261">
        <f>IF(L261="","",O261/'[1]LOCH Calc COE Calc'!$C$28)</f>
        <v>64.231278045548336</v>
      </c>
      <c r="U261">
        <f>IF(L261="","",P261/'[1]LOCH Calc COE Calc'!$C$28)</f>
        <v>0.21014166563299044</v>
      </c>
      <c r="V261">
        <f>IF(L261="","",Q261/'[1]LOCH Calc COE Calc'!$C$28)</f>
        <v>3.2100000000000004</v>
      </c>
      <c r="W261">
        <f>IF(L261="","",R261/'[1]LOCH Calc COE Calc'!$C$28)</f>
        <v>0.21114397365631307</v>
      </c>
    </row>
    <row r="262" spans="12:23" x14ac:dyDescent="0.25">
      <c r="L262" s="4">
        <f>IF('[1]All Data '!BE267="","",'[1]All Data '!BE267)</f>
        <v>5.5000000000000007E-2</v>
      </c>
      <c r="M262">
        <f>IF('[1]All Data '!BF267="","",'[1]All Data '!BF267)</f>
        <v>4767.5627999999997</v>
      </c>
      <c r="N262" s="5">
        <f>IF('[1]All Data '!BB267="","",'[1]All Data '!BC267/'[1]All Data '!BH267)</f>
        <v>311642</v>
      </c>
      <c r="O262" s="5">
        <f t="shared" si="6"/>
        <v>1485772806.1176</v>
      </c>
      <c r="P262" s="5">
        <f>IF(M262="","",$C$2*(1-L262)*907.2/0.621371*N262*[1]Transportation!$M$40)</f>
        <v>4860914.8335542697</v>
      </c>
      <c r="Q262" s="5">
        <f>IF(L262="","",IF([1]Inputs_Outputs!$B$5="Herbaceous",(LCA!$E$29*'[1]LOCH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2" s="5">
        <f>IF(M262="","",$E$2*1000*'[1]LOCH Calc COE Calc'!$C$44)</f>
        <v>4896457.3202133691</v>
      </c>
      <c r="S262" s="6">
        <f>IF(N262="","",SUM(O262:R262)/('[1]LOCH Calc COE Calc'!$C$28))</f>
        <v>67.699928924651729</v>
      </c>
      <c r="T262">
        <f>IF(L262="","",O262/'[1]LOCH Calc COE Calc'!$C$28)</f>
        <v>64.0691736327624</v>
      </c>
      <c r="U262">
        <f>IF(L262="","",P262/'[1]LOCH Calc COE Calc'!$C$28)</f>
        <v>0.20961131823300352</v>
      </c>
      <c r="V262">
        <f>IF(L262="","",Q262/'[1]LOCH Calc COE Calc'!$C$28)</f>
        <v>3.2100000000000004</v>
      </c>
      <c r="W262">
        <f>IF(L262="","",R262/'[1]LOCH Calc COE Calc'!$C$28)</f>
        <v>0.21114397365631307</v>
      </c>
    </row>
    <row r="263" spans="12:23" x14ac:dyDescent="0.25">
      <c r="L263" s="4">
        <f>IF('[1]All Data '!BE268="","",'[1]All Data '!BE268)</f>
        <v>5.5E-2</v>
      </c>
      <c r="M263">
        <f>IF('[1]All Data '!BF268="","",'[1]All Data '!BF268)</f>
        <v>4767.5627999999997</v>
      </c>
      <c r="N263" s="5">
        <f>IF('[1]All Data '!BB268="","",'[1]All Data '!BC268/'[1]All Data '!BH268)</f>
        <v>311247</v>
      </c>
      <c r="O263" s="5">
        <f t="shared" si="6"/>
        <v>1483889618.8116</v>
      </c>
      <c r="P263" s="5">
        <f>IF(M263="","",$C$2*(1-L263)*907.2/0.621371*N263*[1]Transportation!$M$40)</f>
        <v>4854753.7212547278</v>
      </c>
      <c r="Q263" s="5">
        <f>IF(L263="","",IF([1]Inputs_Outputs!$B$5="Herbaceous",(LCA!$E$29*'[1]LOCH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3" s="5">
        <f>IF(M263="","",$E$2*1000*'[1]LOCH Calc COE Calc'!$C$44)</f>
        <v>4896457.3202133691</v>
      </c>
      <c r="S263" s="6">
        <f>IF(N263="","",SUM(O263:R263)/('[1]LOCH Calc COE Calc'!$C$28))</f>
        <v>67.618456850747563</v>
      </c>
      <c r="T263">
        <f>IF(L263="","",O263/'[1]LOCH Calc COE Calc'!$C$28)</f>
        <v>63.987967237010416</v>
      </c>
      <c r="U263">
        <f>IF(L263="","",P263/'[1]LOCH Calc COE Calc'!$C$28)</f>
        <v>0.20934564008082238</v>
      </c>
      <c r="V263">
        <f>IF(L263="","",Q263/'[1]LOCH Calc COE Calc'!$C$28)</f>
        <v>3.2100000000000004</v>
      </c>
      <c r="W263">
        <f>IF(L263="","",R263/'[1]LOCH Calc COE Calc'!$C$28)</f>
        <v>0.21114397365631307</v>
      </c>
    </row>
    <row r="264" spans="12:23" x14ac:dyDescent="0.25">
      <c r="L264" s="4">
        <f>IF('[1]All Data '!BE269="","",'[1]All Data '!BE269)</f>
        <v>5.5E-2</v>
      </c>
      <c r="M264">
        <f>IF('[1]All Data '!BF269="","",'[1]All Data '!BF269)</f>
        <v>4767.5627999999997</v>
      </c>
      <c r="N264" s="5">
        <f>IF('[1]All Data '!BB269="","",'[1]All Data '!BC269/'[1]All Data '!BH269)</f>
        <v>310278</v>
      </c>
      <c r="O264" s="5">
        <f t="shared" si="6"/>
        <v>1479269850.4584</v>
      </c>
      <c r="P264" s="5">
        <f>IF(M264="","",$C$2*(1-L264)*907.2/0.621371*N264*[1]Transportation!$M$40)</f>
        <v>4839639.4989300277</v>
      </c>
      <c r="Q264" s="5">
        <f>IF(L264="","",IF([1]Inputs_Outputs!$B$5="Herbaceous",(LCA!$E$29*'[1]LOCH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4" s="5">
        <f>IF(M264="","",$E$2*1000*'[1]LOCH Calc COE Calc'!$C$44)</f>
        <v>4896457.3202133691</v>
      </c>
      <c r="S264" s="6">
        <f>IF(N264="","",SUM(O264:R264)/('[1]LOCH Calc COE Calc'!$C$28))</f>
        <v>67.418592446663652</v>
      </c>
      <c r="T264">
        <f>IF(L264="","",O264/'[1]LOCH Calc COE Calc'!$C$28)</f>
        <v>63.788754585153008</v>
      </c>
      <c r="U264">
        <f>IF(L264="","",P264/'[1]LOCH Calc COE Calc'!$C$28)</f>
        <v>0.20869388785433243</v>
      </c>
      <c r="V264">
        <f>IF(L264="","",Q264/'[1]LOCH Calc COE Calc'!$C$28)</f>
        <v>3.2100000000000004</v>
      </c>
      <c r="W264">
        <f>IF(L264="","",R264/'[1]LOCH Calc COE Calc'!$C$28)</f>
        <v>0.21114397365631307</v>
      </c>
    </row>
    <row r="265" spans="12:23" x14ac:dyDescent="0.25">
      <c r="L265" s="4">
        <f>IF('[1]All Data '!BE270="","",'[1]All Data '!BE270)</f>
        <v>5.4999999999999993E-2</v>
      </c>
      <c r="M265">
        <f>IF('[1]All Data '!BF270="","",'[1]All Data '!BF270)</f>
        <v>4767.5627999999997</v>
      </c>
      <c r="N265" s="5">
        <f>IF('[1]All Data '!BB270="","",'[1]All Data '!BC270/'[1]All Data '!BH270)</f>
        <v>309958</v>
      </c>
      <c r="O265" s="5">
        <f t="shared" si="6"/>
        <v>1477744230.3623998</v>
      </c>
      <c r="P265" s="5">
        <f>IF(M265="","",$C$2*(1-L265)*907.2/0.621371*N265*[1]Transportation!$M$40)</f>
        <v>4834648.2180797653</v>
      </c>
      <c r="Q265" s="5">
        <f>IF(L265="","",IF([1]Inputs_Outputs!$B$5="Herbaceous",(LCA!$E$29*'[1]LOCH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5" s="5">
        <f>IF(M265="","",$E$2*1000*'[1]LOCH Calc COE Calc'!$C$44)</f>
        <v>4896457.3202133691</v>
      </c>
      <c r="S265" s="6">
        <f>IF(N265="","",SUM(O265:R265)/('[1]LOCH Calc COE Calc'!$C$28))</f>
        <v>67.352589753880522</v>
      </c>
      <c r="T265">
        <f>IF(L265="","",O265/'[1]LOCH Calc COE Calc'!$C$28)</f>
        <v>63.722967125303292</v>
      </c>
      <c r="U265">
        <f>IF(L265="","",P265/'[1]LOCH Calc COE Calc'!$C$28)</f>
        <v>0.20847865492091983</v>
      </c>
      <c r="V265">
        <f>IF(L265="","",Q265/'[1]LOCH Calc COE Calc'!$C$28)</f>
        <v>3.2100000000000004</v>
      </c>
      <c r="W265">
        <f>IF(L265="","",R265/'[1]LOCH Calc COE Calc'!$C$28)</f>
        <v>0.21114397365631307</v>
      </c>
    </row>
    <row r="266" spans="12:23" x14ac:dyDescent="0.25">
      <c r="L266" s="4">
        <f>IF('[1]All Data '!BE271="","",'[1]All Data '!BE271)</f>
        <v>5.4999999999999993E-2</v>
      </c>
      <c r="M266">
        <f>IF('[1]All Data '!BF271="","",'[1]All Data '!BF271)</f>
        <v>4767.5627999999997</v>
      </c>
      <c r="N266" s="5">
        <f>IF('[1]All Data '!BB271="","",'[1]All Data '!BC271/'[1]All Data '!BH271)</f>
        <v>307909</v>
      </c>
      <c r="O266" s="5">
        <f t="shared" si="6"/>
        <v>1467975494.1852</v>
      </c>
      <c r="P266" s="5">
        <f>IF(M266="","",$C$2*(1-L266)*907.2/0.621371*N266*[1]Transportation!$M$40)</f>
        <v>4802688.422885431</v>
      </c>
      <c r="Q266" s="5">
        <f>IF(L266="","",IF([1]Inputs_Outputs!$B$5="Herbaceous",(LCA!$E$29*'[1]LOCH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6" s="5">
        <f>IF(M266="","",$E$2*1000*'[1]LOCH Calc COE Calc'!$C$44)</f>
        <v>4896457.3202133691</v>
      </c>
      <c r="S266" s="6">
        <f>IF(N266="","",SUM(O266:R266)/('[1]LOCH Calc COE Calc'!$C$28))</f>
        <v>66.92996626165359</v>
      </c>
      <c r="T266">
        <f>IF(L266="","",O266/'[1]LOCH Calc COE Calc'!$C$28)</f>
        <v>63.301721796453108</v>
      </c>
      <c r="U266">
        <f>IF(L266="","",P266/'[1]LOCH Calc COE Calc'!$C$28)</f>
        <v>0.20710049154416243</v>
      </c>
      <c r="V266">
        <f>IF(L266="","",Q266/'[1]LOCH Calc COE Calc'!$C$28)</f>
        <v>3.2100000000000004</v>
      </c>
      <c r="W266">
        <f>IF(L266="","",R266/'[1]LOCH Calc COE Calc'!$C$28)</f>
        <v>0.21114397365631307</v>
      </c>
    </row>
    <row r="267" spans="12:23" x14ac:dyDescent="0.25">
      <c r="L267" s="4">
        <f>IF('[1]All Data '!BE272="","",'[1]All Data '!BE272)</f>
        <v>5.5E-2</v>
      </c>
      <c r="M267">
        <f>IF('[1]All Data '!BF272="","",'[1]All Data '!BF272)</f>
        <v>4767.5627999999997</v>
      </c>
      <c r="N267" s="5">
        <f>IF('[1]All Data '!BB272="","",'[1]All Data '!BC272/'[1]All Data '!BH272)</f>
        <v>305866</v>
      </c>
      <c r="O267" s="5">
        <f t="shared" si="6"/>
        <v>1458235363.3848</v>
      </c>
      <c r="P267" s="5">
        <f>IF(M267="","",$C$2*(1-L267)*907.2/0.621371*N267*[1]Transportation!$M$40)</f>
        <v>4770822.2142070401</v>
      </c>
      <c r="Q267" s="5">
        <f>IF(L267="","",IF([1]Inputs_Outputs!$B$5="Herbaceous",(LCA!$E$29*'[1]LOCH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7" s="5">
        <f>IF(M267="","",$E$2*1000*'[1]LOCH Calc COE Calc'!$C$44)</f>
        <v>4896457.3202133691</v>
      </c>
      <c r="S267" s="6">
        <f>IF(N267="","",SUM(O267:R267)/('[1]LOCH Calc COE Calc'!$C$28))</f>
        <v>66.508580319916319</v>
      </c>
      <c r="T267">
        <f>IF(L267="","",O267/'[1]LOCH Calc COE Calc'!$C$28)</f>
        <v>62.881709982475101</v>
      </c>
      <c r="U267">
        <f>IF(L267="","",P267/'[1]LOCH Calc COE Calc'!$C$28)</f>
        <v>0.20572636378490658</v>
      </c>
      <c r="V267">
        <f>IF(L267="","",Q267/'[1]LOCH Calc COE Calc'!$C$28)</f>
        <v>3.2100000000000004</v>
      </c>
      <c r="W267">
        <f>IF(L267="","",R267/'[1]LOCH Calc COE Calc'!$C$28)</f>
        <v>0.21114397365631307</v>
      </c>
    </row>
    <row r="268" spans="12:23" x14ac:dyDescent="0.25">
      <c r="L268" s="4">
        <f>IF('[1]All Data '!BE273="","",'[1]All Data '!BE273)</f>
        <v>5.5E-2</v>
      </c>
      <c r="M268">
        <f>IF('[1]All Data '!BF273="","",'[1]All Data '!BF273)</f>
        <v>4767.5627999999997</v>
      </c>
      <c r="N268" s="5">
        <f>IF('[1]All Data '!BB273="","",'[1]All Data '!BC273/'[1]All Data '!BH273)</f>
        <v>304648</v>
      </c>
      <c r="O268" s="5">
        <f t="shared" si="6"/>
        <v>1452428471.8943999</v>
      </c>
      <c r="P268" s="5">
        <f>IF(M268="","",$C$2*(1-L268)*907.2/0.621371*N268*[1]Transportation!$M$40)</f>
        <v>4751824.1514707301</v>
      </c>
      <c r="Q268" s="5">
        <f>IF(L268="","",IF([1]Inputs_Outputs!$B$5="Herbaceous",(LCA!$E$29*'[1]LOCH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8" s="5">
        <f>IF(M268="","",$E$2*1000*'[1]LOCH Calc COE Calc'!$C$44)</f>
        <v>4896457.3202133691</v>
      </c>
      <c r="S268" s="6">
        <f>IF(N268="","",SUM(O268:R268)/('[1]LOCH Calc COE Calc'!$C$28))</f>
        <v>66.25735757051055</v>
      </c>
      <c r="T268">
        <f>IF(L268="","",O268/'[1]LOCH Calc COE Calc'!$C$28)</f>
        <v>62.631306463422135</v>
      </c>
      <c r="U268">
        <f>IF(L268="","",P268/'[1]LOCH Calc COE Calc'!$C$28)</f>
        <v>0.20490713343210498</v>
      </c>
      <c r="V268">
        <f>IF(L268="","",Q268/'[1]LOCH Calc COE Calc'!$C$28)</f>
        <v>3.2100000000000004</v>
      </c>
      <c r="W268">
        <f>IF(L268="","",R268/'[1]LOCH Calc COE Calc'!$C$28)</f>
        <v>0.21114397365631307</v>
      </c>
    </row>
    <row r="269" spans="12:23" x14ac:dyDescent="0.25">
      <c r="L269" s="4">
        <f>IF('[1]All Data '!BE274="","",'[1]All Data '!BE274)</f>
        <v>5.5000000000000007E-2</v>
      </c>
      <c r="M269">
        <f>IF('[1]All Data '!BF274="","",'[1]All Data '!BF274)</f>
        <v>4767.5627999999997</v>
      </c>
      <c r="N269" s="5">
        <f>IF('[1]All Data '!BB274="","",'[1]All Data '!BC274/'[1]All Data '!BH274)</f>
        <v>302331.5</v>
      </c>
      <c r="O269" s="5">
        <f t="shared" si="6"/>
        <v>1441384412.6682</v>
      </c>
      <c r="P269" s="5">
        <f>IF(M269="","",$C$2*(1-L269)*907.2/0.621371*N269*[1]Transportation!$M$40)</f>
        <v>4715691.9574406296</v>
      </c>
      <c r="Q269" s="5">
        <f>IF(L269="","",IF([1]Inputs_Outputs!$B$5="Herbaceous",(LCA!$E$29*'[1]LOCH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69" s="5">
        <f>IF(M269="","",$E$2*1000*'[1]LOCH Calc COE Calc'!$C$44)</f>
        <v>4896457.3202133691</v>
      </c>
      <c r="S269" s="6">
        <f>IF(N269="","",SUM(O269:R269)/('[1]LOCH Calc COE Calc'!$C$28))</f>
        <v>65.779559952285226</v>
      </c>
      <c r="T269">
        <f>IF(L269="","",O269/'[1]LOCH Calc COE Calc'!$C$28)</f>
        <v>62.155066929853831</v>
      </c>
      <c r="U269">
        <f>IF(L269="","",P269/'[1]LOCH Calc COE Calc'!$C$28)</f>
        <v>0.20334904877507301</v>
      </c>
      <c r="V269">
        <f>IF(L269="","",Q269/'[1]LOCH Calc COE Calc'!$C$28)</f>
        <v>3.2100000000000004</v>
      </c>
      <c r="W269">
        <f>IF(L269="","",R269/'[1]LOCH Calc COE Calc'!$C$28)</f>
        <v>0.21114397365631307</v>
      </c>
    </row>
    <row r="270" spans="12:23" x14ac:dyDescent="0.25">
      <c r="L270" s="4">
        <f>IF('[1]All Data '!BE275="","",'[1]All Data '!BE275)</f>
        <v>5.5E-2</v>
      </c>
      <c r="M270">
        <f>IF('[1]All Data '!BF275="","",'[1]All Data '!BF275)</f>
        <v>4767.5627999999997</v>
      </c>
      <c r="N270" s="5">
        <f>IF('[1]All Data '!BB275="","",'[1]All Data '!BC275/'[1]All Data '!BH275)</f>
        <v>301587</v>
      </c>
      <c r="O270" s="5">
        <f t="shared" si="6"/>
        <v>1437834962.1636</v>
      </c>
      <c r="P270" s="5">
        <f>IF(M270="","",$C$2*(1-L270)*907.2/0.621371*N270*[1]Transportation!$M$40)</f>
        <v>4704079.4305874417</v>
      </c>
      <c r="Q270" s="5">
        <f>IF(L270="","",IF([1]Inputs_Outputs!$B$5="Herbaceous",(LCA!$E$29*'[1]LOCH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0" s="5">
        <f>IF(M270="","",$E$2*1000*'[1]LOCH Calc COE Calc'!$C$44)</f>
        <v>4896457.3202133691</v>
      </c>
      <c r="S270" s="6">
        <f>IF(N270="","",SUM(O270:R270)/('[1]LOCH Calc COE Calc'!$C$28))</f>
        <v>65.626000562356978</v>
      </c>
      <c r="T270">
        <f>IF(L270="","",O270/'[1]LOCH Calc COE Calc'!$C$28)</f>
        <v>62.002008292797235</v>
      </c>
      <c r="U270">
        <f>IF(L270="","",P270/'[1]LOCH Calc COE Calc'!$C$28)</f>
        <v>0.20284829590343031</v>
      </c>
      <c r="V270">
        <f>IF(L270="","",Q270/'[1]LOCH Calc COE Calc'!$C$28)</f>
        <v>3.2100000000000004</v>
      </c>
      <c r="W270">
        <f>IF(L270="","",R270/'[1]LOCH Calc COE Calc'!$C$28)</f>
        <v>0.21114397365631307</v>
      </c>
    </row>
    <row r="271" spans="12:23" x14ac:dyDescent="0.25">
      <c r="L271" s="4">
        <f>IF('[1]All Data '!BE276="","",'[1]All Data '!BE276)</f>
        <v>5.5E-2</v>
      </c>
      <c r="M271">
        <f>IF('[1]All Data '!BF276="","",'[1]All Data '!BF276)</f>
        <v>4767.5627999999997</v>
      </c>
      <c r="N271" s="5">
        <f>IF('[1]All Data '!BB276="","",'[1]All Data '!BC276/'[1]All Data '!BH276)</f>
        <v>301388.5</v>
      </c>
      <c r="O271" s="5">
        <f t="shared" si="6"/>
        <v>1436888600.9477999</v>
      </c>
      <c r="P271" s="5">
        <f>IF(M271="","",$C$2*(1-L271)*907.2/0.621371*N271*[1]Transportation!$M$40)</f>
        <v>4700983.2766850144</v>
      </c>
      <c r="Q271" s="5">
        <f>IF(L271="","",IF([1]Inputs_Outputs!$B$5="Herbaceous",(LCA!$E$29*'[1]LOCH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1" s="5">
        <f>IF(M271="","",$E$2*1000*'[1]LOCH Calc COE Calc'!$C$44)</f>
        <v>4896457.3202133691</v>
      </c>
      <c r="S271" s="6">
        <f>IF(N271="","",SUM(O271:R271)/('[1]LOCH Calc COE Calc'!$C$28))</f>
        <v>65.585058266989947</v>
      </c>
      <c r="T271">
        <f>IF(L271="","",O271/'[1]LOCH Calc COE Calc'!$C$28)</f>
        <v>61.961199509109207</v>
      </c>
      <c r="U271">
        <f>IF(L271="","",P271/'[1]LOCH Calc COE Calc'!$C$28)</f>
        <v>0.20271478422442285</v>
      </c>
      <c r="V271">
        <f>IF(L271="","",Q271/'[1]LOCH Calc COE Calc'!$C$28)</f>
        <v>3.2100000000000004</v>
      </c>
      <c r="W271">
        <f>IF(L271="","",R271/'[1]LOCH Calc COE Calc'!$C$28)</f>
        <v>0.21114397365631307</v>
      </c>
    </row>
    <row r="272" spans="12:23" x14ac:dyDescent="0.25">
      <c r="L272" s="4">
        <f>IF('[1]All Data '!BE277="","",'[1]All Data '!BE277)</f>
        <v>5.5E-2</v>
      </c>
      <c r="M272">
        <f>IF('[1]All Data '!BF277="","",'[1]All Data '!BF277)</f>
        <v>4767.5627999999997</v>
      </c>
      <c r="N272" s="5">
        <f>IF('[1]All Data '!BB277="","",'[1]All Data '!BC277/'[1]All Data '!BH277)</f>
        <v>301388.5</v>
      </c>
      <c r="O272" s="5">
        <f t="shared" si="6"/>
        <v>1436888600.9477999</v>
      </c>
      <c r="P272" s="5">
        <f>IF(M272="","",$C$2*(1-L272)*907.2/0.621371*N272*[1]Transportation!$M$40)</f>
        <v>4700983.2766850144</v>
      </c>
      <c r="Q272" s="5">
        <f>IF(L272="","",IF([1]Inputs_Outputs!$B$5="Herbaceous",(LCA!$E$29*'[1]LOCH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2" s="5">
        <f>IF(M272="","",$E$2*1000*'[1]LOCH Calc COE Calc'!$C$44)</f>
        <v>4896457.3202133691</v>
      </c>
      <c r="S272" s="6">
        <f>IF(N272="","",SUM(O272:R272)/('[1]LOCH Calc COE Calc'!$C$28))</f>
        <v>65.585058266989947</v>
      </c>
      <c r="T272">
        <f>IF(L272="","",O272/'[1]LOCH Calc COE Calc'!$C$28)</f>
        <v>61.961199509109207</v>
      </c>
      <c r="U272">
        <f>IF(L272="","",P272/'[1]LOCH Calc COE Calc'!$C$28)</f>
        <v>0.20271478422442285</v>
      </c>
      <c r="V272">
        <f>IF(L272="","",Q272/'[1]LOCH Calc COE Calc'!$C$28)</f>
        <v>3.2100000000000004</v>
      </c>
      <c r="W272">
        <f>IF(L272="","",R272/'[1]LOCH Calc COE Calc'!$C$28)</f>
        <v>0.21114397365631307</v>
      </c>
    </row>
    <row r="273" spans="12:23" x14ac:dyDescent="0.25">
      <c r="L273" s="4">
        <f>IF('[1]All Data '!BE278="","",'[1]All Data '!BE278)</f>
        <v>5.5E-2</v>
      </c>
      <c r="M273">
        <f>IF('[1]All Data '!BF278="","",'[1]All Data '!BF278)</f>
        <v>4767.5627999999997</v>
      </c>
      <c r="N273" s="5">
        <f>IF('[1]All Data '!BB278="","",'[1]All Data '!BC278/'[1]All Data '!BH278)</f>
        <v>300925</v>
      </c>
      <c r="O273" s="5">
        <f t="shared" si="6"/>
        <v>1434678835.5899999</v>
      </c>
      <c r="P273" s="5">
        <f>IF(M273="","",$C$2*(1-L273)*907.2/0.621371*N273*[1]Transportation!$M$40)</f>
        <v>4693753.7183284629</v>
      </c>
      <c r="Q273" s="5">
        <f>IF(L273="","",IF([1]Inputs_Outputs!$B$5="Herbaceous",(LCA!$E$29*'[1]LOCH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3" s="5">
        <f>IF(M273="","",$E$2*1000*'[1]LOCH Calc COE Calc'!$C$44)</f>
        <v>4896457.3202133691</v>
      </c>
      <c r="S273" s="6">
        <f>IF(N273="","",SUM(O273:R273)/('[1]LOCH Calc COE Calc'!$C$28))</f>
        <v>65.489457491661895</v>
      </c>
      <c r="T273">
        <f>IF(L273="","",O273/'[1]LOCH Calc COE Calc'!$C$28)</f>
        <v>61.865910485233144</v>
      </c>
      <c r="U273">
        <f>IF(L273="","",P273/'[1]LOCH Calc COE Calc'!$C$28)</f>
        <v>0.2024030327724331</v>
      </c>
      <c r="V273">
        <f>IF(L273="","",Q273/'[1]LOCH Calc COE Calc'!$C$28)</f>
        <v>3.2100000000000004</v>
      </c>
      <c r="W273">
        <f>IF(L273="","",R273/'[1]LOCH Calc COE Calc'!$C$28)</f>
        <v>0.21114397365631307</v>
      </c>
    </row>
    <row r="274" spans="12:23" x14ac:dyDescent="0.25">
      <c r="L274" s="4">
        <f>IF('[1]All Data '!BE279="","",'[1]All Data '!BE279)</f>
        <v>5.5E-2</v>
      </c>
      <c r="M274">
        <f>IF('[1]All Data '!BF279="","",'[1]All Data '!BF279)</f>
        <v>4767.5627999999997</v>
      </c>
      <c r="N274" s="5">
        <f>IF('[1]All Data '!BB279="","",'[1]All Data '!BC279/'[1]All Data '!BH279)</f>
        <v>300815</v>
      </c>
      <c r="O274" s="5">
        <f t="shared" si="6"/>
        <v>1434154403.6819999</v>
      </c>
      <c r="P274" s="5">
        <f>IF(M274="","",$C$2*(1-L274)*907.2/0.621371*N274*[1]Transportation!$M$40)</f>
        <v>4692037.9655361846</v>
      </c>
      <c r="Q274" s="5">
        <f>IF(L274="","",IF([1]Inputs_Outputs!$B$5="Herbaceous",(LCA!$E$29*'[1]LOCH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4" s="5">
        <f>IF(M274="","",$E$2*1000*'[1]LOCH Calc COE Calc'!$C$44)</f>
        <v>4896457.3202133691</v>
      </c>
      <c r="S274" s="6">
        <f>IF(N274="","",SUM(O274:R274)/('[1]LOCH Calc COE Calc'!$C$28))</f>
        <v>65.46676906601769</v>
      </c>
      <c r="T274">
        <f>IF(L274="","",O274/'[1]LOCH Calc COE Calc'!$C$28)</f>
        <v>61.843296045909803</v>
      </c>
      <c r="U274">
        <f>IF(L274="","",P274/'[1]LOCH Calc COE Calc'!$C$28)</f>
        <v>0.20232904645157249</v>
      </c>
      <c r="V274">
        <f>IF(L274="","",Q274/'[1]LOCH Calc COE Calc'!$C$28)</f>
        <v>3.2100000000000004</v>
      </c>
      <c r="W274">
        <f>IF(L274="","",R274/'[1]LOCH Calc COE Calc'!$C$28)</f>
        <v>0.21114397365631307</v>
      </c>
    </row>
    <row r="275" spans="12:23" x14ac:dyDescent="0.25">
      <c r="L275" s="4">
        <f>IF('[1]All Data '!BE280="","",'[1]All Data '!BE280)</f>
        <v>5.5000000000000007E-2</v>
      </c>
      <c r="M275">
        <f>IF('[1]All Data '!BF280="","",'[1]All Data '!BF280)</f>
        <v>4767.5627999999997</v>
      </c>
      <c r="N275" s="5">
        <f>IF('[1]All Data '!BB280="","",'[1]All Data '!BC280/'[1]All Data '!BH280)</f>
        <v>300718.5</v>
      </c>
      <c r="O275" s="5">
        <f t="shared" si="6"/>
        <v>1433694333.8717999</v>
      </c>
      <c r="P275" s="5">
        <f>IF(M275="","",$C$2*(1-L275)*907.2/0.621371*N275*[1]Transportation!$M$40)</f>
        <v>4690532.7824047776</v>
      </c>
      <c r="Q275" s="5">
        <f>IF(L275="","",IF([1]Inputs_Outputs!$B$5="Herbaceous",(LCA!$E$29*'[1]LOCH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5" s="5">
        <f>IF(M275="","",$E$2*1000*'[1]LOCH Calc COE Calc'!$C$44)</f>
        <v>4896457.3202133691</v>
      </c>
      <c r="S275" s="6">
        <f>IF(N275="","",SUM(O275:R275)/('[1]LOCH Calc COE Calc'!$C$28))</f>
        <v>65.446865128975276</v>
      </c>
      <c r="T275">
        <f>IF(L275="","",O275/'[1]LOCH Calc COE Calc'!$C$28)</f>
        <v>61.823457015048874</v>
      </c>
      <c r="U275">
        <f>IF(L275="","",P275/'[1]LOCH Calc COE Calc'!$C$28)</f>
        <v>0.20226414027009026</v>
      </c>
      <c r="V275">
        <f>IF(L275="","",Q275/'[1]LOCH Calc COE Calc'!$C$28)</f>
        <v>3.2100000000000004</v>
      </c>
      <c r="W275">
        <f>IF(L275="","",R275/'[1]LOCH Calc COE Calc'!$C$28)</f>
        <v>0.21114397365631307</v>
      </c>
    </row>
    <row r="276" spans="12:23" x14ac:dyDescent="0.25">
      <c r="L276" s="4">
        <f>IF('[1]All Data '!BE281="","",'[1]All Data '!BE281)</f>
        <v>5.5E-2</v>
      </c>
      <c r="M276">
        <f>IF('[1]All Data '!BF281="","",'[1]All Data '!BF281)</f>
        <v>4767.5627999999997</v>
      </c>
      <c r="N276" s="5">
        <f>IF('[1]All Data '!BB281="","",'[1]All Data '!BC281/'[1]All Data '!BH281)</f>
        <v>298216</v>
      </c>
      <c r="O276" s="5">
        <f t="shared" si="6"/>
        <v>1421763507.9647999</v>
      </c>
      <c r="P276" s="5">
        <f>IF(M276="","",$C$2*(1-L276)*907.2/0.621371*N276*[1]Transportation!$M$40)</f>
        <v>4651499.4063804625</v>
      </c>
      <c r="Q276" s="5">
        <f>IF(L276="","",IF([1]Inputs_Outputs!$B$5="Herbaceous",(LCA!$E$29*'[1]LOCH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6" s="5">
        <f>IF(M276="","",$E$2*1000*'[1]LOCH Calc COE Calc'!$C$44)</f>
        <v>4896457.3202133691</v>
      </c>
      <c r="S276" s="6">
        <f>IF(N276="","",SUM(O276:R276)/('[1]LOCH Calc COE Calc'!$C$28))</f>
        <v>64.930703445569748</v>
      </c>
      <c r="T276">
        <f>IF(L276="","",O276/'[1]LOCH Calc COE Calc'!$C$28)</f>
        <v>61.308978520442921</v>
      </c>
      <c r="U276">
        <f>IF(L276="","",P276/'[1]LOCH Calc COE Calc'!$C$28)</f>
        <v>0.20058095147051225</v>
      </c>
      <c r="V276">
        <f>IF(L276="","",Q276/'[1]LOCH Calc COE Calc'!$C$28)</f>
        <v>3.2100000000000004</v>
      </c>
      <c r="W276">
        <f>IF(L276="","",R276/'[1]LOCH Calc COE Calc'!$C$28)</f>
        <v>0.21114397365631307</v>
      </c>
    </row>
    <row r="277" spans="12:23" x14ac:dyDescent="0.25">
      <c r="L277" s="4">
        <f>IF('[1]All Data '!BE282="","",'[1]All Data '!BE282)</f>
        <v>5.5E-2</v>
      </c>
      <c r="M277">
        <f>IF('[1]All Data '!BF282="","",'[1]All Data '!BF282)</f>
        <v>4767.5627999999997</v>
      </c>
      <c r="N277" s="5">
        <f>IF('[1]All Data '!BB282="","",'[1]All Data '!BC282/'[1]All Data '!BH282)</f>
        <v>297586.5</v>
      </c>
      <c r="O277" s="5">
        <f t="shared" si="6"/>
        <v>1418762327.1822</v>
      </c>
      <c r="P277" s="5">
        <f>IF(M277="","",$C$2*(1-L277)*907.2/0.621371*N277*[1]Transportation!$M$40)</f>
        <v>4641680.6210828377</v>
      </c>
      <c r="Q277" s="5">
        <f>IF(L277="","",IF([1]Inputs_Outputs!$B$5="Herbaceous",(LCA!$E$29*'[1]LOCH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7" s="5">
        <f>IF(M277="","",$E$2*1000*'[1]LOCH Calc COE Calc'!$C$44)</f>
        <v>4896457.3202133691</v>
      </c>
      <c r="S277" s="6">
        <f>IF(N277="","",SUM(O277:R277)/('[1]LOCH Calc COE Calc'!$C$28))</f>
        <v>64.800863773360447</v>
      </c>
      <c r="T277">
        <f>IF(L277="","",O277/'[1]LOCH Calc COE Calc'!$C$28)</f>
        <v>61.179562251769816</v>
      </c>
      <c r="U277">
        <f>IF(L277="","",P277/'[1]LOCH Calc COE Calc'!$C$28)</f>
        <v>0.2001575479343147</v>
      </c>
      <c r="V277">
        <f>IF(L277="","",Q277/'[1]LOCH Calc COE Calc'!$C$28)</f>
        <v>3.2100000000000004</v>
      </c>
      <c r="W277">
        <f>IF(L277="","",R277/'[1]LOCH Calc COE Calc'!$C$28)</f>
        <v>0.21114397365631307</v>
      </c>
    </row>
    <row r="278" spans="12:23" x14ac:dyDescent="0.25">
      <c r="L278" s="4">
        <f>IF('[1]All Data '!BE283="","",'[1]All Data '!BE283)</f>
        <v>5.5E-2</v>
      </c>
      <c r="M278">
        <f>IF('[1]All Data '!BF283="","",'[1]All Data '!BF283)</f>
        <v>4767.5627999999997</v>
      </c>
      <c r="N278" s="5">
        <f>IF('[1]All Data '!BB283="","",'[1]All Data '!BC283/'[1]All Data '!BH283)</f>
        <v>296341.5</v>
      </c>
      <c r="O278" s="5">
        <f t="shared" si="6"/>
        <v>1412826711.4961998</v>
      </c>
      <c r="P278" s="5">
        <f>IF(M278="","",$C$2*(1-L278)*907.2/0.621371*N278*[1]Transportation!$M$40)</f>
        <v>4622261.4190247869</v>
      </c>
      <c r="Q278" s="5">
        <f>IF(L278="","",IF([1]Inputs_Outputs!$B$5="Herbaceous",(LCA!$E$29*'[1]LOCH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8" s="5">
        <f>IF(M278="","",$E$2*1000*'[1]LOCH Calc COE Calc'!$C$44)</f>
        <v>4896457.3202133691</v>
      </c>
      <c r="S278" s="6">
        <f>IF(N278="","",SUM(O278:R278)/('[1]LOCH Calc COE Calc'!$C$28))</f>
        <v>64.544072046751097</v>
      </c>
      <c r="T278">
        <f>IF(L278="","",O278/'[1]LOCH Calc COE Calc'!$C$28)</f>
        <v>60.923607915792026</v>
      </c>
      <c r="U278">
        <f>IF(L278="","",P278/'[1]LOCH Calc COE Calc'!$C$28)</f>
        <v>0.1993201573027564</v>
      </c>
      <c r="V278">
        <f>IF(L278="","",Q278/'[1]LOCH Calc COE Calc'!$C$28)</f>
        <v>3.2100000000000004</v>
      </c>
      <c r="W278">
        <f>IF(L278="","",R278/'[1]LOCH Calc COE Calc'!$C$28)</f>
        <v>0.21114397365631307</v>
      </c>
    </row>
    <row r="279" spans="12:23" x14ac:dyDescent="0.25">
      <c r="L279" s="4">
        <f>IF('[1]All Data '!BE284="","",'[1]All Data '!BE284)</f>
        <v>5.5E-2</v>
      </c>
      <c r="M279">
        <f>IF('[1]All Data '!BF284="","",'[1]All Data '!BF284)</f>
        <v>4767.5627999999997</v>
      </c>
      <c r="N279" s="5">
        <f>IF('[1]All Data '!BB284="","",'[1]All Data '!BC284/'[1]All Data '!BH284)</f>
        <v>295106</v>
      </c>
      <c r="O279" s="5">
        <f t="shared" si="6"/>
        <v>1406936387.6567998</v>
      </c>
      <c r="P279" s="5">
        <f>IF(M279="","",$C$2*(1-L279)*907.2/0.621371*N279*[1]Transportation!$M$40)</f>
        <v>4602990.3956169784</v>
      </c>
      <c r="Q279" s="5">
        <f>IF(L279="","",IF([1]Inputs_Outputs!$B$5="Herbaceous",(LCA!$E$29*'[1]LOCH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79" s="5">
        <f>IF(M279="","",$E$2*1000*'[1]LOCH Calc COE Calc'!$C$44)</f>
        <v>4896457.3202133691</v>
      </c>
      <c r="S279" s="6">
        <f>IF(N279="","",SUM(O279:R279)/('[1]LOCH Calc COE Calc'!$C$28))</f>
        <v>64.289239775083757</v>
      </c>
      <c r="T279">
        <f>IF(L279="","",O279/'[1]LOCH Calc COE Calc'!$C$28)</f>
        <v>60.66960664502853</v>
      </c>
      <c r="U279">
        <f>IF(L279="","",P279/'[1]LOCH Calc COE Calc'!$C$28)</f>
        <v>0.19848915639890879</v>
      </c>
      <c r="V279">
        <f>IF(L279="","",Q279/'[1]LOCH Calc COE Calc'!$C$28)</f>
        <v>3.2100000000000004</v>
      </c>
      <c r="W279">
        <f>IF(L279="","",R279/'[1]LOCH Calc COE Calc'!$C$28)</f>
        <v>0.21114397365631307</v>
      </c>
    </row>
    <row r="280" spans="12:23" x14ac:dyDescent="0.25">
      <c r="L280" s="4">
        <f>IF('[1]All Data '!BE285="","",'[1]All Data '!BE285)</f>
        <v>5.5E-2</v>
      </c>
      <c r="M280">
        <f>IF('[1]All Data '!BF285="","",'[1]All Data '!BF285)</f>
        <v>4767.5627999999997</v>
      </c>
      <c r="N280" s="5">
        <f>IF('[1]All Data '!BB285="","",'[1]All Data '!BC285/'[1]All Data '!BH285)</f>
        <v>293834.5</v>
      </c>
      <c r="O280" s="5">
        <f t="shared" si="6"/>
        <v>1400874431.5565999</v>
      </c>
      <c r="P280" s="5">
        <f>IF(M280="","",$C$2*(1-L280)*907.2/0.621371*N280*[1]Transportation!$M$40)</f>
        <v>4583157.8531135153</v>
      </c>
      <c r="Q280" s="5">
        <f>IF(L280="","",IF([1]Inputs_Outputs!$B$5="Herbaceous",(LCA!$E$29*'[1]LOCH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0" s="5">
        <f>IF(M280="","",$E$2*1000*'[1]LOCH Calc COE Calc'!$C$44)</f>
        <v>4896457.3202133691</v>
      </c>
      <c r="S280" s="6">
        <f>IF(N280="","",SUM(O280:R280)/('[1]LOCH Calc COE Calc'!$C$28))</f>
        <v>64.026982200478301</v>
      </c>
      <c r="T280">
        <f>IF(L280="","",O280/'[1]LOCH Calc COE Calc'!$C$28)</f>
        <v>60.408204285031943</v>
      </c>
      <c r="U280">
        <f>IF(L280="","",P280/'[1]LOCH Calc COE Calc'!$C$28)</f>
        <v>0.19763394179005228</v>
      </c>
      <c r="V280">
        <f>IF(L280="","",Q280/'[1]LOCH Calc COE Calc'!$C$28)</f>
        <v>3.2100000000000004</v>
      </c>
      <c r="W280">
        <f>IF(L280="","",R280/'[1]LOCH Calc COE Calc'!$C$28)</f>
        <v>0.21114397365631307</v>
      </c>
    </row>
    <row r="281" spans="12:23" x14ac:dyDescent="0.25">
      <c r="L281" s="4">
        <f>IF('[1]All Data '!BE286="","",'[1]All Data '!BE286)</f>
        <v>5.5E-2</v>
      </c>
      <c r="M281">
        <f>IF('[1]All Data '!BF286="","",'[1]All Data '!BF286)</f>
        <v>4767.5627999999997</v>
      </c>
      <c r="N281" s="5">
        <f>IF('[1]All Data '!BB286="","",'[1]All Data '!BC286/'[1]All Data '!BH286)</f>
        <v>293665.5</v>
      </c>
      <c r="O281" s="5">
        <f t="shared" si="6"/>
        <v>1400068713.4433999</v>
      </c>
      <c r="P281" s="5">
        <f>IF(M281="","",$C$2*(1-L281)*907.2/0.621371*N281*[1]Transportation!$M$40)</f>
        <v>4580521.8329144707</v>
      </c>
      <c r="Q281" s="5">
        <f>IF(L281="","",IF([1]Inputs_Outputs!$B$5="Herbaceous",(LCA!$E$29*'[1]LOCH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1" s="5">
        <f>IF(M281="","",$E$2*1000*'[1]LOCH Calc COE Calc'!$C$44)</f>
        <v>4896457.3202133691</v>
      </c>
      <c r="S281" s="6">
        <f>IF(N281="","",SUM(O281:R281)/('[1]LOCH Calc COE Calc'!$C$28))</f>
        <v>63.992124528352214</v>
      </c>
      <c r="T281">
        <f>IF(L281="","",O281/'[1]LOCH Calc COE Calc'!$C$28)</f>
        <v>60.37346028279881</v>
      </c>
      <c r="U281">
        <f>IF(L281="","",P281/'[1]LOCH Calc COE Calc'!$C$28)</f>
        <v>0.19752027189709379</v>
      </c>
      <c r="V281">
        <f>IF(L281="","",Q281/'[1]LOCH Calc COE Calc'!$C$28)</f>
        <v>3.2100000000000004</v>
      </c>
      <c r="W281">
        <f>IF(L281="","",R281/'[1]LOCH Calc COE Calc'!$C$28)</f>
        <v>0.21114397365631307</v>
      </c>
    </row>
    <row r="282" spans="12:23" x14ac:dyDescent="0.25">
      <c r="L282" s="4">
        <f>IF('[1]All Data '!BE287="","",'[1]All Data '!BE287)</f>
        <v>5.5E-2</v>
      </c>
      <c r="M282">
        <f>IF('[1]All Data '!BF287="","",'[1]All Data '!BF287)</f>
        <v>4767.5627999999997</v>
      </c>
      <c r="N282" s="5">
        <f>IF('[1]All Data '!BB287="","",'[1]All Data '!BC287/'[1]All Data '!BH287)</f>
        <v>293209.5</v>
      </c>
      <c r="O282" s="5">
        <f t="shared" si="6"/>
        <v>1397894704.8065999</v>
      </c>
      <c r="P282" s="5">
        <f>IF(M282="","",$C$2*(1-L282)*907.2/0.621371*N282*[1]Transportation!$M$40)</f>
        <v>4573409.2577028479</v>
      </c>
      <c r="Q282" s="5">
        <f>IF(L282="","",IF([1]Inputs_Outputs!$B$5="Herbaceous",(LCA!$E$29*'[1]LOCH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2" s="5">
        <f>IF(M282="","",$E$2*1000*'[1]LOCH Calc COE Calc'!$C$44)</f>
        <v>4896457.3202133691</v>
      </c>
      <c r="S282" s="6">
        <f>IF(N282="","",SUM(O282:R282)/('[1]LOCH Calc COE Calc'!$C$28))</f>
        <v>63.898070691136269</v>
      </c>
      <c r="T282">
        <f>IF(L282="","",O282/'[1]LOCH Calc COE Calc'!$C$28)</f>
        <v>60.279713152512969</v>
      </c>
      <c r="U282">
        <f>IF(L282="","",P282/'[1]LOCH Calc COE Calc'!$C$28)</f>
        <v>0.19721356496698089</v>
      </c>
      <c r="V282">
        <f>IF(L282="","",Q282/'[1]LOCH Calc COE Calc'!$C$28)</f>
        <v>3.2100000000000004</v>
      </c>
      <c r="W282">
        <f>IF(L282="","",R282/'[1]LOCH Calc COE Calc'!$C$28)</f>
        <v>0.21114397365631307</v>
      </c>
    </row>
    <row r="283" spans="12:23" x14ac:dyDescent="0.25">
      <c r="L283" s="4">
        <f>IF('[1]All Data '!BE288="","",'[1]All Data '!BE288)</f>
        <v>5.5E-2</v>
      </c>
      <c r="M283">
        <f>IF('[1]All Data '!BF288="","",'[1]All Data '!BF288)</f>
        <v>4767.5627999999997</v>
      </c>
      <c r="N283" s="5">
        <f>IF('[1]All Data '!BB288="","",'[1]All Data '!BC288/'[1]All Data '!BH288)</f>
        <v>293209.5</v>
      </c>
      <c r="O283" s="5">
        <f t="shared" si="6"/>
        <v>1397894704.8065999</v>
      </c>
      <c r="P283" s="5">
        <f>IF(M283="","",$C$2*(1-L283)*907.2/0.621371*N283*[1]Transportation!$M$40)</f>
        <v>4573409.2577028479</v>
      </c>
      <c r="Q283" s="5">
        <f>IF(L283="","",IF([1]Inputs_Outputs!$B$5="Herbaceous",(LCA!$E$29*'[1]LOCH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3" s="5">
        <f>IF(M283="","",$E$2*1000*'[1]LOCH Calc COE Calc'!$C$44)</f>
        <v>4896457.3202133691</v>
      </c>
      <c r="S283" s="6">
        <f>IF(N283="","",SUM(O283:R283)/('[1]LOCH Calc COE Calc'!$C$28))</f>
        <v>63.898070691136269</v>
      </c>
      <c r="T283">
        <f>IF(L283="","",O283/'[1]LOCH Calc COE Calc'!$C$28)</f>
        <v>60.279713152512969</v>
      </c>
      <c r="U283">
        <f>IF(L283="","",P283/'[1]LOCH Calc COE Calc'!$C$28)</f>
        <v>0.19721356496698089</v>
      </c>
      <c r="V283">
        <f>IF(L283="","",Q283/'[1]LOCH Calc COE Calc'!$C$28)</f>
        <v>3.2100000000000004</v>
      </c>
      <c r="W283">
        <f>IF(L283="","",R283/'[1]LOCH Calc COE Calc'!$C$28)</f>
        <v>0.21114397365631307</v>
      </c>
    </row>
    <row r="284" spans="12:23" x14ac:dyDescent="0.25">
      <c r="L284" s="4">
        <f>IF('[1]All Data '!BE289="","",'[1]All Data '!BE289)</f>
        <v>5.5E-2</v>
      </c>
      <c r="M284">
        <f>IF('[1]All Data '!BF289="","",'[1]All Data '!BF289)</f>
        <v>4767.5627999999997</v>
      </c>
      <c r="N284" s="5">
        <f>IF('[1]All Data '!BB289="","",'[1]All Data '!BC289/'[1]All Data '!BH289)</f>
        <v>292274</v>
      </c>
      <c r="O284" s="5">
        <f t="shared" si="6"/>
        <v>1393434649.8072</v>
      </c>
      <c r="P284" s="5">
        <f>IF(M284="","",$C$2*(1-L284)*907.2/0.621371*N284*[1]Transportation!$M$40)</f>
        <v>4558817.5600921586</v>
      </c>
      <c r="Q284" s="5">
        <f>IF(L284="","",IF([1]Inputs_Outputs!$B$5="Herbaceous",(LCA!$E$29*'[1]LOCH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4" s="5">
        <f>IF(M284="","",$E$2*1000*'[1]LOCH Calc COE Calc'!$C$44)</f>
        <v>4896457.3202133691</v>
      </c>
      <c r="S284" s="6">
        <f>IF(N284="","",SUM(O284:R284)/('[1]LOCH Calc COE Calc'!$C$28))</f>
        <v>63.705115943953111</v>
      </c>
      <c r="T284">
        <f>IF(L284="","",O284/'[1]LOCH Calc COE Calc'!$C$28)</f>
        <v>60.087387625358581</v>
      </c>
      <c r="U284">
        <f>IF(L284="","",P284/'[1]LOCH Calc COE Calc'!$C$28)</f>
        <v>0.19658434493820751</v>
      </c>
      <c r="V284">
        <f>IF(L284="","",Q284/'[1]LOCH Calc COE Calc'!$C$28)</f>
        <v>3.2100000000000004</v>
      </c>
      <c r="W284">
        <f>IF(L284="","",R284/'[1]LOCH Calc COE Calc'!$C$28)</f>
        <v>0.21114397365631307</v>
      </c>
    </row>
    <row r="285" spans="12:23" x14ac:dyDescent="0.25">
      <c r="L285" s="4">
        <f>IF('[1]All Data '!BE290="","",'[1]All Data '!BE290)</f>
        <v>5.5E-2</v>
      </c>
      <c r="M285">
        <f>IF('[1]All Data '!BF290="","",'[1]All Data '!BF290)</f>
        <v>4767.5627999999997</v>
      </c>
      <c r="N285" s="5">
        <f>IF('[1]All Data '!BB290="","",'[1]All Data '!BC290/'[1]All Data '!BH290)</f>
        <v>289108.5</v>
      </c>
      <c r="O285" s="5">
        <f t="shared" si="6"/>
        <v>1378342929.7637999</v>
      </c>
      <c r="P285" s="5">
        <f>IF(M285="","",$C$2*(1-L285)*907.2/0.621371*N285*[1]Transportation!$M$40)</f>
        <v>4509442.874056207</v>
      </c>
      <c r="Q285" s="5">
        <f>IF(L285="","",IF([1]Inputs_Outputs!$B$5="Herbaceous",(LCA!$E$29*'[1]LOCH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5" s="5">
        <f>IF(M285="","",$E$2*1000*'[1]LOCH Calc COE Calc'!$C$44)</f>
        <v>4896457.3202133691</v>
      </c>
      <c r="S285" s="6">
        <f>IF(N285="","",SUM(O285:R285)/('[1]LOCH Calc COE Calc'!$C$28))</f>
        <v>63.052204931437529</v>
      </c>
      <c r="T285">
        <f>IF(L285="","",O285/'[1]LOCH Calc COE Calc'!$C$28)</f>
        <v>59.43660573737651</v>
      </c>
      <c r="U285">
        <f>IF(L285="","",P285/'[1]LOCH Calc COE Calc'!$C$28)</f>
        <v>0.19445522040471533</v>
      </c>
      <c r="V285">
        <f>IF(L285="","",Q285/'[1]LOCH Calc COE Calc'!$C$28)</f>
        <v>3.2100000000000004</v>
      </c>
      <c r="W285">
        <f>IF(L285="","",R285/'[1]LOCH Calc COE Calc'!$C$28)</f>
        <v>0.21114397365631307</v>
      </c>
    </row>
    <row r="286" spans="12:23" x14ac:dyDescent="0.25">
      <c r="L286" s="4">
        <f>IF('[1]All Data '!BE291="","",'[1]All Data '!BE291)</f>
        <v>5.5E-2</v>
      </c>
      <c r="M286">
        <f>IF('[1]All Data '!BF291="","",'[1]All Data '!BF291)</f>
        <v>4767.5627999999997</v>
      </c>
      <c r="N286" s="5">
        <f>IF('[1]All Data '!BB291="","",'[1]All Data '!BC291/'[1]All Data '!BH291)</f>
        <v>289042</v>
      </c>
      <c r="O286" s="5">
        <f t="shared" si="6"/>
        <v>1378025886.8376</v>
      </c>
      <c r="P286" s="5">
        <f>IF(M286="","",$C$2*(1-L286)*907.2/0.621371*N286*[1]Transportation!$M$40)</f>
        <v>4508405.6235045129</v>
      </c>
      <c r="Q286" s="5">
        <f>IF(L286="","",IF([1]Inputs_Outputs!$B$5="Herbaceous",(LCA!$E$29*'[1]LOCH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6" s="5">
        <f>IF(M286="","",$E$2*1000*'[1]LOCH Calc COE Calc'!$C$44)</f>
        <v>4896457.3202133691</v>
      </c>
      <c r="S286" s="6">
        <f>IF(N286="","",SUM(O286:R286)/('[1]LOCH Calc COE Calc'!$C$28))</f>
        <v>63.038488746843541</v>
      </c>
      <c r="T286">
        <f>IF(L286="","",O286/'[1]LOCH Calc COE Calc'!$C$28)</f>
        <v>59.42293428087649</v>
      </c>
      <c r="U286">
        <f>IF(L286="","",P286/'[1]LOCH Calc COE Calc'!$C$28)</f>
        <v>0.19441049231074056</v>
      </c>
      <c r="V286">
        <f>IF(L286="","",Q286/'[1]LOCH Calc COE Calc'!$C$28)</f>
        <v>3.2100000000000004</v>
      </c>
      <c r="W286">
        <f>IF(L286="","",R286/'[1]LOCH Calc COE Calc'!$C$28)</f>
        <v>0.21114397365631307</v>
      </c>
    </row>
    <row r="287" spans="12:23" x14ac:dyDescent="0.25">
      <c r="L287" s="4">
        <f>IF('[1]All Data '!BE292="","",'[1]All Data '!BE292)</f>
        <v>5.5E-2</v>
      </c>
      <c r="M287">
        <f>IF('[1]All Data '!BF292="","",'[1]All Data '!BF292)</f>
        <v>4767.5627999999997</v>
      </c>
      <c r="N287" s="5">
        <f>IF('[1]All Data '!BB292="","",'[1]All Data '!BC292/'[1]All Data '!BH292)</f>
        <v>287974</v>
      </c>
      <c r="O287" s="5">
        <f t="shared" si="6"/>
        <v>1372934129.7672</v>
      </c>
      <c r="P287" s="5">
        <f>IF(M287="","",$C$2*(1-L287)*907.2/0.621371*N287*[1]Transportation!$M$40)</f>
        <v>4491747.2236667629</v>
      </c>
      <c r="Q287" s="5">
        <f>IF(L287="","",IF([1]Inputs_Outputs!$B$5="Herbaceous",(LCA!$E$29*'[1]LOCH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7" s="5">
        <f>IF(M287="","",$E$2*1000*'[1]LOCH Calc COE Calc'!$C$44)</f>
        <v>4896457.3202133691</v>
      </c>
      <c r="S287" s="6">
        <f>IF(N287="","",SUM(O287:R287)/('[1]LOCH Calc COE Calc'!$C$28))</f>
        <v>62.818204759679865</v>
      </c>
      <c r="T287">
        <f>IF(L287="","",O287/'[1]LOCH Calc COE Calc'!$C$28)</f>
        <v>59.203368633628081</v>
      </c>
      <c r="U287">
        <f>IF(L287="","",P287/'[1]LOCH Calc COE Calc'!$C$28)</f>
        <v>0.19369215239547607</v>
      </c>
      <c r="V287">
        <f>IF(L287="","",Q287/'[1]LOCH Calc COE Calc'!$C$28)</f>
        <v>3.2100000000000004</v>
      </c>
      <c r="W287">
        <f>IF(L287="","",R287/'[1]LOCH Calc COE Calc'!$C$28)</f>
        <v>0.21114397365631307</v>
      </c>
    </row>
    <row r="288" spans="12:23" x14ac:dyDescent="0.25">
      <c r="L288" s="4">
        <f>IF('[1]All Data '!BE293="","",'[1]All Data '!BE293)</f>
        <v>5.5E-2</v>
      </c>
      <c r="M288">
        <f>IF('[1]All Data '!BF293="","",'[1]All Data '!BF293)</f>
        <v>4767.5627999999997</v>
      </c>
      <c r="N288" s="5">
        <f>IF('[1]All Data '!BB293="","",'[1]All Data '!BC293/'[1]All Data '!BH293)</f>
        <v>287837.5</v>
      </c>
      <c r="O288" s="5">
        <f t="shared" si="6"/>
        <v>1372283357.4449999</v>
      </c>
      <c r="P288" s="5">
        <f>IF(M288="","",$C$2*(1-L288)*907.2/0.621371*N288*[1]Transportation!$M$40)</f>
        <v>4489618.1304290732</v>
      </c>
      <c r="Q288" s="5">
        <f>IF(L288="","",IF([1]Inputs_Outputs!$B$5="Herbaceous",(LCA!$E$29*'[1]LOCH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8" s="5">
        <f>IF(M288="","",$E$2*1000*'[1]LOCH Calc COE Calc'!$C$44)</f>
        <v>4896457.3202133691</v>
      </c>
      <c r="S288" s="6">
        <f>IF(N288="","",SUM(O288:R288)/('[1]LOCH Calc COE Calc'!$C$28))</f>
        <v>62.790050486039561</v>
      </c>
      <c r="T288">
        <f>IF(L288="","",O288/'[1]LOCH Calc COE Calc'!$C$28)</f>
        <v>59.175306170285936</v>
      </c>
      <c r="U288">
        <f>IF(L288="","",P288/'[1]LOCH Calc COE Calc'!$C$28)</f>
        <v>0.1936003420973173</v>
      </c>
      <c r="V288">
        <f>IF(L288="","",Q288/'[1]LOCH Calc COE Calc'!$C$28)</f>
        <v>3.2100000000000004</v>
      </c>
      <c r="W288">
        <f>IF(L288="","",R288/'[1]LOCH Calc COE Calc'!$C$28)</f>
        <v>0.21114397365631307</v>
      </c>
    </row>
    <row r="289" spans="12:23" x14ac:dyDescent="0.25">
      <c r="L289" s="4">
        <f>IF('[1]All Data '!BE294="","",'[1]All Data '!BE294)</f>
        <v>5.5E-2</v>
      </c>
      <c r="M289">
        <f>IF('[1]All Data '!BF294="","",'[1]All Data '!BF294)</f>
        <v>4767.5627999999997</v>
      </c>
      <c r="N289" s="5">
        <f>IF('[1]All Data '!BB294="","",'[1]All Data '!BC294/'[1]All Data '!BH294)</f>
        <v>287837.5</v>
      </c>
      <c r="O289" s="5">
        <f t="shared" si="6"/>
        <v>1372283357.4449999</v>
      </c>
      <c r="P289" s="5">
        <f>IF(M289="","",$C$2*(1-L289)*907.2/0.621371*N289*[1]Transportation!$M$40)</f>
        <v>4489618.1304290732</v>
      </c>
      <c r="Q289" s="5">
        <f>IF(L289="","",IF([1]Inputs_Outputs!$B$5="Herbaceous",(LCA!$E$29*'[1]LOCH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89" s="5">
        <f>IF(M289="","",$E$2*1000*'[1]LOCH Calc COE Calc'!$C$44)</f>
        <v>4896457.3202133691</v>
      </c>
      <c r="S289" s="6">
        <f>IF(N289="","",SUM(O289:R289)/('[1]LOCH Calc COE Calc'!$C$28))</f>
        <v>62.790050486039561</v>
      </c>
      <c r="T289">
        <f>IF(L289="","",O289/'[1]LOCH Calc COE Calc'!$C$28)</f>
        <v>59.175306170285936</v>
      </c>
      <c r="U289">
        <f>IF(L289="","",P289/'[1]LOCH Calc COE Calc'!$C$28)</f>
        <v>0.1936003420973173</v>
      </c>
      <c r="V289">
        <f>IF(L289="","",Q289/'[1]LOCH Calc COE Calc'!$C$28)</f>
        <v>3.2100000000000004</v>
      </c>
      <c r="W289">
        <f>IF(L289="","",R289/'[1]LOCH Calc COE Calc'!$C$28)</f>
        <v>0.21114397365631307</v>
      </c>
    </row>
    <row r="290" spans="12:23" x14ac:dyDescent="0.25">
      <c r="L290" s="4">
        <f>IF('[1]All Data '!BE295="","",'[1]All Data '!BE295)</f>
        <v>5.5E-2</v>
      </c>
      <c r="M290">
        <f>IF('[1]All Data '!BF295="","",'[1]All Data '!BF295)</f>
        <v>4767.5627999999997</v>
      </c>
      <c r="N290" s="5">
        <f>IF('[1]All Data '!BB295="","",'[1]All Data '!BC295/'[1]All Data '!BH295)</f>
        <v>287837.5</v>
      </c>
      <c r="O290" s="5">
        <f t="shared" si="6"/>
        <v>1372283357.4449999</v>
      </c>
      <c r="P290" s="5">
        <f>IF(M290="","",$C$2*(1-L290)*907.2/0.621371*N290*[1]Transportation!$M$40)</f>
        <v>4489618.1304290732</v>
      </c>
      <c r="Q290" s="5">
        <f>IF(L290="","",IF([1]Inputs_Outputs!$B$5="Herbaceous",(LCA!$E$29*'[1]LOCH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0" s="5">
        <f>IF(M290="","",$E$2*1000*'[1]LOCH Calc COE Calc'!$C$44)</f>
        <v>4896457.3202133691</v>
      </c>
      <c r="S290" s="6">
        <f>IF(N290="","",SUM(O290:R290)/('[1]LOCH Calc COE Calc'!$C$28))</f>
        <v>62.790050486039561</v>
      </c>
      <c r="T290">
        <f>IF(L290="","",O290/'[1]LOCH Calc COE Calc'!$C$28)</f>
        <v>59.175306170285936</v>
      </c>
      <c r="U290">
        <f>IF(L290="","",P290/'[1]LOCH Calc COE Calc'!$C$28)</f>
        <v>0.1936003420973173</v>
      </c>
      <c r="V290">
        <f>IF(L290="","",Q290/'[1]LOCH Calc COE Calc'!$C$28)</f>
        <v>3.2100000000000004</v>
      </c>
      <c r="W290">
        <f>IF(L290="","",R290/'[1]LOCH Calc COE Calc'!$C$28)</f>
        <v>0.21114397365631307</v>
      </c>
    </row>
    <row r="291" spans="12:23" x14ac:dyDescent="0.25">
      <c r="L291" s="4">
        <f>IF('[1]All Data '!BE296="","",'[1]All Data '!BE296)</f>
        <v>5.5E-2</v>
      </c>
      <c r="M291">
        <f>IF('[1]All Data '!BF296="","",'[1]All Data '!BF296)</f>
        <v>4767.5627999999997</v>
      </c>
      <c r="N291" s="5">
        <f>IF('[1]All Data '!BB296="","",'[1]All Data '!BC296/'[1]All Data '!BH296)</f>
        <v>287837.5</v>
      </c>
      <c r="O291" s="5">
        <f t="shared" si="6"/>
        <v>1372283357.4449999</v>
      </c>
      <c r="P291" s="5">
        <f>IF(M291="","",$C$2*(1-L291)*907.2/0.621371*N291*[1]Transportation!$M$40)</f>
        <v>4489618.1304290732</v>
      </c>
      <c r="Q291" s="5">
        <f>IF(L291="","",IF([1]Inputs_Outputs!$B$5="Herbaceous",(LCA!$E$29*'[1]LOCH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1" s="5">
        <f>IF(M291="","",$E$2*1000*'[1]LOCH Calc COE Calc'!$C$44)</f>
        <v>4896457.3202133691</v>
      </c>
      <c r="S291" s="6">
        <f>IF(N291="","",SUM(O291:R291)/('[1]LOCH Calc COE Calc'!$C$28))</f>
        <v>62.790050486039561</v>
      </c>
      <c r="T291">
        <f>IF(L291="","",O291/'[1]LOCH Calc COE Calc'!$C$28)</f>
        <v>59.175306170285936</v>
      </c>
      <c r="U291">
        <f>IF(L291="","",P291/'[1]LOCH Calc COE Calc'!$C$28)</f>
        <v>0.1936003420973173</v>
      </c>
      <c r="V291">
        <f>IF(L291="","",Q291/'[1]LOCH Calc COE Calc'!$C$28)</f>
        <v>3.2100000000000004</v>
      </c>
      <c r="W291">
        <f>IF(L291="","",R291/'[1]LOCH Calc COE Calc'!$C$28)</f>
        <v>0.21114397365631307</v>
      </c>
    </row>
    <row r="292" spans="12:23" x14ac:dyDescent="0.25">
      <c r="L292" s="4">
        <f>IF('[1]All Data '!BE297="","",'[1]All Data '!BE297)</f>
        <v>5.5E-2</v>
      </c>
      <c r="M292">
        <f>IF('[1]All Data '!BF297="","",'[1]All Data '!BF297)</f>
        <v>4767.5627999999997</v>
      </c>
      <c r="N292" s="5">
        <f>IF('[1]All Data '!BB297="","",'[1]All Data '!BC297/'[1]All Data '!BH297)</f>
        <v>287837.5</v>
      </c>
      <c r="O292" s="5">
        <f t="shared" si="6"/>
        <v>1372283357.4449999</v>
      </c>
      <c r="P292" s="5">
        <f>IF(M292="","",$C$2*(1-L292)*907.2/0.621371*N292*[1]Transportation!$M$40)</f>
        <v>4489618.1304290732</v>
      </c>
      <c r="Q292" s="5">
        <f>IF(L292="","",IF([1]Inputs_Outputs!$B$5="Herbaceous",(LCA!$E$29*'[1]LOCH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2" s="5">
        <f>IF(M292="","",$E$2*1000*'[1]LOCH Calc COE Calc'!$C$44)</f>
        <v>4896457.3202133691</v>
      </c>
      <c r="S292" s="6">
        <f>IF(N292="","",SUM(O292:R292)/('[1]LOCH Calc COE Calc'!$C$28))</f>
        <v>62.790050486039561</v>
      </c>
      <c r="T292">
        <f>IF(L292="","",O292/'[1]LOCH Calc COE Calc'!$C$28)</f>
        <v>59.175306170285936</v>
      </c>
      <c r="U292">
        <f>IF(L292="","",P292/'[1]LOCH Calc COE Calc'!$C$28)</f>
        <v>0.1936003420973173</v>
      </c>
      <c r="V292">
        <f>IF(L292="","",Q292/'[1]LOCH Calc COE Calc'!$C$28)</f>
        <v>3.2100000000000004</v>
      </c>
      <c r="W292">
        <f>IF(L292="","",R292/'[1]LOCH Calc COE Calc'!$C$28)</f>
        <v>0.21114397365631307</v>
      </c>
    </row>
    <row r="293" spans="12:23" x14ac:dyDescent="0.25">
      <c r="L293" s="4">
        <f>IF('[1]All Data '!BE298="","",'[1]All Data '!BE298)</f>
        <v>5.5E-2</v>
      </c>
      <c r="M293">
        <f>IF('[1]All Data '!BF298="","",'[1]All Data '!BF298)</f>
        <v>4767.5627999999997</v>
      </c>
      <c r="N293" s="5">
        <f>IF('[1]All Data '!BB298="","",'[1]All Data '!BC298/'[1]All Data '!BH298)</f>
        <v>287821.5</v>
      </c>
      <c r="O293" s="5">
        <f t="shared" si="6"/>
        <v>1372207076.4401999</v>
      </c>
      <c r="P293" s="5">
        <f>IF(M293="","",$C$2*(1-L293)*907.2/0.621371*N293*[1]Transportation!$M$40)</f>
        <v>4489368.56638656</v>
      </c>
      <c r="Q293" s="5">
        <f>IF(L293="","",IF([1]Inputs_Outputs!$B$5="Herbaceous",(LCA!$E$29*'[1]LOCH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3" s="5">
        <f>IF(M293="","",$E$2*1000*'[1]LOCH Calc COE Calc'!$C$44)</f>
        <v>4896457.3202133691</v>
      </c>
      <c r="S293" s="6">
        <f>IF(N293="","",SUM(O293:R293)/('[1]LOCH Calc COE Calc'!$C$28))</f>
        <v>62.7867503514004</v>
      </c>
      <c r="T293">
        <f>IF(L293="","",O293/'[1]LOCH Calc COE Calc'!$C$28)</f>
        <v>59.172016797293445</v>
      </c>
      <c r="U293">
        <f>IF(L293="","",P293/'[1]LOCH Calc COE Calc'!$C$28)</f>
        <v>0.19358958045064664</v>
      </c>
      <c r="V293">
        <f>IF(L293="","",Q293/'[1]LOCH Calc COE Calc'!$C$28)</f>
        <v>3.2100000000000004</v>
      </c>
      <c r="W293">
        <f>IF(L293="","",R293/'[1]LOCH Calc COE Calc'!$C$28)</f>
        <v>0.21114397365631307</v>
      </c>
    </row>
    <row r="294" spans="12:23" x14ac:dyDescent="0.25">
      <c r="L294" s="4">
        <f>IF('[1]All Data '!BE299="","",'[1]All Data '!BE299)</f>
        <v>5.5E-2</v>
      </c>
      <c r="M294">
        <f>IF('[1]All Data '!BF299="","",'[1]All Data '!BF299)</f>
        <v>4767.5627999999997</v>
      </c>
      <c r="N294" s="5">
        <f>IF('[1]All Data '!BB299="","",'[1]All Data '!BC299/'[1]All Data '!BH299)</f>
        <v>286537</v>
      </c>
      <c r="O294" s="5">
        <f t="shared" si="6"/>
        <v>1366083142.0235999</v>
      </c>
      <c r="P294" s="5">
        <f>IF(M294="","",$C$2*(1-L294)*907.2/0.621371*N294*[1]Transportation!$M$40)</f>
        <v>4469333.2530985549</v>
      </c>
      <c r="Q294" s="5">
        <f>IF(L294="","",IF([1]Inputs_Outputs!$B$5="Herbaceous",(LCA!$E$29*'[1]LOCH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4" s="5">
        <f>IF(M294="","",$E$2*1000*'[1]LOCH Calc COE Calc'!$C$44)</f>
        <v>4896457.3202133691</v>
      </c>
      <c r="S294" s="6">
        <f>IF(N294="","",SUM(O294:R294)/('[1]LOCH Calc COE Calc'!$C$28))</f>
        <v>62.521811417400642</v>
      </c>
      <c r="T294">
        <f>IF(L294="","",O294/'[1]LOCH Calc COE Calc'!$C$28)</f>
        <v>58.907941821740458</v>
      </c>
      <c r="U294">
        <f>IF(L294="","",P294/'[1]LOCH Calc COE Calc'!$C$28)</f>
        <v>0.19272562200387025</v>
      </c>
      <c r="V294">
        <f>IF(L294="","",Q294/'[1]LOCH Calc COE Calc'!$C$28)</f>
        <v>3.2100000000000004</v>
      </c>
      <c r="W294">
        <f>IF(L294="","",R294/'[1]LOCH Calc COE Calc'!$C$28)</f>
        <v>0.21114397365631307</v>
      </c>
    </row>
    <row r="295" spans="12:23" x14ac:dyDescent="0.25">
      <c r="L295" s="4">
        <f>IF('[1]All Data '!BE300="","",'[1]All Data '!BE300)</f>
        <v>5.5E-2</v>
      </c>
      <c r="M295">
        <f>IF('[1]All Data '!BF300="","",'[1]All Data '!BF300)</f>
        <v>4767.5627999999997</v>
      </c>
      <c r="N295" s="5">
        <f>IF('[1]All Data '!BB300="","",'[1]All Data '!BC300/'[1]All Data '!BH300)</f>
        <v>286173.5</v>
      </c>
      <c r="O295" s="5">
        <f t="shared" si="6"/>
        <v>1364350132.9457998</v>
      </c>
      <c r="P295" s="5">
        <f>IF(M295="","",$C$2*(1-L295)*907.2/0.621371*N295*[1]Transportation!$M$40)</f>
        <v>4463663.4700077102</v>
      </c>
      <c r="Q295" s="5">
        <f>IF(L295="","",IF([1]Inputs_Outputs!$B$5="Herbaceous",(LCA!$E$29*'[1]LOCH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5" s="5">
        <f>IF(M295="","",$E$2*1000*'[1]LOCH Calc COE Calc'!$C$44)</f>
        <v>4896457.3202133691</v>
      </c>
      <c r="S295" s="6">
        <f>IF(N295="","",SUM(O295:R295)/('[1]LOCH Calc COE Calc'!$C$28))</f>
        <v>62.44683648356731</v>
      </c>
      <c r="T295">
        <f>IF(L295="","",O295/'[1]LOCH Calc COE Calc'!$C$28)</f>
        <v>58.833211379067428</v>
      </c>
      <c r="U295">
        <f>IF(L295="","",P295/'[1]LOCH Calc COE Calc'!$C$28)</f>
        <v>0.19248113084357188</v>
      </c>
      <c r="V295">
        <f>IF(L295="","",Q295/'[1]LOCH Calc COE Calc'!$C$28)</f>
        <v>3.2100000000000004</v>
      </c>
      <c r="W295">
        <f>IF(L295="","",R295/'[1]LOCH Calc COE Calc'!$C$28)</f>
        <v>0.21114397365631307</v>
      </c>
    </row>
    <row r="296" spans="12:23" x14ac:dyDescent="0.25">
      <c r="L296" s="4">
        <f>IF('[1]All Data '!BE301="","",'[1]All Data '!BE301)</f>
        <v>5.5E-2</v>
      </c>
      <c r="M296">
        <f>IF('[1]All Data '!BF301="","",'[1]All Data '!BF301)</f>
        <v>4767.5627999999997</v>
      </c>
      <c r="N296" s="5">
        <f>IF('[1]All Data '!BB301="","",'[1]All Data '!BC301/'[1]All Data '!BH301)</f>
        <v>285541.5</v>
      </c>
      <c r="O296" s="5">
        <f t="shared" si="6"/>
        <v>1361337033.2561998</v>
      </c>
      <c r="P296" s="5">
        <f>IF(M296="","",$C$2*(1-L296)*907.2/0.621371*N296*[1]Transportation!$M$40)</f>
        <v>4453805.6903284434</v>
      </c>
      <c r="Q296" s="5">
        <f>IF(L296="","",IF([1]Inputs_Outputs!$B$5="Herbaceous",(LCA!$E$29*'[1]LOCH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6" s="5">
        <f>IF(M296="","",$E$2*1000*'[1]LOCH Calc COE Calc'!$C$44)</f>
        <v>4896457.3202133691</v>
      </c>
      <c r="S296" s="6">
        <f>IF(N296="","",SUM(O296:R296)/('[1]LOCH Calc COE Calc'!$C$28))</f>
        <v>62.316481165320639</v>
      </c>
      <c r="T296">
        <f>IF(L296="","",O296/'[1]LOCH Calc COE Calc'!$C$28)</f>
        <v>58.703281145864246</v>
      </c>
      <c r="U296">
        <f>IF(L296="","",P296/'[1]LOCH Calc COE Calc'!$C$28)</f>
        <v>0.19205604580008209</v>
      </c>
      <c r="V296">
        <f>IF(L296="","",Q296/'[1]LOCH Calc COE Calc'!$C$28)</f>
        <v>3.2100000000000004</v>
      </c>
      <c r="W296">
        <f>IF(L296="","",R296/'[1]LOCH Calc COE Calc'!$C$28)</f>
        <v>0.21114397365631307</v>
      </c>
    </row>
    <row r="297" spans="12:23" x14ac:dyDescent="0.25">
      <c r="L297" s="4">
        <f>IF('[1]All Data '!BE302="","",'[1]All Data '!BE302)</f>
        <v>5.5E-2</v>
      </c>
      <c r="M297">
        <f>IF('[1]All Data '!BF302="","",'[1]All Data '!BF302)</f>
        <v>4767.5627999999997</v>
      </c>
      <c r="N297" s="5">
        <f>IF('[1]All Data '!BB302="","",'[1]All Data '!BC302/'[1]All Data '!BH302)</f>
        <v>284748</v>
      </c>
      <c r="O297" s="5">
        <f t="shared" si="6"/>
        <v>1357553972.1743999</v>
      </c>
      <c r="P297" s="5">
        <f>IF(M297="","",$C$2*(1-L297)*907.2/0.621371*N297*[1]Transportation!$M$40)</f>
        <v>4441428.8735950589</v>
      </c>
      <c r="Q297" s="5">
        <f>IF(L297="","",IF([1]Inputs_Outputs!$B$5="Herbaceous",(LCA!$E$29*'[1]LOCH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7" s="5">
        <f>IF(M297="","",$E$2*1000*'[1]LOCH Calc COE Calc'!$C$44)</f>
        <v>4896457.3202133691</v>
      </c>
      <c r="S297" s="6">
        <f>IF(N297="","",SUM(O297:R297)/('[1]LOCH Calc COE Calc'!$C$28))</f>
        <v>62.152815113059987</v>
      </c>
      <c r="T297">
        <f>IF(L297="","",O297/'[1]LOCH Calc COE Calc'!$C$28)</f>
        <v>58.540148804018159</v>
      </c>
      <c r="U297">
        <f>IF(L297="","",P297/'[1]LOCH Calc COE Calc'!$C$28)</f>
        <v>0.19152233538551058</v>
      </c>
      <c r="V297">
        <f>IF(L297="","",Q297/'[1]LOCH Calc COE Calc'!$C$28)</f>
        <v>3.2100000000000004</v>
      </c>
      <c r="W297">
        <f>IF(L297="","",R297/'[1]LOCH Calc COE Calc'!$C$28)</f>
        <v>0.21114397365631307</v>
      </c>
    </row>
    <row r="298" spans="12:23" x14ac:dyDescent="0.25">
      <c r="L298" s="4">
        <f>IF('[1]All Data '!BE303="","",'[1]All Data '!BE303)</f>
        <v>5.5E-2</v>
      </c>
      <c r="M298">
        <f>IF('[1]All Data '!BF303="","",'[1]All Data '!BF303)</f>
        <v>4767.5627999999997</v>
      </c>
      <c r="N298" s="5">
        <f>IF('[1]All Data '!BB303="","",'[1]All Data '!BC303/'[1]All Data '!BH303)</f>
        <v>283186.5</v>
      </c>
      <c r="O298" s="5">
        <f t="shared" si="6"/>
        <v>1350109422.8622</v>
      </c>
      <c r="P298" s="5">
        <f>IF(M298="","",$C$2*(1-L298)*907.2/0.621371*N298*[1]Transportation!$M$40)</f>
        <v>4417072.9828210454</v>
      </c>
      <c r="Q298" s="5">
        <f>IF(L298="","",IF([1]Inputs_Outputs!$B$5="Herbaceous",(LCA!$E$29*'[1]LOCH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8" s="5">
        <f>IF(M298="","",$E$2*1000*'[1]LOCH Calc COE Calc'!$C$44)</f>
        <v>4896457.3202133691</v>
      </c>
      <c r="S298" s="6">
        <f>IF(N298="","",SUM(O298:R298)/('[1]LOCH Calc COE Calc'!$C$28))</f>
        <v>61.830742598119841</v>
      </c>
      <c r="T298">
        <f>IF(L298="","",O298/'[1]LOCH Calc COE Calc'!$C$28)</f>
        <v>58.219126558532778</v>
      </c>
      <c r="U298">
        <f>IF(L298="","",P298/'[1]LOCH Calc COE Calc'!$C$28)</f>
        <v>0.19047206593074892</v>
      </c>
      <c r="V298">
        <f>IF(L298="","",Q298/'[1]LOCH Calc COE Calc'!$C$28)</f>
        <v>3.2100000000000004</v>
      </c>
      <c r="W298">
        <f>IF(L298="","",R298/'[1]LOCH Calc COE Calc'!$C$28)</f>
        <v>0.21114397365631307</v>
      </c>
    </row>
    <row r="299" spans="12:23" x14ac:dyDescent="0.25">
      <c r="L299" s="4">
        <f>IF('[1]All Data '!BE304="","",'[1]All Data '!BE304)</f>
        <v>5.5E-2</v>
      </c>
      <c r="M299">
        <f>IF('[1]All Data '!BF304="","",'[1]All Data '!BF304)</f>
        <v>4767.5627999999997</v>
      </c>
      <c r="N299" s="5">
        <f>IF('[1]All Data '!BB304="","",'[1]All Data '!BC304/'[1]All Data '!BH304)</f>
        <v>282826</v>
      </c>
      <c r="O299" s="5">
        <f t="shared" si="6"/>
        <v>1348390716.4728</v>
      </c>
      <c r="P299" s="5">
        <f>IF(M299="","",$C$2*(1-L299)*907.2/0.621371*N299*[1]Transportation!$M$40)</f>
        <v>4411449.9929881729</v>
      </c>
      <c r="Q299" s="5">
        <f>IF(L299="","",IF([1]Inputs_Outputs!$B$5="Herbaceous",(LCA!$E$29*'[1]LOCH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299" s="5">
        <f>IF(M299="","",$E$2*1000*'[1]LOCH Calc COE Calc'!$C$44)</f>
        <v>4896457.3202133691</v>
      </c>
      <c r="S299" s="6">
        <f>IF(N299="","",SUM(O299:R299)/('[1]LOCH Calc COE Calc'!$C$28))</f>
        <v>61.756386439531347</v>
      </c>
      <c r="T299">
        <f>IF(L299="","",O299/'[1]LOCH Calc COE Calc'!$C$28)</f>
        <v>58.145012873295833</v>
      </c>
      <c r="U299">
        <f>IF(L299="","",P299/'[1]LOCH Calc COE Calc'!$C$28)</f>
        <v>0.19022959257920136</v>
      </c>
      <c r="V299">
        <f>IF(L299="","",Q299/'[1]LOCH Calc COE Calc'!$C$28)</f>
        <v>3.2100000000000004</v>
      </c>
      <c r="W299">
        <f>IF(L299="","",R299/'[1]LOCH Calc COE Calc'!$C$28)</f>
        <v>0.21114397365631307</v>
      </c>
    </row>
    <row r="300" spans="12:23" x14ac:dyDescent="0.25">
      <c r="L300" s="4">
        <f>IF('[1]All Data '!BE305="","",'[1]All Data '!BE305)</f>
        <v>5.5E-2</v>
      </c>
      <c r="M300">
        <f>IF('[1]All Data '!BF305="","",'[1]All Data '!BF305)</f>
        <v>4767.5627999999997</v>
      </c>
      <c r="N300" s="5">
        <f>IF('[1]All Data '!BB305="","",'[1]All Data '!BC305/'[1]All Data '!BH305)</f>
        <v>282472.5</v>
      </c>
      <c r="O300" s="5">
        <f t="shared" si="6"/>
        <v>1346705383.023</v>
      </c>
      <c r="P300" s="5">
        <f>IF(M300="","",$C$2*(1-L300)*907.2/0.621371*N300*[1]Transportation!$M$40)</f>
        <v>4405936.1874238979</v>
      </c>
      <c r="Q300" s="5">
        <f>IF(L300="","",IF([1]Inputs_Outputs!$B$5="Herbaceous",(LCA!$E$29*'[1]LOCH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0" s="5">
        <f>IF(M300="","",$E$2*1000*'[1]LOCH Calc COE Calc'!$C$44)</f>
        <v>4896457.3202133691</v>
      </c>
      <c r="S300" s="6">
        <f>IF(N300="","",SUM(O300:R300)/('[1]LOCH Calc COE Calc'!$C$28))</f>
        <v>61.683474089847493</v>
      </c>
      <c r="T300">
        <f>IF(L300="","",O300/'[1]LOCH Calc COE Calc'!$C$28)</f>
        <v>58.072338288743104</v>
      </c>
      <c r="U300">
        <f>IF(L300="","",P300/'[1]LOCH Calc COE Calc'!$C$28)</f>
        <v>0.18999182744807208</v>
      </c>
      <c r="V300">
        <f>IF(L300="","",Q300/'[1]LOCH Calc COE Calc'!$C$28)</f>
        <v>3.2100000000000004</v>
      </c>
      <c r="W300">
        <f>IF(L300="","",R300/'[1]LOCH Calc COE Calc'!$C$28)</f>
        <v>0.21114397365631307</v>
      </c>
    </row>
    <row r="301" spans="12:23" x14ac:dyDescent="0.25">
      <c r="L301" s="4">
        <f>IF('[1]All Data '!BE306="","",'[1]All Data '!BE306)</f>
        <v>5.5E-2</v>
      </c>
      <c r="M301">
        <f>IF('[1]All Data '!BF306="","",'[1]All Data '!BF306)</f>
        <v>4767.5627999999997</v>
      </c>
      <c r="N301" s="5">
        <f>IF('[1]All Data '!BB306="","",'[1]All Data '!BC306/'[1]All Data '!BH306)</f>
        <v>282273.5</v>
      </c>
      <c r="O301" s="5">
        <f t="shared" si="6"/>
        <v>1345756638.0258</v>
      </c>
      <c r="P301" s="5">
        <f>IF(M301="","",$C$2*(1-L301)*907.2/0.621371*N301*[1]Transportation!$M$40)</f>
        <v>4402832.2346451413</v>
      </c>
      <c r="Q301" s="5">
        <f>IF(L301="","",IF([1]Inputs_Outputs!$B$5="Herbaceous",(LCA!$E$29*'[1]LOCH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1" s="5">
        <f>IF(M301="","",$E$2*1000*'[1]LOCH Calc COE Calc'!$C$44)</f>
        <v>4896457.3202133691</v>
      </c>
      <c r="S301" s="6">
        <f>IF(N301="","",SUM(O301:R301)/('[1]LOCH Calc COE Calc'!$C$28))</f>
        <v>61.642428665272988</v>
      </c>
      <c r="T301">
        <f>IF(L301="","",O301/'[1]LOCH Calc COE Calc'!$C$28)</f>
        <v>58.03142671214907</v>
      </c>
      <c r="U301">
        <f>IF(L301="","",P301/'[1]LOCH Calc COE Calc'!$C$28)</f>
        <v>0.18985797946760616</v>
      </c>
      <c r="V301">
        <f>IF(L301="","",Q301/'[1]LOCH Calc COE Calc'!$C$28)</f>
        <v>3.2100000000000004</v>
      </c>
      <c r="W301">
        <f>IF(L301="","",R301/'[1]LOCH Calc COE Calc'!$C$28)</f>
        <v>0.21114397365631307</v>
      </c>
    </row>
    <row r="302" spans="12:23" x14ac:dyDescent="0.25">
      <c r="L302" s="4">
        <f>IF('[1]All Data '!BE307="","",'[1]All Data '!BE307)</f>
        <v>5.5E-2</v>
      </c>
      <c r="M302">
        <f>IF('[1]All Data '!BF307="","",'[1]All Data '!BF307)</f>
        <v>4767.5627999999997</v>
      </c>
      <c r="N302" s="5">
        <f>IF('[1]All Data '!BB307="","",'[1]All Data '!BC307/'[1]All Data '!BH307)</f>
        <v>280720.5</v>
      </c>
      <c r="O302" s="5">
        <f t="shared" si="6"/>
        <v>1338352612.9973998</v>
      </c>
      <c r="P302" s="5">
        <f>IF(M302="","",$C$2*(1-L302)*907.2/0.621371*N302*[1]Transportation!$M$40)</f>
        <v>4378608.9247687133</v>
      </c>
      <c r="Q302" s="5">
        <f>IF(L302="","",IF([1]Inputs_Outputs!$B$5="Herbaceous",(LCA!$E$29*'[1]LOCH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2" s="5">
        <f>IF(M302="","",$E$2*1000*'[1]LOCH Calc COE Calc'!$C$44)</f>
        <v>4896457.3202133691</v>
      </c>
      <c r="S302" s="6">
        <f>IF(N302="","",SUM(O302:R302)/('[1]LOCH Calc COE Calc'!$C$28))</f>
        <v>61.322109346859875</v>
      </c>
      <c r="T302">
        <f>IF(L302="","",O302/'[1]LOCH Calc COE Calc'!$C$28)</f>
        <v>57.712151946065923</v>
      </c>
      <c r="U302">
        <f>IF(L302="","",P302/'[1]LOCH Calc COE Calc'!$C$28)</f>
        <v>0.18881342713763827</v>
      </c>
      <c r="V302">
        <f>IF(L302="","",Q302/'[1]LOCH Calc COE Calc'!$C$28)</f>
        <v>3.2100000000000004</v>
      </c>
      <c r="W302">
        <f>IF(L302="","",R302/'[1]LOCH Calc COE Calc'!$C$28)</f>
        <v>0.21114397365631307</v>
      </c>
    </row>
    <row r="303" spans="12:23" x14ac:dyDescent="0.25">
      <c r="L303" s="4">
        <f>IF('[1]All Data '!BE308="","",'[1]All Data '!BE308)</f>
        <v>5.5E-2</v>
      </c>
      <c r="M303">
        <f>IF('[1]All Data '!BF308="","",'[1]All Data '!BF308)</f>
        <v>4767.5627999999997</v>
      </c>
      <c r="N303" s="5">
        <f>IF('[1]All Data '!BB308="","",'[1]All Data '!BC308/'[1]All Data '!BH308)</f>
        <v>280381</v>
      </c>
      <c r="O303" s="5">
        <f t="shared" si="6"/>
        <v>1336734025.4268</v>
      </c>
      <c r="P303" s="5">
        <f>IF(M303="","",$C$2*(1-L303)*907.2/0.621371*N303*[1]Transportation!$M$40)</f>
        <v>4373313.4877416389</v>
      </c>
      <c r="Q303" s="5">
        <f>IF(L303="","",IF([1]Inputs_Outputs!$B$5="Herbaceous",(LCA!$E$29*'[1]LOCH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3" s="5">
        <f>IF(M303="","",$E$2*1000*'[1]LOCH Calc COE Calc'!$C$44)</f>
        <v>4896457.3202133691</v>
      </c>
      <c r="S303" s="6">
        <f>IF(N303="","",SUM(O303:R303)/('[1]LOCH Calc COE Calc'!$C$28))</f>
        <v>61.252084614985293</v>
      </c>
      <c r="T303">
        <f>IF(L303="","",O303/'[1]LOCH Calc COE Calc'!$C$28)</f>
        <v>57.642355562881633</v>
      </c>
      <c r="U303">
        <f>IF(L303="","",P303/'[1]LOCH Calc COE Calc'!$C$28)</f>
        <v>0.18858507844734587</v>
      </c>
      <c r="V303">
        <f>IF(L303="","",Q303/'[1]LOCH Calc COE Calc'!$C$28)</f>
        <v>3.2100000000000004</v>
      </c>
      <c r="W303">
        <f>IF(L303="","",R303/'[1]LOCH Calc COE Calc'!$C$28)</f>
        <v>0.21114397365631307</v>
      </c>
    </row>
    <row r="304" spans="12:23" x14ac:dyDescent="0.25">
      <c r="L304" s="4">
        <f>IF('[1]All Data '!BE309="","",'[1]All Data '!BE309)</f>
        <v>5.5E-2</v>
      </c>
      <c r="M304">
        <f>IF('[1]All Data '!BF309="","",'[1]All Data '!BF309)</f>
        <v>4767.5627999999997</v>
      </c>
      <c r="N304" s="5">
        <f>IF('[1]All Data '!BB309="","",'[1]All Data '!BC309/'[1]All Data '!BH309)</f>
        <v>280058.5</v>
      </c>
      <c r="O304" s="5">
        <f t="shared" si="6"/>
        <v>1335196486.4238</v>
      </c>
      <c r="P304" s="5">
        <f>IF(M304="","",$C$2*(1-L304)*907.2/0.621371*N304*[1]Transportation!$M$40)</f>
        <v>4368283.2125097336</v>
      </c>
      <c r="Q304" s="5">
        <f>IF(L304="","",IF([1]Inputs_Outputs!$B$5="Herbaceous",(LCA!$E$29*'[1]LOCH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4" s="5">
        <f>IF(M304="","",$E$2*1000*'[1]LOCH Calc COE Calc'!$C$44)</f>
        <v>4896457.3202133691</v>
      </c>
      <c r="S304" s="6">
        <f>IF(N304="","",SUM(O304:R304)/('[1]LOCH Calc COE Calc'!$C$28))</f>
        <v>61.185566276164792</v>
      </c>
      <c r="T304">
        <f>IF(L304="","",O304/'[1]LOCH Calc COE Calc'!$C$28)</f>
        <v>57.576054138501839</v>
      </c>
      <c r="U304">
        <f>IF(L304="","",P304/'[1]LOCH Calc COE Calc'!$C$28)</f>
        <v>0.188368164006641</v>
      </c>
      <c r="V304">
        <f>IF(L304="","",Q304/'[1]LOCH Calc COE Calc'!$C$28)</f>
        <v>3.2100000000000004</v>
      </c>
      <c r="W304">
        <f>IF(L304="","",R304/'[1]LOCH Calc COE Calc'!$C$28)</f>
        <v>0.21114397365631307</v>
      </c>
    </row>
    <row r="305" spans="12:23" x14ac:dyDescent="0.25">
      <c r="L305" s="4">
        <f>IF('[1]All Data '!BE310="","",'[1]All Data '!BE310)</f>
        <v>5.5E-2</v>
      </c>
      <c r="M305">
        <f>IF('[1]All Data '!BF310="","",'[1]All Data '!BF310)</f>
        <v>4767.5627999999997</v>
      </c>
      <c r="N305" s="5">
        <f>IF('[1]All Data '!BB310="","",'[1]All Data '!BC310/'[1]All Data '!BH310)</f>
        <v>280011.5</v>
      </c>
      <c r="O305" s="5">
        <f t="shared" si="6"/>
        <v>1334972410.9721999</v>
      </c>
      <c r="P305" s="5">
        <f>IF(M305="","",$C$2*(1-L305)*907.2/0.621371*N305*[1]Transportation!$M$40)</f>
        <v>4367550.1181348516</v>
      </c>
      <c r="Q305" s="5">
        <f>IF(L305="","",IF([1]Inputs_Outputs!$B$5="Herbaceous",(LCA!$E$29*'[1]LOCH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5" s="5">
        <f>IF(M305="","",$E$2*1000*'[1]LOCH Calc COE Calc'!$C$44)</f>
        <v>4896457.3202133691</v>
      </c>
      <c r="S305" s="6">
        <f>IF(N305="","",SUM(O305:R305)/('[1]LOCH Calc COE Calc'!$C$28))</f>
        <v>61.17587213066227</v>
      </c>
      <c r="T305">
        <f>IF(L305="","",O305/'[1]LOCH Calc COE Calc'!$C$28)</f>
        <v>57.566391605336413</v>
      </c>
      <c r="U305">
        <f>IF(L305="","",P305/'[1]LOCH Calc COE Calc'!$C$28)</f>
        <v>0.18833655166954602</v>
      </c>
      <c r="V305">
        <f>IF(L305="","",Q305/'[1]LOCH Calc COE Calc'!$C$28)</f>
        <v>3.2100000000000004</v>
      </c>
      <c r="W305">
        <f>IF(L305="","",R305/'[1]LOCH Calc COE Calc'!$C$28)</f>
        <v>0.21114397365631307</v>
      </c>
    </row>
    <row r="306" spans="12:23" x14ac:dyDescent="0.25">
      <c r="L306" s="4">
        <f>IF('[1]All Data '!BE311="","",'[1]All Data '!BE311)</f>
        <v>5.5E-2</v>
      </c>
      <c r="M306">
        <f>IF('[1]All Data '!BF311="","",'[1]All Data '!BF311)</f>
        <v>4767.5627999999997</v>
      </c>
      <c r="N306" s="5">
        <f>IF('[1]All Data '!BB311="","",'[1]All Data '!BC311/'[1]All Data '!BH311)</f>
        <v>279593.5</v>
      </c>
      <c r="O306" s="5">
        <f t="shared" si="6"/>
        <v>1332979569.7217999</v>
      </c>
      <c r="P306" s="5">
        <f>IF(M306="","",$C$2*(1-L306)*907.2/0.621371*N306*[1]Transportation!$M$40)</f>
        <v>4361030.257524197</v>
      </c>
      <c r="Q306" s="5">
        <f>IF(L306="","",IF([1]Inputs_Outputs!$B$5="Herbaceous",(LCA!$E$29*'[1]LOCH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6" s="5">
        <f>IF(M306="","",$E$2*1000*'[1]LOCH Calc COE Calc'!$C$44)</f>
        <v>4896457.3202133691</v>
      </c>
      <c r="S306" s="6">
        <f>IF(N306="","",SUM(O306:R306)/('[1]LOCH Calc COE Calc'!$C$28))</f>
        <v>61.089656113214318</v>
      </c>
      <c r="T306">
        <f>IF(L306="","",O306/'[1]LOCH Calc COE Calc'!$C$28)</f>
        <v>57.480456735907723</v>
      </c>
      <c r="U306">
        <f>IF(L306="","",P306/'[1]LOCH Calc COE Calc'!$C$28)</f>
        <v>0.18805540365027587</v>
      </c>
      <c r="V306">
        <f>IF(L306="","",Q306/'[1]LOCH Calc COE Calc'!$C$28)</f>
        <v>3.2100000000000004</v>
      </c>
      <c r="W306">
        <f>IF(L306="","",R306/'[1]LOCH Calc COE Calc'!$C$28)</f>
        <v>0.21114397365631307</v>
      </c>
    </row>
    <row r="307" spans="12:23" x14ac:dyDescent="0.25">
      <c r="L307" s="4">
        <f>IF('[1]All Data '!BE312="","",'[1]All Data '!BE312)</f>
        <v>5.5E-2</v>
      </c>
      <c r="M307">
        <f>IF('[1]All Data '!BF312="","",'[1]All Data '!BF312)</f>
        <v>4767.5627999999997</v>
      </c>
      <c r="N307" s="5">
        <f>IF('[1]All Data '!BB312="","",'[1]All Data '!BC312/'[1]All Data '!BH312)</f>
        <v>278261</v>
      </c>
      <c r="O307" s="5">
        <f t="shared" si="6"/>
        <v>1326626792.2907999</v>
      </c>
      <c r="P307" s="5">
        <f>IF(M307="","",$C$2*(1-L307)*907.2/0.621371*N307*[1]Transportation!$M$40)</f>
        <v>4340246.2521086531</v>
      </c>
      <c r="Q307" s="5">
        <f>IF(L307="","",IF([1]Inputs_Outputs!$B$5="Herbaceous",(LCA!$E$29*'[1]LOCH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7" s="5">
        <f>IF(M307="","",$E$2*1000*'[1]LOCH Calc COE Calc'!$C$44)</f>
        <v>4896457.3202133691</v>
      </c>
      <c r="S307" s="6">
        <f>IF(N307="","",SUM(O307:R307)/('[1]LOCH Calc COE Calc'!$C$28))</f>
        <v>60.814816775297082</v>
      </c>
      <c r="T307">
        <f>IF(L307="","",O307/'[1]LOCH Calc COE Calc'!$C$28)</f>
        <v>57.206513641377278</v>
      </c>
      <c r="U307">
        <f>IF(L307="","",P307/'[1]LOCH Calc COE Calc'!$C$28)</f>
        <v>0.18715916026348758</v>
      </c>
      <c r="V307">
        <f>IF(L307="","",Q307/'[1]LOCH Calc COE Calc'!$C$28)</f>
        <v>3.2100000000000004</v>
      </c>
      <c r="W307">
        <f>IF(L307="","",R307/'[1]LOCH Calc COE Calc'!$C$28)</f>
        <v>0.21114397365631307</v>
      </c>
    </row>
    <row r="308" spans="12:23" x14ac:dyDescent="0.25">
      <c r="L308" s="4">
        <f>IF('[1]All Data '!BE313="","",'[1]All Data '!BE313)</f>
        <v>5.5E-2</v>
      </c>
      <c r="M308">
        <f>IF('[1]All Data '!BF313="","",'[1]All Data '!BF313)</f>
        <v>4767.5627999999997</v>
      </c>
      <c r="N308" s="5">
        <f>IF('[1]All Data '!BB313="","",'[1]All Data '!BC313/'[1]All Data '!BH313)</f>
        <v>277163.5</v>
      </c>
      <c r="O308" s="5">
        <f t="shared" si="6"/>
        <v>1321394392.1178</v>
      </c>
      <c r="P308" s="5">
        <f>IF(M308="","",$C$2*(1-L308)*907.2/0.621371*N308*[1]Transportation!$M$40)</f>
        <v>4323127.7185675194</v>
      </c>
      <c r="Q308" s="5">
        <f>IF(L308="","",IF([1]Inputs_Outputs!$B$5="Herbaceous",(LCA!$E$29*'[1]LOCH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8" s="5">
        <f>IF(M308="","",$E$2*1000*'[1]LOCH Calc COE Calc'!$C$44)</f>
        <v>4896457.3202133691</v>
      </c>
      <c r="S308" s="6">
        <f>IF(N308="","",SUM(O308:R308)/('[1]LOCH Calc COE Calc'!$C$28))</f>
        <v>60.588448164892469</v>
      </c>
      <c r="T308">
        <f>IF(L308="","",O308/'[1]LOCH Calc COE Calc'!$C$28)</f>
        <v>56.98088321267398</v>
      </c>
      <c r="U308">
        <f>IF(L308="","",P308/'[1]LOCH Calc COE Calc'!$C$28)</f>
        <v>0.18642097856217413</v>
      </c>
      <c r="V308">
        <f>IF(L308="","",Q308/'[1]LOCH Calc COE Calc'!$C$28)</f>
        <v>3.2100000000000004</v>
      </c>
      <c r="W308">
        <f>IF(L308="","",R308/'[1]LOCH Calc COE Calc'!$C$28)</f>
        <v>0.21114397365631307</v>
      </c>
    </row>
    <row r="309" spans="12:23" x14ac:dyDescent="0.25">
      <c r="L309" s="4">
        <f>IF('[1]All Data '!BE314="","",'[1]All Data '!BE314)</f>
        <v>5.5E-2</v>
      </c>
      <c r="M309">
        <f>IF('[1]All Data '!BF314="","",'[1]All Data '!BF314)</f>
        <v>4767.5627999999997</v>
      </c>
      <c r="N309" s="5">
        <f>IF('[1]All Data '!BB314="","",'[1]All Data '!BC314/'[1]All Data '!BH314)</f>
        <v>277138.5</v>
      </c>
      <c r="O309" s="5">
        <f t="shared" si="6"/>
        <v>1321275203.0477998</v>
      </c>
      <c r="P309" s="5">
        <f>IF(M309="","",$C$2*(1-L309)*907.2/0.621371*N309*[1]Transportation!$M$40)</f>
        <v>4322737.7747510932</v>
      </c>
      <c r="Q309" s="5">
        <f>IF(L309="","",IF([1]Inputs_Outputs!$B$5="Herbaceous",(LCA!$E$29*'[1]LOCH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09" s="5">
        <f>IF(M309="","",$E$2*1000*'[1]LOCH Calc COE Calc'!$C$44)</f>
        <v>4896457.3202133691</v>
      </c>
      <c r="S309" s="6">
        <f>IF(N309="","",SUM(O309:R309)/('[1]LOCH Calc COE Calc'!$C$28))</f>
        <v>60.583291704518778</v>
      </c>
      <c r="T309">
        <f>IF(L309="","",O309/'[1]LOCH Calc COE Calc'!$C$28)</f>
        <v>56.975743567373215</v>
      </c>
      <c r="U309">
        <f>IF(L309="","",P309/'[1]LOCH Calc COE Calc'!$C$28)</f>
        <v>0.18640416348925129</v>
      </c>
      <c r="V309">
        <f>IF(L309="","",Q309/'[1]LOCH Calc COE Calc'!$C$28)</f>
        <v>3.2100000000000004</v>
      </c>
      <c r="W309">
        <f>IF(L309="","",R309/'[1]LOCH Calc COE Calc'!$C$28)</f>
        <v>0.21114397365631307</v>
      </c>
    </row>
    <row r="310" spans="12:23" x14ac:dyDescent="0.25">
      <c r="L310" s="4">
        <f>IF('[1]All Data '!BE315="","",'[1]All Data '!BE315)</f>
        <v>5.5E-2</v>
      </c>
      <c r="M310">
        <f>IF('[1]All Data '!BF315="","",'[1]All Data '!BF315)</f>
        <v>4767.5627999999997</v>
      </c>
      <c r="N310" s="5">
        <f>IF('[1]All Data '!BB315="","",'[1]All Data '!BC315/'[1]All Data '!BH315)</f>
        <v>276823.5</v>
      </c>
      <c r="O310" s="5">
        <f t="shared" si="6"/>
        <v>1319773420.7658</v>
      </c>
      <c r="P310" s="5">
        <f>IF(M310="","",$C$2*(1-L310)*907.2/0.621371*N310*[1]Transportation!$M$40)</f>
        <v>4317824.4826641157</v>
      </c>
      <c r="Q310" s="5">
        <f>IF(L310="","",IF([1]Inputs_Outputs!$B$5="Herbaceous",(LCA!$E$29*'[1]LOCH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0" s="5">
        <f>IF(M310="","",$E$2*1000*'[1]LOCH Calc COE Calc'!$C$44)</f>
        <v>4896457.3202133691</v>
      </c>
      <c r="S310" s="6">
        <f>IF(N310="","",SUM(O310:R310)/('[1]LOCH Calc COE Calc'!$C$28))</f>
        <v>60.518320303810398</v>
      </c>
      <c r="T310">
        <f>IF(L310="","",O310/'[1]LOCH Calc COE Calc'!$C$28)</f>
        <v>56.910984036583656</v>
      </c>
      <c r="U310">
        <f>IF(L310="","",P310/'[1]LOCH Calc COE Calc'!$C$28)</f>
        <v>0.18619229357042327</v>
      </c>
      <c r="V310">
        <f>IF(L310="","",Q310/'[1]LOCH Calc COE Calc'!$C$28)</f>
        <v>3.2100000000000004</v>
      </c>
      <c r="W310">
        <f>IF(L310="","",R310/'[1]LOCH Calc COE Calc'!$C$28)</f>
        <v>0.21114397365631307</v>
      </c>
    </row>
    <row r="311" spans="12:23" x14ac:dyDescent="0.25">
      <c r="L311" s="4">
        <f>IF('[1]All Data '!BE316="","",'[1]All Data '!BE316)</f>
        <v>5.5E-2</v>
      </c>
      <c r="M311">
        <f>IF('[1]All Data '!BF316="","",'[1]All Data '!BF316)</f>
        <v>4767.5627999999997</v>
      </c>
      <c r="N311" s="5">
        <f>IF('[1]All Data '!BB316="","",'[1]All Data '!BC316/'[1]All Data '!BH316)</f>
        <v>276187.5</v>
      </c>
      <c r="O311" s="5">
        <f t="shared" si="6"/>
        <v>1316741250.8249998</v>
      </c>
      <c r="P311" s="5">
        <f>IF(M311="","",$C$2*(1-L311)*907.2/0.621371*N311*[1]Transportation!$M$40)</f>
        <v>4307904.31197422</v>
      </c>
      <c r="Q311" s="5">
        <f>IF(L311="","",IF([1]Inputs_Outputs!$B$5="Herbaceous",(LCA!$E$29*'[1]LOCH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1" s="5">
        <f>IF(M311="","",$E$2*1000*'[1]LOCH Calc COE Calc'!$C$44)</f>
        <v>4896457.3202133691</v>
      </c>
      <c r="S311" s="6">
        <f>IF(N311="","",SUM(O311:R311)/('[1]LOCH Calc COE Calc'!$C$28))</f>
        <v>60.387139951903933</v>
      </c>
      <c r="T311">
        <f>IF(L311="","",O311/'[1]LOCH Calc COE Calc'!$C$28)</f>
        <v>56.780231460132349</v>
      </c>
      <c r="U311">
        <f>IF(L311="","",P311/'[1]LOCH Calc COE Calc'!$C$28)</f>
        <v>0.18576451811526579</v>
      </c>
      <c r="V311">
        <f>IF(L311="","",Q311/'[1]LOCH Calc COE Calc'!$C$28)</f>
        <v>3.2100000000000004</v>
      </c>
      <c r="W311">
        <f>IF(L311="","",R311/'[1]LOCH Calc COE Calc'!$C$28)</f>
        <v>0.21114397365631307</v>
      </c>
    </row>
    <row r="312" spans="12:23" x14ac:dyDescent="0.25">
      <c r="L312" s="4">
        <f>IF('[1]All Data '!BE317="","",'[1]All Data '!BE317)</f>
        <v>5.5E-2</v>
      </c>
      <c r="M312">
        <f>IF('[1]All Data '!BF317="","",'[1]All Data '!BF317)</f>
        <v>4767.5627999999997</v>
      </c>
      <c r="N312" s="5">
        <f>IF('[1]All Data '!BB317="","",'[1]All Data '!BC317/'[1]All Data '!BH317)</f>
        <v>275090.5</v>
      </c>
      <c r="O312" s="5">
        <f t="shared" si="6"/>
        <v>1311511234.4333999</v>
      </c>
      <c r="P312" s="5">
        <f>IF(M312="","",$C$2*(1-L312)*907.2/0.621371*N312*[1]Transportation!$M$40)</f>
        <v>4290793.5773094147</v>
      </c>
      <c r="Q312" s="5">
        <f>IF(L312="","",IF([1]Inputs_Outputs!$B$5="Herbaceous",(LCA!$E$29*'[1]LOCH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2" s="5">
        <f>IF(M312="","",$E$2*1000*'[1]LOCH Calc COE Calc'!$C$44)</f>
        <v>4896457.3202133691</v>
      </c>
      <c r="S312" s="6">
        <f>IF(N312="","",SUM(O312:R312)/('[1]LOCH Calc COE Calc'!$C$28))</f>
        <v>60.16087447070678</v>
      </c>
      <c r="T312">
        <f>IF(L312="","",O312/'[1]LOCH Calc COE Calc'!$C$28)</f>
        <v>56.554703824335057</v>
      </c>
      <c r="U312">
        <f>IF(L312="","",P312/'[1]LOCH Calc COE Calc'!$C$28)</f>
        <v>0.18502667271541079</v>
      </c>
      <c r="V312">
        <f>IF(L312="","",Q312/'[1]LOCH Calc COE Calc'!$C$28)</f>
        <v>3.2100000000000004</v>
      </c>
      <c r="W312">
        <f>IF(L312="","",R312/'[1]LOCH Calc COE Calc'!$C$28)</f>
        <v>0.21114397365631307</v>
      </c>
    </row>
    <row r="313" spans="12:23" x14ac:dyDescent="0.25">
      <c r="L313" s="4">
        <f>IF('[1]All Data '!BE318="","",'[1]All Data '!BE318)</f>
        <v>5.5E-2</v>
      </c>
      <c r="M313">
        <f>IF('[1]All Data '!BF318="","",'[1]All Data '!BF318)</f>
        <v>4767.5627999999997</v>
      </c>
      <c r="N313" s="5">
        <f>IF('[1]All Data '!BB318="","",'[1]All Data '!BC318/'[1]All Data '!BH318)</f>
        <v>274439.5</v>
      </c>
      <c r="O313" s="5">
        <f t="shared" si="6"/>
        <v>1308407551.0505998</v>
      </c>
      <c r="P313" s="5">
        <f>IF(M313="","",$C$2*(1-L313)*907.2/0.621371*N313*[1]Transportation!$M$40)</f>
        <v>4280639.4403296635</v>
      </c>
      <c r="Q313" s="5">
        <f>IF(L313="","",IF([1]Inputs_Outputs!$B$5="Herbaceous",(LCA!$E$29*'[1]LOCH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3" s="5">
        <f>IF(M313="","",$E$2*1000*'[1]LOCH Calc COE Calc'!$C$44)</f>
        <v>4896457.3202133691</v>
      </c>
      <c r="S313" s="6">
        <f>IF(N313="","",SUM(O313:R313)/('[1]LOCH Calc COE Calc'!$C$28))</f>
        <v>60.026600242576102</v>
      </c>
      <c r="T313">
        <f>IF(L313="","",O313/'[1]LOCH Calc COE Calc'!$C$28)</f>
        <v>56.420867460703292</v>
      </c>
      <c r="U313">
        <f>IF(L313="","",P313/'[1]LOCH Calc COE Calc'!$C$28)</f>
        <v>0.18458880821649959</v>
      </c>
      <c r="V313">
        <f>IF(L313="","",Q313/'[1]LOCH Calc COE Calc'!$C$28)</f>
        <v>3.2100000000000004</v>
      </c>
      <c r="W313">
        <f>IF(L313="","",R313/'[1]LOCH Calc COE Calc'!$C$28)</f>
        <v>0.21114397365631307</v>
      </c>
    </row>
    <row r="314" spans="12:23" x14ac:dyDescent="0.25">
      <c r="L314" s="4">
        <f>IF('[1]All Data '!BE319="","",'[1]All Data '!BE319)</f>
        <v>5.5E-2</v>
      </c>
      <c r="M314">
        <f>IF('[1]All Data '!BF319="","",'[1]All Data '!BF319)</f>
        <v>4767.5627999999997</v>
      </c>
      <c r="N314" s="5">
        <f>IF('[1]All Data '!BB319="","",'[1]All Data '!BC319/'[1]All Data '!BH319)</f>
        <v>274173</v>
      </c>
      <c r="O314" s="5">
        <f t="shared" si="6"/>
        <v>1307136995.5644</v>
      </c>
      <c r="P314" s="5">
        <f>IF(M314="","",$C$2*(1-L314)*907.2/0.621371*N314*[1]Transportation!$M$40)</f>
        <v>4276482.639246555</v>
      </c>
      <c r="Q314" s="5">
        <f>IF(L314="","",IF([1]Inputs_Outputs!$B$5="Herbaceous",(LCA!$E$29*'[1]LOCH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4" s="5">
        <f>IF(M314="","",$E$2*1000*'[1]LOCH Calc COE Calc'!$C$44)</f>
        <v>4896457.3202133691</v>
      </c>
      <c r="S314" s="6">
        <f>IF(N314="","",SUM(O314:R314)/('[1]LOCH Calc COE Calc'!$C$28))</f>
        <v>59.971632374992666</v>
      </c>
      <c r="T314">
        <f>IF(L314="","",O314/'[1]LOCH Calc COE Calc'!$C$28)</f>
        <v>56.366078841797211</v>
      </c>
      <c r="U314">
        <f>IF(L314="","",P314/'[1]LOCH Calc COE Calc'!$C$28)</f>
        <v>0.18440955953914195</v>
      </c>
      <c r="V314">
        <f>IF(L314="","",Q314/'[1]LOCH Calc COE Calc'!$C$28)</f>
        <v>3.2100000000000004</v>
      </c>
      <c r="W314">
        <f>IF(L314="","",R314/'[1]LOCH Calc COE Calc'!$C$28)</f>
        <v>0.21114397365631307</v>
      </c>
    </row>
    <row r="315" spans="12:23" x14ac:dyDescent="0.25">
      <c r="L315" s="4">
        <f>IF('[1]All Data '!BE320="","",'[1]All Data '!BE320)</f>
        <v>5.5E-2</v>
      </c>
      <c r="M315">
        <f>IF('[1]All Data '!BF320="","",'[1]All Data '!BF320)</f>
        <v>4767.5627999999997</v>
      </c>
      <c r="N315" s="5">
        <f>IF('[1]All Data '!BB320="","",'[1]All Data '!BC320/'[1]All Data '!BH320)</f>
        <v>273311.5</v>
      </c>
      <c r="O315" s="5">
        <f t="shared" si="6"/>
        <v>1303029740.2121999</v>
      </c>
      <c r="P315" s="5">
        <f>IF(M315="","",$C$2*(1-L315)*907.2/0.621371*N315*[1]Transportation!$M$40)</f>
        <v>4263045.1753324904</v>
      </c>
      <c r="Q315" s="5">
        <f>IF(L315="","",IF([1]Inputs_Outputs!$B$5="Herbaceous",(LCA!$E$29*'[1]LOCH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5" s="5">
        <f>IF(M315="","",$E$2*1000*'[1]LOCH Calc COE Calc'!$C$44)</f>
        <v>4896457.3202133691</v>
      </c>
      <c r="S315" s="6">
        <f>IF(N315="","",SUM(O315:R315)/('[1]LOCH Calc COE Calc'!$C$28))</f>
        <v>59.793940750515603</v>
      </c>
      <c r="T315">
        <f>IF(L315="","",O315/'[1]LOCH Calc COE Calc'!$C$28)</f>
        <v>56.188966664733066</v>
      </c>
      <c r="U315">
        <f>IF(L315="","",P315/'[1]LOCH Calc COE Calc'!$C$28)</f>
        <v>0.1838301121262203</v>
      </c>
      <c r="V315">
        <f>IF(L315="","",Q315/'[1]LOCH Calc COE Calc'!$C$28)</f>
        <v>3.2100000000000004</v>
      </c>
      <c r="W315">
        <f>IF(L315="","",R315/'[1]LOCH Calc COE Calc'!$C$28)</f>
        <v>0.21114397365631307</v>
      </c>
    </row>
    <row r="316" spans="12:23" x14ac:dyDescent="0.25">
      <c r="L316" s="4">
        <f>IF('[1]All Data '!BE321="","",'[1]All Data '!BE321)</f>
        <v>5.5E-2</v>
      </c>
      <c r="M316">
        <f>IF('[1]All Data '!BF321="","",'[1]All Data '!BF321)</f>
        <v>4767.5627999999997</v>
      </c>
      <c r="N316" s="5">
        <f>IF('[1]All Data '!BB321="","",'[1]All Data '!BC321/'[1]All Data '!BH321)</f>
        <v>272647.5</v>
      </c>
      <c r="O316" s="5">
        <f t="shared" si="6"/>
        <v>1299864078.513</v>
      </c>
      <c r="P316" s="5">
        <f>IF(M316="","",$C$2*(1-L316)*907.2/0.621371*N316*[1]Transportation!$M$40)</f>
        <v>4252688.2675681962</v>
      </c>
      <c r="Q316" s="5">
        <f>IF(L316="","",IF([1]Inputs_Outputs!$B$5="Herbaceous",(LCA!$E$29*'[1]LOCH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6" s="5">
        <f>IF(M316="","",$E$2*1000*'[1]LOCH Calc COE Calc'!$C$44)</f>
        <v>4896457.3202133691</v>
      </c>
      <c r="S316" s="6">
        <f>IF(N316="","",SUM(O316:R316)/('[1]LOCH Calc COE Calc'!$C$28))</f>
        <v>59.656985162990615</v>
      </c>
      <c r="T316">
        <f>IF(L316="","",O316/'[1]LOCH Calc COE Calc'!$C$28)</f>
        <v>56.052457685544915</v>
      </c>
      <c r="U316">
        <f>IF(L316="","",P316/'[1]LOCH Calc COE Calc'!$C$28)</f>
        <v>0.1833835037893892</v>
      </c>
      <c r="V316">
        <f>IF(L316="","",Q316/'[1]LOCH Calc COE Calc'!$C$28)</f>
        <v>3.2100000000000004</v>
      </c>
      <c r="W316">
        <f>IF(L316="","",R316/'[1]LOCH Calc COE Calc'!$C$28)</f>
        <v>0.21114397365631307</v>
      </c>
    </row>
    <row r="317" spans="12:23" x14ac:dyDescent="0.25">
      <c r="L317" s="4">
        <f>IF('[1]All Data '!BE322="","",'[1]All Data '!BE322)</f>
        <v>5.5E-2</v>
      </c>
      <c r="M317">
        <f>IF('[1]All Data '!BF322="","",'[1]All Data '!BF322)</f>
        <v>4767.5627999999997</v>
      </c>
      <c r="N317" s="5">
        <f>IF('[1]All Data '!BB322="","",'[1]All Data '!BC322/'[1]All Data '!BH322)</f>
        <v>272371</v>
      </c>
      <c r="O317" s="5">
        <f t="shared" si="6"/>
        <v>1298545847.3987999</v>
      </c>
      <c r="P317" s="5">
        <f>IF(M317="","",$C$2*(1-L317)*907.2/0.621371*N317*[1]Transportation!$M$40)</f>
        <v>4248375.4889585162</v>
      </c>
      <c r="Q317" s="5">
        <f>IF(L317="","",IF([1]Inputs_Outputs!$B$5="Herbaceous",(LCA!$E$29*'[1]LOCH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7" s="5">
        <f>IF(M317="","",$E$2*1000*'[1]LOCH Calc COE Calc'!$C$44)</f>
        <v>4896457.3202133691</v>
      </c>
      <c r="S317" s="6">
        <f>IF(N317="","",SUM(O317:R317)/('[1]LOCH Calc COE Calc'!$C$28))</f>
        <v>59.599954711257702</v>
      </c>
      <c r="T317">
        <f>IF(L317="","",O317/'[1]LOCH Calc COE Calc'!$C$28)</f>
        <v>55.99561320851852</v>
      </c>
      <c r="U317">
        <f>IF(L317="","",P317/'[1]LOCH Calc COE Calc'!$C$28)</f>
        <v>0.18319752908286238</v>
      </c>
      <c r="V317">
        <f>IF(L317="","",Q317/'[1]LOCH Calc COE Calc'!$C$28)</f>
        <v>3.2100000000000004</v>
      </c>
      <c r="W317">
        <f>IF(L317="","",R317/'[1]LOCH Calc COE Calc'!$C$28)</f>
        <v>0.21114397365631307</v>
      </c>
    </row>
    <row r="318" spans="12:23" x14ac:dyDescent="0.25">
      <c r="L318" s="4">
        <f>IF('[1]All Data '!BE323="","",'[1]All Data '!BE323)</f>
        <v>5.5E-2</v>
      </c>
      <c r="M318">
        <f>IF('[1]All Data '!BF323="","",'[1]All Data '!BF323)</f>
        <v>4767.5627999999997</v>
      </c>
      <c r="N318" s="5">
        <f>IF('[1]All Data '!BB323="","",'[1]All Data '!BC323/'[1]All Data '!BH323)</f>
        <v>271486.5</v>
      </c>
      <c r="O318" s="5">
        <f t="shared" si="6"/>
        <v>1294328938.1022</v>
      </c>
      <c r="P318" s="5">
        <f>IF(M318="","",$C$2*(1-L318)*907.2/0.621371*N318*[1]Transportation!$M$40)</f>
        <v>4234579.2767333388</v>
      </c>
      <c r="Q318" s="5">
        <f>IF(L318="","",IF([1]Inputs_Outputs!$B$5="Herbaceous",(LCA!$E$29*'[1]LOCH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8" s="5">
        <f>IF(M318="","",$E$2*1000*'[1]LOCH Calc COE Calc'!$C$44)</f>
        <v>4896457.3202133691</v>
      </c>
      <c r="S318" s="6">
        <f>IF(N318="","",SUM(O318:R318)/('[1]LOCH Calc COE Calc'!$C$28))</f>
        <v>59.417519143236852</v>
      </c>
      <c r="T318">
        <f>IF(L318="","",O318/'[1]LOCH Calc COE Calc'!$C$28)</f>
        <v>55.813772557777682</v>
      </c>
      <c r="U318">
        <f>IF(L318="","",P318/'[1]LOCH Calc COE Calc'!$C$28)</f>
        <v>0.1826026118028517</v>
      </c>
      <c r="V318">
        <f>IF(L318="","",Q318/'[1]LOCH Calc COE Calc'!$C$28)</f>
        <v>3.2100000000000004</v>
      </c>
      <c r="W318">
        <f>IF(L318="","",R318/'[1]LOCH Calc COE Calc'!$C$28)</f>
        <v>0.21114397365631307</v>
      </c>
    </row>
    <row r="319" spans="12:23" x14ac:dyDescent="0.25">
      <c r="L319" s="4">
        <f>IF('[1]All Data '!BE324="","",'[1]All Data '!BE324)</f>
        <v>5.5E-2</v>
      </c>
      <c r="M319">
        <f>IF('[1]All Data '!BF324="","",'[1]All Data '!BF324)</f>
        <v>4767.5627999999997</v>
      </c>
      <c r="N319" s="5">
        <f>IF('[1]All Data '!BB324="","",'[1]All Data '!BC324/'[1]All Data '!BH324)</f>
        <v>271486.5</v>
      </c>
      <c r="O319" s="5">
        <f t="shared" si="6"/>
        <v>1294328938.1022</v>
      </c>
      <c r="P319" s="5">
        <f>IF(M319="","",$C$2*(1-L319)*907.2/0.621371*N319*[1]Transportation!$M$40)</f>
        <v>4234579.2767333388</v>
      </c>
      <c r="Q319" s="5">
        <f>IF(L319="","",IF([1]Inputs_Outputs!$B$5="Herbaceous",(LCA!$E$29*'[1]LOCH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19" s="5">
        <f>IF(M319="","",$E$2*1000*'[1]LOCH Calc COE Calc'!$C$44)</f>
        <v>4896457.3202133691</v>
      </c>
      <c r="S319" s="6">
        <f>IF(N319="","",SUM(O319:R319)/('[1]LOCH Calc COE Calc'!$C$28))</f>
        <v>59.417519143236852</v>
      </c>
      <c r="T319">
        <f>IF(L319="","",O319/'[1]LOCH Calc COE Calc'!$C$28)</f>
        <v>55.813772557777682</v>
      </c>
      <c r="U319">
        <f>IF(L319="","",P319/'[1]LOCH Calc COE Calc'!$C$28)</f>
        <v>0.1826026118028517</v>
      </c>
      <c r="V319">
        <f>IF(L319="","",Q319/'[1]LOCH Calc COE Calc'!$C$28)</f>
        <v>3.2100000000000004</v>
      </c>
      <c r="W319">
        <f>IF(L319="","",R319/'[1]LOCH Calc COE Calc'!$C$28)</f>
        <v>0.21114397365631307</v>
      </c>
    </row>
    <row r="320" spans="12:23" x14ac:dyDescent="0.25">
      <c r="L320" s="4">
        <f>IF('[1]All Data '!BE325="","",'[1]All Data '!BE325)</f>
        <v>5.5E-2</v>
      </c>
      <c r="M320">
        <f>IF('[1]All Data '!BF325="","",'[1]All Data '!BF325)</f>
        <v>4767.5627999999997</v>
      </c>
      <c r="N320" s="5">
        <f>IF('[1]All Data '!BB325="","",'[1]All Data '!BC325/'[1]All Data '!BH325)</f>
        <v>270976</v>
      </c>
      <c r="O320" s="5">
        <f t="shared" si="6"/>
        <v>1291895097.2927999</v>
      </c>
      <c r="P320" s="5">
        <f>IF(M320="","",$C$2*(1-L320)*907.2/0.621371*N320*[1]Transportation!$M$40)</f>
        <v>4226616.6240019053</v>
      </c>
      <c r="Q320" s="5">
        <f>IF(L320="","",IF([1]Inputs_Outputs!$B$5="Herbaceous",(LCA!$E$29*'[1]LOCH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0" s="5">
        <f>IF(M320="","",$E$2*1000*'[1]LOCH Calc COE Calc'!$C$44)</f>
        <v>4896457.3202133691</v>
      </c>
      <c r="S320" s="6">
        <f>IF(N320="","",SUM(O320:R320)/('[1]LOCH Calc COE Calc'!$C$28))</f>
        <v>59.312224222406272</v>
      </c>
      <c r="T320">
        <f>IF(L320="","",O320/'[1]LOCH Calc COE Calc'!$C$28)</f>
        <v>55.708821000736187</v>
      </c>
      <c r="U320">
        <f>IF(L320="","",P320/'[1]LOCH Calc COE Calc'!$C$28)</f>
        <v>0.18225924801376694</v>
      </c>
      <c r="V320">
        <f>IF(L320="","",Q320/'[1]LOCH Calc COE Calc'!$C$28)</f>
        <v>3.2100000000000004</v>
      </c>
      <c r="W320">
        <f>IF(L320="","",R320/'[1]LOCH Calc COE Calc'!$C$28)</f>
        <v>0.21114397365631307</v>
      </c>
    </row>
    <row r="321" spans="12:23" x14ac:dyDescent="0.25">
      <c r="L321" s="4">
        <f>IF('[1]All Data '!BE326="","",'[1]All Data '!BE326)</f>
        <v>5.5E-2</v>
      </c>
      <c r="M321">
        <f>IF('[1]All Data '!BF326="","",'[1]All Data '!BF326)</f>
        <v>4767.5627999999997</v>
      </c>
      <c r="N321" s="5">
        <f>IF('[1]All Data '!BB326="","",'[1]All Data '!BC326/'[1]All Data '!BH326)</f>
        <v>270976</v>
      </c>
      <c r="O321" s="5">
        <f t="shared" si="6"/>
        <v>1291895097.2927999</v>
      </c>
      <c r="P321" s="5">
        <f>IF(M321="","",$C$2*(1-L321)*907.2/0.621371*N321*[1]Transportation!$M$40)</f>
        <v>4226616.6240019053</v>
      </c>
      <c r="Q321" s="5">
        <f>IF(L321="","",IF([1]Inputs_Outputs!$B$5="Herbaceous",(LCA!$E$29*'[1]LOCH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1" s="5">
        <f>IF(M321="","",$E$2*1000*'[1]LOCH Calc COE Calc'!$C$44)</f>
        <v>4896457.3202133691</v>
      </c>
      <c r="S321" s="6">
        <f>IF(N321="","",SUM(O321:R321)/('[1]LOCH Calc COE Calc'!$C$28))</f>
        <v>59.312224222406272</v>
      </c>
      <c r="T321">
        <f>IF(L321="","",O321/'[1]LOCH Calc COE Calc'!$C$28)</f>
        <v>55.708821000736187</v>
      </c>
      <c r="U321">
        <f>IF(L321="","",P321/'[1]LOCH Calc COE Calc'!$C$28)</f>
        <v>0.18225924801376694</v>
      </c>
      <c r="V321">
        <f>IF(L321="","",Q321/'[1]LOCH Calc COE Calc'!$C$28)</f>
        <v>3.2100000000000004</v>
      </c>
      <c r="W321">
        <f>IF(L321="","",R321/'[1]LOCH Calc COE Calc'!$C$28)</f>
        <v>0.21114397365631307</v>
      </c>
    </row>
    <row r="322" spans="12:23" x14ac:dyDescent="0.25">
      <c r="L322" s="4">
        <f>IF('[1]All Data '!BE327="","",'[1]All Data '!BE327)</f>
        <v>5.5E-2</v>
      </c>
      <c r="M322">
        <f>IF('[1]All Data '!BF327="","",'[1]All Data '!BF327)</f>
        <v>4767.5627999999997</v>
      </c>
      <c r="N322" s="5">
        <f>IF('[1]All Data '!BB327="","",'[1]All Data '!BC327/'[1]All Data '!BH327)</f>
        <v>269912.5</v>
      </c>
      <c r="O322" s="5">
        <f t="shared" si="6"/>
        <v>1286824794.2549999</v>
      </c>
      <c r="P322" s="5">
        <f>IF(M322="","",$C$2*(1-L322)*907.2/0.621371*N322*[1]Transportation!$M$40)</f>
        <v>4210028.4140511127</v>
      </c>
      <c r="Q322" s="5">
        <f>IF(L322="","",IF([1]Inputs_Outputs!$B$5="Herbaceous",(LCA!$E$29*'[1]LOCH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2" s="5">
        <f>IF(M322="","",$E$2*1000*'[1]LOCH Calc COE Calc'!$C$44)</f>
        <v>4896457.3202133691</v>
      </c>
      <c r="S322" s="6">
        <f>IF(N322="","",SUM(O322:R322)/('[1]LOCH Calc COE Calc'!$C$28))</f>
        <v>59.092868398109843</v>
      </c>
      <c r="T322">
        <f>IF(L322="","",O322/'[1]LOCH Calc COE Calc'!$C$28)</f>
        <v>55.490180489641901</v>
      </c>
      <c r="U322">
        <f>IF(L322="","",P322/'[1]LOCH Calc COE Calc'!$C$28)</f>
        <v>0.18154393481162862</v>
      </c>
      <c r="V322">
        <f>IF(L322="","",Q322/'[1]LOCH Calc COE Calc'!$C$28)</f>
        <v>3.2100000000000004</v>
      </c>
      <c r="W322">
        <f>IF(L322="","",R322/'[1]LOCH Calc COE Calc'!$C$28)</f>
        <v>0.21114397365631307</v>
      </c>
    </row>
    <row r="323" spans="12:23" x14ac:dyDescent="0.25">
      <c r="L323" s="4">
        <f>IF('[1]All Data '!BE328="","",'[1]All Data '!BE328)</f>
        <v>5.5E-2</v>
      </c>
      <c r="M323">
        <f>IF('[1]All Data '!BF328="","",'[1]All Data '!BF328)</f>
        <v>4767.5627999999997</v>
      </c>
      <c r="N323" s="5">
        <f>IF('[1]All Data '!BB328="","",'[1]All Data '!BC328/'[1]All Data '!BH328)</f>
        <v>269684.5</v>
      </c>
      <c r="O323" s="5">
        <f t="shared" si="6"/>
        <v>1285737789.9366</v>
      </c>
      <c r="P323" s="5">
        <f>IF(M323="","",$C$2*(1-L323)*907.2/0.621371*N323*[1]Transportation!$M$40)</f>
        <v>4206472.1264453009</v>
      </c>
      <c r="Q323" s="5">
        <f>IF(L323="","",IF([1]Inputs_Outputs!$B$5="Herbaceous",(LCA!$E$29*'[1]LOCH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3" s="5">
        <f>IF(M323="","",$E$2*1000*'[1]LOCH Calc COE Calc'!$C$44)</f>
        <v>4896457.3202133691</v>
      </c>
      <c r="S323" s="6">
        <f>IF(N323="","",SUM(O323:R323)/('[1]LOCH Calc COE Calc'!$C$28))</f>
        <v>59.045841479501874</v>
      </c>
      <c r="T323">
        <f>IF(L323="","",O323/'[1]LOCH Calc COE Calc'!$C$28)</f>
        <v>55.443306924498984</v>
      </c>
      <c r="U323">
        <f>IF(L323="","",P323/'[1]LOCH Calc COE Calc'!$C$28)</f>
        <v>0.18139058134657216</v>
      </c>
      <c r="V323">
        <f>IF(L323="","",Q323/'[1]LOCH Calc COE Calc'!$C$28)</f>
        <v>3.2100000000000004</v>
      </c>
      <c r="W323">
        <f>IF(L323="","",R323/'[1]LOCH Calc COE Calc'!$C$28)</f>
        <v>0.21114397365631307</v>
      </c>
    </row>
    <row r="324" spans="12:23" x14ac:dyDescent="0.25">
      <c r="L324" s="4">
        <f>IF('[1]All Data '!BE329="","",'[1]All Data '!BE329)</f>
        <v>5.5E-2</v>
      </c>
      <c r="M324">
        <f>IF('[1]All Data '!BF329="","",'[1]All Data '!BF329)</f>
        <v>4767.5627999999997</v>
      </c>
      <c r="N324" s="5">
        <f>IF('[1]All Data '!BB329="","",'[1]All Data '!BC329/'[1]All Data '!BH329)</f>
        <v>269684.5</v>
      </c>
      <c r="O324" s="5">
        <f t="shared" ref="O324:O387" si="7">IF(N324="","",M324*N324)</f>
        <v>1285737789.9366</v>
      </c>
      <c r="P324" s="5">
        <f>IF(M324="","",$C$2*(1-L324)*907.2/0.621371*N324*[1]Transportation!$M$40)</f>
        <v>4206472.1264453009</v>
      </c>
      <c r="Q324" s="5">
        <f>IF(L324="","",IF([1]Inputs_Outputs!$B$5="Herbaceous",(LCA!$E$29*'[1]LOCH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4" s="5">
        <f>IF(M324="","",$E$2*1000*'[1]LOCH Calc COE Calc'!$C$44)</f>
        <v>4896457.3202133691</v>
      </c>
      <c r="S324" s="6">
        <f>IF(N324="","",SUM(O324:R324)/('[1]LOCH Calc COE Calc'!$C$28))</f>
        <v>59.045841479501874</v>
      </c>
      <c r="T324">
        <f>IF(L324="","",O324/'[1]LOCH Calc COE Calc'!$C$28)</f>
        <v>55.443306924498984</v>
      </c>
      <c r="U324">
        <f>IF(L324="","",P324/'[1]LOCH Calc COE Calc'!$C$28)</f>
        <v>0.18139058134657216</v>
      </c>
      <c r="V324">
        <f>IF(L324="","",Q324/'[1]LOCH Calc COE Calc'!$C$28)</f>
        <v>3.2100000000000004</v>
      </c>
      <c r="W324">
        <f>IF(L324="","",R324/'[1]LOCH Calc COE Calc'!$C$28)</f>
        <v>0.21114397365631307</v>
      </c>
    </row>
    <row r="325" spans="12:23" x14ac:dyDescent="0.25">
      <c r="L325" s="4">
        <f>IF('[1]All Data '!BE330="","",'[1]All Data '!BE330)</f>
        <v>5.5E-2</v>
      </c>
      <c r="M325">
        <f>IF('[1]All Data '!BF330="","",'[1]All Data '!BF330)</f>
        <v>4767.5627999999997</v>
      </c>
      <c r="N325" s="5">
        <f>IF('[1]All Data '!BB330="","",'[1]All Data '!BC330/'[1]All Data '!BH330)</f>
        <v>269402.5</v>
      </c>
      <c r="O325" s="5">
        <f t="shared" si="7"/>
        <v>1284393337.227</v>
      </c>
      <c r="P325" s="5">
        <f>IF(M325="","",$C$2*(1-L325)*907.2/0.621371*N325*[1]Transportation!$M$40)</f>
        <v>4202073.5601960076</v>
      </c>
      <c r="Q325" s="5">
        <f>IF(L325="","",IF([1]Inputs_Outputs!$B$5="Herbaceous",(LCA!$E$29*'[1]LOCH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5" s="5">
        <f>IF(M325="","",$E$2*1000*'[1]LOCH Calc COE Calc'!$C$44)</f>
        <v>4896457.3202133691</v>
      </c>
      <c r="S325" s="6">
        <f>IF(N325="","",SUM(O325:R325)/('[1]LOCH Calc COE Calc'!$C$28))</f>
        <v>58.987676606486744</v>
      </c>
      <c r="T325">
        <f>IF(L325="","",O325/'[1]LOCH Calc COE Calc'!$C$28)</f>
        <v>55.385331725506433</v>
      </c>
      <c r="U325">
        <f>IF(L325="","",P325/'[1]LOCH Calc COE Calc'!$C$28)</f>
        <v>0.18120090732400232</v>
      </c>
      <c r="V325">
        <f>IF(L325="","",Q325/'[1]LOCH Calc COE Calc'!$C$28)</f>
        <v>3.2100000000000004</v>
      </c>
      <c r="W325">
        <f>IF(L325="","",R325/'[1]LOCH Calc COE Calc'!$C$28)</f>
        <v>0.21114397365631307</v>
      </c>
    </row>
    <row r="326" spans="12:23" x14ac:dyDescent="0.25">
      <c r="L326" s="4">
        <f>IF('[1]All Data '!BE331="","",'[1]All Data '!BE331)</f>
        <v>5.5E-2</v>
      </c>
      <c r="M326">
        <f>IF('[1]All Data '!BF331="","",'[1]All Data '!BF331)</f>
        <v>4767.5627999999997</v>
      </c>
      <c r="N326" s="5">
        <f>IF('[1]All Data '!BB331="","",'[1]All Data '!BC331/'[1]All Data '!BH331)</f>
        <v>535906</v>
      </c>
      <c r="O326" s="5">
        <f t="shared" si="7"/>
        <v>2554965509.8968</v>
      </c>
      <c r="P326" s="5">
        <f>IF(M326="","",$C$2*(1-L326)*907.2/0.621371*N326*[1]Transportation!$M$40)</f>
        <v>8358929.2354391729</v>
      </c>
      <c r="Q326" s="5">
        <f>IF(L326="","",IF([1]Inputs_Outputs!$B$5="Herbaceous",(LCA!$E$29*'[1]LOCH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6" s="5">
        <f>IF(M326="","",$E$2*1000*'[1]LOCH Calc COE Calc'!$C$44)</f>
        <v>4896457.3202133691</v>
      </c>
      <c r="S326" s="6">
        <f>IF(N326="","",SUM(O326:R326)/('[1]LOCH Calc COE Calc'!$C$28))</f>
        <v>113.95626609438506</v>
      </c>
      <c r="T326">
        <f>IF(L326="","",O326/'[1]LOCH Calc COE Calc'!$C$28)</f>
        <v>110.17467018193688</v>
      </c>
      <c r="U326">
        <f>IF(L326="","",P326/'[1]LOCH Calc COE Calc'!$C$28)</f>
        <v>0.36045193879187015</v>
      </c>
      <c r="V326">
        <f>IF(L326="","",Q326/'[1]LOCH Calc COE Calc'!$C$28)</f>
        <v>3.2100000000000004</v>
      </c>
      <c r="W326">
        <f>IF(L326="","",R326/'[1]LOCH Calc COE Calc'!$C$28)</f>
        <v>0.21114397365631307</v>
      </c>
    </row>
    <row r="327" spans="12:23" x14ac:dyDescent="0.25">
      <c r="L327" s="4">
        <f>IF('[1]All Data '!BE332="","",'[1]All Data '!BE332)</f>
        <v>5.5E-2</v>
      </c>
      <c r="M327">
        <f>IF('[1]All Data '!BF332="","",'[1]All Data '!BF332)</f>
        <v>4767.5627999999997</v>
      </c>
      <c r="N327" s="5">
        <f>IF('[1]All Data '!BB332="","",'[1]All Data '!BC332/'[1]All Data '!BH332)</f>
        <v>534963</v>
      </c>
      <c r="O327" s="5">
        <f t="shared" si="7"/>
        <v>2550469698.1763997</v>
      </c>
      <c r="P327" s="5">
        <f>IF(M327="","",$C$2*(1-L327)*907.2/0.621371*N327*[1]Transportation!$M$40)</f>
        <v>8344220.5546835568</v>
      </c>
      <c r="Q327" s="5">
        <f>IF(L327="","",IF([1]Inputs_Outputs!$B$5="Herbaceous",(LCA!$E$29*'[1]LOCH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7" s="5">
        <f>IF(M327="","",$E$2*1000*'[1]LOCH Calc COE Calc'!$C$44)</f>
        <v>4896457.3202133691</v>
      </c>
      <c r="S327" s="6">
        <f>IF(N327="","",SUM(O327:R327)/('[1]LOCH Calc COE Calc'!$C$28))</f>
        <v>113.76176440908976</v>
      </c>
      <c r="T327">
        <f>IF(L327="","",O327/'[1]LOCH Calc COE Calc'!$C$28)</f>
        <v>109.98080276119224</v>
      </c>
      <c r="U327">
        <f>IF(L327="","",P327/'[1]LOCH Calc COE Calc'!$C$28)</f>
        <v>0.35981767424121996</v>
      </c>
      <c r="V327">
        <f>IF(L327="","",Q327/'[1]LOCH Calc COE Calc'!$C$28)</f>
        <v>3.2100000000000004</v>
      </c>
      <c r="W327">
        <f>IF(L327="","",R327/'[1]LOCH Calc COE Calc'!$C$28)</f>
        <v>0.21114397365631307</v>
      </c>
    </row>
    <row r="328" spans="12:23" x14ac:dyDescent="0.25">
      <c r="L328" s="4">
        <f>IF('[1]All Data '!BE333="","",'[1]All Data '!BE333)</f>
        <v>5.5E-2</v>
      </c>
      <c r="M328">
        <f>IF('[1]All Data '!BF333="","",'[1]All Data '!BF333)</f>
        <v>4767.5627999999997</v>
      </c>
      <c r="N328" s="5">
        <f>IF('[1]All Data '!BB333="","",'[1]All Data '!BC333/'[1]All Data '!BH333)</f>
        <v>534046</v>
      </c>
      <c r="O328" s="5">
        <f t="shared" si="7"/>
        <v>2546097843.0888</v>
      </c>
      <c r="P328" s="5">
        <f>IF(M328="","",$C$2*(1-L328)*907.2/0.621371*N328*[1]Transportation!$M$40)</f>
        <v>8329917.4154970236</v>
      </c>
      <c r="Q328" s="5">
        <f>IF(L328="","",IF([1]Inputs_Outputs!$B$5="Herbaceous",(LCA!$E$29*'[1]LOCH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8" s="5">
        <f>IF(M328="","",$E$2*1000*'[1]LOCH Calc COE Calc'!$C$44)</f>
        <v>4896457.3202133691</v>
      </c>
      <c r="S328" s="6">
        <f>IF(N328="","",SUM(O328:R328)/('[1]LOCH Calc COE Calc'!$C$28))</f>
        <v>113.57262544258313</v>
      </c>
      <c r="T328">
        <f>IF(L328="","",O328/'[1]LOCH Calc COE Calc'!$C$28)</f>
        <v>109.79228057156043</v>
      </c>
      <c r="U328">
        <f>IF(L328="","",P328/'[1]LOCH Calc COE Calc'!$C$28)</f>
        <v>0.35920089736640953</v>
      </c>
      <c r="V328">
        <f>IF(L328="","",Q328/'[1]LOCH Calc COE Calc'!$C$28)</f>
        <v>3.2100000000000004</v>
      </c>
      <c r="W328">
        <f>IF(L328="","",R328/'[1]LOCH Calc COE Calc'!$C$28)</f>
        <v>0.21114397365631307</v>
      </c>
    </row>
    <row r="329" spans="12:23" x14ac:dyDescent="0.25">
      <c r="L329" s="4">
        <f>IF('[1]All Data '!BE334="","",'[1]All Data '!BE334)</f>
        <v>5.5E-2</v>
      </c>
      <c r="M329">
        <f>IF('[1]All Data '!BF334="","",'[1]All Data '!BF334)</f>
        <v>4767.5627999999997</v>
      </c>
      <c r="N329" s="5">
        <f>IF('[1]All Data '!BB334="","",'[1]All Data '!BC334/'[1]All Data '!BH334)</f>
        <v>533204</v>
      </c>
      <c r="O329" s="5">
        <f t="shared" si="7"/>
        <v>2542083555.2111998</v>
      </c>
      <c r="P329" s="5">
        <f>IF(M329="","",$C$2*(1-L329)*907.2/0.621371*N329*[1]Transportation!$M$40)</f>
        <v>8316784.1077597719</v>
      </c>
      <c r="Q329" s="5">
        <f>IF(L329="","",IF([1]Inputs_Outputs!$B$5="Herbaceous",(LCA!$E$29*'[1]LOCH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29" s="5">
        <f>IF(M329="","",$E$2*1000*'[1]LOCH Calc COE Calc'!$C$44)</f>
        <v>4896457.3202133691</v>
      </c>
      <c r="S329" s="6">
        <f>IF(N329="","",SUM(O329:R329)/('[1]LOCH Calc COE Calc'!$C$28))</f>
        <v>113.39895585719754</v>
      </c>
      <c r="T329">
        <f>IF(L329="","",O329/'[1]LOCH Calc COE Calc'!$C$28)</f>
        <v>109.61917731783086</v>
      </c>
      <c r="U329">
        <f>IF(L329="","",P329/'[1]LOCH Calc COE Calc'!$C$28)</f>
        <v>0.35863456571036767</v>
      </c>
      <c r="V329">
        <f>IF(L329="","",Q329/'[1]LOCH Calc COE Calc'!$C$28)</f>
        <v>3.2100000000000004</v>
      </c>
      <c r="W329">
        <f>IF(L329="","",R329/'[1]LOCH Calc COE Calc'!$C$28)</f>
        <v>0.21114397365631307</v>
      </c>
    </row>
    <row r="330" spans="12:23" x14ac:dyDescent="0.25">
      <c r="L330" s="4">
        <f>IF('[1]All Data '!BE335="","",'[1]All Data '!BE335)</f>
        <v>5.5E-2</v>
      </c>
      <c r="M330">
        <f>IF('[1]All Data '!BF335="","",'[1]All Data '!BF335)</f>
        <v>4767.5627999999997</v>
      </c>
      <c r="N330" s="5">
        <f>IF('[1]All Data '!BB335="","",'[1]All Data '!BC335/'[1]All Data '!BH335)</f>
        <v>533204</v>
      </c>
      <c r="O330" s="5">
        <f t="shared" si="7"/>
        <v>2542083555.2111998</v>
      </c>
      <c r="P330" s="5">
        <f>IF(M330="","",$C$2*(1-L330)*907.2/0.621371*N330*[1]Transportation!$M$40)</f>
        <v>8316784.1077597719</v>
      </c>
      <c r="Q330" s="5">
        <f>IF(L330="","",IF([1]Inputs_Outputs!$B$5="Herbaceous",(LCA!$E$29*'[1]LOCH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0" s="5">
        <f>IF(M330="","",$E$2*1000*'[1]LOCH Calc COE Calc'!$C$44)</f>
        <v>4896457.3202133691</v>
      </c>
      <c r="S330" s="6">
        <f>IF(N330="","",SUM(O330:R330)/('[1]LOCH Calc COE Calc'!$C$28))</f>
        <v>113.39895585719754</v>
      </c>
      <c r="T330">
        <f>IF(L330="","",O330/'[1]LOCH Calc COE Calc'!$C$28)</f>
        <v>109.61917731783086</v>
      </c>
      <c r="U330">
        <f>IF(L330="","",P330/'[1]LOCH Calc COE Calc'!$C$28)</f>
        <v>0.35863456571036767</v>
      </c>
      <c r="V330">
        <f>IF(L330="","",Q330/'[1]LOCH Calc COE Calc'!$C$28)</f>
        <v>3.2100000000000004</v>
      </c>
      <c r="W330">
        <f>IF(L330="","",R330/'[1]LOCH Calc COE Calc'!$C$28)</f>
        <v>0.21114397365631307</v>
      </c>
    </row>
    <row r="331" spans="12:23" x14ac:dyDescent="0.25">
      <c r="L331" s="4">
        <f>IF('[1]All Data '!BE336="","",'[1]All Data '!BE336)</f>
        <v>5.5E-2</v>
      </c>
      <c r="M331">
        <f>IF('[1]All Data '!BF336="","",'[1]All Data '!BF336)</f>
        <v>4767.5627999999997</v>
      </c>
      <c r="N331" s="5">
        <f>IF('[1]All Data '!BB336="","",'[1]All Data '!BC336/'[1]All Data '!BH336)</f>
        <v>531046</v>
      </c>
      <c r="O331" s="5">
        <f t="shared" si="7"/>
        <v>2531795154.6887999</v>
      </c>
      <c r="P331" s="5">
        <f>IF(M331="","",$C$2*(1-L331)*907.2/0.621371*N331*[1]Transportation!$M$40)</f>
        <v>8283124.1575258169</v>
      </c>
      <c r="Q331" s="5">
        <f>IF(L331="","",IF([1]Inputs_Outputs!$B$5="Herbaceous",(LCA!$E$29*'[1]LOCH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1" s="5">
        <f>IF(M331="","",$E$2*1000*'[1]LOCH Calc COE Calc'!$C$44)</f>
        <v>4896457.3202133691</v>
      </c>
      <c r="S331" s="6">
        <f>IF(N331="","",SUM(O331:R331)/('[1]LOCH Calc COE Calc'!$C$28))</f>
        <v>112.95385019774135</v>
      </c>
      <c r="T331">
        <f>IF(L331="","",O331/'[1]LOCH Calc COE Calc'!$C$28)</f>
        <v>109.17552313546936</v>
      </c>
      <c r="U331">
        <f>IF(L331="","",P331/'[1]LOCH Calc COE Calc'!$C$28)</f>
        <v>0.35718308861566661</v>
      </c>
      <c r="V331">
        <f>IF(L331="","",Q331/'[1]LOCH Calc COE Calc'!$C$28)</f>
        <v>3.2100000000000004</v>
      </c>
      <c r="W331">
        <f>IF(L331="","",R331/'[1]LOCH Calc COE Calc'!$C$28)</f>
        <v>0.21114397365631307</v>
      </c>
    </row>
    <row r="332" spans="12:23" x14ac:dyDescent="0.25">
      <c r="L332" s="4">
        <f>IF('[1]All Data '!BE337="","",'[1]All Data '!BE337)</f>
        <v>5.5E-2</v>
      </c>
      <c r="M332">
        <f>IF('[1]All Data '!BF337="","",'[1]All Data '!BF337)</f>
        <v>4767.5627999999997</v>
      </c>
      <c r="N332" s="5">
        <f>IF('[1]All Data '!BB337="","",'[1]All Data '!BC337/'[1]All Data '!BH337)</f>
        <v>525973</v>
      </c>
      <c r="O332" s="5">
        <f t="shared" si="7"/>
        <v>2507609308.6043997</v>
      </c>
      <c r="P332" s="5">
        <f>IF(M332="","",$C$2*(1-L332)*907.2/0.621371*N332*[1]Transportation!$M$40)</f>
        <v>8203996.7582965074</v>
      </c>
      <c r="Q332" s="5">
        <f>IF(L332="","",IF([1]Inputs_Outputs!$B$5="Herbaceous",(LCA!$E$29*'[1]LOCH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2" s="5">
        <f>IF(M332="","",$E$2*1000*'[1]LOCH Calc COE Calc'!$C$44)</f>
        <v>4896457.3202133691</v>
      </c>
      <c r="S332" s="6">
        <f>IF(N332="","",SUM(O332:R332)/('[1]LOCH Calc COE Calc'!$C$28))</f>
        <v>111.90750125871385</v>
      </c>
      <c r="T332">
        <f>IF(L332="","",O332/'[1]LOCH Calc COE Calc'!$C$28)</f>
        <v>108.13258631103939</v>
      </c>
      <c r="U332">
        <f>IF(L332="","",P332/'[1]LOCH Calc COE Calc'!$C$28)</f>
        <v>0.35377097401816049</v>
      </c>
      <c r="V332">
        <f>IF(L332="","",Q332/'[1]LOCH Calc COE Calc'!$C$28)</f>
        <v>3.2100000000000004</v>
      </c>
      <c r="W332">
        <f>IF(L332="","",R332/'[1]LOCH Calc COE Calc'!$C$28)</f>
        <v>0.21114397365631307</v>
      </c>
    </row>
    <row r="333" spans="12:23" x14ac:dyDescent="0.25">
      <c r="L333" s="4">
        <f>IF('[1]All Data '!BE338="","",'[1]All Data '!BE338)</f>
        <v>5.5E-2</v>
      </c>
      <c r="M333">
        <f>IF('[1]All Data '!BF338="","",'[1]All Data '!BF338)</f>
        <v>4767.5627999999997</v>
      </c>
      <c r="N333" s="5">
        <f>IF('[1]All Data '!BB338="","",'[1]All Data '!BC338/'[1]All Data '!BH338)</f>
        <v>525630</v>
      </c>
      <c r="O333" s="5">
        <f t="shared" si="7"/>
        <v>2505974034.5639997</v>
      </c>
      <c r="P333" s="5">
        <f>IF(M333="","",$C$2*(1-L333)*907.2/0.621371*N333*[1]Transportation!$M$40)</f>
        <v>8198646.7291351324</v>
      </c>
      <c r="Q333" s="5">
        <f>IF(L333="","",IF([1]Inputs_Outputs!$B$5="Herbaceous",(LCA!$E$29*'[1]LOCH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3" s="5">
        <f>IF(M333="","",$E$2*1000*'[1]LOCH Calc COE Calc'!$C$44)</f>
        <v>4896457.3202133691</v>
      </c>
      <c r="S333" s="6">
        <f>IF(N333="","",SUM(O333:R333)/('[1]LOCH Calc COE Calc'!$C$28))</f>
        <v>111.83675462238693</v>
      </c>
      <c r="T333">
        <f>IF(L333="","",O333/'[1]LOCH Calc COE Calc'!$C$28)</f>
        <v>108.06207037751298</v>
      </c>
      <c r="U333">
        <f>IF(L333="","",P333/'[1]LOCH Calc COE Calc'!$C$28)</f>
        <v>0.35354027121765885</v>
      </c>
      <c r="V333">
        <f>IF(L333="","",Q333/'[1]LOCH Calc COE Calc'!$C$28)</f>
        <v>3.2100000000000004</v>
      </c>
      <c r="W333">
        <f>IF(L333="","",R333/'[1]LOCH Calc COE Calc'!$C$28)</f>
        <v>0.21114397365631307</v>
      </c>
    </row>
    <row r="334" spans="12:23" x14ac:dyDescent="0.25">
      <c r="L334" s="4">
        <f>IF('[1]All Data '!BE339="","",'[1]All Data '!BE339)</f>
        <v>5.5E-2</v>
      </c>
      <c r="M334">
        <f>IF('[1]All Data '!BF339="","",'[1]All Data '!BF339)</f>
        <v>4767.5627999999997</v>
      </c>
      <c r="N334" s="5">
        <f>IF('[1]All Data '!BB339="","",'[1]All Data '!BC339/'[1]All Data '!BH339)</f>
        <v>525515</v>
      </c>
      <c r="O334" s="5">
        <f t="shared" si="7"/>
        <v>2505425764.842</v>
      </c>
      <c r="P334" s="5">
        <f>IF(M334="","",$C$2*(1-L334)*907.2/0.621371*N334*[1]Transportation!$M$40)</f>
        <v>8196852.9875795692</v>
      </c>
      <c r="Q334" s="5">
        <f>IF(L334="","",IF([1]Inputs_Outputs!$B$5="Herbaceous",(LCA!$E$29*'[1]LOCH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4" s="5">
        <f>IF(M334="","",$E$2*1000*'[1]LOCH Calc COE Calc'!$C$44)</f>
        <v>4896457.3202133691</v>
      </c>
      <c r="S334" s="6">
        <f>IF(N334="","",SUM(O334:R334)/('[1]LOCH Calc COE Calc'!$C$28))</f>
        <v>111.81303490466802</v>
      </c>
      <c r="T334">
        <f>IF(L334="","",O334/'[1]LOCH Calc COE Calc'!$C$28)</f>
        <v>108.0384280091295</v>
      </c>
      <c r="U334">
        <f>IF(L334="","",P334/'[1]LOCH Calc COE Calc'!$C$28)</f>
        <v>0.35346292188221373</v>
      </c>
      <c r="V334">
        <f>IF(L334="","",Q334/'[1]LOCH Calc COE Calc'!$C$28)</f>
        <v>3.2100000000000004</v>
      </c>
      <c r="W334">
        <f>IF(L334="","",R334/'[1]LOCH Calc COE Calc'!$C$28)</f>
        <v>0.21114397365631307</v>
      </c>
    </row>
    <row r="335" spans="12:23" x14ac:dyDescent="0.25">
      <c r="L335" s="4">
        <f>IF('[1]All Data '!BE340="","",'[1]All Data '!BE340)</f>
        <v>5.5E-2</v>
      </c>
      <c r="M335">
        <f>IF('[1]All Data '!BF340="","",'[1]All Data '!BF340)</f>
        <v>4767.5627999999997</v>
      </c>
      <c r="N335" s="5">
        <f>IF('[1]All Data '!BB340="","",'[1]All Data '!BC340/'[1]All Data '!BH340)</f>
        <v>523317</v>
      </c>
      <c r="O335" s="5">
        <f t="shared" si="7"/>
        <v>2494946661.8076</v>
      </c>
      <c r="P335" s="5">
        <f>IF(M335="","",$C$2*(1-L335)*907.2/0.621371*N335*[1]Transportation!$M$40)</f>
        <v>8162569.1272393316</v>
      </c>
      <c r="Q335" s="5">
        <f>IF(L335="","",IF([1]Inputs_Outputs!$B$5="Herbaceous",(LCA!$E$29*'[1]LOCH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5" s="5">
        <f>IF(M335="","",$E$2*1000*'[1]LOCH Calc COE Calc'!$C$44)</f>
        <v>4896457.3202133691</v>
      </c>
      <c r="S335" s="6">
        <f>IF(N335="","",SUM(O335:R335)/('[1]LOCH Calc COE Calc'!$C$28))</f>
        <v>111.35967890861393</v>
      </c>
      <c r="T335">
        <f>IF(L335="","",O335/'[1]LOCH Calc COE Calc'!$C$28)</f>
        <v>107.58655039428679</v>
      </c>
      <c r="U335">
        <f>IF(L335="","",P335/'[1]LOCH Calc COE Calc'!$C$28)</f>
        <v>0.35198454067083607</v>
      </c>
      <c r="V335">
        <f>IF(L335="","",Q335/'[1]LOCH Calc COE Calc'!$C$28)</f>
        <v>3.2100000000000004</v>
      </c>
      <c r="W335">
        <f>IF(L335="","",R335/'[1]LOCH Calc COE Calc'!$C$28)</f>
        <v>0.21114397365631307</v>
      </c>
    </row>
    <row r="336" spans="12:23" x14ac:dyDescent="0.25">
      <c r="L336" s="4">
        <f>IF('[1]All Data '!BE341="","",'[1]All Data '!BE341)</f>
        <v>5.5E-2</v>
      </c>
      <c r="M336">
        <f>IF('[1]All Data '!BF341="","",'[1]All Data '!BF341)</f>
        <v>4767.5627999999997</v>
      </c>
      <c r="N336" s="5">
        <f>IF('[1]All Data '!BB341="","",'[1]All Data '!BC341/'[1]All Data '!BH341)</f>
        <v>522108</v>
      </c>
      <c r="O336" s="5">
        <f t="shared" si="7"/>
        <v>2489182678.3824</v>
      </c>
      <c r="P336" s="5">
        <f>IF(M336="","",$C$2*(1-L336)*907.2/0.621371*N336*[1]Transportation!$M$40)</f>
        <v>8143711.4442769364</v>
      </c>
      <c r="Q336" s="5">
        <f>IF(L336="","",IF([1]Inputs_Outputs!$B$5="Herbaceous",(LCA!$E$29*'[1]LOCH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6" s="5">
        <f>IF(M336="","",$E$2*1000*'[1]LOCH Calc COE Calc'!$C$44)</f>
        <v>4896457.3202133691</v>
      </c>
      <c r="S336" s="6">
        <f>IF(N336="","",SUM(O336:R336)/('[1]LOCH Calc COE Calc'!$C$28))</f>
        <v>111.11031248494268</v>
      </c>
      <c r="T336">
        <f>IF(L336="","",O336/'[1]LOCH Calc COE Calc'!$C$28)</f>
        <v>107.3379971475421</v>
      </c>
      <c r="U336">
        <f>IF(L336="","",P336/'[1]LOCH Calc COE Calc'!$C$28)</f>
        <v>0.35117136374428676</v>
      </c>
      <c r="V336">
        <f>IF(L336="","",Q336/'[1]LOCH Calc COE Calc'!$C$28)</f>
        <v>3.2100000000000004</v>
      </c>
      <c r="W336">
        <f>IF(L336="","",R336/'[1]LOCH Calc COE Calc'!$C$28)</f>
        <v>0.21114397365631307</v>
      </c>
    </row>
    <row r="337" spans="12:23" x14ac:dyDescent="0.25">
      <c r="L337" s="4">
        <f>IF('[1]All Data '!BE342="","",'[1]All Data '!BE342)</f>
        <v>5.5E-2</v>
      </c>
      <c r="M337">
        <f>IF('[1]All Data '!BF342="","",'[1]All Data '!BF342)</f>
        <v>4767.5627999999997</v>
      </c>
      <c r="N337" s="5">
        <f>IF('[1]All Data '!BB342="","",'[1]All Data '!BC342/'[1]All Data '!BH342)</f>
        <v>519070</v>
      </c>
      <c r="O337" s="5">
        <f t="shared" si="7"/>
        <v>2474698822.5959997</v>
      </c>
      <c r="P337" s="5">
        <f>IF(M337="","",$C$2*(1-L337)*907.2/0.621371*N337*[1]Transportation!$M$40)</f>
        <v>8096325.4717047606</v>
      </c>
      <c r="Q337" s="5">
        <f>IF(L337="","",IF([1]Inputs_Outputs!$B$5="Herbaceous",(LCA!$E$29*'[1]LOCH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7" s="5">
        <f>IF(M337="","",$E$2*1000*'[1]LOCH Calc COE Calc'!$C$44)</f>
        <v>4896457.3202133691</v>
      </c>
      <c r="S337" s="6">
        <f>IF(N337="","",SUM(O337:R337)/('[1]LOCH Calc COE Calc'!$C$28))</f>
        <v>110.4836994203329</v>
      </c>
      <c r="T337">
        <f>IF(L337="","",O337/'[1]LOCH Calc COE Calc'!$C$28)</f>
        <v>106.71342745059388</v>
      </c>
      <c r="U337">
        <f>IF(L337="","",P337/'[1]LOCH Calc COE Calc'!$C$28)</f>
        <v>0.34912799608270112</v>
      </c>
      <c r="V337">
        <f>IF(L337="","",Q337/'[1]LOCH Calc COE Calc'!$C$28)</f>
        <v>3.2100000000000004</v>
      </c>
      <c r="W337">
        <f>IF(L337="","",R337/'[1]LOCH Calc COE Calc'!$C$28)</f>
        <v>0.21114397365631307</v>
      </c>
    </row>
    <row r="338" spans="12:23" x14ac:dyDescent="0.25">
      <c r="L338" s="4">
        <f>IF('[1]All Data '!BE343="","",'[1]All Data '!BE343)</f>
        <v>5.5E-2</v>
      </c>
      <c r="M338">
        <f>IF('[1]All Data '!BF343="","",'[1]All Data '!BF343)</f>
        <v>4767.5627999999997</v>
      </c>
      <c r="N338" s="5">
        <f>IF('[1]All Data '!BB343="","",'[1]All Data '!BC343/'[1]All Data '!BH343)</f>
        <v>518500</v>
      </c>
      <c r="O338" s="5">
        <f t="shared" si="7"/>
        <v>2471981311.7999997</v>
      </c>
      <c r="P338" s="5">
        <f>IF(M338="","",$C$2*(1-L338)*907.2/0.621371*N338*[1]Transportation!$M$40)</f>
        <v>8087434.7526902314</v>
      </c>
      <c r="Q338" s="5">
        <f>IF(L338="","",IF([1]Inputs_Outputs!$B$5="Herbaceous",(LCA!$E$29*'[1]LOCH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8" s="5">
        <f>IF(M338="","",$E$2*1000*'[1]LOCH Calc COE Calc'!$C$44)</f>
        <v>4896457.3202133691</v>
      </c>
      <c r="S338" s="6">
        <f>IF(N338="","",SUM(O338:R338)/('[1]LOCH Calc COE Calc'!$C$28))</f>
        <v>110.36613212381295</v>
      </c>
      <c r="T338">
        <f>IF(L338="","",O338/'[1]LOCH Calc COE Calc'!$C$28)</f>
        <v>106.59624353773658</v>
      </c>
      <c r="U338">
        <f>IF(L338="","",P338/'[1]LOCH Calc COE Calc'!$C$28)</f>
        <v>0.34874461242006</v>
      </c>
      <c r="V338">
        <f>IF(L338="","",Q338/'[1]LOCH Calc COE Calc'!$C$28)</f>
        <v>3.2100000000000004</v>
      </c>
      <c r="W338">
        <f>IF(L338="","",R338/'[1]LOCH Calc COE Calc'!$C$28)</f>
        <v>0.21114397365631307</v>
      </c>
    </row>
    <row r="339" spans="12:23" x14ac:dyDescent="0.25">
      <c r="L339" s="4">
        <f>IF('[1]All Data '!BE344="","",'[1]All Data '!BE344)</f>
        <v>5.5E-2</v>
      </c>
      <c r="M339">
        <f>IF('[1]All Data '!BF344="","",'[1]All Data '!BF344)</f>
        <v>4767.5628000000006</v>
      </c>
      <c r="N339" s="5">
        <f>IF('[1]All Data '!BB344="","",'[1]All Data '!BC344/'[1]All Data '!BH344)</f>
        <v>518220</v>
      </c>
      <c r="O339" s="5">
        <f t="shared" si="7"/>
        <v>2470646394.2160001</v>
      </c>
      <c r="P339" s="5">
        <f>IF(M339="","",$C$2*(1-L339)*907.2/0.621371*N339*[1]Transportation!$M$40)</f>
        <v>8083067.3819462517</v>
      </c>
      <c r="Q339" s="5">
        <f>IF(L339="","",IF([1]Inputs_Outputs!$B$5="Herbaceous",(LCA!$E$29*'[1]LOCH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39" s="5">
        <f>IF(M339="","",$E$2*1000*'[1]LOCH Calc COE Calc'!$C$44)</f>
        <v>4896457.3202133691</v>
      </c>
      <c r="S339" s="6">
        <f>IF(N339="","",SUM(O339:R339)/('[1]LOCH Calc COE Calc'!$C$28))</f>
        <v>110.30837976762773</v>
      </c>
      <c r="T339">
        <f>IF(L339="","",O339/'[1]LOCH Calc COE Calc'!$C$28)</f>
        <v>106.5386795103681</v>
      </c>
      <c r="U339">
        <f>IF(L339="","",P339/'[1]LOCH Calc COE Calc'!$C$28)</f>
        <v>0.34855628360332397</v>
      </c>
      <c r="V339">
        <f>IF(L339="","",Q339/'[1]LOCH Calc COE Calc'!$C$28)</f>
        <v>3.2100000000000004</v>
      </c>
      <c r="W339">
        <f>IF(L339="","",R339/'[1]LOCH Calc COE Calc'!$C$28)</f>
        <v>0.21114397365631307</v>
      </c>
    </row>
    <row r="340" spans="12:23" x14ac:dyDescent="0.25">
      <c r="L340" s="4">
        <f>IF('[1]All Data '!BE345="","",'[1]All Data '!BE345)</f>
        <v>5.5E-2</v>
      </c>
      <c r="M340">
        <f>IF('[1]All Data '!BF345="","",'[1]All Data '!BF345)</f>
        <v>4767.5627999999997</v>
      </c>
      <c r="N340" s="5">
        <f>IF('[1]All Data '!BB345="","",'[1]All Data '!BC345/'[1]All Data '!BH345)</f>
        <v>515641</v>
      </c>
      <c r="O340" s="5">
        <f t="shared" si="7"/>
        <v>2458350849.7547998</v>
      </c>
      <c r="P340" s="5">
        <f>IF(M340="","",$C$2*(1-L340)*907.2/0.621371*N340*[1]Transportation!$M$40)</f>
        <v>8042840.7778436709</v>
      </c>
      <c r="Q340" s="5">
        <f>IF(L340="","",IF([1]Inputs_Outputs!$B$5="Herbaceous",(LCA!$E$29*'[1]LOCH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0" s="5">
        <f>IF(M340="","",$E$2*1000*'[1]LOCH Calc COE Calc'!$C$44)</f>
        <v>4896457.3202133691</v>
      </c>
      <c r="S340" s="6">
        <f>IF(N340="","",SUM(O340:R340)/('[1]LOCH Calc COE Calc'!$C$28))</f>
        <v>109.77643931547871</v>
      </c>
      <c r="T340">
        <f>IF(L340="","",O340/'[1]LOCH Calc COE Calc'!$C$28)</f>
        <v>106.00847370114182</v>
      </c>
      <c r="U340">
        <f>IF(L340="","",P340/'[1]LOCH Calc COE Calc'!$C$28)</f>
        <v>0.34682164068060201</v>
      </c>
      <c r="V340">
        <f>IF(L340="","",Q340/'[1]LOCH Calc COE Calc'!$C$28)</f>
        <v>3.2100000000000004</v>
      </c>
      <c r="W340">
        <f>IF(L340="","",R340/'[1]LOCH Calc COE Calc'!$C$28)</f>
        <v>0.21114397365631307</v>
      </c>
    </row>
    <row r="341" spans="12:23" x14ac:dyDescent="0.25">
      <c r="L341" s="4">
        <f>IF('[1]All Data '!BE346="","",'[1]All Data '!BE346)</f>
        <v>5.5E-2</v>
      </c>
      <c r="M341">
        <f>IF('[1]All Data '!BF346="","",'[1]All Data '!BF346)</f>
        <v>4767.5627999999997</v>
      </c>
      <c r="N341" s="5">
        <f>IF('[1]All Data '!BB346="","",'[1]All Data '!BC346/'[1]All Data '!BH346)</f>
        <v>515641</v>
      </c>
      <c r="O341" s="5">
        <f t="shared" si="7"/>
        <v>2458350849.7547998</v>
      </c>
      <c r="P341" s="5">
        <f>IF(M341="","",$C$2*(1-L341)*907.2/0.621371*N341*[1]Transportation!$M$40)</f>
        <v>8042840.7778436709</v>
      </c>
      <c r="Q341" s="5">
        <f>IF(L341="","",IF([1]Inputs_Outputs!$B$5="Herbaceous",(LCA!$E$29*'[1]LOCH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1" s="5">
        <f>IF(M341="","",$E$2*1000*'[1]LOCH Calc COE Calc'!$C$44)</f>
        <v>4896457.3202133691</v>
      </c>
      <c r="S341" s="6">
        <f>IF(N341="","",SUM(O341:R341)/('[1]LOCH Calc COE Calc'!$C$28))</f>
        <v>109.77643931547871</v>
      </c>
      <c r="T341">
        <f>IF(L341="","",O341/'[1]LOCH Calc COE Calc'!$C$28)</f>
        <v>106.00847370114182</v>
      </c>
      <c r="U341">
        <f>IF(L341="","",P341/'[1]LOCH Calc COE Calc'!$C$28)</f>
        <v>0.34682164068060201</v>
      </c>
      <c r="V341">
        <f>IF(L341="","",Q341/'[1]LOCH Calc COE Calc'!$C$28)</f>
        <v>3.2100000000000004</v>
      </c>
      <c r="W341">
        <f>IF(L341="","",R341/'[1]LOCH Calc COE Calc'!$C$28)</f>
        <v>0.21114397365631307</v>
      </c>
    </row>
    <row r="342" spans="12:23" x14ac:dyDescent="0.25">
      <c r="L342" s="4">
        <f>IF('[1]All Data '!BE347="","",'[1]All Data '!BE347)</f>
        <v>5.5E-2</v>
      </c>
      <c r="M342">
        <f>IF('[1]All Data '!BF347="","",'[1]All Data '!BF347)</f>
        <v>4767.5627999999997</v>
      </c>
      <c r="N342" s="5">
        <f>IF('[1]All Data '!BB347="","",'[1]All Data '!BC347/'[1]All Data '!BH347)</f>
        <v>515641</v>
      </c>
      <c r="O342" s="5">
        <f t="shared" si="7"/>
        <v>2458350849.7547998</v>
      </c>
      <c r="P342" s="5">
        <f>IF(M342="","",$C$2*(1-L342)*907.2/0.621371*N342*[1]Transportation!$M$40)</f>
        <v>8042840.7778436709</v>
      </c>
      <c r="Q342" s="5">
        <f>IF(L342="","",IF([1]Inputs_Outputs!$B$5="Herbaceous",(LCA!$E$29*'[1]LOCH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2" s="5">
        <f>IF(M342="","",$E$2*1000*'[1]LOCH Calc COE Calc'!$C$44)</f>
        <v>4896457.3202133691</v>
      </c>
      <c r="S342" s="6">
        <f>IF(N342="","",SUM(O342:R342)/('[1]LOCH Calc COE Calc'!$C$28))</f>
        <v>109.77643931547871</v>
      </c>
      <c r="T342">
        <f>IF(L342="","",O342/'[1]LOCH Calc COE Calc'!$C$28)</f>
        <v>106.00847370114182</v>
      </c>
      <c r="U342">
        <f>IF(L342="","",P342/'[1]LOCH Calc COE Calc'!$C$28)</f>
        <v>0.34682164068060201</v>
      </c>
      <c r="V342">
        <f>IF(L342="","",Q342/'[1]LOCH Calc COE Calc'!$C$28)</f>
        <v>3.2100000000000004</v>
      </c>
      <c r="W342">
        <f>IF(L342="","",R342/'[1]LOCH Calc COE Calc'!$C$28)</f>
        <v>0.21114397365631307</v>
      </c>
    </row>
    <row r="343" spans="12:23" x14ac:dyDescent="0.25">
      <c r="L343" s="4">
        <f>IF('[1]All Data '!BE348="","",'[1]All Data '!BE348)</f>
        <v>5.5E-2</v>
      </c>
      <c r="M343">
        <f>IF('[1]All Data '!BF348="","",'[1]All Data '!BF348)</f>
        <v>4767.5627999999997</v>
      </c>
      <c r="N343" s="5">
        <f>IF('[1]All Data '!BB348="","",'[1]All Data '!BC348/'[1]All Data '!BH348)</f>
        <v>514153</v>
      </c>
      <c r="O343" s="5">
        <f t="shared" si="7"/>
        <v>2451256716.3083997</v>
      </c>
      <c r="P343" s="5">
        <f>IF(M343="","",$C$2*(1-L343)*907.2/0.621371*N343*[1]Transportation!$M$40)</f>
        <v>8019631.3218899528</v>
      </c>
      <c r="Q343" s="5">
        <f>IF(L343="","",IF([1]Inputs_Outputs!$B$5="Herbaceous",(LCA!$E$29*'[1]LOCH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3" s="5">
        <f>IF(M343="","",$E$2*1000*'[1]LOCH Calc COE Calc'!$C$44)</f>
        <v>4896457.3202133691</v>
      </c>
      <c r="S343" s="6">
        <f>IF(N343="","",SUM(O343:R343)/('[1]LOCH Calc COE Calc'!$C$28))</f>
        <v>109.46952679403718</v>
      </c>
      <c r="T343">
        <f>IF(L343="","",O343/'[1]LOCH Calc COE Calc'!$C$28)</f>
        <v>105.70256201284064</v>
      </c>
      <c r="U343">
        <f>IF(L343="","",P343/'[1]LOCH Calc COE Calc'!$C$28)</f>
        <v>0.34582080754023353</v>
      </c>
      <c r="V343">
        <f>IF(L343="","",Q343/'[1]LOCH Calc COE Calc'!$C$28)</f>
        <v>3.2100000000000004</v>
      </c>
      <c r="W343">
        <f>IF(L343="","",R343/'[1]LOCH Calc COE Calc'!$C$28)</f>
        <v>0.21114397365631307</v>
      </c>
    </row>
    <row r="344" spans="12:23" x14ac:dyDescent="0.25">
      <c r="L344" s="4">
        <f>IF('[1]All Data '!BE349="","",'[1]All Data '!BE349)</f>
        <v>5.5E-2</v>
      </c>
      <c r="M344">
        <f>IF('[1]All Data '!BF349="","",'[1]All Data '!BF349)</f>
        <v>4767.5627999999997</v>
      </c>
      <c r="N344" s="5">
        <f>IF('[1]All Data '!BB349="","",'[1]All Data '!BC349/'[1]All Data '!BH349)</f>
        <v>513609</v>
      </c>
      <c r="O344" s="5">
        <f t="shared" si="7"/>
        <v>2448663162.1451998</v>
      </c>
      <c r="P344" s="5">
        <f>IF(M344="","",$C$2*(1-L344)*907.2/0.621371*N344*[1]Transportation!$M$40)</f>
        <v>8011146.1444445066</v>
      </c>
      <c r="Q344" s="5">
        <f>IF(L344="","",IF([1]Inputs_Outputs!$B$5="Herbaceous",(LCA!$E$29*'[1]LOCH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4" s="5">
        <f>IF(M344="","",$E$2*1000*'[1]LOCH Calc COE Calc'!$C$44)</f>
        <v>4896457.3202133691</v>
      </c>
      <c r="S344" s="6">
        <f>IF(N344="","",SUM(O344:R344)/('[1]LOCH Calc COE Calc'!$C$28))</f>
        <v>109.35732221630587</v>
      </c>
      <c r="T344">
        <f>IF(L344="","",O344/'[1]LOCH Calc COE Calc'!$C$28)</f>
        <v>105.59072333109614</v>
      </c>
      <c r="U344">
        <f>IF(L344="","",P344/'[1]LOCH Calc COE Calc'!$C$28)</f>
        <v>0.34545491155343216</v>
      </c>
      <c r="V344">
        <f>IF(L344="","",Q344/'[1]LOCH Calc COE Calc'!$C$28)</f>
        <v>3.2100000000000004</v>
      </c>
      <c r="W344">
        <f>IF(L344="","",R344/'[1]LOCH Calc COE Calc'!$C$28)</f>
        <v>0.21114397365631307</v>
      </c>
    </row>
    <row r="345" spans="12:23" x14ac:dyDescent="0.25">
      <c r="L345" s="4">
        <f>IF('[1]All Data '!BE350="","",'[1]All Data '!BE350)</f>
        <v>5.5E-2</v>
      </c>
      <c r="M345">
        <f>IF('[1]All Data '!BF350="","",'[1]All Data '!BF350)</f>
        <v>4767.5627999999997</v>
      </c>
      <c r="N345" s="5">
        <f>IF('[1]All Data '!BB350="","",'[1]All Data '!BC350/'[1]All Data '!BH350)</f>
        <v>513590</v>
      </c>
      <c r="O345" s="5">
        <f t="shared" si="7"/>
        <v>2448572578.4519997</v>
      </c>
      <c r="P345" s="5">
        <f>IF(M345="","",$C$2*(1-L345)*907.2/0.621371*N345*[1]Transportation!$M$40)</f>
        <v>8010849.7871440221</v>
      </c>
      <c r="Q345" s="5">
        <f>IF(L345="","",IF([1]Inputs_Outputs!$B$5="Herbaceous",(LCA!$E$29*'[1]LOCH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5" s="5">
        <f>IF(M345="","",$E$2*1000*'[1]LOCH Calc COE Calc'!$C$44)</f>
        <v>4896457.3202133691</v>
      </c>
      <c r="S345" s="6">
        <f>IF(N345="","",SUM(O345:R345)/('[1]LOCH Calc COE Calc'!$C$28))</f>
        <v>109.35340330642188</v>
      </c>
      <c r="T345">
        <f>IF(L345="","",O345/'[1]LOCH Calc COE Calc'!$C$28)</f>
        <v>105.58681720066757</v>
      </c>
      <c r="U345">
        <f>IF(L345="","",P345/'[1]LOCH Calc COE Calc'!$C$28)</f>
        <v>0.34544213209801078</v>
      </c>
      <c r="V345">
        <f>IF(L345="","",Q345/'[1]LOCH Calc COE Calc'!$C$28)</f>
        <v>3.2100000000000004</v>
      </c>
      <c r="W345">
        <f>IF(L345="","",R345/'[1]LOCH Calc COE Calc'!$C$28)</f>
        <v>0.21114397365631307</v>
      </c>
    </row>
    <row r="346" spans="12:23" x14ac:dyDescent="0.25">
      <c r="L346" s="4">
        <f>IF('[1]All Data '!BE351="","",'[1]All Data '!BE351)</f>
        <v>5.5E-2</v>
      </c>
      <c r="M346">
        <f>IF('[1]All Data '!BF351="","",'[1]All Data '!BF351)</f>
        <v>4767.5627999999997</v>
      </c>
      <c r="N346" s="5">
        <f>IF('[1]All Data '!BB351="","",'[1]All Data '!BC351/'[1]All Data '!BH351)</f>
        <v>512404</v>
      </c>
      <c r="O346" s="5">
        <f t="shared" si="7"/>
        <v>2442918248.9712</v>
      </c>
      <c r="P346" s="5">
        <f>IF(M346="","",$C$2*(1-L346)*907.2/0.621371*N346*[1]Transportation!$M$40)</f>
        <v>7992350.8524927394</v>
      </c>
      <c r="Q346" s="5">
        <f>IF(L346="","",IF([1]Inputs_Outputs!$B$5="Herbaceous",(LCA!$E$29*'[1]LOCH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6" s="5">
        <f>IF(M346="","",$E$2*1000*'[1]LOCH Calc COE Calc'!$C$44)</f>
        <v>4896457.3202133691</v>
      </c>
      <c r="S346" s="6">
        <f>IF(N346="","",SUM(O346:R346)/('[1]LOCH Calc COE Calc'!$C$28))</f>
        <v>109.10878082629443</v>
      </c>
      <c r="T346">
        <f>IF(L346="","",O346/'[1]LOCH Calc COE Calc'!$C$28)</f>
        <v>105.34299242759958</v>
      </c>
      <c r="U346">
        <f>IF(L346="","",P346/'[1]LOCH Calc COE Calc'!$C$28)</f>
        <v>0.34464442503855047</v>
      </c>
      <c r="V346">
        <f>IF(L346="","",Q346/'[1]LOCH Calc COE Calc'!$C$28)</f>
        <v>3.2100000000000004</v>
      </c>
      <c r="W346">
        <f>IF(L346="","",R346/'[1]LOCH Calc COE Calc'!$C$28)</f>
        <v>0.21114397365631307</v>
      </c>
    </row>
    <row r="347" spans="12:23" x14ac:dyDescent="0.25">
      <c r="L347" s="4">
        <f>IF('[1]All Data '!BE352="","",'[1]All Data '!BE352)</f>
        <v>5.5E-2</v>
      </c>
      <c r="M347">
        <f>IF('[1]All Data '!BF352="","",'[1]All Data '!BF352)</f>
        <v>4767.5627999999997</v>
      </c>
      <c r="N347" s="5">
        <f>IF('[1]All Data '!BB352="","",'[1]All Data '!BC352/'[1]All Data '!BH352)</f>
        <v>512404</v>
      </c>
      <c r="O347" s="5">
        <f t="shared" si="7"/>
        <v>2442918248.9712</v>
      </c>
      <c r="P347" s="5">
        <f>IF(M347="","",$C$2*(1-L347)*907.2/0.621371*N347*[1]Transportation!$M$40)</f>
        <v>7992350.8524927394</v>
      </c>
      <c r="Q347" s="5">
        <f>IF(L347="","",IF([1]Inputs_Outputs!$B$5="Herbaceous",(LCA!$E$29*'[1]LOCH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7" s="5">
        <f>IF(M347="","",$E$2*1000*'[1]LOCH Calc COE Calc'!$C$44)</f>
        <v>4896457.3202133691</v>
      </c>
      <c r="S347" s="6">
        <f>IF(N347="","",SUM(O347:R347)/('[1]LOCH Calc COE Calc'!$C$28))</f>
        <v>109.10878082629443</v>
      </c>
      <c r="T347">
        <f>IF(L347="","",O347/'[1]LOCH Calc COE Calc'!$C$28)</f>
        <v>105.34299242759958</v>
      </c>
      <c r="U347">
        <f>IF(L347="","",P347/'[1]LOCH Calc COE Calc'!$C$28)</f>
        <v>0.34464442503855047</v>
      </c>
      <c r="V347">
        <f>IF(L347="","",Q347/'[1]LOCH Calc COE Calc'!$C$28)</f>
        <v>3.2100000000000004</v>
      </c>
      <c r="W347">
        <f>IF(L347="","",R347/'[1]LOCH Calc COE Calc'!$C$28)</f>
        <v>0.21114397365631307</v>
      </c>
    </row>
    <row r="348" spans="12:23" x14ac:dyDescent="0.25">
      <c r="L348" s="4">
        <f>IF('[1]All Data '!BE353="","",'[1]All Data '!BE353)</f>
        <v>5.5E-2</v>
      </c>
      <c r="M348">
        <f>IF('[1]All Data '!BF353="","",'[1]All Data '!BF353)</f>
        <v>4767.5627999999997</v>
      </c>
      <c r="N348" s="5">
        <f>IF('[1]All Data '!BB353="","",'[1]All Data '!BC353/'[1]All Data '!BH353)</f>
        <v>512404</v>
      </c>
      <c r="O348" s="5">
        <f t="shared" si="7"/>
        <v>2442918248.9712</v>
      </c>
      <c r="P348" s="5">
        <f>IF(M348="","",$C$2*(1-L348)*907.2/0.621371*N348*[1]Transportation!$M$40)</f>
        <v>7992350.8524927394</v>
      </c>
      <c r="Q348" s="5">
        <f>IF(L348="","",IF([1]Inputs_Outputs!$B$5="Herbaceous",(LCA!$E$29*'[1]LOCH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8" s="5">
        <f>IF(M348="","",$E$2*1000*'[1]LOCH Calc COE Calc'!$C$44)</f>
        <v>4896457.3202133691</v>
      </c>
      <c r="S348" s="6">
        <f>IF(N348="","",SUM(O348:R348)/('[1]LOCH Calc COE Calc'!$C$28))</f>
        <v>109.10878082629443</v>
      </c>
      <c r="T348">
        <f>IF(L348="","",O348/'[1]LOCH Calc COE Calc'!$C$28)</f>
        <v>105.34299242759958</v>
      </c>
      <c r="U348">
        <f>IF(L348="","",P348/'[1]LOCH Calc COE Calc'!$C$28)</f>
        <v>0.34464442503855047</v>
      </c>
      <c r="V348">
        <f>IF(L348="","",Q348/'[1]LOCH Calc COE Calc'!$C$28)</f>
        <v>3.2100000000000004</v>
      </c>
      <c r="W348">
        <f>IF(L348="","",R348/'[1]LOCH Calc COE Calc'!$C$28)</f>
        <v>0.21114397365631307</v>
      </c>
    </row>
    <row r="349" spans="12:23" x14ac:dyDescent="0.25">
      <c r="L349" s="4">
        <f>IF('[1]All Data '!BE354="","",'[1]All Data '!BE354)</f>
        <v>5.5E-2</v>
      </c>
      <c r="M349">
        <f>IF('[1]All Data '!BF354="","",'[1]All Data '!BF354)</f>
        <v>4767.5627999999997</v>
      </c>
      <c r="N349" s="5">
        <f>IF('[1]All Data '!BB354="","",'[1]All Data '!BC354/'[1]All Data '!BH354)</f>
        <v>512007</v>
      </c>
      <c r="O349" s="5">
        <f t="shared" si="7"/>
        <v>2441025526.5395999</v>
      </c>
      <c r="P349" s="5">
        <f>IF(M349="","",$C$2*(1-L349)*907.2/0.621371*N349*[1]Transportation!$M$40)</f>
        <v>7986158.5446878821</v>
      </c>
      <c r="Q349" s="5">
        <f>IF(L349="","",IF([1]Inputs_Outputs!$B$5="Herbaceous",(LCA!$E$29*'[1]LOCH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49" s="5">
        <f>IF(M349="","",$E$2*1000*'[1]LOCH Calc COE Calc'!$C$44)</f>
        <v>4896457.3202133691</v>
      </c>
      <c r="S349" s="6">
        <f>IF(N349="","",SUM(O349:R349)/('[1]LOCH Calc COE Calc'!$C$28))</f>
        <v>109.02689623556036</v>
      </c>
      <c r="T349">
        <f>IF(L349="","",O349/'[1]LOCH Calc COE Calc'!$C$28)</f>
        <v>105.26137486022353</v>
      </c>
      <c r="U349">
        <f>IF(L349="","",P349/'[1]LOCH Calc COE Calc'!$C$28)</f>
        <v>0.34437740168053543</v>
      </c>
      <c r="V349">
        <f>IF(L349="","",Q349/'[1]LOCH Calc COE Calc'!$C$28)</f>
        <v>3.2100000000000004</v>
      </c>
      <c r="W349">
        <f>IF(L349="","",R349/'[1]LOCH Calc COE Calc'!$C$28)</f>
        <v>0.21114397365631307</v>
      </c>
    </row>
    <row r="350" spans="12:23" x14ac:dyDescent="0.25">
      <c r="L350" s="4">
        <f>IF('[1]All Data '!BE355="","",'[1]All Data '!BE355)</f>
        <v>5.5E-2</v>
      </c>
      <c r="M350">
        <f>IF('[1]All Data '!BF355="","",'[1]All Data '!BF355)</f>
        <v>4767.5627999999997</v>
      </c>
      <c r="N350" s="5">
        <f>IF('[1]All Data '!BB355="","",'[1]All Data '!BC355/'[1]All Data '!BH355)</f>
        <v>512007</v>
      </c>
      <c r="O350" s="5">
        <f t="shared" si="7"/>
        <v>2441025526.5395999</v>
      </c>
      <c r="P350" s="5">
        <f>IF(M350="","",$C$2*(1-L350)*907.2/0.621371*N350*[1]Transportation!$M$40)</f>
        <v>7986158.5446878821</v>
      </c>
      <c r="Q350" s="5">
        <f>IF(L350="","",IF([1]Inputs_Outputs!$B$5="Herbaceous",(LCA!$E$29*'[1]LOCH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0" s="5">
        <f>IF(M350="","",$E$2*1000*'[1]LOCH Calc COE Calc'!$C$44)</f>
        <v>4896457.3202133691</v>
      </c>
      <c r="S350" s="6">
        <f>IF(N350="","",SUM(O350:R350)/('[1]LOCH Calc COE Calc'!$C$28))</f>
        <v>109.02689623556036</v>
      </c>
      <c r="T350">
        <f>IF(L350="","",O350/'[1]LOCH Calc COE Calc'!$C$28)</f>
        <v>105.26137486022353</v>
      </c>
      <c r="U350">
        <f>IF(L350="","",P350/'[1]LOCH Calc COE Calc'!$C$28)</f>
        <v>0.34437740168053543</v>
      </c>
      <c r="V350">
        <f>IF(L350="","",Q350/'[1]LOCH Calc COE Calc'!$C$28)</f>
        <v>3.2100000000000004</v>
      </c>
      <c r="W350">
        <f>IF(L350="","",R350/'[1]LOCH Calc COE Calc'!$C$28)</f>
        <v>0.21114397365631307</v>
      </c>
    </row>
    <row r="351" spans="12:23" x14ac:dyDescent="0.25">
      <c r="L351" s="4">
        <f>IF('[1]All Data '!BE356="","",'[1]All Data '!BE356)</f>
        <v>5.5E-2</v>
      </c>
      <c r="M351">
        <f>IF('[1]All Data '!BF356="","",'[1]All Data '!BF356)</f>
        <v>4767.5627999999997</v>
      </c>
      <c r="N351" s="5">
        <f>IF('[1]All Data '!BB356="","",'[1]All Data '!BC356/'[1]All Data '!BH356)</f>
        <v>511507</v>
      </c>
      <c r="O351" s="5">
        <f t="shared" si="7"/>
        <v>2438641745.1395998</v>
      </c>
      <c r="P351" s="5">
        <f>IF(M351="","",$C$2*(1-L351)*907.2/0.621371*N351*[1]Transportation!$M$40)</f>
        <v>7978359.6683593486</v>
      </c>
      <c r="Q351" s="5">
        <f>IF(L351="","",IF([1]Inputs_Outputs!$B$5="Herbaceous",(LCA!$E$29*'[1]LOCH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1" s="5">
        <f>IF(M351="","",$E$2*1000*'[1]LOCH Calc COE Calc'!$C$44)</f>
        <v>4896457.3202133691</v>
      </c>
      <c r="S351" s="6">
        <f>IF(N351="","",SUM(O351:R351)/('[1]LOCH Calc COE Calc'!$C$28))</f>
        <v>108.92376702808673</v>
      </c>
      <c r="T351">
        <f>IF(L351="","",O351/'[1]LOCH Calc COE Calc'!$C$28)</f>
        <v>105.15858195420834</v>
      </c>
      <c r="U351">
        <f>IF(L351="","",P351/'[1]LOCH Calc COE Calc'!$C$28)</f>
        <v>0.34404110022207834</v>
      </c>
      <c r="V351">
        <f>IF(L351="","",Q351/'[1]LOCH Calc COE Calc'!$C$28)</f>
        <v>3.2100000000000004</v>
      </c>
      <c r="W351">
        <f>IF(L351="","",R351/'[1]LOCH Calc COE Calc'!$C$28)</f>
        <v>0.21114397365631307</v>
      </c>
    </row>
    <row r="352" spans="12:23" x14ac:dyDescent="0.25">
      <c r="L352" s="4">
        <f>IF('[1]All Data '!BE357="","",'[1]All Data '!BE357)</f>
        <v>5.5E-2</v>
      </c>
      <c r="M352">
        <f>IF('[1]All Data '!BF357="","",'[1]All Data '!BF357)</f>
        <v>4767.5627999999997</v>
      </c>
      <c r="N352" s="5">
        <f>IF('[1]All Data '!BB357="","",'[1]All Data '!BC357/'[1]All Data '!BH357)</f>
        <v>510985</v>
      </c>
      <c r="O352" s="5">
        <f t="shared" si="7"/>
        <v>2436153077.3579998</v>
      </c>
      <c r="P352" s="5">
        <f>IF(M352="","",$C$2*(1-L352)*907.2/0.621371*N352*[1]Transportation!$M$40)</f>
        <v>7970217.6414723583</v>
      </c>
      <c r="Q352" s="5">
        <f>IF(L352="","",IF([1]Inputs_Outputs!$B$5="Herbaceous",(LCA!$E$29*'[1]LOCH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2" s="5">
        <f>IF(M352="","",$E$2*1000*'[1]LOCH Calc COE Calc'!$C$44)</f>
        <v>4896457.3202133691</v>
      </c>
      <c r="S352" s="6">
        <f>IF(N352="","",SUM(O352:R352)/('[1]LOCH Calc COE Calc'!$C$28))</f>
        <v>108.81610013548426</v>
      </c>
      <c r="T352">
        <f>IF(L352="","",O352/'[1]LOCH Calc COE Calc'!$C$28)</f>
        <v>105.05126616032851</v>
      </c>
      <c r="U352">
        <f>IF(L352="","",P352/'[1]LOCH Calc COE Calc'!$C$28)</f>
        <v>0.34369000149944906</v>
      </c>
      <c r="V352">
        <f>IF(L352="","",Q352/'[1]LOCH Calc COE Calc'!$C$28)</f>
        <v>3.2100000000000004</v>
      </c>
      <c r="W352">
        <f>IF(L352="","",R352/'[1]LOCH Calc COE Calc'!$C$28)</f>
        <v>0.21114397365631307</v>
      </c>
    </row>
    <row r="353" spans="12:23" x14ac:dyDescent="0.25">
      <c r="L353" s="4">
        <f>IF('[1]All Data '!BE358="","",'[1]All Data '!BE358)</f>
        <v>5.5E-2</v>
      </c>
      <c r="M353">
        <f>IF('[1]All Data '!BF358="","",'[1]All Data '!BF358)</f>
        <v>4767.5627999999997</v>
      </c>
      <c r="N353" s="5">
        <f>IF('[1]All Data '!BB358="","",'[1]All Data '!BC358/'[1]All Data '!BH358)</f>
        <v>510654</v>
      </c>
      <c r="O353" s="5">
        <f t="shared" si="7"/>
        <v>2434575014.0711999</v>
      </c>
      <c r="P353" s="5">
        <f>IF(M353="","",$C$2*(1-L353)*907.2/0.621371*N353*[1]Transportation!$M$40)</f>
        <v>7965054.7853428684</v>
      </c>
      <c r="Q353" s="5">
        <f>IF(L353="","",IF([1]Inputs_Outputs!$B$5="Herbaceous",(LCA!$E$29*'[1]LOCH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3" s="5">
        <f>IF(M353="","",$E$2*1000*'[1]LOCH Calc COE Calc'!$C$44)</f>
        <v>4896457.3202133691</v>
      </c>
      <c r="S353" s="6">
        <f>IF(N353="","",SUM(O353:R353)/('[1]LOCH Calc COE Calc'!$C$28))</f>
        <v>108.74782860013671</v>
      </c>
      <c r="T353">
        <f>IF(L353="","",O353/'[1]LOCH Calc COE Calc'!$C$28)</f>
        <v>104.98321725654647</v>
      </c>
      <c r="U353">
        <f>IF(L353="","",P353/'[1]LOCH Calc COE Calc'!$C$28)</f>
        <v>0.34346736993395044</v>
      </c>
      <c r="V353">
        <f>IF(L353="","",Q353/'[1]LOCH Calc COE Calc'!$C$28)</f>
        <v>3.2100000000000004</v>
      </c>
      <c r="W353">
        <f>IF(L353="","",R353/'[1]LOCH Calc COE Calc'!$C$28)</f>
        <v>0.21114397365631307</v>
      </c>
    </row>
    <row r="354" spans="12:23" x14ac:dyDescent="0.25">
      <c r="L354" s="4">
        <f>IF('[1]All Data '!BE359="","",'[1]All Data '!BE359)</f>
        <v>5.5E-2</v>
      </c>
      <c r="M354">
        <f>IF('[1]All Data '!BF359="","",'[1]All Data '!BF359)</f>
        <v>4767.5627999999997</v>
      </c>
      <c r="N354" s="5">
        <f>IF('[1]All Data '!BB359="","",'[1]All Data '!BC359/'[1]All Data '!BH359)</f>
        <v>508177</v>
      </c>
      <c r="O354" s="5">
        <f t="shared" si="7"/>
        <v>2422765761.0155997</v>
      </c>
      <c r="P354" s="5">
        <f>IF(M354="","",$C$2*(1-L354)*907.2/0.621371*N354*[1]Transportation!$M$40)</f>
        <v>7926419.1520113079</v>
      </c>
      <c r="Q354" s="5">
        <f>IF(L354="","",IF([1]Inputs_Outputs!$B$5="Herbaceous",(LCA!$E$29*'[1]LOCH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4" s="5">
        <f>IF(M354="","",$E$2*1000*'[1]LOCH Calc COE Calc'!$C$44)</f>
        <v>4896457.3202133691</v>
      </c>
      <c r="S354" s="6">
        <f>IF(N354="","",SUM(O354:R354)/('[1]LOCH Calc COE Calc'!$C$28))</f>
        <v>108.23692650631234</v>
      </c>
      <c r="T354">
        <f>IF(L354="","",O354/'[1]LOCH Calc COE Calc'!$C$28)</f>
        <v>104.47398120014728</v>
      </c>
      <c r="U354">
        <f>IF(L354="","",P354/'[1]LOCH Calc COE Calc'!$C$28)</f>
        <v>0.34180133250875372</v>
      </c>
      <c r="V354">
        <f>IF(L354="","",Q354/'[1]LOCH Calc COE Calc'!$C$28)</f>
        <v>3.2100000000000004</v>
      </c>
      <c r="W354">
        <f>IF(L354="","",R354/'[1]LOCH Calc COE Calc'!$C$28)</f>
        <v>0.21114397365631307</v>
      </c>
    </row>
    <row r="355" spans="12:23" x14ac:dyDescent="0.25">
      <c r="L355" s="4">
        <f>IF('[1]All Data '!BE360="","",'[1]All Data '!BE360)</f>
        <v>5.5E-2</v>
      </c>
      <c r="M355">
        <f>IF('[1]All Data '!BF360="","",'[1]All Data '!BF360)</f>
        <v>4767.5627999999997</v>
      </c>
      <c r="N355" s="5">
        <f>IF('[1]All Data '!BB360="","",'[1]All Data '!BC360/'[1]All Data '!BH360)</f>
        <v>506245</v>
      </c>
      <c r="O355" s="5">
        <f t="shared" si="7"/>
        <v>2413554829.6859999</v>
      </c>
      <c r="P355" s="5">
        <f>IF(M355="","",$C$2*(1-L355)*907.2/0.621371*N355*[1]Transportation!$M$40)</f>
        <v>7896284.2938778512</v>
      </c>
      <c r="Q355" s="5">
        <f>IF(L355="","",IF([1]Inputs_Outputs!$B$5="Herbaceous",(LCA!$E$29*'[1]LOCH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5" s="5">
        <f>IF(M355="","",$E$2*1000*'[1]LOCH Calc COE Calc'!$C$44)</f>
        <v>4896457.3202133691</v>
      </c>
      <c r="S355" s="6">
        <f>IF(N355="","",SUM(O355:R355)/('[1]LOCH Calc COE Calc'!$C$28))</f>
        <v>107.83843524863424</v>
      </c>
      <c r="T355">
        <f>IF(L355="","",O355/'[1]LOCH Calc COE Calc'!$C$28)</f>
        <v>104.07678941130465</v>
      </c>
      <c r="U355">
        <f>IF(L355="","",P355/'[1]LOCH Calc COE Calc'!$C$28)</f>
        <v>0.34050186367327534</v>
      </c>
      <c r="V355">
        <f>IF(L355="","",Q355/'[1]LOCH Calc COE Calc'!$C$28)</f>
        <v>3.2100000000000004</v>
      </c>
      <c r="W355">
        <f>IF(L355="","",R355/'[1]LOCH Calc COE Calc'!$C$28)</f>
        <v>0.21114397365631307</v>
      </c>
    </row>
    <row r="356" spans="12:23" x14ac:dyDescent="0.25">
      <c r="L356" s="4">
        <f>IF('[1]All Data '!BE361="","",'[1]All Data '!BE361)</f>
        <v>5.5E-2</v>
      </c>
      <c r="M356">
        <f>IF('[1]All Data '!BF361="","",'[1]All Data '!BF361)</f>
        <v>4767.5627999999997</v>
      </c>
      <c r="N356" s="5">
        <f>IF('[1]All Data '!BB361="","",'[1]All Data '!BC361/'[1]All Data '!BH361)</f>
        <v>505182</v>
      </c>
      <c r="O356" s="5">
        <f t="shared" si="7"/>
        <v>2408486910.4295998</v>
      </c>
      <c r="P356" s="5">
        <f>IF(M356="","",$C$2*(1-L356)*907.2/0.621371*N356*[1]Transportation!$M$40)</f>
        <v>7879703.8828033879</v>
      </c>
      <c r="Q356" s="5">
        <f>IF(L356="","",IF([1]Inputs_Outputs!$B$5="Herbaceous",(LCA!$E$29*'[1]LOCH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6" s="5">
        <f>IF(M356="","",$E$2*1000*'[1]LOCH Calc COE Calc'!$C$44)</f>
        <v>4896457.3202133691</v>
      </c>
      <c r="S356" s="6">
        <f>IF(N356="","",SUM(O356:R356)/('[1]LOCH Calc COE Calc'!$C$28))</f>
        <v>107.61918255354529</v>
      </c>
      <c r="T356">
        <f>IF(L356="","",O356/'[1]LOCH Calc COE Calc'!$C$28)</f>
        <v>103.85825169311639</v>
      </c>
      <c r="U356">
        <f>IF(L356="","",P356/'[1]LOCH Calc COE Calc'!$C$28)</f>
        <v>0.33978688677259544</v>
      </c>
      <c r="V356">
        <f>IF(L356="","",Q356/'[1]LOCH Calc COE Calc'!$C$28)</f>
        <v>3.2100000000000004</v>
      </c>
      <c r="W356">
        <f>IF(L356="","",R356/'[1]LOCH Calc COE Calc'!$C$28)</f>
        <v>0.21114397365631307</v>
      </c>
    </row>
    <row r="357" spans="12:23" x14ac:dyDescent="0.25">
      <c r="L357" s="4">
        <f>IF('[1]All Data '!BE362="","",'[1]All Data '!BE362)</f>
        <v>5.5E-2</v>
      </c>
      <c r="M357">
        <f>IF('[1]All Data '!BF362="","",'[1]All Data '!BF362)</f>
        <v>4767.5627999999997</v>
      </c>
      <c r="N357" s="5">
        <f>IF('[1]All Data '!BB362="","",'[1]All Data '!BC362/'[1]All Data '!BH362)</f>
        <v>502630</v>
      </c>
      <c r="O357" s="5">
        <f t="shared" si="7"/>
        <v>2396320090.164</v>
      </c>
      <c r="P357" s="5">
        <f>IF(M357="","",$C$2*(1-L357)*907.2/0.621371*N357*[1]Transportation!$M$40)</f>
        <v>7839898.4180225478</v>
      </c>
      <c r="Q357" s="5">
        <f>IF(L357="","",IF([1]Inputs_Outputs!$B$5="Herbaceous",(LCA!$E$29*'[1]LOCH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7" s="5">
        <f>IF(M357="","",$E$2*1000*'[1]LOCH Calc COE Calc'!$C$44)</f>
        <v>4896457.3202133691</v>
      </c>
      <c r="S357" s="6">
        <f>IF(N357="","",SUM(O357:R357)/('[1]LOCH Calc COE Calc'!$C$28))</f>
        <v>107.09281107859988</v>
      </c>
      <c r="T357">
        <f>IF(L357="","",O357/'[1]LOCH Calc COE Calc'!$C$28)</f>
        <v>103.33359670081494</v>
      </c>
      <c r="U357">
        <f>IF(L357="","",P357/'[1]LOCH Calc COE Calc'!$C$28)</f>
        <v>0.33807040412863021</v>
      </c>
      <c r="V357">
        <f>IF(L357="","",Q357/'[1]LOCH Calc COE Calc'!$C$28)</f>
        <v>3.2100000000000004</v>
      </c>
      <c r="W357">
        <f>IF(L357="","",R357/'[1]LOCH Calc COE Calc'!$C$28)</f>
        <v>0.21114397365631307</v>
      </c>
    </row>
    <row r="358" spans="12:23" x14ac:dyDescent="0.25">
      <c r="L358" s="4">
        <f>IF('[1]All Data '!BE363="","",'[1]All Data '!BE363)</f>
        <v>5.5E-2</v>
      </c>
      <c r="M358">
        <f>IF('[1]All Data '!BF363="","",'[1]All Data '!BF363)</f>
        <v>4767.5627999999997</v>
      </c>
      <c r="N358" s="5">
        <f>IF('[1]All Data '!BB363="","",'[1]All Data '!BC363/'[1]All Data '!BH363)</f>
        <v>502084</v>
      </c>
      <c r="O358" s="5">
        <f t="shared" si="7"/>
        <v>2393717000.8751998</v>
      </c>
      <c r="P358" s="5">
        <f>IF(M358="","",$C$2*(1-L358)*907.2/0.621371*N358*[1]Transportation!$M$40)</f>
        <v>7831382.0450717881</v>
      </c>
      <c r="Q358" s="5">
        <f>IF(L358="","",IF([1]Inputs_Outputs!$B$5="Herbaceous",(LCA!$E$29*'[1]LOCH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8" s="5">
        <f>IF(M358="","",$E$2*1000*'[1]LOCH Calc COE Calc'!$C$44)</f>
        <v>4896457.3202133691</v>
      </c>
      <c r="S358" s="6">
        <f>IF(N358="","",SUM(O358:R358)/('[1]LOCH Calc COE Calc'!$C$28))</f>
        <v>106.98019398403865</v>
      </c>
      <c r="T358">
        <f>IF(L358="","",O358/'[1]LOCH Calc COE Calc'!$C$28)</f>
        <v>103.22134684744636</v>
      </c>
      <c r="U358">
        <f>IF(L358="","",P358/'[1]LOCH Calc COE Calc'!$C$28)</f>
        <v>0.337703162935995</v>
      </c>
      <c r="V358">
        <f>IF(L358="","",Q358/'[1]LOCH Calc COE Calc'!$C$28)</f>
        <v>3.2100000000000004</v>
      </c>
      <c r="W358">
        <f>IF(L358="","",R358/'[1]LOCH Calc COE Calc'!$C$28)</f>
        <v>0.21114397365631307</v>
      </c>
    </row>
    <row r="359" spans="12:23" x14ac:dyDescent="0.25">
      <c r="L359" s="4">
        <f>IF('[1]All Data '!BE364="","",'[1]All Data '!BE364)</f>
        <v>5.5E-2</v>
      </c>
      <c r="M359">
        <f>IF('[1]All Data '!BF364="","",'[1]All Data '!BF364)</f>
        <v>4767.5627999999997</v>
      </c>
      <c r="N359" s="5">
        <f>IF('[1]All Data '!BB364="","",'[1]All Data '!BC364/'[1]All Data '!BH364)</f>
        <v>502084</v>
      </c>
      <c r="O359" s="5">
        <f t="shared" si="7"/>
        <v>2393717000.8751998</v>
      </c>
      <c r="P359" s="5">
        <f>IF(M359="","",$C$2*(1-L359)*907.2/0.621371*N359*[1]Transportation!$M$40)</f>
        <v>7831382.0450717881</v>
      </c>
      <c r="Q359" s="5">
        <f>IF(L359="","",IF([1]Inputs_Outputs!$B$5="Herbaceous",(LCA!$E$29*'[1]LOCH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59" s="5">
        <f>IF(M359="","",$E$2*1000*'[1]LOCH Calc COE Calc'!$C$44)</f>
        <v>4896457.3202133691</v>
      </c>
      <c r="S359" s="6">
        <f>IF(N359="","",SUM(O359:R359)/('[1]LOCH Calc COE Calc'!$C$28))</f>
        <v>106.98019398403865</v>
      </c>
      <c r="T359">
        <f>IF(L359="","",O359/'[1]LOCH Calc COE Calc'!$C$28)</f>
        <v>103.22134684744636</v>
      </c>
      <c r="U359">
        <f>IF(L359="","",P359/'[1]LOCH Calc COE Calc'!$C$28)</f>
        <v>0.337703162935995</v>
      </c>
      <c r="V359">
        <f>IF(L359="","",Q359/'[1]LOCH Calc COE Calc'!$C$28)</f>
        <v>3.2100000000000004</v>
      </c>
      <c r="W359">
        <f>IF(L359="","",R359/'[1]LOCH Calc COE Calc'!$C$28)</f>
        <v>0.21114397365631307</v>
      </c>
    </row>
    <row r="360" spans="12:23" x14ac:dyDescent="0.25">
      <c r="L360" s="4">
        <f>IF('[1]All Data '!BE365="","",'[1]All Data '!BE365)</f>
        <v>5.5E-2</v>
      </c>
      <c r="M360">
        <f>IF('[1]All Data '!BF365="","",'[1]All Data '!BF365)</f>
        <v>4767.5627999999988</v>
      </c>
      <c r="N360" s="5">
        <f>IF('[1]All Data '!BB365="","",'[1]All Data '!BC365/'[1]All Data '!BH365)</f>
        <v>498886</v>
      </c>
      <c r="O360" s="5">
        <f t="shared" si="7"/>
        <v>2378470335.0407996</v>
      </c>
      <c r="P360" s="5">
        <f>IF(M360="","",$C$2*(1-L360)*907.2/0.621371*N360*[1]Transportation!$M$40)</f>
        <v>7781500.4320744816</v>
      </c>
      <c r="Q360" s="5">
        <f>IF(L360="","",IF([1]Inputs_Outputs!$B$5="Herbaceous",(LCA!$E$29*'[1]LOCH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0" s="5">
        <f>IF(M360="","",$E$2*1000*'[1]LOCH Calc COE Calc'!$C$44)</f>
        <v>4896457.3202133691</v>
      </c>
      <c r="S360" s="6">
        <f>IF(N360="","",SUM(O360:R360)/('[1]LOCH Calc COE Calc'!$C$28))</f>
        <v>106.32057957303731</v>
      </c>
      <c r="T360">
        <f>IF(L360="","",O360/'[1]LOCH Calc COE Calc'!$C$28)</f>
        <v>102.56388342057329</v>
      </c>
      <c r="U360">
        <f>IF(L360="","",P360/'[1]LOCH Calc COE Calc'!$C$28)</f>
        <v>0.33555217880770305</v>
      </c>
      <c r="V360">
        <f>IF(L360="","",Q360/'[1]LOCH Calc COE Calc'!$C$28)</f>
        <v>3.2100000000000004</v>
      </c>
      <c r="W360">
        <f>IF(L360="","",R360/'[1]LOCH Calc COE Calc'!$C$28)</f>
        <v>0.21114397365631307</v>
      </c>
    </row>
    <row r="361" spans="12:23" x14ac:dyDescent="0.25">
      <c r="L361" s="4">
        <f>IF('[1]All Data '!BE366="","",'[1]All Data '!BE366)</f>
        <v>5.5E-2</v>
      </c>
      <c r="M361">
        <f>IF('[1]All Data '!BF366="","",'[1]All Data '!BF366)</f>
        <v>4767.5627999999997</v>
      </c>
      <c r="N361" s="5">
        <f>IF('[1]All Data '!BB366="","",'[1]All Data '!BC366/'[1]All Data '!BH366)</f>
        <v>498734</v>
      </c>
      <c r="O361" s="5">
        <f t="shared" si="7"/>
        <v>2377745665.4951997</v>
      </c>
      <c r="P361" s="5">
        <f>IF(M361="","",$C$2*(1-L361)*907.2/0.621371*N361*[1]Transportation!$M$40)</f>
        <v>7779129.5736706071</v>
      </c>
      <c r="Q361" s="5">
        <f>IF(L361="","",IF([1]Inputs_Outputs!$B$5="Herbaceous",(LCA!$E$29*'[1]LOCH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1" s="5">
        <f>IF(M361="","",$E$2*1000*'[1]LOCH Calc COE Calc'!$C$44)</f>
        <v>4896457.3202133691</v>
      </c>
      <c r="S361" s="6">
        <f>IF(N361="","",SUM(O361:R361)/('[1]LOCH Calc COE Calc'!$C$28))</f>
        <v>106.28922829396531</v>
      </c>
      <c r="T361">
        <f>IF(L361="","",O361/'[1]LOCH Calc COE Calc'!$C$28)</f>
        <v>102.53263437714467</v>
      </c>
      <c r="U361">
        <f>IF(L361="","",P361/'[1]LOCH Calc COE Calc'!$C$28)</f>
        <v>0.33544994316433208</v>
      </c>
      <c r="V361">
        <f>IF(L361="","",Q361/'[1]LOCH Calc COE Calc'!$C$28)</f>
        <v>3.2100000000000004</v>
      </c>
      <c r="W361">
        <f>IF(L361="","",R361/'[1]LOCH Calc COE Calc'!$C$28)</f>
        <v>0.21114397365631307</v>
      </c>
    </row>
    <row r="362" spans="12:23" x14ac:dyDescent="0.25">
      <c r="L362" s="4">
        <f>IF('[1]All Data '!BE367="","",'[1]All Data '!BE367)</f>
        <v>5.5E-2</v>
      </c>
      <c r="M362">
        <f>IF('[1]All Data '!BF367="","",'[1]All Data '!BF367)</f>
        <v>4767.5627999999997</v>
      </c>
      <c r="N362" s="5">
        <f>IF('[1]All Data '!BB367="","",'[1]All Data '!BC367/'[1]All Data '!BH367)</f>
        <v>497316</v>
      </c>
      <c r="O362" s="5">
        <f t="shared" si="7"/>
        <v>2370985261.4447999</v>
      </c>
      <c r="P362" s="5">
        <f>IF(M362="","",$C$2*(1-L362)*907.2/0.621371*N362*[1]Transportation!$M$40)</f>
        <v>7757011.9604028836</v>
      </c>
      <c r="Q362" s="5">
        <f>IF(L362="","",IF([1]Inputs_Outputs!$B$5="Herbaceous",(LCA!$E$29*'[1]LOCH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2" s="5">
        <f>IF(M362="","",$E$2*1000*'[1]LOCH Calc COE Calc'!$C$44)</f>
        <v>4896457.3202133691</v>
      </c>
      <c r="S362" s="6">
        <f>IF(N362="","",SUM(O362:R362)/('[1]LOCH Calc COE Calc'!$C$28))</f>
        <v>105.99675386157011</v>
      </c>
      <c r="T362">
        <f>IF(L362="","",O362/'[1]LOCH Calc COE Calc'!$C$28)</f>
        <v>102.24111369568566</v>
      </c>
      <c r="U362">
        <f>IF(L362="","",P362/'[1]LOCH Calc COE Calc'!$C$28)</f>
        <v>0.33449619222814764</v>
      </c>
      <c r="V362">
        <f>IF(L362="","",Q362/'[1]LOCH Calc COE Calc'!$C$28)</f>
        <v>3.2100000000000004</v>
      </c>
      <c r="W362">
        <f>IF(L362="","",R362/'[1]LOCH Calc COE Calc'!$C$28)</f>
        <v>0.21114397365631307</v>
      </c>
    </row>
    <row r="363" spans="12:23" x14ac:dyDescent="0.25">
      <c r="L363" s="4">
        <f>IF('[1]All Data '!BE368="","",'[1]All Data '!BE368)</f>
        <v>5.5E-2</v>
      </c>
      <c r="M363">
        <f>IF('[1]All Data '!BF368="","",'[1]All Data '!BF368)</f>
        <v>4767.5627999999997</v>
      </c>
      <c r="N363" s="5">
        <f>IF('[1]All Data '!BB368="","",'[1]All Data '!BC368/'[1]All Data '!BH368)</f>
        <v>497316</v>
      </c>
      <c r="O363" s="5">
        <f t="shared" si="7"/>
        <v>2370985261.4447999</v>
      </c>
      <c r="P363" s="5">
        <f>IF(M363="","",$C$2*(1-L363)*907.2/0.621371*N363*[1]Transportation!$M$40)</f>
        <v>7757011.9604028836</v>
      </c>
      <c r="Q363" s="5">
        <f>IF(L363="","",IF([1]Inputs_Outputs!$B$5="Herbaceous",(LCA!$E$29*'[1]LOCH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3" s="5">
        <f>IF(M363="","",$E$2*1000*'[1]LOCH Calc COE Calc'!$C$44)</f>
        <v>4896457.3202133691</v>
      </c>
      <c r="S363" s="6">
        <f>IF(N363="","",SUM(O363:R363)/('[1]LOCH Calc COE Calc'!$C$28))</f>
        <v>105.99675386157011</v>
      </c>
      <c r="T363">
        <f>IF(L363="","",O363/'[1]LOCH Calc COE Calc'!$C$28)</f>
        <v>102.24111369568566</v>
      </c>
      <c r="U363">
        <f>IF(L363="","",P363/'[1]LOCH Calc COE Calc'!$C$28)</f>
        <v>0.33449619222814764</v>
      </c>
      <c r="V363">
        <f>IF(L363="","",Q363/'[1]LOCH Calc COE Calc'!$C$28)</f>
        <v>3.2100000000000004</v>
      </c>
      <c r="W363">
        <f>IF(L363="","",R363/'[1]LOCH Calc COE Calc'!$C$28)</f>
        <v>0.21114397365631307</v>
      </c>
    </row>
    <row r="364" spans="12:23" x14ac:dyDescent="0.25">
      <c r="L364" s="4">
        <f>IF('[1]All Data '!BE369="","",'[1]All Data '!BE369)</f>
        <v>5.5E-2</v>
      </c>
      <c r="M364">
        <f>IF('[1]All Data '!BF369="","",'[1]All Data '!BF369)</f>
        <v>4767.5627999999997</v>
      </c>
      <c r="N364" s="5">
        <f>IF('[1]All Data '!BB369="","",'[1]All Data '!BC369/'[1]All Data '!BH369)</f>
        <v>496652</v>
      </c>
      <c r="O364" s="5">
        <f t="shared" si="7"/>
        <v>2367819599.7455997</v>
      </c>
      <c r="P364" s="5">
        <f>IF(M364="","",$C$2*(1-L364)*907.2/0.621371*N364*[1]Transportation!$M$40)</f>
        <v>7746655.0526385903</v>
      </c>
      <c r="Q364" s="5">
        <f>IF(L364="","",IF([1]Inputs_Outputs!$B$5="Herbaceous",(LCA!$E$29*'[1]LOCH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4" s="5">
        <f>IF(M364="","",$E$2*1000*'[1]LOCH Calc COE Calc'!$C$44)</f>
        <v>4896457.3202133691</v>
      </c>
      <c r="S364" s="6">
        <f>IF(N364="","",SUM(O364:R364)/('[1]LOCH Calc COE Calc'!$C$28))</f>
        <v>105.85979827404512</v>
      </c>
      <c r="T364">
        <f>IF(L364="","",O364/'[1]LOCH Calc COE Calc'!$C$28)</f>
        <v>102.10460471649749</v>
      </c>
      <c r="U364">
        <f>IF(L364="","",P364/'[1]LOCH Calc COE Calc'!$C$28)</f>
        <v>0.33404958389131656</v>
      </c>
      <c r="V364">
        <f>IF(L364="","",Q364/'[1]LOCH Calc COE Calc'!$C$28)</f>
        <v>3.2100000000000004</v>
      </c>
      <c r="W364">
        <f>IF(L364="","",R364/'[1]LOCH Calc COE Calc'!$C$28)</f>
        <v>0.21114397365631307</v>
      </c>
    </row>
    <row r="365" spans="12:23" x14ac:dyDescent="0.25">
      <c r="L365" s="4">
        <f>IF('[1]All Data '!BE370="","",'[1]All Data '!BE370)</f>
        <v>5.5E-2</v>
      </c>
      <c r="M365">
        <f>IF('[1]All Data '!BF370="","",'[1]All Data '!BF370)</f>
        <v>4767.5627999999997</v>
      </c>
      <c r="N365" s="5">
        <f>IF('[1]All Data '!BB370="","",'[1]All Data '!BC370/'[1]All Data '!BH370)</f>
        <v>494304</v>
      </c>
      <c r="O365" s="5">
        <f t="shared" si="7"/>
        <v>2356625362.2911997</v>
      </c>
      <c r="P365" s="5">
        <f>IF(M365="","",$C$2*(1-L365)*907.2/0.621371*N365*[1]Transportation!$M$40)</f>
        <v>7710031.5293997908</v>
      </c>
      <c r="Q365" s="5">
        <f>IF(L365="","",IF([1]Inputs_Outputs!$B$5="Herbaceous",(LCA!$E$29*'[1]LOCH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5" s="5">
        <f>IF(M365="","",$E$2*1000*'[1]LOCH Calc COE Calc'!$C$44)</f>
        <v>4896457.3202133691</v>
      </c>
      <c r="S365" s="6">
        <f>IF(N365="","",SUM(O365:R365)/('[1]LOCH Calc COE Calc'!$C$28))</f>
        <v>105.37550351574895</v>
      </c>
      <c r="T365">
        <f>IF(L365="","",O365/'[1]LOCH Calc COE Calc'!$C$28)</f>
        <v>101.62188922985023</v>
      </c>
      <c r="U365">
        <f>IF(L365="","",P365/'[1]LOCH Calc COE Calc'!$C$28)</f>
        <v>0.33247031224240176</v>
      </c>
      <c r="V365">
        <f>IF(L365="","",Q365/'[1]LOCH Calc COE Calc'!$C$28)</f>
        <v>3.2100000000000004</v>
      </c>
      <c r="W365">
        <f>IF(L365="","",R365/'[1]LOCH Calc COE Calc'!$C$28)</f>
        <v>0.21114397365631307</v>
      </c>
    </row>
    <row r="366" spans="12:23" x14ac:dyDescent="0.25">
      <c r="L366" s="4">
        <f>IF('[1]All Data '!BE371="","",'[1]All Data '!BE371)</f>
        <v>5.5000000000000007E-2</v>
      </c>
      <c r="M366">
        <f>IF('[1]All Data '!BF371="","",'[1]All Data '!BF371)</f>
        <v>4767.5627999999997</v>
      </c>
      <c r="N366" s="5">
        <f>IF('[1]All Data '!BB371="","",'[1]All Data '!BC371/'[1]All Data '!BH371)</f>
        <v>494219</v>
      </c>
      <c r="O366" s="5">
        <f t="shared" si="7"/>
        <v>2356220119.4531999</v>
      </c>
      <c r="P366" s="5">
        <f>IF(M366="","",$C$2*(1-L366)*907.2/0.621371*N366*[1]Transportation!$M$40)</f>
        <v>7708705.7204239406</v>
      </c>
      <c r="Q366" s="5">
        <f>IF(L366="","",IF([1]Inputs_Outputs!$B$5="Herbaceous",(LCA!$E$29*'[1]LOCH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6" s="5">
        <f>IF(M366="","",$E$2*1000*'[1]LOCH Calc COE Calc'!$C$44)</f>
        <v>4896457.3202133691</v>
      </c>
      <c r="S366" s="6">
        <f>IF(N366="","",SUM(O366:R366)/('[1]LOCH Calc COE Calc'!$C$28))</f>
        <v>105.35797155047844</v>
      </c>
      <c r="T366">
        <f>IF(L366="","",O366/'[1]LOCH Calc COE Calc'!$C$28)</f>
        <v>101.60441443582766</v>
      </c>
      <c r="U366">
        <f>IF(L366="","",P366/'[1]LOCH Calc COE Calc'!$C$28)</f>
        <v>0.33241314099446406</v>
      </c>
      <c r="V366">
        <f>IF(L366="","",Q366/'[1]LOCH Calc COE Calc'!$C$28)</f>
        <v>3.2100000000000004</v>
      </c>
      <c r="W366">
        <f>IF(L366="","",R366/'[1]LOCH Calc COE Calc'!$C$28)</f>
        <v>0.21114397365631307</v>
      </c>
    </row>
    <row r="367" spans="12:23" x14ac:dyDescent="0.25">
      <c r="L367" s="4">
        <f>IF('[1]All Data '!BE372="","",'[1]All Data '!BE372)</f>
        <v>5.5E-2</v>
      </c>
      <c r="M367">
        <f>IF('[1]All Data '!BF372="","",'[1]All Data '!BF372)</f>
        <v>4767.5627999999988</v>
      </c>
      <c r="N367" s="5">
        <f>IF('[1]All Data '!BB372="","",'[1]All Data '!BC372/'[1]All Data '!BH372)</f>
        <v>492217</v>
      </c>
      <c r="O367" s="5">
        <f t="shared" si="7"/>
        <v>2346675458.7275996</v>
      </c>
      <c r="P367" s="5">
        <f>IF(M367="","",$C$2*(1-L367)*907.2/0.621371*N367*[1]Transportation!$M$40)</f>
        <v>7677479.0196044892</v>
      </c>
      <c r="Q367" s="5">
        <f>IF(L367="","",IF([1]Inputs_Outputs!$B$5="Herbaceous",(LCA!$E$29*'[1]LOCH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7" s="5">
        <f>IF(M367="","",$E$2*1000*'[1]LOCH Calc COE Calc'!$C$44)</f>
        <v>4896457.3202133691</v>
      </c>
      <c r="S367" s="6">
        <f>IF(N367="","",SUM(O367:R367)/('[1]LOCH Calc COE Calc'!$C$28))</f>
        <v>104.945042203754</v>
      </c>
      <c r="T367">
        <f>IF(L367="","",O367/'[1]LOCH Calc COE Calc'!$C$28)</f>
        <v>101.19283164014288</v>
      </c>
      <c r="U367">
        <f>IF(L367="","",P367/'[1]LOCH Calc COE Calc'!$C$28)</f>
        <v>0.33106658995480165</v>
      </c>
      <c r="V367">
        <f>IF(L367="","",Q367/'[1]LOCH Calc COE Calc'!$C$28)</f>
        <v>3.2100000000000004</v>
      </c>
      <c r="W367">
        <f>IF(L367="","",R367/'[1]LOCH Calc COE Calc'!$C$28)</f>
        <v>0.21114397365631307</v>
      </c>
    </row>
    <row r="368" spans="12:23" x14ac:dyDescent="0.25">
      <c r="L368" s="4">
        <f>IF('[1]All Data '!BE373="","",'[1]All Data '!BE373)</f>
        <v>5.5E-2</v>
      </c>
      <c r="M368">
        <f>IF('[1]All Data '!BF373="","",'[1]All Data '!BF373)</f>
        <v>4767.5627999999997</v>
      </c>
      <c r="N368" s="5">
        <f>IF('[1]All Data '!BB373="","",'[1]All Data '!BC373/'[1]All Data '!BH373)</f>
        <v>492173</v>
      </c>
      <c r="O368" s="5">
        <f t="shared" si="7"/>
        <v>2346465685.9643998</v>
      </c>
      <c r="P368" s="5">
        <f>IF(M368="","",$C$2*(1-L368)*907.2/0.621371*N368*[1]Transportation!$M$40)</f>
        <v>7676792.7184875775</v>
      </c>
      <c r="Q368" s="5">
        <f>IF(L368="","",IF([1]Inputs_Outputs!$B$5="Herbaceous",(LCA!$E$29*'[1]LOCH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8" s="5">
        <f>IF(M368="","",$E$2*1000*'[1]LOCH Calc COE Calc'!$C$44)</f>
        <v>4896457.3202133691</v>
      </c>
      <c r="S368" s="6">
        <f>IF(N368="","",SUM(O368:R368)/('[1]LOCH Calc COE Calc'!$C$28))</f>
        <v>104.93596683349632</v>
      </c>
      <c r="T368">
        <f>IF(L368="","",O368/'[1]LOCH Calc COE Calc'!$C$28)</f>
        <v>101.18378586441357</v>
      </c>
      <c r="U368">
        <f>IF(L368="","",P368/'[1]LOCH Calc COE Calc'!$C$28)</f>
        <v>0.33103699542645743</v>
      </c>
      <c r="V368">
        <f>IF(L368="","",Q368/'[1]LOCH Calc COE Calc'!$C$28)</f>
        <v>3.2100000000000004</v>
      </c>
      <c r="W368">
        <f>IF(L368="","",R368/'[1]LOCH Calc COE Calc'!$C$28)</f>
        <v>0.21114397365631307</v>
      </c>
    </row>
    <row r="369" spans="12:23" x14ac:dyDescent="0.25">
      <c r="L369" s="4">
        <f>IF('[1]All Data '!BE374="","",'[1]All Data '!BE374)</f>
        <v>5.5E-2</v>
      </c>
      <c r="M369">
        <f>IF('[1]All Data '!BF374="","",'[1]All Data '!BF374)</f>
        <v>4767.5627999999997</v>
      </c>
      <c r="N369" s="5">
        <f>IF('[1]All Data '!BB374="","",'[1]All Data '!BC374/'[1]All Data '!BH374)</f>
        <v>491478</v>
      </c>
      <c r="O369" s="5">
        <f t="shared" si="7"/>
        <v>2343152229.8183999</v>
      </c>
      <c r="P369" s="5">
        <f>IF(M369="","",$C$2*(1-L369)*907.2/0.621371*N369*[1]Transportation!$M$40)</f>
        <v>7665952.2803909145</v>
      </c>
      <c r="Q369" s="5">
        <f>IF(L369="","",IF([1]Inputs_Outputs!$B$5="Herbaceous",(LCA!$E$29*'[1]LOCH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69" s="5">
        <f>IF(M369="","",$E$2*1000*'[1]LOCH Calc COE Calc'!$C$44)</f>
        <v>4896457.3202133691</v>
      </c>
      <c r="S369" s="6">
        <f>IF(N369="","",SUM(O369:R369)/('[1]LOCH Calc COE Calc'!$C$28))</f>
        <v>104.79261723510797</v>
      </c>
      <c r="T369">
        <f>IF(L369="","",O369/'[1]LOCH Calc COE Calc'!$C$28)</f>
        <v>101.04090372505247</v>
      </c>
      <c r="U369">
        <f>IF(L369="","",P369/'[1]LOCH Calc COE Calc'!$C$28)</f>
        <v>0.330569536399202</v>
      </c>
      <c r="V369">
        <f>IF(L369="","",Q369/'[1]LOCH Calc COE Calc'!$C$28)</f>
        <v>3.2100000000000004</v>
      </c>
      <c r="W369">
        <f>IF(L369="","",R369/'[1]LOCH Calc COE Calc'!$C$28)</f>
        <v>0.21114397365631307</v>
      </c>
    </row>
    <row r="370" spans="12:23" x14ac:dyDescent="0.25">
      <c r="L370" s="4">
        <f>IF('[1]All Data '!BE375="","",'[1]All Data '!BE375)</f>
        <v>5.5E-2</v>
      </c>
      <c r="M370">
        <f>IF('[1]All Data '!BF375="","",'[1]All Data '!BF375)</f>
        <v>4767.5627999999997</v>
      </c>
      <c r="N370" s="5">
        <f>IF('[1]All Data '!BB375="","",'[1]All Data '!BC375/'[1]All Data '!BH375)</f>
        <v>491478</v>
      </c>
      <c r="O370" s="5">
        <f t="shared" si="7"/>
        <v>2343152229.8183999</v>
      </c>
      <c r="P370" s="5">
        <f>IF(M370="","",$C$2*(1-L370)*907.2/0.621371*N370*[1]Transportation!$M$40)</f>
        <v>7665952.2803909145</v>
      </c>
      <c r="Q370" s="5">
        <f>IF(L370="","",IF([1]Inputs_Outputs!$B$5="Herbaceous",(LCA!$E$29*'[1]LOCH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0" s="5">
        <f>IF(M370="","",$E$2*1000*'[1]LOCH Calc COE Calc'!$C$44)</f>
        <v>4896457.3202133691</v>
      </c>
      <c r="S370" s="6">
        <f>IF(N370="","",SUM(O370:R370)/('[1]LOCH Calc COE Calc'!$C$28))</f>
        <v>104.79261723510797</v>
      </c>
      <c r="T370">
        <f>IF(L370="","",O370/'[1]LOCH Calc COE Calc'!$C$28)</f>
        <v>101.04090372505247</v>
      </c>
      <c r="U370">
        <f>IF(L370="","",P370/'[1]LOCH Calc COE Calc'!$C$28)</f>
        <v>0.330569536399202</v>
      </c>
      <c r="V370">
        <f>IF(L370="","",Q370/'[1]LOCH Calc COE Calc'!$C$28)</f>
        <v>3.2100000000000004</v>
      </c>
      <c r="W370">
        <f>IF(L370="","",R370/'[1]LOCH Calc COE Calc'!$C$28)</f>
        <v>0.21114397365631307</v>
      </c>
    </row>
    <row r="371" spans="12:23" x14ac:dyDescent="0.25">
      <c r="L371" s="4">
        <f>IF('[1]All Data '!BE376="","",'[1]All Data '!BE376)</f>
        <v>5.5E-2</v>
      </c>
      <c r="M371">
        <f>IF('[1]All Data '!BF376="","",'[1]All Data '!BF376)</f>
        <v>4767.5627999999997</v>
      </c>
      <c r="N371" s="5">
        <f>IF('[1]All Data '!BB376="","",'[1]All Data '!BC376/'[1]All Data '!BH376)</f>
        <v>491428</v>
      </c>
      <c r="O371" s="5">
        <f t="shared" si="7"/>
        <v>2342913851.6784</v>
      </c>
      <c r="P371" s="5">
        <f>IF(M371="","",$C$2*(1-L371)*907.2/0.621371*N371*[1]Transportation!$M$40)</f>
        <v>7665172.3927580612</v>
      </c>
      <c r="Q371" s="5">
        <f>IF(L371="","",IF([1]Inputs_Outputs!$B$5="Herbaceous",(LCA!$E$29*'[1]LOCH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1" s="5">
        <f>IF(M371="","",$E$2*1000*'[1]LOCH Calc COE Calc'!$C$44)</f>
        <v>4896457.3202133691</v>
      </c>
      <c r="S371" s="6">
        <f>IF(N371="","",SUM(O371:R371)/('[1]LOCH Calc COE Calc'!$C$28))</f>
        <v>104.78230431436062</v>
      </c>
      <c r="T371">
        <f>IF(L371="","",O371/'[1]LOCH Calc COE Calc'!$C$28)</f>
        <v>101.03062443445096</v>
      </c>
      <c r="U371">
        <f>IF(L371="","",P371/'[1]LOCH Calc COE Calc'!$C$28)</f>
        <v>0.33053590625335627</v>
      </c>
      <c r="V371">
        <f>IF(L371="","",Q371/'[1]LOCH Calc COE Calc'!$C$28)</f>
        <v>3.2100000000000004</v>
      </c>
      <c r="W371">
        <f>IF(L371="","",R371/'[1]LOCH Calc COE Calc'!$C$28)</f>
        <v>0.21114397365631307</v>
      </c>
    </row>
    <row r="372" spans="12:23" x14ac:dyDescent="0.25">
      <c r="L372" s="4">
        <f>IF('[1]All Data '!BE377="","",'[1]All Data '!BE377)</f>
        <v>5.5E-2</v>
      </c>
      <c r="M372">
        <f>IF('[1]All Data '!BF377="","",'[1]All Data '!BF377)</f>
        <v>4767.5628000000006</v>
      </c>
      <c r="N372" s="5">
        <f>IF('[1]All Data '!BB377="","",'[1]All Data '!BC377/'[1]All Data '!BH377)</f>
        <v>491338</v>
      </c>
      <c r="O372" s="5">
        <f t="shared" si="7"/>
        <v>2342484771.0264001</v>
      </c>
      <c r="P372" s="5">
        <f>IF(M372="","",$C$2*(1-L372)*907.2/0.621371*N372*[1]Transportation!$M$40)</f>
        <v>7663768.5950189251</v>
      </c>
      <c r="Q372" s="5">
        <f>IF(L372="","",IF([1]Inputs_Outputs!$B$5="Herbaceous",(LCA!$E$29*'[1]LOCH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2" s="5">
        <f>IF(M372="","",$E$2*1000*'[1]LOCH Calc COE Calc'!$C$44)</f>
        <v>4896457.3202133691</v>
      </c>
      <c r="S372" s="6">
        <f>IF(N372="","",SUM(O372:R372)/('[1]LOCH Calc COE Calc'!$C$28))</f>
        <v>104.76374105701537</v>
      </c>
      <c r="T372">
        <f>IF(L372="","",O372/'[1]LOCH Calc COE Calc'!$C$28)</f>
        <v>101.01212171136822</v>
      </c>
      <c r="U372">
        <f>IF(L372="","",P372/'[1]LOCH Calc COE Calc'!$C$28)</f>
        <v>0.33047537199083399</v>
      </c>
      <c r="V372">
        <f>IF(L372="","",Q372/'[1]LOCH Calc COE Calc'!$C$28)</f>
        <v>3.2100000000000004</v>
      </c>
      <c r="W372">
        <f>IF(L372="","",R372/'[1]LOCH Calc COE Calc'!$C$28)</f>
        <v>0.21114397365631307</v>
      </c>
    </row>
    <row r="373" spans="12:23" x14ac:dyDescent="0.25">
      <c r="L373" s="4">
        <f>IF('[1]All Data '!BE378="","",'[1]All Data '!BE378)</f>
        <v>5.4999999999999993E-2</v>
      </c>
      <c r="M373">
        <f>IF('[1]All Data '!BF378="","",'[1]All Data '!BF378)</f>
        <v>4767.5627999999997</v>
      </c>
      <c r="N373" s="5">
        <f>IF('[1]All Data '!BB378="","",'[1]All Data '!BC378/'[1]All Data '!BH378)</f>
        <v>490757</v>
      </c>
      <c r="O373" s="5">
        <f t="shared" si="7"/>
        <v>2339714817.0395999</v>
      </c>
      <c r="P373" s="5">
        <f>IF(M373="","",$C$2*(1-L373)*907.2/0.621371*N373*[1]Transportation!$M$40)</f>
        <v>7654706.3007251685</v>
      </c>
      <c r="Q373" s="5">
        <f>IF(L373="","",IF([1]Inputs_Outputs!$B$5="Herbaceous",(LCA!$E$29*'[1]LOCH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3" s="5">
        <f>IF(M373="","",$E$2*1000*'[1]LOCH Calc COE Calc'!$C$44)</f>
        <v>4896457.3202133691</v>
      </c>
      <c r="S373" s="6">
        <f>IF(N373="","",SUM(O373:R373)/('[1]LOCH Calc COE Calc'!$C$28))</f>
        <v>104.643904917931</v>
      </c>
      <c r="T373">
        <f>IF(L373="","",O373/'[1]LOCH Calc COE Calc'!$C$28)</f>
        <v>100.89267635457858</v>
      </c>
      <c r="U373">
        <f>IF(L373="","",P373/'[1]LOCH Calc COE Calc'!$C$28)</f>
        <v>0.33008458969610682</v>
      </c>
      <c r="V373">
        <f>IF(L373="","",Q373/'[1]LOCH Calc COE Calc'!$C$28)</f>
        <v>3.2100000000000004</v>
      </c>
      <c r="W373">
        <f>IF(L373="","",R373/'[1]LOCH Calc COE Calc'!$C$28)</f>
        <v>0.21114397365631307</v>
      </c>
    </row>
    <row r="374" spans="12:23" x14ac:dyDescent="0.25">
      <c r="L374" s="4">
        <f>IF('[1]All Data '!BE379="","",'[1]All Data '!BE379)</f>
        <v>5.5E-2</v>
      </c>
      <c r="M374">
        <f>IF('[1]All Data '!BF379="","",'[1]All Data '!BF379)</f>
        <v>4767.5627999999997</v>
      </c>
      <c r="N374" s="5">
        <f>IF('[1]All Data '!BB379="","",'[1]All Data '!BC379/'[1]All Data '!BH379)</f>
        <v>487871</v>
      </c>
      <c r="O374" s="5">
        <f t="shared" si="7"/>
        <v>2325955630.7988</v>
      </c>
      <c r="P374" s="5">
        <f>IF(M374="","",$C$2*(1-L374)*907.2/0.621371*N374*[1]Transportation!$M$40)</f>
        <v>7609691.1865568683</v>
      </c>
      <c r="Q374" s="5">
        <f>IF(L374="","",IF([1]Inputs_Outputs!$B$5="Herbaceous",(LCA!$E$29*'[1]LOCH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4" s="5">
        <f>IF(M374="","",$E$2*1000*'[1]LOCH Calc COE Calc'!$C$44)</f>
        <v>4896457.3202133691</v>
      </c>
      <c r="S374" s="6">
        <f>IF(N374="","",SUM(O374:R374)/('[1]LOCH Calc COE Calc'!$C$28))</f>
        <v>104.0486431323932</v>
      </c>
      <c r="T374">
        <f>IF(L374="","",O374/'[1]LOCH Calc COE Calc'!$C$28)</f>
        <v>100.299355701059</v>
      </c>
      <c r="U374">
        <f>IF(L374="","",P374/'[1]LOCH Calc COE Calc'!$C$28)</f>
        <v>0.32814345767789216</v>
      </c>
      <c r="V374">
        <f>IF(L374="","",Q374/'[1]LOCH Calc COE Calc'!$C$28)</f>
        <v>3.2100000000000004</v>
      </c>
      <c r="W374">
        <f>IF(L374="","",R374/'[1]LOCH Calc COE Calc'!$C$28)</f>
        <v>0.21114397365631307</v>
      </c>
    </row>
    <row r="375" spans="12:23" x14ac:dyDescent="0.25">
      <c r="L375" s="4">
        <f>IF('[1]All Data '!BE380="","",'[1]All Data '!BE380)</f>
        <v>5.5E-2</v>
      </c>
      <c r="M375">
        <f>IF('[1]All Data '!BF380="","",'[1]All Data '!BF380)</f>
        <v>4767.5627999999997</v>
      </c>
      <c r="N375" s="5">
        <f>IF('[1]All Data '!BB380="","",'[1]All Data '!BC380/'[1]All Data '!BH380)</f>
        <v>487470</v>
      </c>
      <c r="O375" s="5">
        <f t="shared" si="7"/>
        <v>2324043838.1159997</v>
      </c>
      <c r="P375" s="5">
        <f>IF(M375="","",$C$2*(1-L375)*907.2/0.621371*N375*[1]Transportation!$M$40)</f>
        <v>7603436.4877413819</v>
      </c>
      <c r="Q375" s="5">
        <f>IF(L375="","",IF([1]Inputs_Outputs!$B$5="Herbaceous",(LCA!$E$29*'[1]LOCH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5" s="5">
        <f>IF(M375="","",$E$2*1000*'[1]LOCH Calc COE Calc'!$C$44)</f>
        <v>4896457.3202133691</v>
      </c>
      <c r="S375" s="6">
        <f>IF(N375="","",SUM(O375:R375)/('[1]LOCH Calc COE Calc'!$C$28))</f>
        <v>103.96593350799934</v>
      </c>
      <c r="T375">
        <f>IF(L375="","",O375/'[1]LOCH Calc COE Calc'!$C$28)</f>
        <v>100.21691579043481</v>
      </c>
      <c r="U375">
        <f>IF(L375="","",P375/'[1]LOCH Calc COE Calc'!$C$28)</f>
        <v>0.3278737439082095</v>
      </c>
      <c r="V375">
        <f>IF(L375="","",Q375/'[1]LOCH Calc COE Calc'!$C$28)</f>
        <v>3.2100000000000004</v>
      </c>
      <c r="W375">
        <f>IF(L375="","",R375/'[1]LOCH Calc COE Calc'!$C$28)</f>
        <v>0.21114397365631307</v>
      </c>
    </row>
    <row r="376" spans="12:23" x14ac:dyDescent="0.25">
      <c r="L376" s="4">
        <f>IF('[1]All Data '!BE381="","",'[1]All Data '!BE381)</f>
        <v>5.5E-2</v>
      </c>
      <c r="M376">
        <f>IF('[1]All Data '!BF381="","",'[1]All Data '!BF381)</f>
        <v>4767.5627999999997</v>
      </c>
      <c r="N376" s="5">
        <f>IF('[1]All Data '!BB381="","",'[1]All Data '!BC381/'[1]All Data '!BH381)</f>
        <v>486409</v>
      </c>
      <c r="O376" s="5">
        <f t="shared" si="7"/>
        <v>2318985453.9851999</v>
      </c>
      <c r="P376" s="5">
        <f>IF(M376="","",$C$2*(1-L376)*907.2/0.621371*N376*[1]Transportation!$M$40)</f>
        <v>7586887.2721722331</v>
      </c>
      <c r="Q376" s="5">
        <f>IF(L376="","",IF([1]Inputs_Outputs!$B$5="Herbaceous",(LCA!$E$29*'[1]LOCH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6" s="5">
        <f>IF(M376="","",$E$2*1000*'[1]LOCH Calc COE Calc'!$C$44)</f>
        <v>4896457.3202133691</v>
      </c>
      <c r="S376" s="6">
        <f>IF(N376="","",SUM(O376:R376)/('[1]LOCH Calc COE Calc'!$C$28))</f>
        <v>103.7470933297403</v>
      </c>
      <c r="T376">
        <f>IF(L376="","",O376/'[1]LOCH Calc COE Calc'!$C$28)</f>
        <v>99.998789243870618</v>
      </c>
      <c r="U376">
        <f>IF(L376="","",P376/'[1]LOCH Calc COE Calc'!$C$28)</f>
        <v>0.3271601122133635</v>
      </c>
      <c r="V376">
        <f>IF(L376="","",Q376/'[1]LOCH Calc COE Calc'!$C$28)</f>
        <v>3.2100000000000004</v>
      </c>
      <c r="W376">
        <f>IF(L376="","",R376/'[1]LOCH Calc COE Calc'!$C$28)</f>
        <v>0.21114397365631307</v>
      </c>
    </row>
    <row r="377" spans="12:23" x14ac:dyDescent="0.25">
      <c r="L377" s="4">
        <f>IF('[1]All Data '!BE382="","",'[1]All Data '!BE382)</f>
        <v>5.5E-2</v>
      </c>
      <c r="M377">
        <f>IF('[1]All Data '!BF382="","",'[1]All Data '!BF382)</f>
        <v>4767.5627999999997</v>
      </c>
      <c r="N377" s="5">
        <f>IF('[1]All Data '!BB382="","",'[1]All Data '!BC382/'[1]All Data '!BH382)</f>
        <v>485840</v>
      </c>
      <c r="O377" s="5">
        <f t="shared" si="7"/>
        <v>2316272710.7519999</v>
      </c>
      <c r="P377" s="5">
        <f>IF(M377="","",$C$2*(1-L377)*907.2/0.621371*N377*[1]Transportation!$M$40)</f>
        <v>7578012.1509103607</v>
      </c>
      <c r="Q377" s="5">
        <f>IF(L377="","",IF([1]Inputs_Outputs!$B$5="Herbaceous",(LCA!$E$29*'[1]LOCH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7" s="5">
        <f>IF(M377="","",$E$2*1000*'[1]LOCH Calc COE Calc'!$C$44)</f>
        <v>4896457.3202133691</v>
      </c>
      <c r="S377" s="6">
        <f>IF(N377="","",SUM(O377:R377)/('[1]LOCH Calc COE Calc'!$C$28))</f>
        <v>103.62973229163529</v>
      </c>
      <c r="T377">
        <f>IF(L377="","",O377/'[1]LOCH Calc COE Calc'!$C$28)</f>
        <v>99.881810916825359</v>
      </c>
      <c r="U377">
        <f>IF(L377="","",P377/'[1]LOCH Calc COE Calc'!$C$28)</f>
        <v>0.32677740115363924</v>
      </c>
      <c r="V377">
        <f>IF(L377="","",Q377/'[1]LOCH Calc COE Calc'!$C$28)</f>
        <v>3.2100000000000004</v>
      </c>
      <c r="W377">
        <f>IF(L377="","",R377/'[1]LOCH Calc COE Calc'!$C$28)</f>
        <v>0.21114397365631307</v>
      </c>
    </row>
    <row r="378" spans="12:23" x14ac:dyDescent="0.25">
      <c r="L378" s="4">
        <f>IF('[1]All Data '!BE383="","",'[1]All Data '!BE383)</f>
        <v>5.5E-2</v>
      </c>
      <c r="M378">
        <f>IF('[1]All Data '!BF383="","",'[1]All Data '!BF383)</f>
        <v>4767.5627999999997</v>
      </c>
      <c r="N378" s="5">
        <f>IF('[1]All Data '!BB383="","",'[1]All Data '!BC383/'[1]All Data '!BH383)</f>
        <v>485797</v>
      </c>
      <c r="O378" s="5">
        <f t="shared" si="7"/>
        <v>2316067705.5516</v>
      </c>
      <c r="P378" s="5">
        <f>IF(M378="","",$C$2*(1-L378)*907.2/0.621371*N378*[1]Transportation!$M$40)</f>
        <v>7577341.4475461058</v>
      </c>
      <c r="Q378" s="5">
        <f>IF(L378="","",IF([1]Inputs_Outputs!$B$5="Herbaceous",(LCA!$E$29*'[1]LOCH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8" s="5">
        <f>IF(M378="","",$E$2*1000*'[1]LOCH Calc COE Calc'!$C$44)</f>
        <v>4896457.3202133691</v>
      </c>
      <c r="S378" s="6">
        <f>IF(N378="","",SUM(O378:R378)/('[1]LOCH Calc COE Calc'!$C$28))</f>
        <v>103.62086317979256</v>
      </c>
      <c r="T378">
        <f>IF(L378="","",O378/'[1]LOCH Calc COE Calc'!$C$28)</f>
        <v>99.872970726908051</v>
      </c>
      <c r="U378">
        <f>IF(L378="","",P378/'[1]LOCH Calc COE Calc'!$C$28)</f>
        <v>0.32674847922821187</v>
      </c>
      <c r="V378">
        <f>IF(L378="","",Q378/'[1]LOCH Calc COE Calc'!$C$28)</f>
        <v>3.2100000000000004</v>
      </c>
      <c r="W378">
        <f>IF(L378="","",R378/'[1]LOCH Calc COE Calc'!$C$28)</f>
        <v>0.21114397365631307</v>
      </c>
    </row>
    <row r="379" spans="12:23" x14ac:dyDescent="0.25">
      <c r="L379" s="4">
        <f>IF('[1]All Data '!BE384="","",'[1]All Data '!BE384)</f>
        <v>5.5E-2</v>
      </c>
      <c r="M379">
        <f>IF('[1]All Data '!BF384="","",'[1]All Data '!BF384)</f>
        <v>4767.5627999999997</v>
      </c>
      <c r="N379" s="5">
        <f>IF('[1]All Data '!BB384="","",'[1]All Data '!BC384/'[1]All Data '!BH384)</f>
        <v>485797</v>
      </c>
      <c r="O379" s="5">
        <f t="shared" si="7"/>
        <v>2316067705.5516</v>
      </c>
      <c r="P379" s="5">
        <f>IF(M379="","",$C$2*(1-L379)*907.2/0.621371*N379*[1]Transportation!$M$40)</f>
        <v>7577341.4475461058</v>
      </c>
      <c r="Q379" s="5">
        <f>IF(L379="","",IF([1]Inputs_Outputs!$B$5="Herbaceous",(LCA!$E$29*'[1]LOCH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79" s="5">
        <f>IF(M379="","",$E$2*1000*'[1]LOCH Calc COE Calc'!$C$44)</f>
        <v>4896457.3202133691</v>
      </c>
      <c r="S379" s="6">
        <f>IF(N379="","",SUM(O379:R379)/('[1]LOCH Calc COE Calc'!$C$28))</f>
        <v>103.62086317979256</v>
      </c>
      <c r="T379">
        <f>IF(L379="","",O379/'[1]LOCH Calc COE Calc'!$C$28)</f>
        <v>99.872970726908051</v>
      </c>
      <c r="U379">
        <f>IF(L379="","",P379/'[1]LOCH Calc COE Calc'!$C$28)</f>
        <v>0.32674847922821187</v>
      </c>
      <c r="V379">
        <f>IF(L379="","",Q379/'[1]LOCH Calc COE Calc'!$C$28)</f>
        <v>3.2100000000000004</v>
      </c>
      <c r="W379">
        <f>IF(L379="","",R379/'[1]LOCH Calc COE Calc'!$C$28)</f>
        <v>0.21114397365631307</v>
      </c>
    </row>
    <row r="380" spans="12:23" x14ac:dyDescent="0.25">
      <c r="L380" s="4">
        <f>IF('[1]All Data '!BE385="","",'[1]All Data '!BE385)</f>
        <v>5.5000000000000007E-2</v>
      </c>
      <c r="M380">
        <f>IF('[1]All Data '!BF385="","",'[1]All Data '!BF385)</f>
        <v>4767.5627999999997</v>
      </c>
      <c r="N380" s="5">
        <f>IF('[1]All Data '!BB385="","",'[1]All Data '!BC385/'[1]All Data '!BH385)</f>
        <v>484844</v>
      </c>
      <c r="O380" s="5">
        <f t="shared" si="7"/>
        <v>2311524218.2031999</v>
      </c>
      <c r="P380" s="5">
        <f>IF(M380="","",$C$2*(1-L380)*907.2/0.621371*N380*[1]Transportation!$M$40)</f>
        <v>7562476.789263919</v>
      </c>
      <c r="Q380" s="5">
        <f>IF(L380="","",IF([1]Inputs_Outputs!$B$5="Herbaceous",(LCA!$E$29*'[1]LOCH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0" s="5">
        <f>IF(M380="","",$E$2*1000*'[1]LOCH Calc COE Calc'!$C$44)</f>
        <v>4896457.3202133691</v>
      </c>
      <c r="S380" s="6">
        <f>IF(N380="","",SUM(O380:R380)/('[1]LOCH Calc COE Calc'!$C$28))</f>
        <v>103.42429891034782</v>
      </c>
      <c r="T380">
        <f>IF(L380="","",O380/'[1]LOCH Calc COE Calc'!$C$28)</f>
        <v>99.677047448043126</v>
      </c>
      <c r="U380">
        <f>IF(L380="","",P380/'[1]LOCH Calc COE Calc'!$C$28)</f>
        <v>0.32610748864839256</v>
      </c>
      <c r="V380">
        <f>IF(L380="","",Q380/'[1]LOCH Calc COE Calc'!$C$28)</f>
        <v>3.2100000000000004</v>
      </c>
      <c r="W380">
        <f>IF(L380="","",R380/'[1]LOCH Calc COE Calc'!$C$28)</f>
        <v>0.21114397365631307</v>
      </c>
    </row>
    <row r="381" spans="12:23" x14ac:dyDescent="0.25">
      <c r="L381" s="4">
        <f>IF('[1]All Data '!BE386="","",'[1]All Data '!BE386)</f>
        <v>5.5E-2</v>
      </c>
      <c r="M381">
        <f>IF('[1]All Data '!BF386="","",'[1]All Data '!BF386)</f>
        <v>4767.5627999999997</v>
      </c>
      <c r="N381" s="5">
        <f>IF('[1]All Data '!BB386="","",'[1]All Data '!BC386/'[1]All Data '!BH386)</f>
        <v>480739</v>
      </c>
      <c r="O381" s="5">
        <f t="shared" si="7"/>
        <v>2291953372.9091997</v>
      </c>
      <c r="P381" s="5">
        <f>IF(M381="","",$C$2*(1-L381)*907.2/0.621371*N381*[1]Transportation!$M$40)</f>
        <v>7498448.0146066519</v>
      </c>
      <c r="Q381" s="5">
        <f>IF(L381="","",IF([1]Inputs_Outputs!$B$5="Herbaceous",(LCA!$E$29*'[1]LOCH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1" s="5">
        <f>IF(M381="","",$E$2*1000*'[1]LOCH Calc COE Calc'!$C$44)</f>
        <v>4896457.3202133691</v>
      </c>
      <c r="S381" s="6">
        <f>IF(N381="","",SUM(O381:R381)/('[1]LOCH Calc COE Calc'!$C$28))</f>
        <v>102.57760811698928</v>
      </c>
      <c r="T381">
        <f>IF(L381="","",O381/'[1]LOCH Calc COE Calc'!$C$28)</f>
        <v>98.833117689658536</v>
      </c>
      <c r="U381">
        <f>IF(L381="","",P381/'[1]LOCH Calc COE Calc'!$C$28)</f>
        <v>0.32334645367445941</v>
      </c>
      <c r="V381">
        <f>IF(L381="","",Q381/'[1]LOCH Calc COE Calc'!$C$28)</f>
        <v>3.2100000000000004</v>
      </c>
      <c r="W381">
        <f>IF(L381="","",R381/'[1]LOCH Calc COE Calc'!$C$28)</f>
        <v>0.21114397365631307</v>
      </c>
    </row>
    <row r="382" spans="12:23" x14ac:dyDescent="0.25">
      <c r="L382" s="4">
        <f>IF('[1]All Data '!BE387="","",'[1]All Data '!BE387)</f>
        <v>5.5E-2</v>
      </c>
      <c r="M382">
        <f>IF('[1]All Data '!BF387="","",'[1]All Data '!BF387)</f>
        <v>4767.5627999999997</v>
      </c>
      <c r="N382" s="5">
        <f>IF('[1]All Data '!BB387="","",'[1]All Data '!BC387/'[1]All Data '!BH387)</f>
        <v>478501</v>
      </c>
      <c r="O382" s="5">
        <f t="shared" si="7"/>
        <v>2281283567.3627996</v>
      </c>
      <c r="P382" s="5">
        <f>IF(M382="","",$C$2*(1-L382)*907.2/0.621371*N382*[1]Transportation!$M$40)</f>
        <v>7463540.2441601306</v>
      </c>
      <c r="Q382" s="5">
        <f>IF(L382="","",IF([1]Inputs_Outputs!$B$5="Herbaceous",(LCA!$E$29*'[1]LOCH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2" s="5">
        <f>IF(M382="","",$E$2*1000*'[1]LOCH Calc COE Calc'!$C$44)</f>
        <v>4896457.3202133691</v>
      </c>
      <c r="S382" s="6">
        <f>IF(N382="","",SUM(O382:R382)/('[1]LOCH Calc COE Calc'!$C$28))</f>
        <v>102.11600178433731</v>
      </c>
      <c r="T382">
        <f>IF(L382="","",O382/'[1]LOCH Calc COE Calc'!$C$28)</f>
        <v>98.373016642334605</v>
      </c>
      <c r="U382">
        <f>IF(L382="","",P382/'[1]LOCH Calc COE Calc'!$C$28)</f>
        <v>0.32184116834640519</v>
      </c>
      <c r="V382">
        <f>IF(L382="","",Q382/'[1]LOCH Calc COE Calc'!$C$28)</f>
        <v>3.2100000000000004</v>
      </c>
      <c r="W382">
        <f>IF(L382="","",R382/'[1]LOCH Calc COE Calc'!$C$28)</f>
        <v>0.21114397365631307</v>
      </c>
    </row>
    <row r="383" spans="12:23" x14ac:dyDescent="0.25">
      <c r="L383" s="4">
        <f>IF('[1]All Data '!BE388="","",'[1]All Data '!BE388)</f>
        <v>5.5E-2</v>
      </c>
      <c r="M383">
        <f>IF('[1]All Data '!BF388="","",'[1]All Data '!BF388)</f>
        <v>4767.5627999999997</v>
      </c>
      <c r="N383" s="5">
        <f>IF('[1]All Data '!BB388="","",'[1]All Data '!BC388/'[1]All Data '!BH388)</f>
        <v>477491</v>
      </c>
      <c r="O383" s="5">
        <f t="shared" si="7"/>
        <v>2276468328.9347997</v>
      </c>
      <c r="P383" s="5">
        <f>IF(M383="","",$C$2*(1-L383)*907.2/0.621371*N383*[1]Transportation!$M$40)</f>
        <v>7447786.513976492</v>
      </c>
      <c r="Q383" s="5">
        <f>IF(L383="","",IF([1]Inputs_Outputs!$B$5="Herbaceous",(LCA!$E$29*'[1]LOCH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3" s="5">
        <f>IF(M383="","",$E$2*1000*'[1]LOCH Calc COE Calc'!$C$44)</f>
        <v>4896457.3202133691</v>
      </c>
      <c r="S383" s="6">
        <f>IF(N383="","",SUM(O383:R383)/('[1]LOCH Calc COE Calc'!$C$28))</f>
        <v>101.90768078524059</v>
      </c>
      <c r="T383">
        <f>IF(L383="","",O383/'[1]LOCH Calc COE Calc'!$C$28)</f>
        <v>98.165374972183955</v>
      </c>
      <c r="U383">
        <f>IF(L383="","",P383/'[1]LOCH Calc COE Calc'!$C$28)</f>
        <v>0.32116183940032178</v>
      </c>
      <c r="V383">
        <f>IF(L383="","",Q383/'[1]LOCH Calc COE Calc'!$C$28)</f>
        <v>3.2100000000000004</v>
      </c>
      <c r="W383">
        <f>IF(L383="","",R383/'[1]LOCH Calc COE Calc'!$C$28)</f>
        <v>0.21114397365631307</v>
      </c>
    </row>
    <row r="384" spans="12:23" x14ac:dyDescent="0.25">
      <c r="L384" s="4">
        <f>IF('[1]All Data '!BE389="","",'[1]All Data '!BE389)</f>
        <v>5.5E-2</v>
      </c>
      <c r="M384">
        <f>IF('[1]All Data '!BF389="","",'[1]All Data '!BF389)</f>
        <v>4767.5627999999997</v>
      </c>
      <c r="N384" s="5">
        <f>IF('[1]All Data '!BB389="","",'[1]All Data '!BC389/'[1]All Data '!BH389)</f>
        <v>475230</v>
      </c>
      <c r="O384" s="5">
        <f t="shared" si="7"/>
        <v>2265688869.4439998</v>
      </c>
      <c r="P384" s="5">
        <f>IF(M384="","",$C$2*(1-L384)*907.2/0.621371*N384*[1]Transportation!$M$40)</f>
        <v>7412519.9952188591</v>
      </c>
      <c r="Q384" s="5">
        <f>IF(L384="","",IF([1]Inputs_Outputs!$B$5="Herbaceous",(LCA!$E$29*'[1]LOCH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4" s="5">
        <f>IF(M384="","",$E$2*1000*'[1]LOCH Calc COE Calc'!$C$44)</f>
        <v>4896457.3202133691</v>
      </c>
      <c r="S384" s="6">
        <f>IF(N384="","",SUM(O384:R384)/('[1]LOCH Calc COE Calc'!$C$28))</f>
        <v>101.44133050904482</v>
      </c>
      <c r="T384">
        <f>IF(L384="","",O384/'[1]LOCH Calc COE Calc'!$C$28)</f>
        <v>97.700545451183331</v>
      </c>
      <c r="U384">
        <f>IF(L384="","",P384/'[1]LOCH Calc COE Calc'!$C$28)</f>
        <v>0.31964108420517856</v>
      </c>
      <c r="V384">
        <f>IF(L384="","",Q384/'[1]LOCH Calc COE Calc'!$C$28)</f>
        <v>3.2100000000000004</v>
      </c>
      <c r="W384">
        <f>IF(L384="","",R384/'[1]LOCH Calc COE Calc'!$C$28)</f>
        <v>0.21114397365631307</v>
      </c>
    </row>
    <row r="385" spans="12:23" x14ac:dyDescent="0.25">
      <c r="L385" s="4">
        <f>IF('[1]All Data '!BE390="","",'[1]All Data '!BE390)</f>
        <v>5.5E-2</v>
      </c>
      <c r="M385">
        <f>IF('[1]All Data '!BF390="","",'[1]All Data '!BF390)</f>
        <v>4767.5627999999997</v>
      </c>
      <c r="N385" s="5">
        <f>IF('[1]All Data '!BB390="","",'[1]All Data '!BC390/'[1]All Data '!BH390)</f>
        <v>474631</v>
      </c>
      <c r="O385" s="5">
        <f t="shared" si="7"/>
        <v>2262833099.3267999</v>
      </c>
      <c r="P385" s="5">
        <f>IF(M385="","",$C$2*(1-L385)*907.2/0.621371*N385*[1]Transportation!$M$40)</f>
        <v>7403176.9413772747</v>
      </c>
      <c r="Q385" s="5">
        <f>IF(L385="","",IF([1]Inputs_Outputs!$B$5="Herbaceous",(LCA!$E$29*'[1]LOCH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5" s="5">
        <f>IF(M385="","",$E$2*1000*'[1]LOCH Calc COE Calc'!$C$44)</f>
        <v>4896457.3202133691</v>
      </c>
      <c r="S385" s="6">
        <f>IF(N385="","",SUM(O385:R385)/('[1]LOCH Calc COE Calc'!$C$28))</f>
        <v>101.3177817184914</v>
      </c>
      <c r="T385">
        <f>IF(L385="","",O385/'[1]LOCH Calc COE Calc'!$C$28)</f>
        <v>97.577399549777155</v>
      </c>
      <c r="U385">
        <f>IF(L385="","",P385/'[1]LOCH Calc COE Calc'!$C$28)</f>
        <v>0.31923819505794693</v>
      </c>
      <c r="V385">
        <f>IF(L385="","",Q385/'[1]LOCH Calc COE Calc'!$C$28)</f>
        <v>3.2100000000000004</v>
      </c>
      <c r="W385">
        <f>IF(L385="","",R385/'[1]LOCH Calc COE Calc'!$C$28)</f>
        <v>0.21114397365631307</v>
      </c>
    </row>
    <row r="386" spans="12:23" x14ac:dyDescent="0.25">
      <c r="L386" s="4">
        <f>IF('[1]All Data '!BE391="","",'[1]All Data '!BE391)</f>
        <v>5.5E-2</v>
      </c>
      <c r="M386">
        <f>IF('[1]All Data '!BF391="","",'[1]All Data '!BF391)</f>
        <v>4767.5627999999997</v>
      </c>
      <c r="N386" s="5">
        <f>IF('[1]All Data '!BB391="","",'[1]All Data '!BC391/'[1]All Data '!BH391)</f>
        <v>474631</v>
      </c>
      <c r="O386" s="5">
        <f t="shared" si="7"/>
        <v>2262833099.3267999</v>
      </c>
      <c r="P386" s="5">
        <f>IF(M386="","",$C$2*(1-L386)*907.2/0.621371*N386*[1]Transportation!$M$40)</f>
        <v>7403176.9413772747</v>
      </c>
      <c r="Q386" s="5">
        <f>IF(L386="","",IF([1]Inputs_Outputs!$B$5="Herbaceous",(LCA!$E$29*'[1]LOCH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6" s="5">
        <f>IF(M386="","",$E$2*1000*'[1]LOCH Calc COE Calc'!$C$44)</f>
        <v>4896457.3202133691</v>
      </c>
      <c r="S386" s="6">
        <f>IF(N386="","",SUM(O386:R386)/('[1]LOCH Calc COE Calc'!$C$28))</f>
        <v>101.3177817184914</v>
      </c>
      <c r="T386">
        <f>IF(L386="","",O386/'[1]LOCH Calc COE Calc'!$C$28)</f>
        <v>97.577399549777155</v>
      </c>
      <c r="U386">
        <f>IF(L386="","",P386/'[1]LOCH Calc COE Calc'!$C$28)</f>
        <v>0.31923819505794693</v>
      </c>
      <c r="V386">
        <f>IF(L386="","",Q386/'[1]LOCH Calc COE Calc'!$C$28)</f>
        <v>3.2100000000000004</v>
      </c>
      <c r="W386">
        <f>IF(L386="","",R386/'[1]LOCH Calc COE Calc'!$C$28)</f>
        <v>0.21114397365631307</v>
      </c>
    </row>
    <row r="387" spans="12:23" x14ac:dyDescent="0.25">
      <c r="L387" s="4">
        <f>IF('[1]All Data '!BE392="","",'[1]All Data '!BE392)</f>
        <v>5.5E-2</v>
      </c>
      <c r="M387">
        <f>IF('[1]All Data '!BF392="","",'[1]All Data '!BF392)</f>
        <v>4767.5627999999997</v>
      </c>
      <c r="N387" s="5">
        <f>IF('[1]All Data '!BB392="","",'[1]All Data '!BC392/'[1]All Data '!BH392)</f>
        <v>474585</v>
      </c>
      <c r="O387" s="5">
        <f t="shared" si="7"/>
        <v>2262613791.4379997</v>
      </c>
      <c r="P387" s="5">
        <f>IF(M387="","",$C$2*(1-L387)*907.2/0.621371*N387*[1]Transportation!$M$40)</f>
        <v>7402459.4447550494</v>
      </c>
      <c r="Q387" s="5">
        <f>IF(L387="","",IF([1]Inputs_Outputs!$B$5="Herbaceous",(LCA!$E$29*'[1]LOCH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7" s="5">
        <f>IF(M387="","",$E$2*1000*'[1]LOCH Calc COE Calc'!$C$44)</f>
        <v>4896457.3202133691</v>
      </c>
      <c r="S387" s="6">
        <f>IF(N387="","",SUM(O387:R387)/('[1]LOCH Calc COE Calc'!$C$28))</f>
        <v>101.30829383140383</v>
      </c>
      <c r="T387">
        <f>IF(L387="","",O387/'[1]LOCH Calc COE Calc'!$C$28)</f>
        <v>97.567942602423756</v>
      </c>
      <c r="U387">
        <f>IF(L387="","",P387/'[1]LOCH Calc COE Calc'!$C$28)</f>
        <v>0.31920725532376887</v>
      </c>
      <c r="V387">
        <f>IF(L387="","",Q387/'[1]LOCH Calc COE Calc'!$C$28)</f>
        <v>3.2100000000000004</v>
      </c>
      <c r="W387">
        <f>IF(L387="","",R387/'[1]LOCH Calc COE Calc'!$C$28)</f>
        <v>0.21114397365631307</v>
      </c>
    </row>
    <row r="388" spans="12:23" x14ac:dyDescent="0.25">
      <c r="L388" s="4">
        <f>IF('[1]All Data '!BE393="","",'[1]All Data '!BE393)</f>
        <v>5.5E-2</v>
      </c>
      <c r="M388">
        <f>IF('[1]All Data '!BF393="","",'[1]All Data '!BF393)</f>
        <v>4767.5627999999988</v>
      </c>
      <c r="N388" s="5">
        <f>IF('[1]All Data '!BB393="","",'[1]All Data '!BC393/'[1]All Data '!BH393)</f>
        <v>473089</v>
      </c>
      <c r="O388" s="5">
        <f t="shared" ref="O388:O451" si="8">IF(N388="","",M388*N388)</f>
        <v>2255481517.4891996</v>
      </c>
      <c r="P388" s="5">
        <f>IF(M388="","",$C$2*(1-L388)*907.2/0.621371*N388*[1]Transportation!$M$40)</f>
        <v>7379125.2067800751</v>
      </c>
      <c r="Q388" s="5">
        <f>IF(L388="","",IF([1]Inputs_Outputs!$B$5="Herbaceous",(LCA!$E$29*'[1]LOCH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8" s="5">
        <f>IF(M388="","",$E$2*1000*'[1]LOCH Calc COE Calc'!$C$44)</f>
        <v>4896457.3202133691</v>
      </c>
      <c r="S388" s="6">
        <f>IF(N388="","",SUM(O388:R388)/('[1]LOCH Calc COE Calc'!$C$28))</f>
        <v>100.99973124264271</v>
      </c>
      <c r="T388">
        <f>IF(L388="","",O388/'[1]LOCH Calc COE Calc'!$C$28)</f>
        <v>97.260386227626341</v>
      </c>
      <c r="U388">
        <f>IF(L388="","",P388/'[1]LOCH Calc COE Calc'!$C$28)</f>
        <v>0.31820104136006511</v>
      </c>
      <c r="V388">
        <f>IF(L388="","",Q388/'[1]LOCH Calc COE Calc'!$C$28)</f>
        <v>3.2100000000000004</v>
      </c>
      <c r="W388">
        <f>IF(L388="","",R388/'[1]LOCH Calc COE Calc'!$C$28)</f>
        <v>0.21114397365631307</v>
      </c>
    </row>
    <row r="389" spans="12:23" x14ac:dyDescent="0.25">
      <c r="L389" s="4">
        <f>IF('[1]All Data '!BE394="","",'[1]All Data '!BE394)</f>
        <v>5.5E-2</v>
      </c>
      <c r="M389">
        <f>IF('[1]All Data '!BF394="","",'[1]All Data '!BF394)</f>
        <v>4767.5627999999997</v>
      </c>
      <c r="N389" s="5">
        <f>IF('[1]All Data '!BB394="","",'[1]All Data '!BC394/'[1]All Data '!BH394)</f>
        <v>472514</v>
      </c>
      <c r="O389" s="5">
        <f t="shared" si="8"/>
        <v>2252740168.8792</v>
      </c>
      <c r="P389" s="5">
        <f>IF(M389="","",$C$2*(1-L389)*907.2/0.621371*N389*[1]Transportation!$M$40)</f>
        <v>7370156.4990022592</v>
      </c>
      <c r="Q389" s="5">
        <f>IF(L389="","",IF([1]Inputs_Outputs!$B$5="Herbaceous",(LCA!$E$29*'[1]LOCH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89" s="5">
        <f>IF(M389="","",$E$2*1000*'[1]LOCH Calc COE Calc'!$C$44)</f>
        <v>4896457.3202133691</v>
      </c>
      <c r="S389" s="6">
        <f>IF(N389="","",SUM(O389:R389)/('[1]LOCH Calc COE Calc'!$C$28))</f>
        <v>100.88113265404806</v>
      </c>
      <c r="T389">
        <f>IF(L389="","",O389/'[1]LOCH Calc COE Calc'!$C$28)</f>
        <v>97.142174385708913</v>
      </c>
      <c r="U389">
        <f>IF(L389="","",P389/'[1]LOCH Calc COE Calc'!$C$28)</f>
        <v>0.31781429468283934</v>
      </c>
      <c r="V389">
        <f>IF(L389="","",Q389/'[1]LOCH Calc COE Calc'!$C$28)</f>
        <v>3.2100000000000004</v>
      </c>
      <c r="W389">
        <f>IF(L389="","",R389/'[1]LOCH Calc COE Calc'!$C$28)</f>
        <v>0.21114397365631307</v>
      </c>
    </row>
    <row r="390" spans="12:23" x14ac:dyDescent="0.25">
      <c r="L390" s="4">
        <f>IF('[1]All Data '!BE395="","",'[1]All Data '!BE395)</f>
        <v>5.5E-2</v>
      </c>
      <c r="M390">
        <f>IF('[1]All Data '!BF395="","",'[1]All Data '!BF395)</f>
        <v>4767.5627999999997</v>
      </c>
      <c r="N390" s="5">
        <f>IF('[1]All Data '!BB395="","",'[1]All Data '!BC395/'[1]All Data '!BH395)</f>
        <v>472047</v>
      </c>
      <c r="O390" s="5">
        <f t="shared" si="8"/>
        <v>2250513717.0516</v>
      </c>
      <c r="P390" s="5">
        <f>IF(M390="","",$C$2*(1-L390)*907.2/0.621371*N390*[1]Transportation!$M$40)</f>
        <v>7362872.348511409</v>
      </c>
      <c r="Q390" s="5">
        <f>IF(L390="","",IF([1]Inputs_Outputs!$B$5="Herbaceous",(LCA!$E$29*'[1]LOCH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0" s="5">
        <f>IF(M390="","",$E$2*1000*'[1]LOCH Calc COE Calc'!$C$44)</f>
        <v>4896457.3202133691</v>
      </c>
      <c r="S390" s="6">
        <f>IF(N390="","",SUM(O390:R390)/('[1]LOCH Calc COE Calc'!$C$28))</f>
        <v>100.78480997426767</v>
      </c>
      <c r="T390">
        <f>IF(L390="","",O390/'[1]LOCH Calc COE Calc'!$C$28)</f>
        <v>97.046165811490738</v>
      </c>
      <c r="U390">
        <f>IF(L390="","",P390/'[1]LOCH Calc COE Calc'!$C$28)</f>
        <v>0.31750018912064043</v>
      </c>
      <c r="V390">
        <f>IF(L390="","",Q390/'[1]LOCH Calc COE Calc'!$C$28)</f>
        <v>3.2100000000000004</v>
      </c>
      <c r="W390">
        <f>IF(L390="","",R390/'[1]LOCH Calc COE Calc'!$C$28)</f>
        <v>0.21114397365631307</v>
      </c>
    </row>
    <row r="391" spans="12:23" x14ac:dyDescent="0.25">
      <c r="L391" s="4">
        <f>IF('[1]All Data '!BE396="","",'[1]All Data '!BE396)</f>
        <v>5.5E-2</v>
      </c>
      <c r="M391">
        <f>IF('[1]All Data '!BF396="","",'[1]All Data '!BF396)</f>
        <v>4767.5627999999997</v>
      </c>
      <c r="N391" s="5">
        <f>IF('[1]All Data '!BB396="","",'[1]All Data '!BC396/'[1]All Data '!BH396)</f>
        <v>471691</v>
      </c>
      <c r="O391" s="5">
        <f t="shared" si="8"/>
        <v>2248816464.6947999</v>
      </c>
      <c r="P391" s="5">
        <f>IF(M391="","",$C$2*(1-L391)*907.2/0.621371*N391*[1]Transportation!$M$40)</f>
        <v>7357319.548565492</v>
      </c>
      <c r="Q391" s="5">
        <f>IF(L391="","",IF([1]Inputs_Outputs!$B$5="Herbaceous",(LCA!$E$29*'[1]LOCH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1" s="5">
        <f>IF(M391="","",$E$2*1000*'[1]LOCH Calc COE Calc'!$C$44)</f>
        <v>4896457.3202133691</v>
      </c>
      <c r="S391" s="6">
        <f>IF(N391="","",SUM(O391:R391)/('[1]LOCH Calc COE Calc'!$C$28))</f>
        <v>100.71138197854644</v>
      </c>
      <c r="T391">
        <f>IF(L391="","",O391/'[1]LOCH Calc COE Calc'!$C$28)</f>
        <v>96.972977262407923</v>
      </c>
      <c r="U391">
        <f>IF(L391="","",P391/'[1]LOCH Calc COE Calc'!$C$28)</f>
        <v>0.31726074248221892</v>
      </c>
      <c r="V391">
        <f>IF(L391="","",Q391/'[1]LOCH Calc COE Calc'!$C$28)</f>
        <v>3.2100000000000004</v>
      </c>
      <c r="W391">
        <f>IF(L391="","",R391/'[1]LOCH Calc COE Calc'!$C$28)</f>
        <v>0.21114397365631307</v>
      </c>
    </row>
    <row r="392" spans="12:23" x14ac:dyDescent="0.25">
      <c r="L392" s="4">
        <f>IF('[1]All Data '!BE397="","",'[1]All Data '!BE397)</f>
        <v>5.5E-2</v>
      </c>
      <c r="M392">
        <f>IF('[1]All Data '!BF397="","",'[1]All Data '!BF397)</f>
        <v>4767.5627999999997</v>
      </c>
      <c r="N392" s="5">
        <f>IF('[1]All Data '!BB397="","",'[1]All Data '!BC397/'[1]All Data '!BH397)</f>
        <v>471691</v>
      </c>
      <c r="O392" s="5">
        <f t="shared" si="8"/>
        <v>2248816464.6947999</v>
      </c>
      <c r="P392" s="5">
        <f>IF(M392="","",$C$2*(1-L392)*907.2/0.621371*N392*[1]Transportation!$M$40)</f>
        <v>7357319.548565492</v>
      </c>
      <c r="Q392" s="5">
        <f>IF(L392="","",IF([1]Inputs_Outputs!$B$5="Herbaceous",(LCA!$E$29*'[1]LOCH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2" s="5">
        <f>IF(M392="","",$E$2*1000*'[1]LOCH Calc COE Calc'!$C$44)</f>
        <v>4896457.3202133691</v>
      </c>
      <c r="S392" s="6">
        <f>IF(N392="","",SUM(O392:R392)/('[1]LOCH Calc COE Calc'!$C$28))</f>
        <v>100.71138197854644</v>
      </c>
      <c r="T392">
        <f>IF(L392="","",O392/'[1]LOCH Calc COE Calc'!$C$28)</f>
        <v>96.972977262407923</v>
      </c>
      <c r="U392">
        <f>IF(L392="","",P392/'[1]LOCH Calc COE Calc'!$C$28)</f>
        <v>0.31726074248221892</v>
      </c>
      <c r="V392">
        <f>IF(L392="","",Q392/'[1]LOCH Calc COE Calc'!$C$28)</f>
        <v>3.2100000000000004</v>
      </c>
      <c r="W392">
        <f>IF(L392="","",R392/'[1]LOCH Calc COE Calc'!$C$28)</f>
        <v>0.21114397365631307</v>
      </c>
    </row>
    <row r="393" spans="12:23" x14ac:dyDescent="0.25">
      <c r="L393" s="4">
        <f>IF('[1]All Data '!BE398="","",'[1]All Data '!BE398)</f>
        <v>5.5E-2</v>
      </c>
      <c r="M393">
        <f>IF('[1]All Data '!BF398="","",'[1]All Data '!BF398)</f>
        <v>4767.5627999999997</v>
      </c>
      <c r="N393" s="5">
        <f>IF('[1]All Data '!BB398="","",'[1]All Data '!BC398/'[1]All Data '!BH398)</f>
        <v>467253</v>
      </c>
      <c r="O393" s="5">
        <f t="shared" si="8"/>
        <v>2227658020.9884</v>
      </c>
      <c r="P393" s="5">
        <f>IF(M393="","",$C$2*(1-L393)*907.2/0.621371*N393*[1]Transportation!$M$40)</f>
        <v>7288096.7222734205</v>
      </c>
      <c r="Q393" s="5">
        <f>IF(L393="","",IF([1]Inputs_Outputs!$B$5="Herbaceous",(LCA!$E$29*'[1]LOCH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3" s="5">
        <f>IF(M393="","",$E$2*1000*'[1]LOCH Calc COE Calc'!$C$44)</f>
        <v>4896457.3202133691</v>
      </c>
      <c r="S393" s="6">
        <f>IF(N393="","",SUM(O393:R393)/('[1]LOCH Calc COE Calc'!$C$28))</f>
        <v>99.796007133010491</v>
      </c>
      <c r="T393">
        <f>IF(L393="","",O393/'[1]LOCH Calc COE Calc'!$C$28)</f>
        <v>96.060587428617239</v>
      </c>
      <c r="U393">
        <f>IF(L393="","",P393/'[1]LOCH Calc COE Calc'!$C$28)</f>
        <v>0.31427573073695331</v>
      </c>
      <c r="V393">
        <f>IF(L393="","",Q393/'[1]LOCH Calc COE Calc'!$C$28)</f>
        <v>3.2100000000000004</v>
      </c>
      <c r="W393">
        <f>IF(L393="","",R393/'[1]LOCH Calc COE Calc'!$C$28)</f>
        <v>0.21114397365631307</v>
      </c>
    </row>
    <row r="394" spans="12:23" x14ac:dyDescent="0.25">
      <c r="L394" s="4">
        <f>IF('[1]All Data '!BE399="","",'[1]All Data '!BE399)</f>
        <v>5.5E-2</v>
      </c>
      <c r="M394">
        <f>IF('[1]All Data '!BF399="","",'[1]All Data '!BF399)</f>
        <v>4767.5627999999997</v>
      </c>
      <c r="N394" s="5">
        <f>IF('[1]All Data '!BB399="","",'[1]All Data '!BC399/'[1]All Data '!BH399)</f>
        <v>466614</v>
      </c>
      <c r="O394" s="5">
        <f t="shared" si="8"/>
        <v>2224611548.3592</v>
      </c>
      <c r="P394" s="5">
        <f>IF(M394="","",$C$2*(1-L394)*907.2/0.621371*N394*[1]Transportation!$M$40)</f>
        <v>7278129.7583255526</v>
      </c>
      <c r="Q394" s="5">
        <f>IF(L394="","",IF([1]Inputs_Outputs!$B$5="Herbaceous",(LCA!$E$29*'[1]LOCH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4" s="5">
        <f>IF(M394="","",$E$2*1000*'[1]LOCH Calc COE Calc'!$C$44)</f>
        <v>4896457.3202133691</v>
      </c>
      <c r="S394" s="6">
        <f>IF(N394="","",SUM(O394:R394)/('[1]LOCH Calc COE Calc'!$C$28))</f>
        <v>99.664208005859194</v>
      </c>
      <c r="T394">
        <f>IF(L394="","",O394/'[1]LOCH Calc COE Calc'!$C$28)</f>
        <v>95.929218094729848</v>
      </c>
      <c r="U394">
        <f>IF(L394="","",P394/'[1]LOCH Calc COE Calc'!$C$28)</f>
        <v>0.31384593747304501</v>
      </c>
      <c r="V394">
        <f>IF(L394="","",Q394/'[1]LOCH Calc COE Calc'!$C$28)</f>
        <v>3.2100000000000004</v>
      </c>
      <c r="W394">
        <f>IF(L394="","",R394/'[1]LOCH Calc COE Calc'!$C$28)</f>
        <v>0.21114397365631307</v>
      </c>
    </row>
    <row r="395" spans="12:23" x14ac:dyDescent="0.25">
      <c r="L395" s="4">
        <f>IF('[1]All Data '!BE400="","",'[1]All Data '!BE400)</f>
        <v>5.5E-2</v>
      </c>
      <c r="M395">
        <f>IF('[1]All Data '!BF400="","",'[1]All Data '!BF400)</f>
        <v>4767.5627999999997</v>
      </c>
      <c r="N395" s="5">
        <f>IF('[1]All Data '!BB400="","",'[1]All Data '!BC400/'[1]All Data '!BH400)</f>
        <v>466520</v>
      </c>
      <c r="O395" s="5">
        <f t="shared" si="8"/>
        <v>2224163397.4559999</v>
      </c>
      <c r="P395" s="5">
        <f>IF(M395="","",$C$2*(1-L395)*907.2/0.621371*N395*[1]Transportation!$M$40)</f>
        <v>7276663.5695757894</v>
      </c>
      <c r="Q395" s="5">
        <f>IF(L395="","",IF([1]Inputs_Outputs!$B$5="Herbaceous",(LCA!$E$29*'[1]LOCH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5" s="5">
        <f>IF(M395="","",$E$2*1000*'[1]LOCH Calc COE Calc'!$C$44)</f>
        <v>4896457.3202133691</v>
      </c>
      <c r="S395" s="6">
        <f>IF(N395="","",SUM(O395:R395)/('[1]LOCH Calc COE Calc'!$C$28))</f>
        <v>99.644819714854151</v>
      </c>
      <c r="T395">
        <f>IF(L395="","",O395/'[1]LOCH Calc COE Calc'!$C$28)</f>
        <v>95.909893028398983</v>
      </c>
      <c r="U395">
        <f>IF(L395="","",P395/'[1]LOCH Calc COE Calc'!$C$28)</f>
        <v>0.31378271279885511</v>
      </c>
      <c r="V395">
        <f>IF(L395="","",Q395/'[1]LOCH Calc COE Calc'!$C$28)</f>
        <v>3.2100000000000004</v>
      </c>
      <c r="W395">
        <f>IF(L395="","",R395/'[1]LOCH Calc COE Calc'!$C$28)</f>
        <v>0.21114397365631307</v>
      </c>
    </row>
    <row r="396" spans="12:23" x14ac:dyDescent="0.25">
      <c r="L396" s="4">
        <f>IF('[1]All Data '!BE401="","",'[1]All Data '!BE401)</f>
        <v>5.5E-2</v>
      </c>
      <c r="M396">
        <f>IF('[1]All Data '!BF401="","",'[1]All Data '!BF401)</f>
        <v>4767.5627999999997</v>
      </c>
      <c r="N396" s="5">
        <f>IF('[1]All Data '!BB401="","",'[1]All Data '!BC401/'[1]All Data '!BH401)</f>
        <v>465714</v>
      </c>
      <c r="O396" s="5">
        <f t="shared" si="8"/>
        <v>2220320741.8392</v>
      </c>
      <c r="P396" s="5">
        <f>IF(M396="","",$C$2*(1-L396)*907.2/0.621371*N396*[1]Transportation!$M$40)</f>
        <v>7264091.7809341913</v>
      </c>
      <c r="Q396" s="5">
        <f>IF(L396="","",IF([1]Inputs_Outputs!$B$5="Herbaceous",(LCA!$E$29*'[1]LOCH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6" s="5">
        <f>IF(M396="","",$E$2*1000*'[1]LOCH Calc COE Calc'!$C$44)</f>
        <v>4896457.3202133691</v>
      </c>
      <c r="S396" s="6">
        <f>IF(N396="","",SUM(O396:R396)/('[1]LOCH Calc COE Calc'!$C$28))</f>
        <v>99.478575432406657</v>
      </c>
      <c r="T396">
        <f>IF(L396="","",O396/'[1]LOCH Calc COE Calc'!$C$28)</f>
        <v>95.744190863902531</v>
      </c>
      <c r="U396">
        <f>IF(L396="","",P396/'[1]LOCH Calc COE Calc'!$C$28)</f>
        <v>0.31324059484782218</v>
      </c>
      <c r="V396">
        <f>IF(L396="","",Q396/'[1]LOCH Calc COE Calc'!$C$28)</f>
        <v>3.2100000000000004</v>
      </c>
      <c r="W396">
        <f>IF(L396="","",R396/'[1]LOCH Calc COE Calc'!$C$28)</f>
        <v>0.21114397365631307</v>
      </c>
    </row>
    <row r="397" spans="12:23" x14ac:dyDescent="0.25">
      <c r="L397" s="4">
        <f>IF('[1]All Data '!BE402="","",'[1]All Data '!BE402)</f>
        <v>5.5E-2</v>
      </c>
      <c r="M397">
        <f>IF('[1]All Data '!BF402="","",'[1]All Data '!BF402)</f>
        <v>4767.5627999999997</v>
      </c>
      <c r="N397" s="5">
        <f>IF('[1]All Data '!BB402="","",'[1]All Data '!BC402/'[1]All Data '!BH402)</f>
        <v>465140</v>
      </c>
      <c r="O397" s="5">
        <f t="shared" si="8"/>
        <v>2217584160.7919998</v>
      </c>
      <c r="P397" s="5">
        <f>IF(M397="","",$C$2*(1-L397)*907.2/0.621371*N397*[1]Transportation!$M$40)</f>
        <v>7255138.6709090341</v>
      </c>
      <c r="Q397" s="5">
        <f>IF(L397="","",IF([1]Inputs_Outputs!$B$5="Herbaceous",(LCA!$E$29*'[1]LOCH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7" s="5">
        <f>IF(M397="","",$E$2*1000*'[1]LOCH Calc COE Calc'!$C$44)</f>
        <v>4896457.3202133691</v>
      </c>
      <c r="S397" s="6">
        <f>IF(N397="","",SUM(O397:R397)/('[1]LOCH Calc COE Calc'!$C$28))</f>
        <v>99.360183102226912</v>
      </c>
      <c r="T397">
        <f>IF(L397="","",O397/'[1]LOCH Calc COE Calc'!$C$28)</f>
        <v>95.6261846077971</v>
      </c>
      <c r="U397">
        <f>IF(L397="","",P397/'[1]LOCH Calc COE Calc'!$C$28)</f>
        <v>0.31285452077351339</v>
      </c>
      <c r="V397">
        <f>IF(L397="","",Q397/'[1]LOCH Calc COE Calc'!$C$28)</f>
        <v>3.2100000000000004</v>
      </c>
      <c r="W397">
        <f>IF(L397="","",R397/'[1]LOCH Calc COE Calc'!$C$28)</f>
        <v>0.21114397365631307</v>
      </c>
    </row>
    <row r="398" spans="12:23" x14ac:dyDescent="0.25">
      <c r="L398" s="4">
        <f>IF('[1]All Data '!BE403="","",'[1]All Data '!BE403)</f>
        <v>5.5E-2</v>
      </c>
      <c r="M398">
        <f>IF('[1]All Data '!BF403="","",'[1]All Data '!BF403)</f>
        <v>4767.5627999999997</v>
      </c>
      <c r="N398" s="5">
        <f>IF('[1]All Data '!BB403="","",'[1]All Data '!BC403/'[1]All Data '!BH403)</f>
        <v>464272</v>
      </c>
      <c r="O398" s="5">
        <f t="shared" si="8"/>
        <v>2213445916.2816</v>
      </c>
      <c r="P398" s="5">
        <f>IF(M398="","",$C$2*(1-L398)*907.2/0.621371*N398*[1]Transportation!$M$40)</f>
        <v>7241599.8216026975</v>
      </c>
      <c r="Q398" s="5">
        <f>IF(L398="","",IF([1]Inputs_Outputs!$B$5="Herbaceous",(LCA!$E$29*'[1]LOCH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8" s="5">
        <f>IF(M398="","",$E$2*1000*'[1]LOCH Calc COE Calc'!$C$44)</f>
        <v>4896457.3202133691</v>
      </c>
      <c r="S398" s="6">
        <f>IF(N398="","",SUM(O398:R398)/('[1]LOCH Calc COE Calc'!$C$28))</f>
        <v>99.181150798052713</v>
      </c>
      <c r="T398">
        <f>IF(L398="","",O398/'[1]LOCH Calc COE Calc'!$C$28)</f>
        <v>95.447736122954765</v>
      </c>
      <c r="U398">
        <f>IF(L398="","",P398/'[1]LOCH Calc COE Calc'!$C$28)</f>
        <v>0.31227070144163177</v>
      </c>
      <c r="V398">
        <f>IF(L398="","",Q398/'[1]LOCH Calc COE Calc'!$C$28)</f>
        <v>3.2100000000000004</v>
      </c>
      <c r="W398">
        <f>IF(L398="","",R398/'[1]LOCH Calc COE Calc'!$C$28)</f>
        <v>0.21114397365631307</v>
      </c>
    </row>
    <row r="399" spans="12:23" x14ac:dyDescent="0.25">
      <c r="L399" s="4">
        <f>IF('[1]All Data '!BE404="","",'[1]All Data '!BE404)</f>
        <v>5.5E-2</v>
      </c>
      <c r="M399">
        <f>IF('[1]All Data '!BF404="","",'[1]All Data '!BF404)</f>
        <v>4767.5627999999997</v>
      </c>
      <c r="N399" s="5">
        <f>IF('[1]All Data '!BB404="","",'[1]All Data '!BC404/'[1]All Data '!BH404)</f>
        <v>463124</v>
      </c>
      <c r="O399" s="5">
        <f t="shared" si="8"/>
        <v>2207972754.1872001</v>
      </c>
      <c r="P399" s="5">
        <f>IF(M399="","",$C$2*(1-L399)*907.2/0.621371*N399*[1]Transportation!$M$40)</f>
        <v>7223693.601552383</v>
      </c>
      <c r="Q399" s="5">
        <f>IF(L399="","",IF([1]Inputs_Outputs!$B$5="Herbaceous",(LCA!$E$29*'[1]LOCH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399" s="5">
        <f>IF(M399="","",$E$2*1000*'[1]LOCH Calc COE Calc'!$C$44)</f>
        <v>4896457.3202133691</v>
      </c>
      <c r="S399" s="6">
        <f>IF(N399="","",SUM(O399:R399)/('[1]LOCH Calc COE Calc'!$C$28))</f>
        <v>98.944366137693251</v>
      </c>
      <c r="T399">
        <f>IF(L399="","",O399/'[1]LOCH Calc COE Calc'!$C$28)</f>
        <v>95.211723610743931</v>
      </c>
      <c r="U399">
        <f>IF(L399="","",P399/'[1]LOCH Calc COE Calc'!$C$28)</f>
        <v>0.31149855329301418</v>
      </c>
      <c r="V399">
        <f>IF(L399="","",Q399/'[1]LOCH Calc COE Calc'!$C$28)</f>
        <v>3.2100000000000004</v>
      </c>
      <c r="W399">
        <f>IF(L399="","",R399/'[1]LOCH Calc COE Calc'!$C$28)</f>
        <v>0.21114397365631307</v>
      </c>
    </row>
    <row r="400" spans="12:23" x14ac:dyDescent="0.25">
      <c r="L400" s="4">
        <f>IF('[1]All Data '!BE405="","",'[1]All Data '!BE405)</f>
        <v>5.5E-2</v>
      </c>
      <c r="M400">
        <f>IF('[1]All Data '!BF405="","",'[1]All Data '!BF405)</f>
        <v>4767.5627999999997</v>
      </c>
      <c r="N400" s="5">
        <f>IF('[1]All Data '!BB405="","",'[1]All Data '!BC405/'[1]All Data '!BH405)</f>
        <v>463124</v>
      </c>
      <c r="O400" s="5">
        <f t="shared" si="8"/>
        <v>2207972754.1872001</v>
      </c>
      <c r="P400" s="5">
        <f>IF(M400="","",$C$2*(1-L400)*907.2/0.621371*N400*[1]Transportation!$M$40)</f>
        <v>7223693.601552383</v>
      </c>
      <c r="Q400" s="5">
        <f>IF(L400="","",IF([1]Inputs_Outputs!$B$5="Herbaceous",(LCA!$E$29*'[1]LOCH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0" s="5">
        <f>IF(M400="","",$E$2*1000*'[1]LOCH Calc COE Calc'!$C$44)</f>
        <v>4896457.3202133691</v>
      </c>
      <c r="S400" s="6">
        <f>IF(N400="","",SUM(O400:R400)/('[1]LOCH Calc COE Calc'!$C$28))</f>
        <v>98.944366137693251</v>
      </c>
      <c r="T400">
        <f>IF(L400="","",O400/'[1]LOCH Calc COE Calc'!$C$28)</f>
        <v>95.211723610743931</v>
      </c>
      <c r="U400">
        <f>IF(L400="","",P400/'[1]LOCH Calc COE Calc'!$C$28)</f>
        <v>0.31149855329301418</v>
      </c>
      <c r="V400">
        <f>IF(L400="","",Q400/'[1]LOCH Calc COE Calc'!$C$28)</f>
        <v>3.2100000000000004</v>
      </c>
      <c r="W400">
        <f>IF(L400="","",R400/'[1]LOCH Calc COE Calc'!$C$28)</f>
        <v>0.21114397365631307</v>
      </c>
    </row>
    <row r="401" spans="12:23" x14ac:dyDescent="0.25">
      <c r="L401" s="4">
        <f>IF('[1]All Data '!BE406="","",'[1]All Data '!BE406)</f>
        <v>5.5E-2</v>
      </c>
      <c r="M401">
        <f>IF('[1]All Data '!BF406="","",'[1]All Data '!BF406)</f>
        <v>4767.5627999999997</v>
      </c>
      <c r="N401" s="5">
        <f>IF('[1]All Data '!BB406="","",'[1]All Data '!BC406/'[1]All Data '!BH406)</f>
        <v>463124</v>
      </c>
      <c r="O401" s="5">
        <f t="shared" si="8"/>
        <v>2207972754.1872001</v>
      </c>
      <c r="P401" s="5">
        <f>IF(M401="","",$C$2*(1-L401)*907.2/0.621371*N401*[1]Transportation!$M$40)</f>
        <v>7223693.601552383</v>
      </c>
      <c r="Q401" s="5">
        <f>IF(L401="","",IF([1]Inputs_Outputs!$B$5="Herbaceous",(LCA!$E$29*'[1]LOCH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1" s="5">
        <f>IF(M401="","",$E$2*1000*'[1]LOCH Calc COE Calc'!$C$44)</f>
        <v>4896457.3202133691</v>
      </c>
      <c r="S401" s="6">
        <f>IF(N401="","",SUM(O401:R401)/('[1]LOCH Calc COE Calc'!$C$28))</f>
        <v>98.944366137693251</v>
      </c>
      <c r="T401">
        <f>IF(L401="","",O401/'[1]LOCH Calc COE Calc'!$C$28)</f>
        <v>95.211723610743931</v>
      </c>
      <c r="U401">
        <f>IF(L401="","",P401/'[1]LOCH Calc COE Calc'!$C$28)</f>
        <v>0.31149855329301418</v>
      </c>
      <c r="V401">
        <f>IF(L401="","",Q401/'[1]LOCH Calc COE Calc'!$C$28)</f>
        <v>3.2100000000000004</v>
      </c>
      <c r="W401">
        <f>IF(L401="","",R401/'[1]LOCH Calc COE Calc'!$C$28)</f>
        <v>0.21114397365631307</v>
      </c>
    </row>
    <row r="402" spans="12:23" x14ac:dyDescent="0.25">
      <c r="L402" s="4">
        <f>IF('[1]All Data '!BE407="","",'[1]All Data '!BE407)</f>
        <v>5.5E-2</v>
      </c>
      <c r="M402">
        <f>IF('[1]All Data '!BF407="","",'[1]All Data '!BF407)</f>
        <v>4767.5627999999997</v>
      </c>
      <c r="N402" s="5">
        <f>IF('[1]All Data '!BB407="","",'[1]All Data '!BC407/'[1]All Data '!BH407)</f>
        <v>463124</v>
      </c>
      <c r="O402" s="5">
        <f t="shared" si="8"/>
        <v>2207972754.1872001</v>
      </c>
      <c r="P402" s="5">
        <f>IF(M402="","",$C$2*(1-L402)*907.2/0.621371*N402*[1]Transportation!$M$40)</f>
        <v>7223693.601552383</v>
      </c>
      <c r="Q402" s="5">
        <f>IF(L402="","",IF([1]Inputs_Outputs!$B$5="Herbaceous",(LCA!$E$29*'[1]LOCH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2" s="5">
        <f>IF(M402="","",$E$2*1000*'[1]LOCH Calc COE Calc'!$C$44)</f>
        <v>4896457.3202133691</v>
      </c>
      <c r="S402" s="6">
        <f>IF(N402="","",SUM(O402:R402)/('[1]LOCH Calc COE Calc'!$C$28))</f>
        <v>98.944366137693251</v>
      </c>
      <c r="T402">
        <f>IF(L402="","",O402/'[1]LOCH Calc COE Calc'!$C$28)</f>
        <v>95.211723610743931</v>
      </c>
      <c r="U402">
        <f>IF(L402="","",P402/'[1]LOCH Calc COE Calc'!$C$28)</f>
        <v>0.31149855329301418</v>
      </c>
      <c r="V402">
        <f>IF(L402="","",Q402/'[1]LOCH Calc COE Calc'!$C$28)</f>
        <v>3.2100000000000004</v>
      </c>
      <c r="W402">
        <f>IF(L402="","",R402/'[1]LOCH Calc COE Calc'!$C$28)</f>
        <v>0.21114397365631307</v>
      </c>
    </row>
    <row r="403" spans="12:23" x14ac:dyDescent="0.25">
      <c r="L403" s="4">
        <f>IF('[1]All Data '!BE408="","",'[1]All Data '!BE408)</f>
        <v>5.5E-2</v>
      </c>
      <c r="M403">
        <f>IF('[1]All Data '!BF408="","",'[1]All Data '!BF408)</f>
        <v>4767.5627999999997</v>
      </c>
      <c r="N403" s="5">
        <f>IF('[1]All Data '!BB408="","",'[1]All Data '!BC408/'[1]All Data '!BH408)</f>
        <v>463124</v>
      </c>
      <c r="O403" s="5">
        <f t="shared" si="8"/>
        <v>2207972754.1872001</v>
      </c>
      <c r="P403" s="5">
        <f>IF(M403="","",$C$2*(1-L403)*907.2/0.621371*N403*[1]Transportation!$M$40)</f>
        <v>7223693.601552383</v>
      </c>
      <c r="Q403" s="5">
        <f>IF(L403="","",IF([1]Inputs_Outputs!$B$5="Herbaceous",(LCA!$E$29*'[1]LOCH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3" s="5">
        <f>IF(M403="","",$E$2*1000*'[1]LOCH Calc COE Calc'!$C$44)</f>
        <v>4896457.3202133691</v>
      </c>
      <c r="S403" s="6">
        <f>IF(N403="","",SUM(O403:R403)/('[1]LOCH Calc COE Calc'!$C$28))</f>
        <v>98.944366137693251</v>
      </c>
      <c r="T403">
        <f>IF(L403="","",O403/'[1]LOCH Calc COE Calc'!$C$28)</f>
        <v>95.211723610743931</v>
      </c>
      <c r="U403">
        <f>IF(L403="","",P403/'[1]LOCH Calc COE Calc'!$C$28)</f>
        <v>0.31149855329301418</v>
      </c>
      <c r="V403">
        <f>IF(L403="","",Q403/'[1]LOCH Calc COE Calc'!$C$28)</f>
        <v>3.2100000000000004</v>
      </c>
      <c r="W403">
        <f>IF(L403="","",R403/'[1]LOCH Calc COE Calc'!$C$28)</f>
        <v>0.21114397365631307</v>
      </c>
    </row>
    <row r="404" spans="12:23" x14ac:dyDescent="0.25">
      <c r="L404" s="4">
        <f>IF('[1]All Data '!BE409="","",'[1]All Data '!BE409)</f>
        <v>5.5E-2</v>
      </c>
      <c r="M404">
        <f>IF('[1]All Data '!BF409="","",'[1]All Data '!BF409)</f>
        <v>4767.5627999999997</v>
      </c>
      <c r="N404" s="5">
        <f>IF('[1]All Data '!BB409="","",'[1]All Data '!BC409/'[1]All Data '!BH409)</f>
        <v>461903</v>
      </c>
      <c r="O404" s="5">
        <f t="shared" si="8"/>
        <v>2202151560.0084</v>
      </c>
      <c r="P404" s="5">
        <f>IF(M404="","",$C$2*(1-L404)*907.2/0.621371*N404*[1]Transportation!$M$40)</f>
        <v>7204648.7455581017</v>
      </c>
      <c r="Q404" s="5">
        <f>IF(L404="","",IF([1]Inputs_Outputs!$B$5="Herbaceous",(LCA!$E$29*'[1]LOCH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4" s="5">
        <f>IF(M404="","",$E$2*1000*'[1]LOCH Calc COE Calc'!$C$44)</f>
        <v>4896457.3202133691</v>
      </c>
      <c r="S404" s="6">
        <f>IF(N404="","",SUM(O404:R404)/('[1]LOCH Calc COE Calc'!$C$28))</f>
        <v>98.692524613042636</v>
      </c>
      <c r="T404">
        <f>IF(L404="","",O404/'[1]LOCH Calc COE Calc'!$C$28)</f>
        <v>94.960703334254859</v>
      </c>
      <c r="U404">
        <f>IF(L404="","",P404/'[1]LOCH Calc COE Calc'!$C$28)</f>
        <v>0.3106773051314618</v>
      </c>
      <c r="V404">
        <f>IF(L404="","",Q404/'[1]LOCH Calc COE Calc'!$C$28)</f>
        <v>3.2100000000000004</v>
      </c>
      <c r="W404">
        <f>IF(L404="","",R404/'[1]LOCH Calc COE Calc'!$C$28)</f>
        <v>0.21114397365631307</v>
      </c>
    </row>
    <row r="405" spans="12:23" x14ac:dyDescent="0.25">
      <c r="L405" s="4">
        <f>IF('[1]All Data '!BE410="","",'[1]All Data '!BE410)</f>
        <v>5.5E-2</v>
      </c>
      <c r="M405">
        <f>IF('[1]All Data '!BF410="","",'[1]All Data '!BF410)</f>
        <v>4767.5627999999997</v>
      </c>
      <c r="N405" s="5">
        <f>IF('[1]All Data '!BB410="","",'[1]All Data '!BC410/'[1]All Data '!BH410)</f>
        <v>460470</v>
      </c>
      <c r="O405" s="5">
        <f t="shared" si="8"/>
        <v>2195319642.5159998</v>
      </c>
      <c r="P405" s="5">
        <f>IF(M405="","",$C$2*(1-L405)*907.2/0.621371*N405*[1]Transportation!$M$40)</f>
        <v>7182297.1660005217</v>
      </c>
      <c r="Q405" s="5">
        <f>IF(L405="","",IF([1]Inputs_Outputs!$B$5="Herbaceous",(LCA!$E$29*'[1]LOCH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5" s="5">
        <f>IF(M405="","",$E$2*1000*'[1]LOCH Calc COE Calc'!$C$44)</f>
        <v>4896457.3202133691</v>
      </c>
      <c r="S405" s="6">
        <f>IF(N405="","",SUM(O405:R405)/('[1]LOCH Calc COE Calc'!$C$28))</f>
        <v>98.396956304423185</v>
      </c>
      <c r="T405">
        <f>IF(L405="","",O405/'[1]LOCH Calc COE Calc'!$C$28)</f>
        <v>94.666098865615368</v>
      </c>
      <c r="U405">
        <f>IF(L405="","",P405/'[1]LOCH Calc COE Calc'!$C$28)</f>
        <v>0.30971346515152365</v>
      </c>
      <c r="V405">
        <f>IF(L405="","",Q405/'[1]LOCH Calc COE Calc'!$C$28)</f>
        <v>3.2100000000000004</v>
      </c>
      <c r="W405">
        <f>IF(L405="","",R405/'[1]LOCH Calc COE Calc'!$C$28)</f>
        <v>0.21114397365631307</v>
      </c>
    </row>
    <row r="406" spans="12:23" x14ac:dyDescent="0.25">
      <c r="L406" s="4">
        <f>IF('[1]All Data '!BE411="","",'[1]All Data '!BE411)</f>
        <v>5.5E-2</v>
      </c>
      <c r="M406">
        <f>IF('[1]All Data '!BF411="","",'[1]All Data '!BF411)</f>
        <v>4767.5627999999997</v>
      </c>
      <c r="N406" s="5">
        <f>IF('[1]All Data '!BB411="","",'[1]All Data '!BC411/'[1]All Data '!BH411)</f>
        <v>456642</v>
      </c>
      <c r="O406" s="5">
        <f t="shared" si="8"/>
        <v>2177069412.1176</v>
      </c>
      <c r="P406" s="5">
        <f>IF(M406="","",$C$2*(1-L406)*907.2/0.621371*N406*[1]Transportation!$M$40)</f>
        <v>7122588.9688292611</v>
      </c>
      <c r="Q406" s="5">
        <f>IF(L406="","",IF([1]Inputs_Outputs!$B$5="Herbaceous",(LCA!$E$29*'[1]LOCH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6" s="5">
        <f>IF(M406="","",$E$2*1000*'[1]LOCH Calc COE Calc'!$C$44)</f>
        <v>4896457.3202133691</v>
      </c>
      <c r="S406" s="6">
        <f>IF(N406="","",SUM(O406:R406)/('[1]LOCH Calc COE Calc'!$C$28))</f>
        <v>97.607399092005068</v>
      </c>
      <c r="T406">
        <f>IF(L406="","",O406/'[1]LOCH Calc COE Calc'!$C$28)</f>
        <v>93.879116377163186</v>
      </c>
      <c r="U406">
        <f>IF(L406="","",P406/'[1]LOCH Calc COE Calc'!$C$28)</f>
        <v>0.30713874118557571</v>
      </c>
      <c r="V406">
        <f>IF(L406="","",Q406/'[1]LOCH Calc COE Calc'!$C$28)</f>
        <v>3.2100000000000004</v>
      </c>
      <c r="W406">
        <f>IF(L406="","",R406/'[1]LOCH Calc COE Calc'!$C$28)</f>
        <v>0.21114397365631307</v>
      </c>
    </row>
    <row r="407" spans="12:23" x14ac:dyDescent="0.25">
      <c r="L407" s="4">
        <f>IF('[1]All Data '!BE412="","",'[1]All Data '!BE412)</f>
        <v>5.5000000000000007E-2</v>
      </c>
      <c r="M407">
        <f>IF('[1]All Data '!BF412="","",'[1]All Data '!BF412)</f>
        <v>4767.5627999999997</v>
      </c>
      <c r="N407" s="5">
        <f>IF('[1]All Data '!BB412="","",'[1]All Data '!BC412/'[1]All Data '!BH412)</f>
        <v>453081</v>
      </c>
      <c r="O407" s="5">
        <f t="shared" si="8"/>
        <v>2160092120.9867997</v>
      </c>
      <c r="P407" s="5">
        <f>IF(M407="","",$C$2*(1-L407)*907.2/0.621371*N407*[1]Transportation!$M$40)</f>
        <v>7067045.3716174392</v>
      </c>
      <c r="Q407" s="5">
        <f>IF(L407="","",IF([1]Inputs_Outputs!$B$5="Herbaceous",(LCA!$E$29*'[1]LOCH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7" s="5">
        <f>IF(M407="","",$E$2*1000*'[1]LOCH Calc COE Calc'!$C$44)</f>
        <v>4896457.3202133691</v>
      </c>
      <c r="S407" s="6">
        <f>IF(N407="","",SUM(O407:R407)/('[1]LOCH Calc COE Calc'!$C$28))</f>
        <v>96.872912876377839</v>
      </c>
      <c r="T407">
        <f>IF(L407="","",O407/'[1]LOCH Calc COE Calc'!$C$28)</f>
        <v>93.147025300523097</v>
      </c>
      <c r="U407">
        <f>IF(L407="","",P407/'[1]LOCH Calc COE Calc'!$C$28)</f>
        <v>0.30474360219844393</v>
      </c>
      <c r="V407">
        <f>IF(L407="","",Q407/'[1]LOCH Calc COE Calc'!$C$28)</f>
        <v>3.2100000000000004</v>
      </c>
      <c r="W407">
        <f>IF(L407="","",R407/'[1]LOCH Calc COE Calc'!$C$28)</f>
        <v>0.21114397365631307</v>
      </c>
    </row>
    <row r="408" spans="12:23" x14ac:dyDescent="0.25">
      <c r="L408" s="4">
        <f>IF('[1]All Data '!BE413="","",'[1]All Data '!BE413)</f>
        <v>5.5000000000000007E-2</v>
      </c>
      <c r="M408">
        <f>IF('[1]All Data '!BF413="","",'[1]All Data '!BF413)</f>
        <v>4767.5627999999997</v>
      </c>
      <c r="N408" s="5">
        <f>IF('[1]All Data '!BB413="","",'[1]All Data '!BC413/'[1]All Data '!BH413)</f>
        <v>452669</v>
      </c>
      <c r="O408" s="5">
        <f t="shared" si="8"/>
        <v>2158127885.1131997</v>
      </c>
      <c r="P408" s="5">
        <f>IF(M408="","",$C$2*(1-L408)*907.2/0.621371*N408*[1]Transportation!$M$40)</f>
        <v>7060619.0975227281</v>
      </c>
      <c r="Q408" s="5">
        <f>IF(L408="","",IF([1]Inputs_Outputs!$B$5="Herbaceous",(LCA!$E$29*'[1]LOCH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8" s="5">
        <f>IF(M408="","",$E$2*1000*'[1]LOCH Calc COE Calc'!$C$44)</f>
        <v>4896457.3202133691</v>
      </c>
      <c r="S408" s="6">
        <f>IF(N408="","",SUM(O408:R408)/('[1]LOCH Calc COE Calc'!$C$28))</f>
        <v>96.787934409419577</v>
      </c>
      <c r="T408">
        <f>IF(L408="","",O408/'[1]LOCH Calc COE Calc'!$C$28)</f>
        <v>93.062323945966597</v>
      </c>
      <c r="U408">
        <f>IF(L408="","",P408/'[1]LOCH Calc COE Calc'!$C$28)</f>
        <v>0.30446648979667529</v>
      </c>
      <c r="V408">
        <f>IF(L408="","",Q408/'[1]LOCH Calc COE Calc'!$C$28)</f>
        <v>3.2100000000000004</v>
      </c>
      <c r="W408">
        <f>IF(L408="","",R408/'[1]LOCH Calc COE Calc'!$C$28)</f>
        <v>0.21114397365631307</v>
      </c>
    </row>
    <row r="409" spans="12:23" x14ac:dyDescent="0.25">
      <c r="L409" s="4">
        <f>IF('[1]All Data '!BE414="","",'[1]All Data '!BE414)</f>
        <v>5.5E-2</v>
      </c>
      <c r="M409">
        <f>IF('[1]All Data '!BF414="","",'[1]All Data '!BF414)</f>
        <v>4767.5627999999997</v>
      </c>
      <c r="N409" s="5">
        <f>IF('[1]All Data '!BB414="","",'[1]All Data '!BC414/'[1]All Data '!BH414)</f>
        <v>450118</v>
      </c>
      <c r="O409" s="5">
        <f t="shared" si="8"/>
        <v>2145965832.4103999</v>
      </c>
      <c r="P409" s="5">
        <f>IF(M409="","",$C$2*(1-L409)*907.2/0.621371*N409*[1]Transportation!$M$40)</f>
        <v>7020829.2304945439</v>
      </c>
      <c r="Q409" s="5">
        <f>IF(L409="","",IF([1]Inputs_Outputs!$B$5="Herbaceous",(LCA!$E$29*'[1]LOCH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09" s="5">
        <f>IF(M409="","",$E$2*1000*'[1]LOCH Calc COE Calc'!$C$44)</f>
        <v>4896457.3202133691</v>
      </c>
      <c r="S409" s="6">
        <f>IF(N409="","",SUM(O409:R409)/('[1]LOCH Calc COE Calc'!$C$28))</f>
        <v>96.261769192889119</v>
      </c>
      <c r="T409">
        <f>IF(L409="","",O409/'[1]LOCH Calc COE Calc'!$C$28)</f>
        <v>92.537874539477187</v>
      </c>
      <c r="U409">
        <f>IF(L409="","",P409/'[1]LOCH Calc COE Calc'!$C$28)</f>
        <v>0.30275067975562686</v>
      </c>
      <c r="V409">
        <f>IF(L409="","",Q409/'[1]LOCH Calc COE Calc'!$C$28)</f>
        <v>3.2100000000000004</v>
      </c>
      <c r="W409">
        <f>IF(L409="","",R409/'[1]LOCH Calc COE Calc'!$C$28)</f>
        <v>0.21114397365631307</v>
      </c>
    </row>
    <row r="410" spans="12:23" x14ac:dyDescent="0.25">
      <c r="L410" s="4">
        <f>IF('[1]All Data '!BE415="","",'[1]All Data '!BE415)</f>
        <v>5.5E-2</v>
      </c>
      <c r="M410">
        <f>IF('[1]All Data '!BF415="","",'[1]All Data '!BF415)</f>
        <v>4767.5627999999997</v>
      </c>
      <c r="N410" s="5">
        <f>IF('[1]All Data '!BB415="","",'[1]All Data '!BC415/'[1]All Data '!BH415)</f>
        <v>450118</v>
      </c>
      <c r="O410" s="5">
        <f t="shared" si="8"/>
        <v>2145965832.4103999</v>
      </c>
      <c r="P410" s="5">
        <f>IF(M410="","",$C$2*(1-L410)*907.2/0.621371*N410*[1]Transportation!$M$40)</f>
        <v>7020829.2304945439</v>
      </c>
      <c r="Q410" s="5">
        <f>IF(L410="","",IF([1]Inputs_Outputs!$B$5="Herbaceous",(LCA!$E$29*'[1]LOCH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0" s="5">
        <f>IF(M410="","",$E$2*1000*'[1]LOCH Calc COE Calc'!$C$44)</f>
        <v>4896457.3202133691</v>
      </c>
      <c r="S410" s="6">
        <f>IF(N410="","",SUM(O410:R410)/('[1]LOCH Calc COE Calc'!$C$28))</f>
        <v>96.261769192889119</v>
      </c>
      <c r="T410">
        <f>IF(L410="","",O410/'[1]LOCH Calc COE Calc'!$C$28)</f>
        <v>92.537874539477187</v>
      </c>
      <c r="U410">
        <f>IF(L410="","",P410/'[1]LOCH Calc COE Calc'!$C$28)</f>
        <v>0.30275067975562686</v>
      </c>
      <c r="V410">
        <f>IF(L410="","",Q410/'[1]LOCH Calc COE Calc'!$C$28)</f>
        <v>3.2100000000000004</v>
      </c>
      <c r="W410">
        <f>IF(L410="","",R410/'[1]LOCH Calc COE Calc'!$C$28)</f>
        <v>0.21114397365631307</v>
      </c>
    </row>
    <row r="411" spans="12:23" x14ac:dyDescent="0.25">
      <c r="L411" s="4">
        <f>IF('[1]All Data '!BE416="","",'[1]All Data '!BE416)</f>
        <v>5.5E-2</v>
      </c>
      <c r="M411">
        <f>IF('[1]All Data '!BF416="","",'[1]All Data '!BF416)</f>
        <v>4767.5627999999997</v>
      </c>
      <c r="N411" s="5">
        <f>IF('[1]All Data '!BB416="","",'[1]All Data '!BC416/'[1]All Data '!BH416)</f>
        <v>450118</v>
      </c>
      <c r="O411" s="5">
        <f t="shared" si="8"/>
        <v>2145965832.4103999</v>
      </c>
      <c r="P411" s="5">
        <f>IF(M411="","",$C$2*(1-L411)*907.2/0.621371*N411*[1]Transportation!$M$40)</f>
        <v>7020829.2304945439</v>
      </c>
      <c r="Q411" s="5">
        <f>IF(L411="","",IF([1]Inputs_Outputs!$B$5="Herbaceous",(LCA!$E$29*'[1]LOCH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1" s="5">
        <f>IF(M411="","",$E$2*1000*'[1]LOCH Calc COE Calc'!$C$44)</f>
        <v>4896457.3202133691</v>
      </c>
      <c r="S411" s="6">
        <f>IF(N411="","",SUM(O411:R411)/('[1]LOCH Calc COE Calc'!$C$28))</f>
        <v>96.261769192889119</v>
      </c>
      <c r="T411">
        <f>IF(L411="","",O411/'[1]LOCH Calc COE Calc'!$C$28)</f>
        <v>92.537874539477187</v>
      </c>
      <c r="U411">
        <f>IF(L411="","",P411/'[1]LOCH Calc COE Calc'!$C$28)</f>
        <v>0.30275067975562686</v>
      </c>
      <c r="V411">
        <f>IF(L411="","",Q411/'[1]LOCH Calc COE Calc'!$C$28)</f>
        <v>3.2100000000000004</v>
      </c>
      <c r="W411">
        <f>IF(L411="","",R411/'[1]LOCH Calc COE Calc'!$C$28)</f>
        <v>0.21114397365631307</v>
      </c>
    </row>
    <row r="412" spans="12:23" x14ac:dyDescent="0.25">
      <c r="L412" s="4">
        <f>IF('[1]All Data '!BE417="","",'[1]All Data '!BE417)</f>
        <v>5.5E-2</v>
      </c>
      <c r="M412">
        <f>IF('[1]All Data '!BF417="","",'[1]All Data '!BF417)</f>
        <v>4767.5627999999997</v>
      </c>
      <c r="N412" s="5">
        <f>IF('[1]All Data '!BB417="","",'[1]All Data '!BC417/'[1]All Data '!BH417)</f>
        <v>448697</v>
      </c>
      <c r="O412" s="5">
        <f t="shared" si="8"/>
        <v>2139191125.6715999</v>
      </c>
      <c r="P412" s="5">
        <f>IF(M412="","",$C$2*(1-L412)*907.2/0.621371*N412*[1]Transportation!$M$40)</f>
        <v>6998664.8239688501</v>
      </c>
      <c r="Q412" s="5">
        <f>IF(L412="","",IF([1]Inputs_Outputs!$B$5="Herbaceous",(LCA!$E$29*'[1]LOCH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2" s="5">
        <f>IF(M412="","",$E$2*1000*'[1]LOCH Calc COE Calc'!$C$44)</f>
        <v>4896457.3202133691</v>
      </c>
      <c r="S412" s="6">
        <f>IF(N412="","",SUM(O412:R412)/('[1]LOCH Calc COE Calc'!$C$28))</f>
        <v>95.96867598524905</v>
      </c>
      <c r="T412">
        <f>IF(L412="","",O412/'[1]LOCH Calc COE Calc'!$C$28)</f>
        <v>92.245737100582048</v>
      </c>
      <c r="U412">
        <f>IF(L412="","",P412/'[1]LOCH Calc COE Calc'!$C$28)</f>
        <v>0.30179491101069172</v>
      </c>
      <c r="V412">
        <f>IF(L412="","",Q412/'[1]LOCH Calc COE Calc'!$C$28)</f>
        <v>3.2100000000000004</v>
      </c>
      <c r="W412">
        <f>IF(L412="","",R412/'[1]LOCH Calc COE Calc'!$C$28)</f>
        <v>0.21114397365631307</v>
      </c>
    </row>
    <row r="413" spans="12:23" x14ac:dyDescent="0.25">
      <c r="L413" s="4">
        <f>IF('[1]All Data '!BE418="","",'[1]All Data '!BE418)</f>
        <v>5.5E-2</v>
      </c>
      <c r="M413">
        <f>IF('[1]All Data '!BF418="","",'[1]All Data '!BF418)</f>
        <v>4767.5627999999997</v>
      </c>
      <c r="N413" s="5">
        <f>IF('[1]All Data '!BB418="","",'[1]All Data '!BC418/'[1]All Data '!BH418)</f>
        <v>448041</v>
      </c>
      <c r="O413" s="5">
        <f t="shared" si="8"/>
        <v>2136063604.4747999</v>
      </c>
      <c r="P413" s="5">
        <f>IF(M413="","",$C$2*(1-L413)*907.2/0.621371*N413*[1]Transportation!$M$40)</f>
        <v>6988432.698225813</v>
      </c>
      <c r="Q413" s="5">
        <f>IF(L413="","",IF([1]Inputs_Outputs!$B$5="Herbaceous",(LCA!$E$29*'[1]LOCH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3" s="5">
        <f>IF(M413="","",$E$2*1000*'[1]LOCH Calc COE Calc'!$C$44)</f>
        <v>4896457.3202133691</v>
      </c>
      <c r="S413" s="6">
        <f>IF(N413="","",SUM(O413:R413)/('[1]LOCH Calc COE Calc'!$C$28))</f>
        <v>95.833370465043643</v>
      </c>
      <c r="T413">
        <f>IF(L413="","",O413/'[1]LOCH Calc COE Calc'!$C$28)</f>
        <v>92.110872807890146</v>
      </c>
      <c r="U413">
        <f>IF(L413="","",P413/'[1]LOCH Calc COE Calc'!$C$28)</f>
        <v>0.30135368349719593</v>
      </c>
      <c r="V413">
        <f>IF(L413="","",Q413/'[1]LOCH Calc COE Calc'!$C$28)</f>
        <v>3.2100000000000004</v>
      </c>
      <c r="W413">
        <f>IF(L413="","",R413/'[1]LOCH Calc COE Calc'!$C$28)</f>
        <v>0.21114397365631307</v>
      </c>
    </row>
    <row r="414" spans="12:23" x14ac:dyDescent="0.25">
      <c r="L414" s="4">
        <f>IF('[1]All Data '!BE419="","",'[1]All Data '!BE419)</f>
        <v>5.5E-2</v>
      </c>
      <c r="M414">
        <f>IF('[1]All Data '!BF419="","",'[1]All Data '!BF419)</f>
        <v>4767.5627999999997</v>
      </c>
      <c r="N414" s="5">
        <f>IF('[1]All Data '!BB419="","",'[1]All Data '!BC419/'[1]All Data '!BH419)</f>
        <v>447473</v>
      </c>
      <c r="O414" s="5">
        <f t="shared" si="8"/>
        <v>2133355628.8044</v>
      </c>
      <c r="P414" s="5">
        <f>IF(M414="","",$C$2*(1-L414)*907.2/0.621371*N414*[1]Transportation!$M$40)</f>
        <v>6979573.1747165974</v>
      </c>
      <c r="Q414" s="5">
        <f>IF(L414="","",IF([1]Inputs_Outputs!$B$5="Herbaceous",(LCA!$E$29*'[1]LOCH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4" s="5">
        <f>IF(M414="","",$E$2*1000*'[1]LOCH Calc COE Calc'!$C$44)</f>
        <v>4896457.3202133691</v>
      </c>
      <c r="S414" s="6">
        <f>IF(N414="","",SUM(O414:R414)/('[1]LOCH Calc COE Calc'!$C$28))</f>
        <v>95.716215685353617</v>
      </c>
      <c r="T414">
        <f>IF(L414="","",O414/'[1]LOCH Calc COE Calc'!$C$28)</f>
        <v>91.994100066656912</v>
      </c>
      <c r="U414">
        <f>IF(L414="","",P414/'[1]LOCH Calc COE Calc'!$C$28)</f>
        <v>0.30097164504038859</v>
      </c>
      <c r="V414">
        <f>IF(L414="","",Q414/'[1]LOCH Calc COE Calc'!$C$28)</f>
        <v>3.2100000000000004</v>
      </c>
      <c r="W414">
        <f>IF(L414="","",R414/'[1]LOCH Calc COE Calc'!$C$28)</f>
        <v>0.21114397365631307</v>
      </c>
    </row>
    <row r="415" spans="12:23" x14ac:dyDescent="0.25">
      <c r="L415" s="4">
        <f>IF('[1]All Data '!BE420="","",'[1]All Data '!BE420)</f>
        <v>5.5E-2</v>
      </c>
      <c r="M415">
        <f>IF('[1]All Data '!BF420="","",'[1]All Data '!BF420)</f>
        <v>4767.5627999999997</v>
      </c>
      <c r="N415" s="5">
        <f>IF('[1]All Data '!BB420="","",'[1]All Data '!BC420/'[1]All Data '!BH420)</f>
        <v>445904</v>
      </c>
      <c r="O415" s="5">
        <f t="shared" si="8"/>
        <v>2125875322.7711999</v>
      </c>
      <c r="P415" s="5">
        <f>IF(M415="","",$C$2*(1-L415)*907.2/0.621371*N415*[1]Transportation!$M$40)</f>
        <v>6955100.3007976562</v>
      </c>
      <c r="Q415" s="5">
        <f>IF(L415="","",IF([1]Inputs_Outputs!$B$5="Herbaceous",(LCA!$E$29*'[1]LOCH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5" s="5">
        <f>IF(M415="","",$E$2*1000*'[1]LOCH Calc COE Calc'!$C$44)</f>
        <v>4896457.3202133691</v>
      </c>
      <c r="S415" s="6">
        <f>IF(N415="","",SUM(O415:R415)/('[1]LOCH Calc COE Calc'!$C$28))</f>
        <v>95.392596232301344</v>
      </c>
      <c r="T415">
        <f>IF(L415="","",O415/'[1]LOCH Calc COE Calc'!$C$28)</f>
        <v>91.671535927581289</v>
      </c>
      <c r="U415">
        <f>IF(L415="","",P415/'[1]LOCH Calc COE Calc'!$C$28)</f>
        <v>0.2999163310637501</v>
      </c>
      <c r="V415">
        <f>IF(L415="","",Q415/'[1]LOCH Calc COE Calc'!$C$28)</f>
        <v>3.2100000000000004</v>
      </c>
      <c r="W415">
        <f>IF(L415="","",R415/'[1]LOCH Calc COE Calc'!$C$28)</f>
        <v>0.21114397365631307</v>
      </c>
    </row>
    <row r="416" spans="12:23" x14ac:dyDescent="0.25">
      <c r="L416" s="4">
        <f>IF('[1]All Data '!BE421="","",'[1]All Data '!BE421)</f>
        <v>5.5E-2</v>
      </c>
      <c r="M416">
        <f>IF('[1]All Data '!BF421="","",'[1]All Data '!BF421)</f>
        <v>4767.5627999999997</v>
      </c>
      <c r="N416" s="5">
        <f>IF('[1]All Data '!BB421="","",'[1]All Data '!BC421/'[1]All Data '!BH421)</f>
        <v>445904</v>
      </c>
      <c r="O416" s="5">
        <f t="shared" si="8"/>
        <v>2125875322.7711999</v>
      </c>
      <c r="P416" s="5">
        <f>IF(M416="","",$C$2*(1-L416)*907.2/0.621371*N416*[1]Transportation!$M$40)</f>
        <v>6955100.3007976562</v>
      </c>
      <c r="Q416" s="5">
        <f>IF(L416="","",IF([1]Inputs_Outputs!$B$5="Herbaceous",(LCA!$E$29*'[1]LOCH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6" s="5">
        <f>IF(M416="","",$E$2*1000*'[1]LOCH Calc COE Calc'!$C$44)</f>
        <v>4896457.3202133691</v>
      </c>
      <c r="S416" s="6">
        <f>IF(N416="","",SUM(O416:R416)/('[1]LOCH Calc COE Calc'!$C$28))</f>
        <v>95.392596232301344</v>
      </c>
      <c r="T416">
        <f>IF(L416="","",O416/'[1]LOCH Calc COE Calc'!$C$28)</f>
        <v>91.671535927581289</v>
      </c>
      <c r="U416">
        <f>IF(L416="","",P416/'[1]LOCH Calc COE Calc'!$C$28)</f>
        <v>0.2999163310637501</v>
      </c>
      <c r="V416">
        <f>IF(L416="","",Q416/'[1]LOCH Calc COE Calc'!$C$28)</f>
        <v>3.2100000000000004</v>
      </c>
      <c r="W416">
        <f>IF(L416="","",R416/'[1]LOCH Calc COE Calc'!$C$28)</f>
        <v>0.21114397365631307</v>
      </c>
    </row>
    <row r="417" spans="12:23" x14ac:dyDescent="0.25">
      <c r="L417" s="4">
        <f>IF('[1]All Data '!BE422="","",'[1]All Data '!BE422)</f>
        <v>5.5E-2</v>
      </c>
      <c r="M417">
        <f>IF('[1]All Data '!BF422="","",'[1]All Data '!BF422)</f>
        <v>4767.5627999999997</v>
      </c>
      <c r="N417" s="5">
        <f>IF('[1]All Data '!BB422="","",'[1]All Data '!BC422/'[1]All Data '!BH422)</f>
        <v>445400</v>
      </c>
      <c r="O417" s="5">
        <f t="shared" si="8"/>
        <v>2123472471.1199999</v>
      </c>
      <c r="P417" s="5">
        <f>IF(M417="","",$C$2*(1-L417)*907.2/0.621371*N417*[1]Transportation!$M$40)</f>
        <v>6947239.0334584936</v>
      </c>
      <c r="Q417" s="5">
        <f>IF(L417="","",IF([1]Inputs_Outputs!$B$5="Herbaceous",(LCA!$E$29*'[1]LOCH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7" s="5">
        <f>IF(M417="","",$E$2*1000*'[1]LOCH Calc COE Calc'!$C$44)</f>
        <v>4896457.3202133691</v>
      </c>
      <c r="S417" s="6">
        <f>IF(N417="","",SUM(O417:R417)/('[1]LOCH Calc COE Calc'!$C$28))</f>
        <v>95.288641991167935</v>
      </c>
      <c r="T417">
        <f>IF(L417="","",O417/'[1]LOCH Calc COE Calc'!$C$28)</f>
        <v>91.567920678317989</v>
      </c>
      <c r="U417">
        <f>IF(L417="","",P417/'[1]LOCH Calc COE Calc'!$C$28)</f>
        <v>0.29957733919362528</v>
      </c>
      <c r="V417">
        <f>IF(L417="","",Q417/'[1]LOCH Calc COE Calc'!$C$28)</f>
        <v>3.2100000000000004</v>
      </c>
      <c r="W417">
        <f>IF(L417="","",R417/'[1]LOCH Calc COE Calc'!$C$28)</f>
        <v>0.21114397365631307</v>
      </c>
    </row>
    <row r="418" spans="12:23" x14ac:dyDescent="0.25">
      <c r="L418" s="4">
        <f>IF('[1]All Data '!BE423="","",'[1]All Data '!BE423)</f>
        <v>5.5E-2</v>
      </c>
      <c r="M418">
        <f>IF('[1]All Data '!BF423="","",'[1]All Data '!BF423)</f>
        <v>4767.5627999999997</v>
      </c>
      <c r="N418" s="5">
        <f>IF('[1]All Data '!BB423="","",'[1]All Data '!BC423/'[1]All Data '!BH423)</f>
        <v>445135</v>
      </c>
      <c r="O418" s="5">
        <f t="shared" si="8"/>
        <v>2122209066.9779999</v>
      </c>
      <c r="P418" s="5">
        <f>IF(M418="","",$C$2*(1-L418)*907.2/0.621371*N418*[1]Transportation!$M$40)</f>
        <v>6943105.6290043704</v>
      </c>
      <c r="Q418" s="5">
        <f>IF(L418="","",IF([1]Inputs_Outputs!$B$5="Herbaceous",(LCA!$E$29*'[1]LOCH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8" s="5">
        <f>IF(M418="","",$E$2*1000*'[1]LOCH Calc COE Calc'!$C$44)</f>
        <v>4896457.3202133691</v>
      </c>
      <c r="S418" s="6">
        <f>IF(N418="","",SUM(O418:R418)/('[1]LOCH Calc COE Calc'!$C$28))</f>
        <v>95.233983511206915</v>
      </c>
      <c r="T418">
        <f>IF(L418="","",O418/'[1]LOCH Calc COE Calc'!$C$28)</f>
        <v>91.513440438129948</v>
      </c>
      <c r="U418">
        <f>IF(L418="","",P418/'[1]LOCH Calc COE Calc'!$C$28)</f>
        <v>0.29939909942064302</v>
      </c>
      <c r="V418">
        <f>IF(L418="","",Q418/'[1]LOCH Calc COE Calc'!$C$28)</f>
        <v>3.2100000000000004</v>
      </c>
      <c r="W418">
        <f>IF(L418="","",R418/'[1]LOCH Calc COE Calc'!$C$28)</f>
        <v>0.21114397365631307</v>
      </c>
    </row>
    <row r="419" spans="12:23" x14ac:dyDescent="0.25">
      <c r="L419" s="4">
        <f>IF('[1]All Data '!BE424="","",'[1]All Data '!BE424)</f>
        <v>5.5E-2</v>
      </c>
      <c r="M419">
        <f>IF('[1]All Data '!BF424="","",'[1]All Data '!BF424)</f>
        <v>4767.5627999999997</v>
      </c>
      <c r="N419" s="5">
        <f>IF('[1]All Data '!BB424="","",'[1]All Data '!BC424/'[1]All Data '!BH424)</f>
        <v>444387</v>
      </c>
      <c r="O419" s="5">
        <f t="shared" si="8"/>
        <v>2118642930.0035999</v>
      </c>
      <c r="P419" s="5">
        <f>IF(M419="","",$C$2*(1-L419)*907.2/0.621371*N419*[1]Transportation!$M$40)</f>
        <v>6931438.5100168828</v>
      </c>
      <c r="Q419" s="5">
        <f>IF(L419="","",IF([1]Inputs_Outputs!$B$5="Herbaceous",(LCA!$E$29*'[1]LOCH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19" s="5">
        <f>IF(M419="","",$E$2*1000*'[1]LOCH Calc COE Calc'!$C$44)</f>
        <v>4896457.3202133691</v>
      </c>
      <c r="S419" s="6">
        <f>IF(N419="","",SUM(O419:R419)/('[1]LOCH Calc COE Calc'!$C$28))</f>
        <v>95.079702216826348</v>
      </c>
      <c r="T419">
        <f>IF(L419="","",O419/'[1]LOCH Calc COE Calc'!$C$28)</f>
        <v>91.359662250731247</v>
      </c>
      <c r="U419">
        <f>IF(L419="","",P419/'[1]LOCH Calc COE Calc'!$C$28)</f>
        <v>0.29889599243879111</v>
      </c>
      <c r="V419">
        <f>IF(L419="","",Q419/'[1]LOCH Calc COE Calc'!$C$28)</f>
        <v>3.2100000000000004</v>
      </c>
      <c r="W419">
        <f>IF(L419="","",R419/'[1]LOCH Calc COE Calc'!$C$28)</f>
        <v>0.21114397365631307</v>
      </c>
    </row>
    <row r="420" spans="12:23" x14ac:dyDescent="0.25">
      <c r="L420" s="4">
        <f>IF('[1]All Data '!BE425="","",'[1]All Data '!BE425)</f>
        <v>5.5E-2</v>
      </c>
      <c r="M420">
        <f>IF('[1]All Data '!BF425="","",'[1]All Data '!BF425)</f>
        <v>4767.5627999999997</v>
      </c>
      <c r="N420" s="5">
        <f>IF('[1]All Data '!BB425="","",'[1]All Data '!BC425/'[1]All Data '!BH425)</f>
        <v>441530</v>
      </c>
      <c r="O420" s="5">
        <f t="shared" si="8"/>
        <v>2105022003.0839999</v>
      </c>
      <c r="P420" s="5">
        <f>IF(M420="","",$C$2*(1-L420)*907.2/0.621371*N420*[1]Transportation!$M$40)</f>
        <v>6886875.7306756368</v>
      </c>
      <c r="Q420" s="5">
        <f>IF(L420="","",IF([1]Inputs_Outputs!$B$5="Herbaceous",(LCA!$E$29*'[1]LOCH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0" s="5">
        <f>IF(M420="","",$E$2*1000*'[1]LOCH Calc COE Calc'!$C$44)</f>
        <v>4896457.3202133691</v>
      </c>
      <c r="S420" s="6">
        <f>IF(N420="","",SUM(O420:R420)/('[1]LOCH Calc COE Calc'!$C$28))</f>
        <v>94.490421925322025</v>
      </c>
      <c r="T420">
        <f>IF(L420="","",O420/'[1]LOCH Calc COE Calc'!$C$28)</f>
        <v>90.77230358576054</v>
      </c>
      <c r="U420">
        <f>IF(L420="","",P420/'[1]LOCH Calc COE Calc'!$C$28)</f>
        <v>0.29697436590516696</v>
      </c>
      <c r="V420">
        <f>IF(L420="","",Q420/'[1]LOCH Calc COE Calc'!$C$28)</f>
        <v>3.2100000000000004</v>
      </c>
      <c r="W420">
        <f>IF(L420="","",R420/'[1]LOCH Calc COE Calc'!$C$28)</f>
        <v>0.21114397365631307</v>
      </c>
    </row>
    <row r="421" spans="12:23" x14ac:dyDescent="0.25">
      <c r="L421" s="4">
        <f>IF('[1]All Data '!BE426="","",'[1]All Data '!BE426)</f>
        <v>5.5E-2</v>
      </c>
      <c r="M421">
        <f>IF('[1]All Data '!BF426="","",'[1]All Data '!BF426)</f>
        <v>4767.5627999999997</v>
      </c>
      <c r="N421" s="5">
        <f>IF('[1]All Data '!BB426="","",'[1]All Data '!BC426/'[1]All Data '!BH426)</f>
        <v>441273</v>
      </c>
      <c r="O421" s="5">
        <f t="shared" si="8"/>
        <v>2103796739.4443998</v>
      </c>
      <c r="P421" s="5">
        <f>IF(M421="","",$C$2*(1-L421)*907.2/0.621371*N421*[1]Transportation!$M$40)</f>
        <v>6882867.1082427707</v>
      </c>
      <c r="Q421" s="5">
        <f>IF(L421="","",IF([1]Inputs_Outputs!$B$5="Herbaceous",(LCA!$E$29*'[1]LOCH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1" s="5">
        <f>IF(M421="","",$E$2*1000*'[1]LOCH Calc COE Calc'!$C$44)</f>
        <v>4896457.3202133691</v>
      </c>
      <c r="S421" s="6">
        <f>IF(N421="","",SUM(O421:R421)/('[1]LOCH Calc COE Calc'!$C$28))</f>
        <v>94.437413512680564</v>
      </c>
      <c r="T421">
        <f>IF(L421="","",O421/'[1]LOCH Calc COE Calc'!$C$28)</f>
        <v>90.719468032068733</v>
      </c>
      <c r="U421">
        <f>IF(L421="","",P421/'[1]LOCH Calc COE Calc'!$C$28)</f>
        <v>0.29680150695552004</v>
      </c>
      <c r="V421">
        <f>IF(L421="","",Q421/'[1]LOCH Calc COE Calc'!$C$28)</f>
        <v>3.2100000000000004</v>
      </c>
      <c r="W421">
        <f>IF(L421="","",R421/'[1]LOCH Calc COE Calc'!$C$28)</f>
        <v>0.21114397365631307</v>
      </c>
    </row>
    <row r="422" spans="12:23" x14ac:dyDescent="0.25">
      <c r="L422" s="4">
        <f>IF('[1]All Data '!BE427="","",'[1]All Data '!BE427)</f>
        <v>5.5E-2</v>
      </c>
      <c r="M422">
        <f>IF('[1]All Data '!BF427="","",'[1]All Data '!BF427)</f>
        <v>4767.5627999999997</v>
      </c>
      <c r="N422" s="5">
        <f>IF('[1]All Data '!BB427="","",'[1]All Data '!BC427/'[1]All Data '!BH427)</f>
        <v>440358</v>
      </c>
      <c r="O422" s="5">
        <f t="shared" si="8"/>
        <v>2099434419.4823999</v>
      </c>
      <c r="P422" s="5">
        <f>IF(M422="","",$C$2*(1-L422)*907.2/0.621371*N422*[1]Transportation!$M$40)</f>
        <v>6868595.1645615529</v>
      </c>
      <c r="Q422" s="5">
        <f>IF(L422="","",IF([1]Inputs_Outputs!$B$5="Herbaceous",(LCA!$E$29*'[1]LOCH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2" s="5">
        <f>IF(M422="","",$E$2*1000*'[1]LOCH Calc COE Calc'!$C$44)</f>
        <v>4896457.3202133691</v>
      </c>
      <c r="S422" s="6">
        <f>IF(N422="","",SUM(O422:R422)/('[1]LOCH Calc COE Calc'!$C$28))</f>
        <v>94.248687063003828</v>
      </c>
      <c r="T422">
        <f>IF(L422="","",O422/'[1]LOCH Calc COE Calc'!$C$28)</f>
        <v>90.531357014060973</v>
      </c>
      <c r="U422">
        <f>IF(L422="","",P422/'[1]LOCH Calc COE Calc'!$C$28)</f>
        <v>0.29618607528654345</v>
      </c>
      <c r="V422">
        <f>IF(L422="","",Q422/'[1]LOCH Calc COE Calc'!$C$28)</f>
        <v>3.2100000000000004</v>
      </c>
      <c r="W422">
        <f>IF(L422="","",R422/'[1]LOCH Calc COE Calc'!$C$28)</f>
        <v>0.21114397365631307</v>
      </c>
    </row>
    <row r="423" spans="12:23" x14ac:dyDescent="0.25">
      <c r="L423" s="4">
        <f>IF('[1]All Data '!BE428="","",'[1]All Data '!BE428)</f>
        <v>5.5E-2</v>
      </c>
      <c r="M423">
        <f>IF('[1]All Data '!BF428="","",'[1]All Data '!BF428)</f>
        <v>4767.5627999999997</v>
      </c>
      <c r="N423" s="5">
        <f>IF('[1]All Data '!BB428="","",'[1]All Data '!BC428/'[1]All Data '!BH428)</f>
        <v>440239</v>
      </c>
      <c r="O423" s="5">
        <f t="shared" si="8"/>
        <v>2098867079.5091999</v>
      </c>
      <c r="P423" s="5">
        <f>IF(M423="","",$C$2*(1-L423)*907.2/0.621371*N423*[1]Transportation!$M$40)</f>
        <v>6866739.0319953598</v>
      </c>
      <c r="Q423" s="5">
        <f>IF(L423="","",IF([1]Inputs_Outputs!$B$5="Herbaceous",(LCA!$E$29*'[1]LOCH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3" s="5">
        <f>IF(M423="","",$E$2*1000*'[1]LOCH Calc COE Calc'!$C$44)</f>
        <v>4896457.3202133691</v>
      </c>
      <c r="S423" s="6">
        <f>IF(N423="","",SUM(O423:R423)/('[1]LOCH Calc COE Calc'!$C$28))</f>
        <v>94.224142311625087</v>
      </c>
      <c r="T423">
        <f>IF(L423="","",O423/'[1]LOCH Calc COE Calc'!$C$28)</f>
        <v>90.50689230242935</v>
      </c>
      <c r="U423">
        <f>IF(L423="","",P423/'[1]LOCH Calc COE Calc'!$C$28)</f>
        <v>0.2961060355394306</v>
      </c>
      <c r="V423">
        <f>IF(L423="","",Q423/'[1]LOCH Calc COE Calc'!$C$28)</f>
        <v>3.2100000000000004</v>
      </c>
      <c r="W423">
        <f>IF(L423="","",R423/'[1]LOCH Calc COE Calc'!$C$28)</f>
        <v>0.21114397365631307</v>
      </c>
    </row>
    <row r="424" spans="12:23" x14ac:dyDescent="0.25">
      <c r="L424" s="4">
        <f>IF('[1]All Data '!BE429="","",'[1]All Data '!BE429)</f>
        <v>5.5E-2</v>
      </c>
      <c r="M424">
        <f>IF('[1]All Data '!BF429="","",'[1]All Data '!BF429)</f>
        <v>4767.5627999999997</v>
      </c>
      <c r="N424" s="5">
        <f>IF('[1]All Data '!BB429="","",'[1]All Data '!BC429/'[1]All Data '!BH429)</f>
        <v>438305</v>
      </c>
      <c r="O424" s="5">
        <f t="shared" si="8"/>
        <v>2089646613.0539999</v>
      </c>
      <c r="P424" s="5">
        <f>IF(M424="","",$C$2*(1-L424)*907.2/0.621371*N424*[1]Transportation!$M$40)</f>
        <v>6836572.9783565905</v>
      </c>
      <c r="Q424" s="5">
        <f>IF(L424="","",IF([1]Inputs_Outputs!$B$5="Herbaceous",(LCA!$E$29*'[1]LOCH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4" s="5">
        <f>IF(M424="","",$E$2*1000*'[1]LOCH Calc COE Calc'!$C$44)</f>
        <v>4896457.3202133691</v>
      </c>
      <c r="S424" s="6">
        <f>IF(N424="","",SUM(O424:R424)/('[1]LOCH Calc COE Calc'!$C$28))</f>
        <v>93.825238537117087</v>
      </c>
      <c r="T424">
        <f>IF(L424="","",O424/'[1]LOCH Calc COE Calc'!$C$28)</f>
        <v>90.109289341962651</v>
      </c>
      <c r="U424">
        <f>IF(L424="","",P424/'[1]LOCH Calc COE Calc'!$C$28)</f>
        <v>0.29480522149811844</v>
      </c>
      <c r="V424">
        <f>IF(L424="","",Q424/'[1]LOCH Calc COE Calc'!$C$28)</f>
        <v>3.2100000000000004</v>
      </c>
      <c r="W424">
        <f>IF(L424="","",R424/'[1]LOCH Calc COE Calc'!$C$28)</f>
        <v>0.21114397365631307</v>
      </c>
    </row>
    <row r="425" spans="12:23" x14ac:dyDescent="0.25">
      <c r="L425" s="4">
        <f>IF('[1]All Data '!BE430="","",'[1]All Data '!BE430)</f>
        <v>5.5E-2</v>
      </c>
      <c r="M425">
        <f>IF('[1]All Data '!BF430="","",'[1]All Data '!BF430)</f>
        <v>4767.5627999999997</v>
      </c>
      <c r="N425" s="5">
        <f>IF('[1]All Data '!BB430="","",'[1]All Data '!BC430/'[1]All Data '!BH430)</f>
        <v>436186</v>
      </c>
      <c r="O425" s="5">
        <f t="shared" si="8"/>
        <v>2079544147.4807999</v>
      </c>
      <c r="P425" s="5">
        <f>IF(M425="","",$C$2*(1-L425)*907.2/0.621371*N425*[1]Transportation!$M$40)</f>
        <v>6803521.3404762596</v>
      </c>
      <c r="Q425" s="5">
        <f>IF(L425="","",IF([1]Inputs_Outputs!$B$5="Herbaceous",(LCA!$E$29*'[1]LOCH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5" s="5">
        <f>IF(M425="","",$E$2*1000*'[1]LOCH Calc COE Calc'!$C$44)</f>
        <v>4896457.3202133691</v>
      </c>
      <c r="S425" s="6">
        <f>IF(N425="","",SUM(O425:R425)/('[1]LOCH Calc COE Calc'!$C$28))</f>
        <v>93.388176955843832</v>
      </c>
      <c r="T425">
        <f>IF(L425="","",O425/'[1]LOCH Calc COE Calc'!$C$28)</f>
        <v>89.673653006270342</v>
      </c>
      <c r="U425">
        <f>IF(L425="","",P425/'[1]LOCH Calc COE Calc'!$C$28)</f>
        <v>0.29337997591717696</v>
      </c>
      <c r="V425">
        <f>IF(L425="","",Q425/'[1]LOCH Calc COE Calc'!$C$28)</f>
        <v>3.2100000000000004</v>
      </c>
      <c r="W425">
        <f>IF(L425="","",R425/'[1]LOCH Calc COE Calc'!$C$28)</f>
        <v>0.21114397365631307</v>
      </c>
    </row>
    <row r="426" spans="12:23" x14ac:dyDescent="0.25">
      <c r="L426" s="4">
        <f>IF('[1]All Data '!BE431="","",'[1]All Data '!BE431)</f>
        <v>5.5E-2</v>
      </c>
      <c r="M426">
        <f>IF('[1]All Data '!BF431="","",'[1]All Data '!BF431)</f>
        <v>4767.5627999999997</v>
      </c>
      <c r="N426" s="5">
        <f>IF('[1]All Data '!BB431="","",'[1]All Data '!BC431/'[1]All Data '!BH431)</f>
        <v>434097</v>
      </c>
      <c r="O426" s="5">
        <f t="shared" si="8"/>
        <v>2069584708.7915998</v>
      </c>
      <c r="P426" s="5">
        <f>IF(M426="","",$C$2*(1-L426)*907.2/0.621371*N426*[1]Transportation!$M$40)</f>
        <v>6770937.6351756435</v>
      </c>
      <c r="Q426" s="5">
        <f>IF(L426="","",IF([1]Inputs_Outputs!$B$5="Herbaceous",(LCA!$E$29*'[1]LOCH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6" s="5">
        <f>IF(M426="","",$E$2*1000*'[1]LOCH Calc COE Calc'!$C$44)</f>
        <v>4896457.3202133691</v>
      </c>
      <c r="S426" s="6">
        <f>IF(N426="","",SUM(O426:R426)/('[1]LOCH Calc COE Calc'!$C$28))</f>
        <v>92.957303127018989</v>
      </c>
      <c r="T426">
        <f>IF(L426="","",O426/'[1]LOCH Calc COE Calc'!$C$28)</f>
        <v>89.244184244938936</v>
      </c>
      <c r="U426">
        <f>IF(L426="","",P426/'[1]LOCH Calc COE Calc'!$C$28)</f>
        <v>0.29197490842374302</v>
      </c>
      <c r="V426">
        <f>IF(L426="","",Q426/'[1]LOCH Calc COE Calc'!$C$28)</f>
        <v>3.2100000000000004</v>
      </c>
      <c r="W426">
        <f>IF(L426="","",R426/'[1]LOCH Calc COE Calc'!$C$28)</f>
        <v>0.21114397365631307</v>
      </c>
    </row>
    <row r="427" spans="12:23" x14ac:dyDescent="0.25">
      <c r="L427" s="4">
        <f>IF('[1]All Data '!BE432="","",'[1]All Data '!BE432)</f>
        <v>5.5000000000000007E-2</v>
      </c>
      <c r="M427">
        <f>IF('[1]All Data '!BF432="","",'[1]All Data '!BF432)</f>
        <v>4767.5627999999997</v>
      </c>
      <c r="N427" s="5">
        <f>IF('[1]All Data '!BB432="","",'[1]All Data '!BC432/'[1]All Data '!BH432)</f>
        <v>433469</v>
      </c>
      <c r="O427" s="5">
        <f t="shared" si="8"/>
        <v>2066590679.3532</v>
      </c>
      <c r="P427" s="5">
        <f>IF(M427="","",$C$2*(1-L427)*907.2/0.621371*N427*[1]Transportation!$M$40)</f>
        <v>6761142.2465070039</v>
      </c>
      <c r="Q427" s="5">
        <f>IF(L427="","",IF([1]Inputs_Outputs!$B$5="Herbaceous",(LCA!$E$29*'[1]LOCH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7" s="5">
        <f>IF(M427="","",$E$2*1000*'[1]LOCH Calc COE Calc'!$C$44)</f>
        <v>4896457.3202133691</v>
      </c>
      <c r="S427" s="6">
        <f>IF(N427="","",SUM(O427:R427)/('[1]LOCH Calc COE Calc'!$C$28))</f>
        <v>92.827772842432111</v>
      </c>
      <c r="T427">
        <f>IF(L427="","",O427/'[1]LOCH Calc COE Calc'!$C$28)</f>
        <v>89.115076354983884</v>
      </c>
      <c r="U427">
        <f>IF(L427="","",P427/'[1]LOCH Calc COE Calc'!$C$28)</f>
        <v>0.29155251379192088</v>
      </c>
      <c r="V427">
        <f>IF(L427="","",Q427/'[1]LOCH Calc COE Calc'!$C$28)</f>
        <v>3.2100000000000004</v>
      </c>
      <c r="W427">
        <f>IF(L427="","",R427/'[1]LOCH Calc COE Calc'!$C$28)</f>
        <v>0.21114397365631307</v>
      </c>
    </row>
    <row r="428" spans="12:23" x14ac:dyDescent="0.25">
      <c r="L428" s="4">
        <f>IF('[1]All Data '!BE433="","",'[1]All Data '!BE433)</f>
        <v>5.5E-2</v>
      </c>
      <c r="M428">
        <f>IF('[1]All Data '!BF433="","",'[1]All Data '!BF433)</f>
        <v>4767.5627999999997</v>
      </c>
      <c r="N428" s="5">
        <f>IF('[1]All Data '!BB433="","",'[1]All Data '!BC433/'[1]All Data '!BH433)</f>
        <v>432701</v>
      </c>
      <c r="O428" s="5">
        <f t="shared" si="8"/>
        <v>2062929191.1227999</v>
      </c>
      <c r="P428" s="5">
        <f>IF(M428="","",$C$2*(1-L428)*907.2/0.621371*N428*[1]Transportation!$M$40)</f>
        <v>6749163.1724663749</v>
      </c>
      <c r="Q428" s="5">
        <f>IF(L428="","",IF([1]Inputs_Outputs!$B$5="Herbaceous",(LCA!$E$29*'[1]LOCH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8" s="5">
        <f>IF(M428="","",$E$2*1000*'[1]LOCH Calc COE Calc'!$C$44)</f>
        <v>4896457.3202133691</v>
      </c>
      <c r="S428" s="6">
        <f>IF(N428="","",SUM(O428:R428)/('[1]LOCH Calc COE Calc'!$C$28))</f>
        <v>92.669366379752617</v>
      </c>
      <c r="T428">
        <f>IF(L428="","",O428/'[1]LOCH Calc COE Calc'!$C$28)</f>
        <v>88.957186451344569</v>
      </c>
      <c r="U428">
        <f>IF(L428="","",P428/'[1]LOCH Calc COE Calc'!$C$28)</f>
        <v>0.29103595475173066</v>
      </c>
      <c r="V428">
        <f>IF(L428="","",Q428/'[1]LOCH Calc COE Calc'!$C$28)</f>
        <v>3.2100000000000004</v>
      </c>
      <c r="W428">
        <f>IF(L428="","",R428/'[1]LOCH Calc COE Calc'!$C$28)</f>
        <v>0.21114397365631307</v>
      </c>
    </row>
    <row r="429" spans="12:23" x14ac:dyDescent="0.25">
      <c r="L429" s="4">
        <f>IF('[1]All Data '!BE434="","",'[1]All Data '!BE434)</f>
        <v>5.5E-2</v>
      </c>
      <c r="M429">
        <f>IF('[1]All Data '!BF434="","",'[1]All Data '!BF434)</f>
        <v>4767.5627999999997</v>
      </c>
      <c r="N429" s="5">
        <f>IF('[1]All Data '!BB434="","",'[1]All Data '!BC434/'[1]All Data '!BH434)</f>
        <v>432646</v>
      </c>
      <c r="O429" s="5">
        <f t="shared" si="8"/>
        <v>2062666975.1687999</v>
      </c>
      <c r="P429" s="5">
        <f>IF(M429="","",$C$2*(1-L429)*907.2/0.621371*N429*[1]Transportation!$M$40)</f>
        <v>6748305.2960702367</v>
      </c>
      <c r="Q429" s="5">
        <f>IF(L429="","",IF([1]Inputs_Outputs!$B$5="Herbaceous",(LCA!$E$29*'[1]LOCH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29" s="5">
        <f>IF(M429="","",$E$2*1000*'[1]LOCH Calc COE Calc'!$C$44)</f>
        <v>4896457.3202133691</v>
      </c>
      <c r="S429" s="6">
        <f>IF(N429="","",SUM(O429:R429)/('[1]LOCH Calc COE Calc'!$C$28))</f>
        <v>92.658022166930522</v>
      </c>
      <c r="T429">
        <f>IF(L429="","",O429/'[1]LOCH Calc COE Calc'!$C$28)</f>
        <v>88.945879231682909</v>
      </c>
      <c r="U429">
        <f>IF(L429="","",P429/'[1]LOCH Calc COE Calc'!$C$28)</f>
        <v>0.2909989615913004</v>
      </c>
      <c r="V429">
        <f>IF(L429="","",Q429/'[1]LOCH Calc COE Calc'!$C$28)</f>
        <v>3.2100000000000004</v>
      </c>
      <c r="W429">
        <f>IF(L429="","",R429/'[1]LOCH Calc COE Calc'!$C$28)</f>
        <v>0.21114397365631307</v>
      </c>
    </row>
    <row r="430" spans="12:23" x14ac:dyDescent="0.25">
      <c r="L430" s="4">
        <f>IF('[1]All Data '!BE435="","",'[1]All Data '!BE435)</f>
        <v>5.5E-2</v>
      </c>
      <c r="M430">
        <f>IF('[1]All Data '!BF435="","",'[1]All Data '!BF435)</f>
        <v>4767.5627999999997</v>
      </c>
      <c r="N430" s="5">
        <f>IF('[1]All Data '!BB435="","",'[1]All Data '!BC435/'[1]All Data '!BH435)</f>
        <v>431411</v>
      </c>
      <c r="O430" s="5">
        <f t="shared" si="8"/>
        <v>2056779035.1107998</v>
      </c>
      <c r="P430" s="5">
        <f>IF(M430="","",$C$2*(1-L430)*907.2/0.621371*N430*[1]Transportation!$M$40)</f>
        <v>6729042.0715387575</v>
      </c>
      <c r="Q430" s="5">
        <f>IF(L430="","",IF([1]Inputs_Outputs!$B$5="Herbaceous",(LCA!$E$29*'[1]LOCH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0" s="5">
        <f>IF(M430="","",$E$2*1000*'[1]LOCH Calc COE Calc'!$C$44)</f>
        <v>4896457.3202133691</v>
      </c>
      <c r="S430" s="6">
        <f>IF(N430="","",SUM(O430:R430)/('[1]LOCH Calc COE Calc'!$C$28))</f>
        <v>92.403293024470642</v>
      </c>
      <c r="T430">
        <f>IF(L430="","",O430/'[1]LOCH Calc COE Calc'!$C$28)</f>
        <v>88.691980753825419</v>
      </c>
      <c r="U430">
        <f>IF(L430="","",P430/'[1]LOCH Calc COE Calc'!$C$28)</f>
        <v>0.29016829698891133</v>
      </c>
      <c r="V430">
        <f>IF(L430="","",Q430/'[1]LOCH Calc COE Calc'!$C$28)</f>
        <v>3.2100000000000004</v>
      </c>
      <c r="W430">
        <f>IF(L430="","",R430/'[1]LOCH Calc COE Calc'!$C$28)</f>
        <v>0.21114397365631307</v>
      </c>
    </row>
    <row r="431" spans="12:23" x14ac:dyDescent="0.25">
      <c r="L431" s="4">
        <f>IF('[1]All Data '!BE436="","",'[1]All Data '!BE436)</f>
        <v>5.5E-2</v>
      </c>
      <c r="M431">
        <f>IF('[1]All Data '!BF436="","",'[1]All Data '!BF436)</f>
        <v>4767.5627999999997</v>
      </c>
      <c r="N431" s="5">
        <f>IF('[1]All Data '!BB436="","",'[1]All Data '!BC436/'[1]All Data '!BH436)</f>
        <v>430916</v>
      </c>
      <c r="O431" s="5">
        <f t="shared" si="8"/>
        <v>2054419091.5247998</v>
      </c>
      <c r="P431" s="5">
        <f>IF(M431="","",$C$2*(1-L431)*907.2/0.621371*N431*[1]Transportation!$M$40)</f>
        <v>6721321.183973508</v>
      </c>
      <c r="Q431" s="5">
        <f>IF(L431="","",IF([1]Inputs_Outputs!$B$5="Herbaceous",(LCA!$E$29*'[1]LOCH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1" s="5">
        <f>IF(M431="","",$E$2*1000*'[1]LOCH Calc COE Calc'!$C$44)</f>
        <v>4896457.3202133691</v>
      </c>
      <c r="S431" s="6">
        <f>IF(N431="","",SUM(O431:R431)/('[1]LOCH Calc COE Calc'!$C$28))</f>
        <v>92.301195109071756</v>
      </c>
      <c r="T431">
        <f>IF(L431="","",O431/'[1]LOCH Calc COE Calc'!$C$28)</f>
        <v>88.590215776870394</v>
      </c>
      <c r="U431">
        <f>IF(L431="","",P431/'[1]LOCH Calc COE Calc'!$C$28)</f>
        <v>0.28983535854503872</v>
      </c>
      <c r="V431">
        <f>IF(L431="","",Q431/'[1]LOCH Calc COE Calc'!$C$28)</f>
        <v>3.2100000000000004</v>
      </c>
      <c r="W431">
        <f>IF(L431="","",R431/'[1]LOCH Calc COE Calc'!$C$28)</f>
        <v>0.21114397365631307</v>
      </c>
    </row>
    <row r="432" spans="12:23" x14ac:dyDescent="0.25">
      <c r="L432" s="4">
        <f>IF('[1]All Data '!BE437="","",'[1]All Data '!BE437)</f>
        <v>5.5E-2</v>
      </c>
      <c r="M432">
        <f>IF('[1]All Data '!BF437="","",'[1]All Data '!BF437)</f>
        <v>4767.5627999999997</v>
      </c>
      <c r="N432" s="5">
        <f>IF('[1]All Data '!BB437="","",'[1]All Data '!BC437/'[1]All Data '!BH437)</f>
        <v>430392</v>
      </c>
      <c r="O432" s="5">
        <f t="shared" si="8"/>
        <v>2051920888.6176</v>
      </c>
      <c r="P432" s="5">
        <f>IF(M432="","",$C$2*(1-L432)*907.2/0.621371*N432*[1]Transportation!$M$40)</f>
        <v>6713147.9615812032</v>
      </c>
      <c r="Q432" s="5">
        <f>IF(L432="","",IF([1]Inputs_Outputs!$B$5="Herbaceous",(LCA!$E$29*'[1]LOCH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2" s="5">
        <f>IF(M432="","",$E$2*1000*'[1]LOCH Calc COE Calc'!$C$44)</f>
        <v>4896457.3202133691</v>
      </c>
      <c r="S432" s="6">
        <f>IF(N432="","",SUM(O432:R432)/('[1]LOCH Calc COE Calc'!$C$28))</f>
        <v>92.193115699639392</v>
      </c>
      <c r="T432">
        <f>IF(L432="","",O432/'[1]LOCH Calc COE Calc'!$C$28)</f>
        <v>88.482488811366494</v>
      </c>
      <c r="U432">
        <f>IF(L432="","",P432/'[1]LOCH Calc COE Calc'!$C$28)</f>
        <v>0.2894829146165756</v>
      </c>
      <c r="V432">
        <f>IF(L432="","",Q432/'[1]LOCH Calc COE Calc'!$C$28)</f>
        <v>3.2100000000000004</v>
      </c>
      <c r="W432">
        <f>IF(L432="","",R432/'[1]LOCH Calc COE Calc'!$C$28)</f>
        <v>0.21114397365631307</v>
      </c>
    </row>
    <row r="433" spans="12:23" x14ac:dyDescent="0.25">
      <c r="L433" s="4">
        <f>IF('[1]All Data '!BE438="","",'[1]All Data '!BE438)</f>
        <v>5.5E-2</v>
      </c>
      <c r="M433">
        <f>IF('[1]All Data '!BF438="","",'[1]All Data '!BF438)</f>
        <v>4767.5627999999997</v>
      </c>
      <c r="N433" s="5">
        <f>IF('[1]All Data '!BB438="","",'[1]All Data '!BC438/'[1]All Data '!BH438)</f>
        <v>429342</v>
      </c>
      <c r="O433" s="5">
        <f t="shared" si="8"/>
        <v>2046914947.6775999</v>
      </c>
      <c r="P433" s="5">
        <f>IF(M433="","",$C$2*(1-L433)*907.2/0.621371*N433*[1]Transportation!$M$40)</f>
        <v>6696770.3212912809</v>
      </c>
      <c r="Q433" s="5">
        <f>IF(L433="","",IF([1]Inputs_Outputs!$B$5="Herbaceous",(LCA!$E$29*'[1]LOCH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3" s="5">
        <f>IF(M433="","",$E$2*1000*'[1]LOCH Calc COE Calc'!$C$44)</f>
        <v>4896457.3202133691</v>
      </c>
      <c r="S433" s="6">
        <f>IF(N433="","",SUM(O433:R433)/('[1]LOCH Calc COE Calc'!$C$28))</f>
        <v>91.976544363944754</v>
      </c>
      <c r="T433">
        <f>IF(L433="","",O433/'[1]LOCH Calc COE Calc'!$C$28)</f>
        <v>88.266623708734627</v>
      </c>
      <c r="U433">
        <f>IF(L433="","",P433/'[1]LOCH Calc COE Calc'!$C$28)</f>
        <v>0.28877668155381558</v>
      </c>
      <c r="V433">
        <f>IF(L433="","",Q433/'[1]LOCH Calc COE Calc'!$C$28)</f>
        <v>3.2100000000000004</v>
      </c>
      <c r="W433">
        <f>IF(L433="","",R433/'[1]LOCH Calc COE Calc'!$C$28)</f>
        <v>0.21114397365631307</v>
      </c>
    </row>
    <row r="434" spans="12:23" x14ac:dyDescent="0.25">
      <c r="L434" s="4">
        <f>IF('[1]All Data '!BE439="","",'[1]All Data '!BE439)</f>
        <v>5.5E-2</v>
      </c>
      <c r="M434">
        <f>IF('[1]All Data '!BF439="","",'[1]All Data '!BF439)</f>
        <v>4767.5627999999997</v>
      </c>
      <c r="N434" s="5">
        <f>IF('[1]All Data '!BB439="","",'[1]All Data '!BC439/'[1]All Data '!BH439)</f>
        <v>425454</v>
      </c>
      <c r="O434" s="5">
        <f t="shared" si="8"/>
        <v>2028378663.5112</v>
      </c>
      <c r="P434" s="5">
        <f>IF(M434="","",$C$2*(1-L434)*907.2/0.621371*N434*[1]Transportation!$M$40)</f>
        <v>6636126.2589605972</v>
      </c>
      <c r="Q434" s="5">
        <f>IF(L434="","",IF([1]Inputs_Outputs!$B$5="Herbaceous",(LCA!$E$29*'[1]LOCH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4" s="5">
        <f>IF(M434="","",$E$2*1000*'[1]LOCH Calc COE Calc'!$C$44)</f>
        <v>4896457.3202133691</v>
      </c>
      <c r="S434" s="6">
        <f>IF(N434="","",SUM(O434:R434)/('[1]LOCH Calc COE Calc'!$C$28))</f>
        <v>91.174611646629785</v>
      </c>
      <c r="T434">
        <f>IF(L434="","",O434/'[1]LOCH Calc COE Calc'!$C$28)</f>
        <v>87.467306071560628</v>
      </c>
      <c r="U434">
        <f>IF(L434="","",P434/'[1]LOCH Calc COE Calc'!$C$28)</f>
        <v>0.28616160141285285</v>
      </c>
      <c r="V434">
        <f>IF(L434="","",Q434/'[1]LOCH Calc COE Calc'!$C$28)</f>
        <v>3.2100000000000004</v>
      </c>
      <c r="W434">
        <f>IF(L434="","",R434/'[1]LOCH Calc COE Calc'!$C$28)</f>
        <v>0.21114397365631307</v>
      </c>
    </row>
    <row r="435" spans="12:23" x14ac:dyDescent="0.25">
      <c r="L435" s="4">
        <f>IF('[1]All Data '!BE440="","",'[1]All Data '!BE440)</f>
        <v>5.5E-2</v>
      </c>
      <c r="M435">
        <f>IF('[1]All Data '!BF440="","",'[1]All Data '!BF440)</f>
        <v>4767.5627999999997</v>
      </c>
      <c r="N435" s="5">
        <f>IF('[1]All Data '!BB440="","",'[1]All Data '!BC440/'[1]All Data '!BH440)</f>
        <v>424852</v>
      </c>
      <c r="O435" s="5">
        <f t="shared" si="8"/>
        <v>2025508590.7055998</v>
      </c>
      <c r="P435" s="5">
        <f>IF(M435="","",$C$2*(1-L435)*907.2/0.621371*N435*[1]Transportation!$M$40)</f>
        <v>6626736.4118610416</v>
      </c>
      <c r="Q435" s="5">
        <f>IF(L435="","",IF([1]Inputs_Outputs!$B$5="Herbaceous",(LCA!$E$29*'[1]LOCH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5" s="5">
        <f>IF(M435="","",$E$2*1000*'[1]LOCH Calc COE Calc'!$C$44)</f>
        <v>4896457.3202133691</v>
      </c>
      <c r="S435" s="6">
        <f>IF(N435="","",SUM(O435:R435)/('[1]LOCH Calc COE Calc'!$C$28))</f>
        <v>91.050444080831525</v>
      </c>
      <c r="T435">
        <f>IF(L435="","",O435/'[1]LOCH Calc COE Calc'!$C$28)</f>
        <v>87.343543412718347</v>
      </c>
      <c r="U435">
        <f>IF(L435="","",P435/'[1]LOCH Calc COE Calc'!$C$28)</f>
        <v>0.28575669445687041</v>
      </c>
      <c r="V435">
        <f>IF(L435="","",Q435/'[1]LOCH Calc COE Calc'!$C$28)</f>
        <v>3.2100000000000004</v>
      </c>
      <c r="W435">
        <f>IF(L435="","",R435/'[1]LOCH Calc COE Calc'!$C$28)</f>
        <v>0.21114397365631307</v>
      </c>
    </row>
    <row r="436" spans="12:23" x14ac:dyDescent="0.25">
      <c r="L436" s="4">
        <f>IF('[1]All Data '!BE441="","",'[1]All Data '!BE441)</f>
        <v>5.5E-2</v>
      </c>
      <c r="M436">
        <f>IF('[1]All Data '!BF441="","",'[1]All Data '!BF441)</f>
        <v>4767.5627999999997</v>
      </c>
      <c r="N436" s="5">
        <f>IF('[1]All Data '!BB441="","",'[1]All Data '!BC441/'[1]All Data '!BH441)</f>
        <v>424852</v>
      </c>
      <c r="O436" s="5">
        <f t="shared" si="8"/>
        <v>2025508590.7055998</v>
      </c>
      <c r="P436" s="5">
        <f>IF(M436="","",$C$2*(1-L436)*907.2/0.621371*N436*[1]Transportation!$M$40)</f>
        <v>6626736.4118610416</v>
      </c>
      <c r="Q436" s="5">
        <f>IF(L436="","",IF([1]Inputs_Outputs!$B$5="Herbaceous",(LCA!$E$29*'[1]LOCH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6" s="5">
        <f>IF(M436="","",$E$2*1000*'[1]LOCH Calc COE Calc'!$C$44)</f>
        <v>4896457.3202133691</v>
      </c>
      <c r="S436" s="6">
        <f>IF(N436="","",SUM(O436:R436)/('[1]LOCH Calc COE Calc'!$C$28))</f>
        <v>91.050444080831525</v>
      </c>
      <c r="T436">
        <f>IF(L436="","",O436/'[1]LOCH Calc COE Calc'!$C$28)</f>
        <v>87.343543412718347</v>
      </c>
      <c r="U436">
        <f>IF(L436="","",P436/'[1]LOCH Calc COE Calc'!$C$28)</f>
        <v>0.28575669445687041</v>
      </c>
      <c r="V436">
        <f>IF(L436="","",Q436/'[1]LOCH Calc COE Calc'!$C$28)</f>
        <v>3.2100000000000004</v>
      </c>
      <c r="W436">
        <f>IF(L436="","",R436/'[1]LOCH Calc COE Calc'!$C$28)</f>
        <v>0.21114397365631307</v>
      </c>
    </row>
    <row r="437" spans="12:23" x14ac:dyDescent="0.25">
      <c r="L437" s="4">
        <f>IF('[1]All Data '!BE442="","",'[1]All Data '!BE442)</f>
        <v>5.5E-2</v>
      </c>
      <c r="M437">
        <f>IF('[1]All Data '!BF442="","",'[1]All Data '!BF442)</f>
        <v>4767.5627999999997</v>
      </c>
      <c r="N437" s="5">
        <f>IF('[1]All Data '!BB442="","",'[1]All Data '!BC442/'[1]All Data '!BH442)</f>
        <v>423366</v>
      </c>
      <c r="O437" s="5">
        <f t="shared" si="8"/>
        <v>2018423992.3848</v>
      </c>
      <c r="P437" s="5">
        <f>IF(M437="","",$C$2*(1-L437)*907.2/0.621371*N437*[1]Transportation!$M$40)</f>
        <v>6603558.151412636</v>
      </c>
      <c r="Q437" s="5">
        <f>IF(L437="","",IF([1]Inputs_Outputs!$B$5="Herbaceous",(LCA!$E$29*'[1]LOCH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7" s="5">
        <f>IF(M437="","",$E$2*1000*'[1]LOCH Calc COE Calc'!$C$44)</f>
        <v>4896457.3202133691</v>
      </c>
      <c r="S437" s="6">
        <f>IF(N437="","",SUM(O437:R437)/('[1]LOCH Calc COE Calc'!$C$28))</f>
        <v>90.743944076219904</v>
      </c>
      <c r="T437">
        <f>IF(L437="","",O437/'[1]LOCH Calc COE Calc'!$C$28)</f>
        <v>87.038042896041262</v>
      </c>
      <c r="U437">
        <f>IF(L437="","",P437/'[1]LOCH Calc COE Calc'!$C$28)</f>
        <v>0.28475720652233577</v>
      </c>
      <c r="V437">
        <f>IF(L437="","",Q437/'[1]LOCH Calc COE Calc'!$C$28)</f>
        <v>3.2100000000000004</v>
      </c>
      <c r="W437">
        <f>IF(L437="","",R437/'[1]LOCH Calc COE Calc'!$C$28)</f>
        <v>0.21114397365631307</v>
      </c>
    </row>
    <row r="438" spans="12:23" x14ac:dyDescent="0.25">
      <c r="L438" s="4">
        <f>IF('[1]All Data '!BE443="","",'[1]All Data '!BE443)</f>
        <v>5.4999999999999993E-2</v>
      </c>
      <c r="M438">
        <f>IF('[1]All Data '!BF443="","",'[1]All Data '!BF443)</f>
        <v>4767.5627999999997</v>
      </c>
      <c r="N438" s="5">
        <f>IF('[1]All Data '!BB443="","",'[1]All Data '!BC443/'[1]All Data '!BH443)</f>
        <v>418832</v>
      </c>
      <c r="O438" s="5">
        <f t="shared" si="8"/>
        <v>1996807862.6495998</v>
      </c>
      <c r="P438" s="5">
        <f>IF(M438="","",$C$2*(1-L438)*907.2/0.621371*N438*[1]Transportation!$M$40)</f>
        <v>6532837.9408654869</v>
      </c>
      <c r="Q438" s="5">
        <f>IF(L438="","",IF([1]Inputs_Outputs!$B$5="Herbaceous",(LCA!$E$29*'[1]LOCH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8" s="5">
        <f>IF(M438="","",$E$2*1000*'[1]LOCH Calc COE Calc'!$C$44)</f>
        <v>4896457.3202133691</v>
      </c>
      <c r="S438" s="6">
        <f>IF(N438="","",SUM(O438:R438)/('[1]LOCH Calc COE Calc'!$C$28))</f>
        <v>89.808768422848999</v>
      </c>
      <c r="T438">
        <f>IF(L438="","",O438/'[1]LOCH Calc COE Calc'!$C$28)</f>
        <v>86.105916824295647</v>
      </c>
      <c r="U438">
        <f>IF(L438="","",P438/'[1]LOCH Calc COE Calc'!$C$28)</f>
        <v>0.28170762489704643</v>
      </c>
      <c r="V438">
        <f>IF(L438="","",Q438/'[1]LOCH Calc COE Calc'!$C$28)</f>
        <v>3.2100000000000004</v>
      </c>
      <c r="W438">
        <f>IF(L438="","",R438/'[1]LOCH Calc COE Calc'!$C$28)</f>
        <v>0.21114397365631307</v>
      </c>
    </row>
    <row r="439" spans="12:23" x14ac:dyDescent="0.25">
      <c r="L439" s="4">
        <f>IF('[1]All Data '!BE444="","",'[1]All Data '!BE444)</f>
        <v>5.5E-2</v>
      </c>
      <c r="M439">
        <f>IF('[1]All Data '!BF444="","",'[1]All Data '!BF444)</f>
        <v>4767.5627999999997</v>
      </c>
      <c r="N439" s="5">
        <f>IF('[1]All Data '!BB444="","",'[1]All Data '!BC444/'[1]All Data '!BH444)</f>
        <v>418628</v>
      </c>
      <c r="O439" s="5">
        <f t="shared" si="8"/>
        <v>1995835279.8383999</v>
      </c>
      <c r="P439" s="5">
        <f>IF(M439="","",$C$2*(1-L439)*907.2/0.621371*N439*[1]Transportation!$M$40)</f>
        <v>6529655.9993234444</v>
      </c>
      <c r="Q439" s="5">
        <f>IF(L439="","",IF([1]Inputs_Outputs!$B$5="Herbaceous",(LCA!$E$29*'[1]LOCH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39" s="5">
        <f>IF(M439="","",$E$2*1000*'[1]LOCH Calc COE Calc'!$C$44)</f>
        <v>4896457.3202133691</v>
      </c>
      <c r="S439" s="6">
        <f>IF(N439="","",SUM(O439:R439)/('[1]LOCH Calc COE Calc'!$C$28))</f>
        <v>89.766691706199765</v>
      </c>
      <c r="T439">
        <f>IF(L439="","",O439/'[1]LOCH Calc COE Calc'!$C$28)</f>
        <v>86.063977318641449</v>
      </c>
      <c r="U439">
        <f>IF(L439="","",P439/'[1]LOCH Calc COE Calc'!$C$28)</f>
        <v>0.28157041390199589</v>
      </c>
      <c r="V439">
        <f>IF(L439="","",Q439/'[1]LOCH Calc COE Calc'!$C$28)</f>
        <v>3.2100000000000004</v>
      </c>
      <c r="W439">
        <f>IF(L439="","",R439/'[1]LOCH Calc COE Calc'!$C$28)</f>
        <v>0.21114397365631307</v>
      </c>
    </row>
    <row r="440" spans="12:23" x14ac:dyDescent="0.25">
      <c r="L440" s="4">
        <f>IF('[1]All Data '!BE445="","",'[1]All Data '!BE445)</f>
        <v>5.5E-2</v>
      </c>
      <c r="M440">
        <f>IF('[1]All Data '!BF445="","",'[1]All Data '!BF445)</f>
        <v>4767.5627999999997</v>
      </c>
      <c r="N440" s="5">
        <f>IF('[1]All Data '!BB445="","",'[1]All Data '!BC445/'[1]All Data '!BH445)</f>
        <v>417638</v>
      </c>
      <c r="O440" s="5">
        <f t="shared" si="8"/>
        <v>1991115392.6664</v>
      </c>
      <c r="P440" s="5">
        <f>IF(M440="","",$C$2*(1-L440)*907.2/0.621371*N440*[1]Transportation!$M$40)</f>
        <v>6514214.2241929453</v>
      </c>
      <c r="Q440" s="5">
        <f>IF(L440="","",IF([1]Inputs_Outputs!$B$5="Herbaceous",(LCA!$E$29*'[1]LOCH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0" s="5">
        <f>IF(M440="","",$E$2*1000*'[1]LOCH Calc COE Calc'!$C$44)</f>
        <v>4896457.3202133691</v>
      </c>
      <c r="S440" s="6">
        <f>IF(N440="","",SUM(O440:R440)/('[1]LOCH Calc COE Calc'!$C$28))</f>
        <v>89.562495875401964</v>
      </c>
      <c r="T440">
        <f>IF(L440="","",O440/'[1]LOCH Calc COE Calc'!$C$28)</f>
        <v>85.860447364731414</v>
      </c>
      <c r="U440">
        <f>IF(L440="","",P440/'[1]LOCH Calc COE Calc'!$C$28)</f>
        <v>0.28090453701425067</v>
      </c>
      <c r="V440">
        <f>IF(L440="","",Q440/'[1]LOCH Calc COE Calc'!$C$28)</f>
        <v>3.2100000000000004</v>
      </c>
      <c r="W440">
        <f>IF(L440="","",R440/'[1]LOCH Calc COE Calc'!$C$28)</f>
        <v>0.21114397365631307</v>
      </c>
    </row>
    <row r="441" spans="12:23" x14ac:dyDescent="0.25">
      <c r="L441" s="4">
        <f>IF('[1]All Data '!BE446="","",'[1]All Data '!BE446)</f>
        <v>5.5000000000000007E-2</v>
      </c>
      <c r="M441">
        <f>IF('[1]All Data '!BF446="","",'[1]All Data '!BF446)</f>
        <v>4767.5627999999997</v>
      </c>
      <c r="N441" s="5">
        <f>IF('[1]All Data '!BB446="","",'[1]All Data '!BC446/'[1]All Data '!BH446)</f>
        <v>416293</v>
      </c>
      <c r="O441" s="5">
        <f t="shared" si="8"/>
        <v>1984703020.7003999</v>
      </c>
      <c r="P441" s="5">
        <f>IF(M441="","",$C$2*(1-L441)*907.2/0.621371*N441*[1]Transportation!$M$40)</f>
        <v>6493235.2468691887</v>
      </c>
      <c r="Q441" s="5">
        <f>IF(L441="","",IF([1]Inputs_Outputs!$B$5="Herbaceous",(LCA!$E$29*'[1]LOCH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1" s="5">
        <f>IF(M441="","",$E$2*1000*'[1]LOCH Calc COE Calc'!$C$44)</f>
        <v>4896457.3202133691</v>
      </c>
      <c r="S441" s="6">
        <f>IF(N441="","",SUM(O441:R441)/('[1]LOCH Calc COE Calc'!$C$28))</f>
        <v>89.285078307297894</v>
      </c>
      <c r="T441">
        <f>IF(L441="","",O441/'[1]LOCH Calc COE Calc'!$C$28)</f>
        <v>85.58393444755059</v>
      </c>
      <c r="U441">
        <f>IF(L441="","",P441/'[1]LOCH Calc COE Calc'!$C$28)</f>
        <v>0.27999988609100102</v>
      </c>
      <c r="V441">
        <f>IF(L441="","",Q441/'[1]LOCH Calc COE Calc'!$C$28)</f>
        <v>3.2100000000000004</v>
      </c>
      <c r="W441">
        <f>IF(L441="","",R441/'[1]LOCH Calc COE Calc'!$C$28)</f>
        <v>0.21114397365631307</v>
      </c>
    </row>
    <row r="442" spans="12:23" x14ac:dyDescent="0.25">
      <c r="L442" s="4">
        <f>IF('[1]All Data '!BE447="","",'[1]All Data '!BE447)</f>
        <v>5.5000000000000007E-2</v>
      </c>
      <c r="M442">
        <f>IF('[1]All Data '!BF447="","",'[1]All Data '!BF447)</f>
        <v>4767.5627999999997</v>
      </c>
      <c r="N442" s="5">
        <f>IF('[1]All Data '!BB447="","",'[1]All Data '!BC447/'[1]All Data '!BH447)</f>
        <v>415569</v>
      </c>
      <c r="O442" s="5">
        <f t="shared" si="8"/>
        <v>1981251305.2331998</v>
      </c>
      <c r="P442" s="5">
        <f>IF(M442="","",$C$2*(1-L442)*907.2/0.621371*N442*[1]Transportation!$M$40)</f>
        <v>6481942.4739454705</v>
      </c>
      <c r="Q442" s="5">
        <f>IF(L442="","",IF([1]Inputs_Outputs!$B$5="Herbaceous",(LCA!$E$29*'[1]LOCH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2" s="5">
        <f>IF(M442="","",$E$2*1000*'[1]LOCH Calc COE Calc'!$C$44)</f>
        <v>4896457.3202133691</v>
      </c>
      <c r="S442" s="6">
        <f>IF(N442="","",SUM(O442:R442)/('[1]LOCH Calc COE Calc'!$C$28))</f>
        <v>89.135747214876076</v>
      </c>
      <c r="T442">
        <f>IF(L442="","",O442/'[1]LOCH Calc COE Calc'!$C$28)</f>
        <v>85.435090319640608</v>
      </c>
      <c r="U442">
        <f>IF(L442="","",P442/'[1]LOCH Calc COE Calc'!$C$28)</f>
        <v>0.27951292157915503</v>
      </c>
      <c r="V442">
        <f>IF(L442="","",Q442/'[1]LOCH Calc COE Calc'!$C$28)</f>
        <v>3.2100000000000004</v>
      </c>
      <c r="W442">
        <f>IF(L442="","",R442/'[1]LOCH Calc COE Calc'!$C$28)</f>
        <v>0.21114397365631307</v>
      </c>
    </row>
    <row r="443" spans="12:23" x14ac:dyDescent="0.25">
      <c r="L443" s="4">
        <f>IF('[1]All Data '!BE448="","",'[1]All Data '!BE448)</f>
        <v>5.4999999999999993E-2</v>
      </c>
      <c r="M443">
        <f>IF('[1]All Data '!BF448="","",'[1]All Data '!BF448)</f>
        <v>4767.5627999999997</v>
      </c>
      <c r="N443" s="5">
        <f>IF('[1]All Data '!BB448="","",'[1]All Data '!BC448/'[1]All Data '!BH448)</f>
        <v>415332</v>
      </c>
      <c r="O443" s="5">
        <f t="shared" si="8"/>
        <v>1980121392.8495998</v>
      </c>
      <c r="P443" s="5">
        <f>IF(M443="","",$C$2*(1-L443)*907.2/0.621371*N443*[1]Transportation!$M$40)</f>
        <v>6478245.8065657457</v>
      </c>
      <c r="Q443" s="5">
        <f>IF(L443="","",IF([1]Inputs_Outputs!$B$5="Herbaceous",(LCA!$E$29*'[1]LOCH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3" s="5">
        <f>IF(M443="","",$E$2*1000*'[1]LOCH Calc COE Calc'!$C$44)</f>
        <v>4896457.3202133691</v>
      </c>
      <c r="S443" s="6">
        <f>IF(N443="","",SUM(O443:R443)/('[1]LOCH Calc COE Calc'!$C$28))</f>
        <v>89.086863970533585</v>
      </c>
      <c r="T443">
        <f>IF(L443="","",O443/'[1]LOCH Calc COE Calc'!$C$28)</f>
        <v>85.386366482189416</v>
      </c>
      <c r="U443">
        <f>IF(L443="","",P443/'[1]LOCH Calc COE Calc'!$C$28)</f>
        <v>0.27935351468784642</v>
      </c>
      <c r="V443">
        <f>IF(L443="","",Q443/'[1]LOCH Calc COE Calc'!$C$28)</f>
        <v>3.2100000000000004</v>
      </c>
      <c r="W443">
        <f>IF(L443="","",R443/'[1]LOCH Calc COE Calc'!$C$28)</f>
        <v>0.21114397365631307</v>
      </c>
    </row>
    <row r="444" spans="12:23" x14ac:dyDescent="0.25">
      <c r="L444" s="4">
        <f>IF('[1]All Data '!BE449="","",'[1]All Data '!BE449)</f>
        <v>5.5E-2</v>
      </c>
      <c r="M444">
        <f>IF('[1]All Data '!BF449="","",'[1]All Data '!BF449)</f>
        <v>4767.5627999999997</v>
      </c>
      <c r="N444" s="5">
        <f>IF('[1]All Data '!BB449="","",'[1]All Data '!BC449/'[1]All Data '!BH449)</f>
        <v>414053</v>
      </c>
      <c r="O444" s="5">
        <f t="shared" si="8"/>
        <v>1974023680.0283999</v>
      </c>
      <c r="P444" s="5">
        <f>IF(M444="","",$C$2*(1-L444)*907.2/0.621371*N444*[1]Transportation!$M$40)</f>
        <v>6458296.2809173549</v>
      </c>
      <c r="Q444" s="5">
        <f>IF(L444="","",IF([1]Inputs_Outputs!$B$5="Herbaceous",(LCA!$E$29*'[1]LOCH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4" s="5">
        <f>IF(M444="","",$E$2*1000*'[1]LOCH Calc COE Calc'!$C$44)</f>
        <v>4896457.3202133691</v>
      </c>
      <c r="S444" s="6">
        <f>IF(N444="","",SUM(O444:R444)/('[1]LOCH Calc COE Calc'!$C$28))</f>
        <v>88.823059457816029</v>
      </c>
      <c r="T444">
        <f>IF(L444="","",O444/'[1]LOCH Calc COE Calc'!$C$28)</f>
        <v>85.123422228602607</v>
      </c>
      <c r="U444">
        <f>IF(L444="","",P444/'[1]LOCH Calc COE Calc'!$C$28)</f>
        <v>0.27849325555711302</v>
      </c>
      <c r="V444">
        <f>IF(L444="","",Q444/'[1]LOCH Calc COE Calc'!$C$28)</f>
        <v>3.2100000000000004</v>
      </c>
      <c r="W444">
        <f>IF(L444="","",R444/'[1]LOCH Calc COE Calc'!$C$28)</f>
        <v>0.21114397365631307</v>
      </c>
    </row>
    <row r="445" spans="12:23" x14ac:dyDescent="0.25">
      <c r="L445" s="4">
        <f>IF('[1]All Data '!BE450="","",'[1]All Data '!BE450)</f>
        <v>5.5E-2</v>
      </c>
      <c r="M445">
        <f>IF('[1]All Data '!BF450="","",'[1]All Data '!BF450)</f>
        <v>4767.5627999999997</v>
      </c>
      <c r="N445" s="5">
        <f>IF('[1]All Data '!BB450="","",'[1]All Data '!BC450/'[1]All Data '!BH450)</f>
        <v>413596</v>
      </c>
      <c r="O445" s="5">
        <f t="shared" si="8"/>
        <v>1971844903.8288</v>
      </c>
      <c r="P445" s="5">
        <f>IF(M445="","",$C$2*(1-L445)*907.2/0.621371*N445*[1]Transportation!$M$40)</f>
        <v>6451168.1079530735</v>
      </c>
      <c r="Q445" s="5">
        <f>IF(L445="","",IF([1]Inputs_Outputs!$B$5="Herbaceous",(LCA!$E$29*'[1]LOCH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5" s="5">
        <f>IF(M445="","",$E$2*1000*'[1]LOCH Calc COE Calc'!$C$44)</f>
        <v>4896457.3202133691</v>
      </c>
      <c r="S445" s="6">
        <f>IF(N445="","",SUM(O445:R445)/('[1]LOCH Calc COE Calc'!$C$28))</f>
        <v>88.728799362185129</v>
      </c>
      <c r="T445">
        <f>IF(L445="","",O445/'[1]LOCH Calc COE Calc'!$C$28)</f>
        <v>85.029469512504733</v>
      </c>
      <c r="U445">
        <f>IF(L445="","",P445/'[1]LOCH Calc COE Calc'!$C$28)</f>
        <v>0.27818587602408318</v>
      </c>
      <c r="V445">
        <f>IF(L445="","",Q445/'[1]LOCH Calc COE Calc'!$C$28)</f>
        <v>3.2100000000000004</v>
      </c>
      <c r="W445">
        <f>IF(L445="","",R445/'[1]LOCH Calc COE Calc'!$C$28)</f>
        <v>0.21114397365631307</v>
      </c>
    </row>
    <row r="446" spans="12:23" x14ac:dyDescent="0.25">
      <c r="L446" s="4">
        <f>IF('[1]All Data '!BE451="","",'[1]All Data '!BE451)</f>
        <v>5.5E-2</v>
      </c>
      <c r="M446">
        <f>IF('[1]All Data '!BF451="","",'[1]All Data '!BF451)</f>
        <v>4767.5627999999997</v>
      </c>
      <c r="N446" s="5">
        <f>IF('[1]All Data '!BB451="","",'[1]All Data '!BC451/'[1]All Data '!BH451)</f>
        <v>412254</v>
      </c>
      <c r="O446" s="5">
        <f t="shared" si="8"/>
        <v>1965446834.5511999</v>
      </c>
      <c r="P446" s="5">
        <f>IF(M446="","",$C$2*(1-L446)*907.2/0.621371*N446*[1]Transportation!$M$40)</f>
        <v>6430235.9238872873</v>
      </c>
      <c r="Q446" s="5">
        <f>IF(L446="","",IF([1]Inputs_Outputs!$B$5="Herbaceous",(LCA!$E$29*'[1]LOCH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6" s="5">
        <f>IF(M446="","",$E$2*1000*'[1]LOCH Calc COE Calc'!$C$44)</f>
        <v>4896457.3202133691</v>
      </c>
      <c r="S446" s="6">
        <f>IF(N446="","",SUM(O446:R446)/('[1]LOCH Calc COE Calc'!$C$28))</f>
        <v>88.452000569325904</v>
      </c>
      <c r="T446">
        <f>IF(L446="","",O446/'[1]LOCH Calc COE Calc'!$C$28)</f>
        <v>84.75357335276</v>
      </c>
      <c r="U446">
        <f>IF(L446="","",P446/'[1]LOCH Calc COE Calc'!$C$28)</f>
        <v>0.27728324290958417</v>
      </c>
      <c r="V446">
        <f>IF(L446="","",Q446/'[1]LOCH Calc COE Calc'!$C$28)</f>
        <v>3.2100000000000004</v>
      </c>
      <c r="W446">
        <f>IF(L446="","",R446/'[1]LOCH Calc COE Calc'!$C$28)</f>
        <v>0.21114397365631307</v>
      </c>
    </row>
    <row r="447" spans="12:23" x14ac:dyDescent="0.25">
      <c r="L447" s="4">
        <f>IF('[1]All Data '!BE452="","",'[1]All Data '!BE452)</f>
        <v>5.5E-2</v>
      </c>
      <c r="M447">
        <f>IF('[1]All Data '!BF452="","",'[1]All Data '!BF452)</f>
        <v>4767.5627999999997</v>
      </c>
      <c r="N447" s="5">
        <f>IF('[1]All Data '!BB452="","",'[1]All Data '!BC452/'[1]All Data '!BH452)</f>
        <v>411889</v>
      </c>
      <c r="O447" s="5">
        <f t="shared" si="8"/>
        <v>1963706674.1292</v>
      </c>
      <c r="P447" s="5">
        <f>IF(M447="","",$C$2*(1-L447)*907.2/0.621371*N447*[1]Transportation!$M$40)</f>
        <v>6424542.7441674564</v>
      </c>
      <c r="Q447" s="5">
        <f>IF(L447="","",IF([1]Inputs_Outputs!$B$5="Herbaceous",(LCA!$E$29*'[1]LOCH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7" s="5">
        <f>IF(M447="","",$E$2*1000*'[1]LOCH Calc COE Calc'!$C$44)</f>
        <v>4896457.3202133691</v>
      </c>
      <c r="S447" s="6">
        <f>IF(N447="","",SUM(O447:R447)/('[1]LOCH Calc COE Calc'!$C$28))</f>
        <v>88.376716247870164</v>
      </c>
      <c r="T447">
        <f>IF(L447="","",O447/'[1]LOCH Calc COE Calc'!$C$28)</f>
        <v>84.678534531368925</v>
      </c>
      <c r="U447">
        <f>IF(L447="","",P447/'[1]LOCH Calc COE Calc'!$C$28)</f>
        <v>0.27703774284491045</v>
      </c>
      <c r="V447">
        <f>IF(L447="","",Q447/'[1]LOCH Calc COE Calc'!$C$28)</f>
        <v>3.2100000000000004</v>
      </c>
      <c r="W447">
        <f>IF(L447="","",R447/'[1]LOCH Calc COE Calc'!$C$28)</f>
        <v>0.21114397365631307</v>
      </c>
    </row>
    <row r="448" spans="12:23" x14ac:dyDescent="0.25">
      <c r="L448" s="4">
        <f>IF('[1]All Data '!BE453="","",'[1]All Data '!BE453)</f>
        <v>5.5E-2</v>
      </c>
      <c r="M448">
        <f>IF('[1]All Data '!BF453="","",'[1]All Data '!BF453)</f>
        <v>4767.5627999999997</v>
      </c>
      <c r="N448" s="5">
        <f>IF('[1]All Data '!BB453="","",'[1]All Data '!BC453/'[1]All Data '!BH453)</f>
        <v>410837</v>
      </c>
      <c r="O448" s="5">
        <f t="shared" si="8"/>
        <v>1958691198.0635998</v>
      </c>
      <c r="P448" s="5">
        <f>IF(M448="","",$C$2*(1-L448)*907.2/0.621371*N448*[1]Transportation!$M$40)</f>
        <v>6408133.9083722206</v>
      </c>
      <c r="Q448" s="5">
        <f>IF(L448="","",IF([1]Inputs_Outputs!$B$5="Herbaceous",(LCA!$E$29*'[1]LOCH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8" s="5">
        <f>IF(M448="","",$E$2*1000*'[1]LOCH Calc COE Calc'!$C$44)</f>
        <v>4896457.3202133691</v>
      </c>
      <c r="S448" s="6">
        <f>IF(N448="","",SUM(O448:R448)/('[1]LOCH Calc COE Calc'!$C$28))</f>
        <v>88.159732395345628</v>
      </c>
      <c r="T448">
        <f>IF(L448="","",O448/'[1]LOCH Calc COE Calc'!$C$28)</f>
        <v>84.462258257112993</v>
      </c>
      <c r="U448">
        <f>IF(L448="","",P448/'[1]LOCH Calc COE Calc'!$C$28)</f>
        <v>0.27633016457631665</v>
      </c>
      <c r="V448">
        <f>IF(L448="","",Q448/'[1]LOCH Calc COE Calc'!$C$28)</f>
        <v>3.2100000000000004</v>
      </c>
      <c r="W448">
        <f>IF(L448="","",R448/'[1]LOCH Calc COE Calc'!$C$28)</f>
        <v>0.21114397365631307</v>
      </c>
    </row>
    <row r="449" spans="12:23" x14ac:dyDescent="0.25">
      <c r="L449" s="4">
        <f>IF('[1]All Data '!BE454="","",'[1]All Data '!BE454)</f>
        <v>5.5E-2</v>
      </c>
      <c r="M449">
        <f>IF('[1]All Data '!BF454="","",'[1]All Data '!BF454)</f>
        <v>4767.5627999999997</v>
      </c>
      <c r="N449" s="5">
        <f>IF('[1]All Data '!BB454="","",'[1]All Data '!BC454/'[1]All Data '!BH454)</f>
        <v>409448</v>
      </c>
      <c r="O449" s="5">
        <f t="shared" si="8"/>
        <v>1952069053.3343999</v>
      </c>
      <c r="P449" s="5">
        <f>IF(M449="","",$C$2*(1-L449)*907.2/0.621371*N449*[1]Transportation!$M$40)</f>
        <v>6386468.6299315514</v>
      </c>
      <c r="Q449" s="5">
        <f>IF(L449="","",IF([1]Inputs_Outputs!$B$5="Herbaceous",(LCA!$E$29*'[1]LOCH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49" s="5">
        <f>IF(M449="","",$E$2*1000*'[1]LOCH Calc COE Calc'!$C$44)</f>
        <v>4896457.3202133691</v>
      </c>
      <c r="S449" s="6">
        <f>IF(N449="","",SUM(O449:R449)/('[1]LOCH Calc COE Calc'!$C$28))</f>
        <v>87.873239456983868</v>
      </c>
      <c r="T449">
        <f>IF(L449="","",O449/'[1]LOCH Calc COE Calc'!$C$28)</f>
        <v>84.176699564202835</v>
      </c>
      <c r="U449">
        <f>IF(L449="","",P449/'[1]LOCH Calc COE Calc'!$C$28)</f>
        <v>0.27539591912472267</v>
      </c>
      <c r="V449">
        <f>IF(L449="","",Q449/'[1]LOCH Calc COE Calc'!$C$28)</f>
        <v>3.2100000000000004</v>
      </c>
      <c r="W449">
        <f>IF(L449="","",R449/'[1]LOCH Calc COE Calc'!$C$28)</f>
        <v>0.21114397365631307</v>
      </c>
    </row>
    <row r="450" spans="12:23" x14ac:dyDescent="0.25">
      <c r="L450" s="4">
        <f>IF('[1]All Data '!BE455="","",'[1]All Data '!BE455)</f>
        <v>5.5E-2</v>
      </c>
      <c r="M450">
        <f>IF('[1]All Data '!BF455="","",'[1]All Data '!BF455)</f>
        <v>4767.5627999999997</v>
      </c>
      <c r="N450" s="5">
        <f>IF('[1]All Data '!BB455="","",'[1]All Data '!BC455/'[1]All Data '!BH455)</f>
        <v>409448</v>
      </c>
      <c r="O450" s="5">
        <f t="shared" si="8"/>
        <v>1952069053.3343999</v>
      </c>
      <c r="P450" s="5">
        <f>IF(M450="","",$C$2*(1-L450)*907.2/0.621371*N450*[1]Transportation!$M$40)</f>
        <v>6386468.6299315514</v>
      </c>
      <c r="Q450" s="5">
        <f>IF(L450="","",IF([1]Inputs_Outputs!$B$5="Herbaceous",(LCA!$E$29*'[1]LOCH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0" s="5">
        <f>IF(M450="","",$E$2*1000*'[1]LOCH Calc COE Calc'!$C$44)</f>
        <v>4896457.3202133691</v>
      </c>
      <c r="S450" s="6">
        <f>IF(N450="","",SUM(O450:R450)/('[1]LOCH Calc COE Calc'!$C$28))</f>
        <v>87.873239456983868</v>
      </c>
      <c r="T450">
        <f>IF(L450="","",O450/'[1]LOCH Calc COE Calc'!$C$28)</f>
        <v>84.176699564202835</v>
      </c>
      <c r="U450">
        <f>IF(L450="","",P450/'[1]LOCH Calc COE Calc'!$C$28)</f>
        <v>0.27539591912472267</v>
      </c>
      <c r="V450">
        <f>IF(L450="","",Q450/'[1]LOCH Calc COE Calc'!$C$28)</f>
        <v>3.2100000000000004</v>
      </c>
      <c r="W450">
        <f>IF(L450="","",R450/'[1]LOCH Calc COE Calc'!$C$28)</f>
        <v>0.21114397365631307</v>
      </c>
    </row>
    <row r="451" spans="12:23" x14ac:dyDescent="0.25">
      <c r="L451" s="4">
        <f>IF('[1]All Data '!BE456="","",'[1]All Data '!BE456)</f>
        <v>5.5E-2</v>
      </c>
      <c r="M451">
        <f>IF('[1]All Data '!BF456="","",'[1]All Data '!BF456)</f>
        <v>4767.5627999999997</v>
      </c>
      <c r="N451" s="5">
        <f>IF('[1]All Data '!BB456="","",'[1]All Data '!BC456/'[1]All Data '!BH456)</f>
        <v>409336</v>
      </c>
      <c r="O451" s="5">
        <f t="shared" si="8"/>
        <v>1951535086.3007998</v>
      </c>
      <c r="P451" s="5">
        <f>IF(M451="","",$C$2*(1-L451)*907.2/0.621371*N451*[1]Transportation!$M$40)</f>
        <v>6384721.6816339605</v>
      </c>
      <c r="Q451" s="5">
        <f>IF(L451="","",IF([1]Inputs_Outputs!$B$5="Herbaceous",(LCA!$E$29*'[1]LOCH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1" s="5">
        <f>IF(M451="","",$E$2*1000*'[1]LOCH Calc COE Calc'!$C$44)</f>
        <v>4896457.3202133691</v>
      </c>
      <c r="S451" s="6">
        <f>IF(N451="","",SUM(O451:R451)/('[1]LOCH Calc COE Calc'!$C$28))</f>
        <v>87.85013851450978</v>
      </c>
      <c r="T451">
        <f>IF(L451="","",O451/'[1]LOCH Calc COE Calc'!$C$28)</f>
        <v>84.153673953255435</v>
      </c>
      <c r="U451">
        <f>IF(L451="","",P451/'[1]LOCH Calc COE Calc'!$C$28)</f>
        <v>0.2753205875980283</v>
      </c>
      <c r="V451">
        <f>IF(L451="","",Q451/'[1]LOCH Calc COE Calc'!$C$28)</f>
        <v>3.2100000000000004</v>
      </c>
      <c r="W451">
        <f>IF(L451="","",R451/'[1]LOCH Calc COE Calc'!$C$28)</f>
        <v>0.21114397365631307</v>
      </c>
    </row>
    <row r="452" spans="12:23" x14ac:dyDescent="0.25">
      <c r="L452" s="4">
        <f>IF('[1]All Data '!BE457="","",'[1]All Data '!BE457)</f>
        <v>5.5E-2</v>
      </c>
      <c r="M452">
        <f>IF('[1]All Data '!BF457="","",'[1]All Data '!BF457)</f>
        <v>4767.5627999999997</v>
      </c>
      <c r="N452" s="5">
        <f>IF('[1]All Data '!BB457="","",'[1]All Data '!BC457/'[1]All Data '!BH457)</f>
        <v>409336</v>
      </c>
      <c r="O452" s="5">
        <f t="shared" ref="O452:O515" si="9">IF(N452="","",M452*N452)</f>
        <v>1951535086.3007998</v>
      </c>
      <c r="P452" s="5">
        <f>IF(M452="","",$C$2*(1-L452)*907.2/0.621371*N452*[1]Transportation!$M$40)</f>
        <v>6384721.6816339605</v>
      </c>
      <c r="Q452" s="5">
        <f>IF(L452="","",IF([1]Inputs_Outputs!$B$5="Herbaceous",(LCA!$E$29*'[1]LOCH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2" s="5">
        <f>IF(M452="","",$E$2*1000*'[1]LOCH Calc COE Calc'!$C$44)</f>
        <v>4896457.3202133691</v>
      </c>
      <c r="S452" s="6">
        <f>IF(N452="","",SUM(O452:R452)/('[1]LOCH Calc COE Calc'!$C$28))</f>
        <v>87.85013851450978</v>
      </c>
      <c r="T452">
        <f>IF(L452="","",O452/'[1]LOCH Calc COE Calc'!$C$28)</f>
        <v>84.153673953255435</v>
      </c>
      <c r="U452">
        <f>IF(L452="","",P452/'[1]LOCH Calc COE Calc'!$C$28)</f>
        <v>0.2753205875980283</v>
      </c>
      <c r="V452">
        <f>IF(L452="","",Q452/'[1]LOCH Calc COE Calc'!$C$28)</f>
        <v>3.2100000000000004</v>
      </c>
      <c r="W452">
        <f>IF(L452="","",R452/'[1]LOCH Calc COE Calc'!$C$28)</f>
        <v>0.21114397365631307</v>
      </c>
    </row>
    <row r="453" spans="12:23" x14ac:dyDescent="0.25">
      <c r="L453" s="4">
        <f>IF('[1]All Data '!BE458="","",'[1]All Data '!BE458)</f>
        <v>5.4999999999999993E-2</v>
      </c>
      <c r="M453">
        <f>IF('[1]All Data '!BF458="","",'[1]All Data '!BF458)</f>
        <v>4767.5627999999997</v>
      </c>
      <c r="N453" s="5">
        <f>IF('[1]All Data '!BB458="","",'[1]All Data '!BC458/'[1]All Data '!BH458)</f>
        <v>407220</v>
      </c>
      <c r="O453" s="5">
        <f t="shared" si="9"/>
        <v>1941446923.4159999</v>
      </c>
      <c r="P453" s="5">
        <f>IF(M453="","",$C$2*(1-L453)*907.2/0.621371*N453*[1]Transportation!$M$40)</f>
        <v>6351716.8370116018</v>
      </c>
      <c r="Q453" s="5">
        <f>IF(L453="","",IF([1]Inputs_Outputs!$B$5="Herbaceous",(LCA!$E$29*'[1]LOCH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3" s="5">
        <f>IF(M453="","",$E$2*1000*'[1]LOCH Calc COE Calc'!$C$44)</f>
        <v>4896457.3202133691</v>
      </c>
      <c r="S453" s="6">
        <f>IF(N453="","",SUM(O453:R453)/('[1]LOCH Calc COE Calc'!$C$28))</f>
        <v>87.41369570848137</v>
      </c>
      <c r="T453">
        <f>IF(L453="","",O453/'[1]LOCH Calc COE Calc'!$C$28)</f>
        <v>83.718654374999218</v>
      </c>
      <c r="U453">
        <f>IF(L453="","",P453/'[1]LOCH Calc COE Calc'!$C$28)</f>
        <v>0.27389735982583763</v>
      </c>
      <c r="V453">
        <f>IF(L453="","",Q453/'[1]LOCH Calc COE Calc'!$C$28)</f>
        <v>3.2100000000000004</v>
      </c>
      <c r="W453">
        <f>IF(L453="","",R453/'[1]LOCH Calc COE Calc'!$C$28)</f>
        <v>0.21114397365631307</v>
      </c>
    </row>
    <row r="454" spans="12:23" x14ac:dyDescent="0.25">
      <c r="L454" s="4">
        <f>IF('[1]All Data '!BE459="","",'[1]All Data '!BE459)</f>
        <v>5.5E-2</v>
      </c>
      <c r="M454">
        <f>IF('[1]All Data '!BF459="","",'[1]All Data '!BF459)</f>
        <v>4767.5627999999997</v>
      </c>
      <c r="N454" s="5">
        <f>IF('[1]All Data '!BB459="","",'[1]All Data '!BC459/'[1]All Data '!BH459)</f>
        <v>405753</v>
      </c>
      <c r="O454" s="5">
        <f t="shared" si="9"/>
        <v>1934452908.7883999</v>
      </c>
      <c r="P454" s="5">
        <f>IF(M454="","",$C$2*(1-L454)*907.2/0.621371*N454*[1]Transportation!$M$40)</f>
        <v>6328834.9338636827</v>
      </c>
      <c r="Q454" s="5">
        <f>IF(L454="","",IF([1]Inputs_Outputs!$B$5="Herbaceous",(LCA!$E$29*'[1]LOCH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4" s="5">
        <f>IF(M454="","",$E$2*1000*'[1]LOCH Calc COE Calc'!$C$44)</f>
        <v>4896457.3202133691</v>
      </c>
      <c r="S454" s="6">
        <f>IF(N454="","",SUM(O454:R454)/('[1]LOCH Calc COE Calc'!$C$28))</f>
        <v>87.111114613753728</v>
      </c>
      <c r="T454">
        <f>IF(L454="","",O454/'[1]LOCH Calc COE Calc'!$C$28)</f>
        <v>83.417059988750694</v>
      </c>
      <c r="U454">
        <f>IF(L454="","",P454/'[1]LOCH Calc COE Calc'!$C$28)</f>
        <v>0.27291065134672438</v>
      </c>
      <c r="V454">
        <f>IF(L454="","",Q454/'[1]LOCH Calc COE Calc'!$C$28)</f>
        <v>3.2100000000000004</v>
      </c>
      <c r="W454">
        <f>IF(L454="","",R454/'[1]LOCH Calc COE Calc'!$C$28)</f>
        <v>0.21114397365631307</v>
      </c>
    </row>
    <row r="455" spans="12:23" x14ac:dyDescent="0.25">
      <c r="L455" s="4">
        <f>IF('[1]All Data '!BE460="","",'[1]All Data '!BE460)</f>
        <v>5.5E-2</v>
      </c>
      <c r="M455">
        <f>IF('[1]All Data '!BF460="","",'[1]All Data '!BF460)</f>
        <v>4767.5627999999997</v>
      </c>
      <c r="N455" s="5">
        <f>IF('[1]All Data '!BB460="","",'[1]All Data '!BC460/'[1]All Data '!BH460)</f>
        <v>405553</v>
      </c>
      <c r="O455" s="5">
        <f t="shared" si="9"/>
        <v>1933499396.2284</v>
      </c>
      <c r="P455" s="5">
        <f>IF(M455="","",$C$2*(1-L455)*907.2/0.621371*N455*[1]Transportation!$M$40)</f>
        <v>6325715.3833322674</v>
      </c>
      <c r="Q455" s="5">
        <f>IF(L455="","",IF([1]Inputs_Outputs!$B$5="Herbaceous",(LCA!$E$29*'[1]LOCH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5" s="5">
        <f>IF(M455="","",$E$2*1000*'[1]LOCH Calc COE Calc'!$C$44)</f>
        <v>4896457.3202133691</v>
      </c>
      <c r="S455" s="6">
        <f>IF(N455="","",SUM(O455:R455)/('[1]LOCH Calc COE Calc'!$C$28))</f>
        <v>87.069862930764288</v>
      </c>
      <c r="T455">
        <f>IF(L455="","",O455/'[1]LOCH Calc COE Calc'!$C$28)</f>
        <v>83.375942826344627</v>
      </c>
      <c r="U455">
        <f>IF(L455="","",P455/'[1]LOCH Calc COE Calc'!$C$28)</f>
        <v>0.27277613076334145</v>
      </c>
      <c r="V455">
        <f>IF(L455="","",Q455/'[1]LOCH Calc COE Calc'!$C$28)</f>
        <v>3.2100000000000004</v>
      </c>
      <c r="W455">
        <f>IF(L455="","",R455/'[1]LOCH Calc COE Calc'!$C$28)</f>
        <v>0.21114397365631307</v>
      </c>
    </row>
    <row r="456" spans="12:23" x14ac:dyDescent="0.25">
      <c r="L456" s="4">
        <f>IF('[1]All Data '!BE461="","",'[1]All Data '!BE461)</f>
        <v>5.5E-2</v>
      </c>
      <c r="M456">
        <f>IF('[1]All Data '!BF461="","",'[1]All Data '!BF461)</f>
        <v>4767.5627999999997</v>
      </c>
      <c r="N456" s="5">
        <f>IF('[1]All Data '!BB461="","",'[1]All Data '!BC461/'[1]All Data '!BH461)</f>
        <v>404730</v>
      </c>
      <c r="O456" s="5">
        <f t="shared" si="9"/>
        <v>1929575692.0439999</v>
      </c>
      <c r="P456" s="5">
        <f>IF(M456="","",$C$2*(1-L456)*907.2/0.621371*N456*[1]Transportation!$M$40)</f>
        <v>6312878.4328955002</v>
      </c>
      <c r="Q456" s="5">
        <f>IF(L456="","",IF([1]Inputs_Outputs!$B$5="Herbaceous",(LCA!$E$29*'[1]LOCH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6" s="5">
        <f>IF(M456="","",$E$2*1000*'[1]LOCH Calc COE Calc'!$C$44)</f>
        <v>4896457.3202133691</v>
      </c>
      <c r="S456" s="6">
        <f>IF(N456="","",SUM(O456:R456)/('[1]LOCH Calc COE Calc'!$C$28))</f>
        <v>86.900112255262684</v>
      </c>
      <c r="T456">
        <f>IF(L456="","",O456/'[1]LOCH Calc COE Calc'!$C$28)</f>
        <v>83.206745703043651</v>
      </c>
      <c r="U456">
        <f>IF(L456="","",P456/'[1]LOCH Calc COE Calc'!$C$28)</f>
        <v>0.27222257856272103</v>
      </c>
      <c r="V456">
        <f>IF(L456="","",Q456/'[1]LOCH Calc COE Calc'!$C$28)</f>
        <v>3.2100000000000004</v>
      </c>
      <c r="W456">
        <f>IF(L456="","",R456/'[1]LOCH Calc COE Calc'!$C$28)</f>
        <v>0.21114397365631307</v>
      </c>
    </row>
    <row r="457" spans="12:23" x14ac:dyDescent="0.25">
      <c r="L457" s="4">
        <f>IF('[1]All Data '!BE462="","",'[1]All Data '!BE462)</f>
        <v>5.5E-2</v>
      </c>
      <c r="M457">
        <f>IF('[1]All Data '!BF462="","",'[1]All Data '!BF462)</f>
        <v>4767.5627999999997</v>
      </c>
      <c r="N457" s="5">
        <f>IF('[1]All Data '!BB462="","",'[1]All Data '!BC462/'[1]All Data '!BH462)</f>
        <v>404623</v>
      </c>
      <c r="O457" s="5">
        <f t="shared" si="9"/>
        <v>1929065562.8243999</v>
      </c>
      <c r="P457" s="5">
        <f>IF(M457="","",$C$2*(1-L457)*907.2/0.621371*N457*[1]Transportation!$M$40)</f>
        <v>6311209.4733611941</v>
      </c>
      <c r="Q457" s="5">
        <f>IF(L457="","",IF([1]Inputs_Outputs!$B$5="Herbaceous",(LCA!$E$29*'[1]LOCH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7" s="5">
        <f>IF(M457="","",$E$2*1000*'[1]LOCH Calc COE Calc'!$C$44)</f>
        <v>4896457.3202133691</v>
      </c>
      <c r="S457" s="6">
        <f>IF(N457="","",SUM(O457:R457)/('[1]LOCH Calc COE Calc'!$C$28))</f>
        <v>86.878042604863325</v>
      </c>
      <c r="T457">
        <f>IF(L457="","",O457/'[1]LOCH Calc COE Calc'!$C$28)</f>
        <v>83.184748021156395</v>
      </c>
      <c r="U457">
        <f>IF(L457="","",P457/'[1]LOCH Calc COE Calc'!$C$28)</f>
        <v>0.2721506100506112</v>
      </c>
      <c r="V457">
        <f>IF(L457="","",Q457/'[1]LOCH Calc COE Calc'!$C$28)</f>
        <v>3.2100000000000004</v>
      </c>
      <c r="W457">
        <f>IF(L457="","",R457/'[1]LOCH Calc COE Calc'!$C$28)</f>
        <v>0.21114397365631307</v>
      </c>
    </row>
    <row r="458" spans="12:23" x14ac:dyDescent="0.25">
      <c r="L458" s="4">
        <f>IF('[1]All Data '!BE463="","",'[1]All Data '!BE463)</f>
        <v>5.5E-2</v>
      </c>
      <c r="M458">
        <f>IF('[1]All Data '!BF463="","",'[1]All Data '!BF463)</f>
        <v>4767.5627999999997</v>
      </c>
      <c r="N458" s="5">
        <f>IF('[1]All Data '!BB463="","",'[1]All Data '!BC463/'[1]All Data '!BH463)</f>
        <v>402225</v>
      </c>
      <c r="O458" s="5">
        <f t="shared" si="9"/>
        <v>1917632947.2299998</v>
      </c>
      <c r="P458" s="5">
        <f>IF(M458="","",$C$2*(1-L458)*907.2/0.621371*N458*[1]Transportation!$M$40)</f>
        <v>6273806.0624895431</v>
      </c>
      <c r="Q458" s="5">
        <f>IF(L458="","",IF([1]Inputs_Outputs!$B$5="Herbaceous",(LCA!$E$29*'[1]LOCH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8" s="5">
        <f>IF(M458="","",$E$2*1000*'[1]LOCH Calc COE Calc'!$C$44)</f>
        <v>4896457.3202133691</v>
      </c>
      <c r="S458" s="6">
        <f>IF(N458="","",SUM(O458:R458)/('[1]LOCH Calc COE Calc'!$C$28))</f>
        <v>86.383434925819785</v>
      </c>
      <c r="T458">
        <f>IF(L458="","",O458/'[1]LOCH Calc COE Calc'!$C$28)</f>
        <v>82.691753243907613</v>
      </c>
      <c r="U458">
        <f>IF(L458="","",P458/'[1]LOCH Calc COE Calc'!$C$28)</f>
        <v>0.27053770825585077</v>
      </c>
      <c r="V458">
        <f>IF(L458="","",Q458/'[1]LOCH Calc COE Calc'!$C$28)</f>
        <v>3.2100000000000004</v>
      </c>
      <c r="W458">
        <f>IF(L458="","",R458/'[1]LOCH Calc COE Calc'!$C$28)</f>
        <v>0.21114397365631307</v>
      </c>
    </row>
    <row r="459" spans="12:23" x14ac:dyDescent="0.25">
      <c r="L459" s="4">
        <f>IF('[1]All Data '!BE464="","",'[1]All Data '!BE464)</f>
        <v>5.5E-2</v>
      </c>
      <c r="M459">
        <f>IF('[1]All Data '!BF464="","",'[1]All Data '!BF464)</f>
        <v>4767.5627999999997</v>
      </c>
      <c r="N459" s="5">
        <f>IF('[1]All Data '!BB464="","",'[1]All Data '!BC464/'[1]All Data '!BH464)</f>
        <v>401912</v>
      </c>
      <c r="O459" s="5">
        <f t="shared" si="9"/>
        <v>1916140700.0735998</v>
      </c>
      <c r="P459" s="5">
        <f>IF(M459="","",$C$2*(1-L459)*907.2/0.621371*N459*[1]Transportation!$M$40)</f>
        <v>6268923.965907881</v>
      </c>
      <c r="Q459" s="5">
        <f>IF(L459="","",IF([1]Inputs_Outputs!$B$5="Herbaceous",(LCA!$E$29*'[1]LOCH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59" s="5">
        <f>IF(M459="","",$E$2*1000*'[1]LOCH Calc COE Calc'!$C$44)</f>
        <v>4896457.3202133691</v>
      </c>
      <c r="S459" s="6">
        <f>IF(N459="","",SUM(O459:R459)/('[1]LOCH Calc COE Calc'!$C$28))</f>
        <v>86.31887604194128</v>
      </c>
      <c r="T459">
        <f>IF(L459="","",O459/'[1]LOCH Calc COE Calc'!$C$28)</f>
        <v>82.62740488474212</v>
      </c>
      <c r="U459">
        <f>IF(L459="","",P459/'[1]LOCH Calc COE Calc'!$C$28)</f>
        <v>0.27032718354285662</v>
      </c>
      <c r="V459">
        <f>IF(L459="","",Q459/'[1]LOCH Calc COE Calc'!$C$28)</f>
        <v>3.2100000000000004</v>
      </c>
      <c r="W459">
        <f>IF(L459="","",R459/'[1]LOCH Calc COE Calc'!$C$28)</f>
        <v>0.21114397365631307</v>
      </c>
    </row>
    <row r="460" spans="12:23" x14ac:dyDescent="0.25">
      <c r="L460" s="4">
        <f>IF('[1]All Data '!BE465="","",'[1]All Data '!BE465)</f>
        <v>5.5E-2</v>
      </c>
      <c r="M460">
        <f>IF('[1]All Data '!BF465="","",'[1]All Data '!BF465)</f>
        <v>4767.5627999999997</v>
      </c>
      <c r="N460" s="5">
        <f>IF('[1]All Data '!BB465="","",'[1]All Data '!BC465/'[1]All Data '!BH465)</f>
        <v>401904</v>
      </c>
      <c r="O460" s="5">
        <f t="shared" si="9"/>
        <v>1916102559.5711999</v>
      </c>
      <c r="P460" s="5">
        <f>IF(M460="","",$C$2*(1-L460)*907.2/0.621371*N460*[1]Transportation!$M$40)</f>
        <v>6268799.1838866239</v>
      </c>
      <c r="Q460" s="5">
        <f>IF(L460="","",IF([1]Inputs_Outputs!$B$5="Herbaceous",(LCA!$E$29*'[1]LOCH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0" s="5">
        <f>IF(M460="","",$E$2*1000*'[1]LOCH Calc COE Calc'!$C$44)</f>
        <v>4896457.3202133691</v>
      </c>
      <c r="S460" s="6">
        <f>IF(N460="","",SUM(O460:R460)/('[1]LOCH Calc COE Calc'!$C$28))</f>
        <v>86.317225974621707</v>
      </c>
      <c r="T460">
        <f>IF(L460="","",O460/'[1]LOCH Calc COE Calc'!$C$28)</f>
        <v>82.625760198245871</v>
      </c>
      <c r="U460">
        <f>IF(L460="","",P460/'[1]LOCH Calc COE Calc'!$C$28)</f>
        <v>0.27032180271952128</v>
      </c>
      <c r="V460">
        <f>IF(L460="","",Q460/'[1]LOCH Calc COE Calc'!$C$28)</f>
        <v>3.2100000000000004</v>
      </c>
      <c r="W460">
        <f>IF(L460="","",R460/'[1]LOCH Calc COE Calc'!$C$28)</f>
        <v>0.21114397365631307</v>
      </c>
    </row>
    <row r="461" spans="12:23" x14ac:dyDescent="0.25">
      <c r="L461" s="4">
        <f>IF('[1]All Data '!BE466="","",'[1]All Data '!BE466)</f>
        <v>5.5E-2</v>
      </c>
      <c r="M461">
        <f>IF('[1]All Data '!BF466="","",'[1]All Data '!BF466)</f>
        <v>4767.5627999999997</v>
      </c>
      <c r="N461" s="5">
        <f>IF('[1]All Data '!BB466="","",'[1]All Data '!BC466/'[1]All Data '!BH466)</f>
        <v>401598</v>
      </c>
      <c r="O461" s="5">
        <f t="shared" si="9"/>
        <v>1914643685.3543999</v>
      </c>
      <c r="P461" s="5">
        <f>IF(M461="","",$C$2*(1-L461)*907.2/0.621371*N461*[1]Transportation!$M$40)</f>
        <v>6264026.2715735612</v>
      </c>
      <c r="Q461" s="5">
        <f>IF(L461="","",IF([1]Inputs_Outputs!$B$5="Herbaceous",(LCA!$E$29*'[1]LOCH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1" s="5">
        <f>IF(M461="","",$E$2*1000*'[1]LOCH Calc COE Calc'!$C$44)</f>
        <v>4896457.3202133691</v>
      </c>
      <c r="S461" s="6">
        <f>IF(N461="","",SUM(O461:R461)/('[1]LOCH Calc COE Calc'!$C$28))</f>
        <v>86.254110899647856</v>
      </c>
      <c r="T461">
        <f>IF(L461="","",O461/'[1]LOCH Calc COE Calc'!$C$28)</f>
        <v>82.562850939764587</v>
      </c>
      <c r="U461">
        <f>IF(L461="","",P461/'[1]LOCH Calc COE Calc'!$C$28)</f>
        <v>0.27011598622694549</v>
      </c>
      <c r="V461">
        <f>IF(L461="","",Q461/'[1]LOCH Calc COE Calc'!$C$28)</f>
        <v>3.2100000000000004</v>
      </c>
      <c r="W461">
        <f>IF(L461="","",R461/'[1]LOCH Calc COE Calc'!$C$28)</f>
        <v>0.21114397365631307</v>
      </c>
    </row>
    <row r="462" spans="12:23" x14ac:dyDescent="0.25">
      <c r="L462" s="4">
        <f>IF('[1]All Data '!BE467="","",'[1]All Data '!BE467)</f>
        <v>5.5E-2</v>
      </c>
      <c r="M462">
        <f>IF('[1]All Data '!BF467="","",'[1]All Data '!BF467)</f>
        <v>4767.5627999999997</v>
      </c>
      <c r="N462" s="5">
        <f>IF('[1]All Data '!BB467="","",'[1]All Data '!BC467/'[1]All Data '!BH467)</f>
        <v>401442</v>
      </c>
      <c r="O462" s="5">
        <f t="shared" si="9"/>
        <v>1913899945.5575998</v>
      </c>
      <c r="P462" s="5">
        <f>IF(M462="","",$C$2*(1-L462)*907.2/0.621371*N462*[1]Transportation!$M$40)</f>
        <v>6261593.0221590586</v>
      </c>
      <c r="Q462" s="5">
        <f>IF(L462="","",IF([1]Inputs_Outputs!$B$5="Herbaceous",(LCA!$E$29*'[1]LOCH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2" s="5">
        <f>IF(M462="","",$E$2*1000*'[1]LOCH Calc COE Calc'!$C$44)</f>
        <v>4896457.3202133691</v>
      </c>
      <c r="S462" s="6">
        <f>IF(N462="","",SUM(O462:R462)/('[1]LOCH Calc COE Calc'!$C$28))</f>
        <v>86.221934586916078</v>
      </c>
      <c r="T462">
        <f>IF(L462="","",O462/'[1]LOCH Calc COE Calc'!$C$28)</f>
        <v>82.530779553087854</v>
      </c>
      <c r="U462">
        <f>IF(L462="","",P462/'[1]LOCH Calc COE Calc'!$C$28)</f>
        <v>0.2700110601719069</v>
      </c>
      <c r="V462">
        <f>IF(L462="","",Q462/'[1]LOCH Calc COE Calc'!$C$28)</f>
        <v>3.2100000000000004</v>
      </c>
      <c r="W462">
        <f>IF(L462="","",R462/'[1]LOCH Calc COE Calc'!$C$28)</f>
        <v>0.21114397365631307</v>
      </c>
    </row>
    <row r="463" spans="12:23" x14ac:dyDescent="0.25">
      <c r="L463" s="4">
        <f>IF('[1]All Data '!BE468="","",'[1]All Data '!BE468)</f>
        <v>5.5E-2</v>
      </c>
      <c r="M463">
        <f>IF('[1]All Data '!BF468="","",'[1]All Data '!BF468)</f>
        <v>4767.5627999999997</v>
      </c>
      <c r="N463" s="5">
        <f>IF('[1]All Data '!BB468="","",'[1]All Data '!BC468/'[1]All Data '!BH468)</f>
        <v>401304</v>
      </c>
      <c r="O463" s="5">
        <f t="shared" si="9"/>
        <v>1913242021.8911998</v>
      </c>
      <c r="P463" s="5">
        <f>IF(M463="","",$C$2*(1-L463)*907.2/0.621371*N463*[1]Transportation!$M$40)</f>
        <v>6259440.5322923828</v>
      </c>
      <c r="Q463" s="5">
        <f>IF(L463="","",IF([1]Inputs_Outputs!$B$5="Herbaceous",(LCA!$E$29*'[1]LOCH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3" s="5">
        <f>IF(M463="","",$E$2*1000*'[1]LOCH Calc COE Calc'!$C$44)</f>
        <v>4896457.3202133691</v>
      </c>
      <c r="S463" s="6">
        <f>IF(N463="","",SUM(O463:R463)/('[1]LOCH Calc COE Calc'!$C$28))</f>
        <v>86.193470925653344</v>
      </c>
      <c r="T463">
        <f>IF(L463="","",O463/'[1]LOCH Calc COE Calc'!$C$28)</f>
        <v>82.50240871102767</v>
      </c>
      <c r="U463">
        <f>IF(L463="","",P463/'[1]LOCH Calc COE Calc'!$C$28)</f>
        <v>0.26991824096937272</v>
      </c>
      <c r="V463">
        <f>IF(L463="","",Q463/'[1]LOCH Calc COE Calc'!$C$28)</f>
        <v>3.2100000000000004</v>
      </c>
      <c r="W463">
        <f>IF(L463="","",R463/'[1]LOCH Calc COE Calc'!$C$28)</f>
        <v>0.21114397365631307</v>
      </c>
    </row>
    <row r="464" spans="12:23" x14ac:dyDescent="0.25">
      <c r="L464" s="4">
        <f>IF('[1]All Data '!BE469="","",'[1]All Data '!BE469)</f>
        <v>5.5E-2</v>
      </c>
      <c r="M464">
        <f>IF('[1]All Data '!BF469="","",'[1]All Data '!BF469)</f>
        <v>4767.5627999999997</v>
      </c>
      <c r="N464" s="5">
        <f>IF('[1]All Data '!BB469="","",'[1]All Data '!BC469/'[1]All Data '!BH469)</f>
        <v>401114</v>
      </c>
      <c r="O464" s="5">
        <f t="shared" si="9"/>
        <v>1912336184.9591999</v>
      </c>
      <c r="P464" s="5">
        <f>IF(M464="","",$C$2*(1-L464)*907.2/0.621371*N464*[1]Transportation!$M$40)</f>
        <v>6256476.9592875401</v>
      </c>
      <c r="Q464" s="5">
        <f>IF(L464="","",IF([1]Inputs_Outputs!$B$5="Herbaceous",(LCA!$E$29*'[1]LOCH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4" s="5">
        <f>IF(M464="","",$E$2*1000*'[1]LOCH Calc COE Calc'!$C$44)</f>
        <v>4896457.3202133691</v>
      </c>
      <c r="S464" s="6">
        <f>IF(N464="","",SUM(O464:R464)/('[1]LOCH Calc COE Calc'!$C$28))</f>
        <v>86.154281826813374</v>
      </c>
      <c r="T464">
        <f>IF(L464="","",O464/'[1]LOCH Calc COE Calc'!$C$28)</f>
        <v>82.463347406741903</v>
      </c>
      <c r="U464">
        <f>IF(L464="","",P464/'[1]LOCH Calc COE Calc'!$C$28)</f>
        <v>0.26979044641515898</v>
      </c>
      <c r="V464">
        <f>IF(L464="","",Q464/'[1]LOCH Calc COE Calc'!$C$28)</f>
        <v>3.2100000000000004</v>
      </c>
      <c r="W464">
        <f>IF(L464="","",R464/'[1]LOCH Calc COE Calc'!$C$28)</f>
        <v>0.21114397365631307</v>
      </c>
    </row>
    <row r="465" spans="12:23" x14ac:dyDescent="0.25">
      <c r="L465" s="4">
        <f>IF('[1]All Data '!BE470="","",'[1]All Data '!BE470)</f>
        <v>5.5E-2</v>
      </c>
      <c r="M465">
        <f>IF('[1]All Data '!BF470="","",'[1]All Data '!BF470)</f>
        <v>4767.5627999999997</v>
      </c>
      <c r="N465" s="5">
        <f>IF('[1]All Data '!BB470="","",'[1]All Data '!BC470/'[1]All Data '!BH470)</f>
        <v>399053</v>
      </c>
      <c r="O465" s="5">
        <f t="shared" si="9"/>
        <v>1902510238.0283999</v>
      </c>
      <c r="P465" s="5">
        <f>IF(M465="","",$C$2*(1-L465)*907.2/0.621371*N465*[1]Transportation!$M$40)</f>
        <v>6224329.9910613205</v>
      </c>
      <c r="Q465" s="5">
        <f>IF(L465="","",IF([1]Inputs_Outputs!$B$5="Herbaceous",(LCA!$E$29*'[1]LOCH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5" s="5">
        <f>IF(M465="","",$E$2*1000*'[1]LOCH Calc COE Calc'!$C$44)</f>
        <v>4896457.3202133691</v>
      </c>
      <c r="S465" s="6">
        <f>IF(N465="","",SUM(O465:R465)/('[1]LOCH Calc COE Calc'!$C$28))</f>
        <v>85.72918323360706</v>
      </c>
      <c r="T465">
        <f>IF(L465="","",O465/'[1]LOCH Calc COE Calc'!$C$28)</f>
        <v>82.039635048147346</v>
      </c>
      <c r="U465">
        <f>IF(L465="","",P465/'[1]LOCH Calc COE Calc'!$C$28)</f>
        <v>0.26840421180339863</v>
      </c>
      <c r="V465">
        <f>IF(L465="","",Q465/'[1]LOCH Calc COE Calc'!$C$28)</f>
        <v>3.2100000000000004</v>
      </c>
      <c r="W465">
        <f>IF(L465="","",R465/'[1]LOCH Calc COE Calc'!$C$28)</f>
        <v>0.21114397365631307</v>
      </c>
    </row>
    <row r="466" spans="12:23" x14ac:dyDescent="0.25">
      <c r="L466" s="4">
        <f>IF('[1]All Data '!BE471="","",'[1]All Data '!BE471)</f>
        <v>5.5E-2</v>
      </c>
      <c r="M466">
        <f>IF('[1]All Data '!BF471="","",'[1]All Data '!BF471)</f>
        <v>4767.5627999999997</v>
      </c>
      <c r="N466" s="5">
        <f>IF('[1]All Data '!BB471="","",'[1]All Data '!BC471/'[1]All Data '!BH471)</f>
        <v>398704</v>
      </c>
      <c r="O466" s="5">
        <f t="shared" si="9"/>
        <v>1900846358.6111999</v>
      </c>
      <c r="P466" s="5">
        <f>IF(M466="","",$C$2*(1-L466)*907.2/0.621371*N466*[1]Transportation!$M$40)</f>
        <v>6218886.3753840039</v>
      </c>
      <c r="Q466" s="5">
        <f>IF(L466="","",IF([1]Inputs_Outputs!$B$5="Herbaceous",(LCA!$E$29*'[1]LOCH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6" s="5">
        <f>IF(M466="","",$E$2*1000*'[1]LOCH Calc COE Calc'!$C$44)</f>
        <v>4896457.3202133691</v>
      </c>
      <c r="S466" s="6">
        <f>IF(N466="","",SUM(O466:R466)/('[1]LOCH Calc COE Calc'!$C$28))</f>
        <v>85.657199046790467</v>
      </c>
      <c r="T466">
        <f>IF(L466="","",O466/'[1]LOCH Calc COE Calc'!$C$28)</f>
        <v>81.967885599748755</v>
      </c>
      <c r="U466">
        <f>IF(L466="","",P466/'[1]LOCH Calc COE Calc'!$C$28)</f>
        <v>0.26816947338539554</v>
      </c>
      <c r="V466">
        <f>IF(L466="","",Q466/'[1]LOCH Calc COE Calc'!$C$28)</f>
        <v>3.2100000000000004</v>
      </c>
      <c r="W466">
        <f>IF(L466="","",R466/'[1]LOCH Calc COE Calc'!$C$28)</f>
        <v>0.21114397365631307</v>
      </c>
    </row>
    <row r="467" spans="12:23" x14ac:dyDescent="0.25">
      <c r="L467" s="4">
        <f>IF('[1]All Data '!BE472="","",'[1]All Data '!BE472)</f>
        <v>5.5E-2</v>
      </c>
      <c r="M467">
        <f>IF('[1]All Data '!BF472="","",'[1]All Data '!BF472)</f>
        <v>4767.5627999999997</v>
      </c>
      <c r="N467" s="5">
        <f>IF('[1]All Data '!BB472="","",'[1]All Data '!BC472/'[1]All Data '!BH472)</f>
        <v>398704</v>
      </c>
      <c r="O467" s="5">
        <f t="shared" si="9"/>
        <v>1900846358.6111999</v>
      </c>
      <c r="P467" s="5">
        <f>IF(M467="","",$C$2*(1-L467)*907.2/0.621371*N467*[1]Transportation!$M$40)</f>
        <v>6218886.3753840039</v>
      </c>
      <c r="Q467" s="5">
        <f>IF(L467="","",IF([1]Inputs_Outputs!$B$5="Herbaceous",(LCA!$E$29*'[1]LOCH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7" s="5">
        <f>IF(M467="","",$E$2*1000*'[1]LOCH Calc COE Calc'!$C$44)</f>
        <v>4896457.3202133691</v>
      </c>
      <c r="S467" s="6">
        <f>IF(N467="","",SUM(O467:R467)/('[1]LOCH Calc COE Calc'!$C$28))</f>
        <v>85.657199046790467</v>
      </c>
      <c r="T467">
        <f>IF(L467="","",O467/'[1]LOCH Calc COE Calc'!$C$28)</f>
        <v>81.967885599748755</v>
      </c>
      <c r="U467">
        <f>IF(L467="","",P467/'[1]LOCH Calc COE Calc'!$C$28)</f>
        <v>0.26816947338539554</v>
      </c>
      <c r="V467">
        <f>IF(L467="","",Q467/'[1]LOCH Calc COE Calc'!$C$28)</f>
        <v>3.2100000000000004</v>
      </c>
      <c r="W467">
        <f>IF(L467="","",R467/'[1]LOCH Calc COE Calc'!$C$28)</f>
        <v>0.21114397365631307</v>
      </c>
    </row>
    <row r="468" spans="12:23" x14ac:dyDescent="0.25">
      <c r="L468" s="4">
        <f>IF('[1]All Data '!BE473="","",'[1]All Data '!BE473)</f>
        <v>5.5E-2</v>
      </c>
      <c r="M468">
        <f>IF('[1]All Data '!BF473="","",'[1]All Data '!BF473)</f>
        <v>4767.5627999999997</v>
      </c>
      <c r="N468" s="5">
        <f>IF('[1]All Data '!BB473="","",'[1]All Data '!BC473/'[1]All Data '!BH473)</f>
        <v>398704</v>
      </c>
      <c r="O468" s="5">
        <f t="shared" si="9"/>
        <v>1900846358.6111999</v>
      </c>
      <c r="P468" s="5">
        <f>IF(M468="","",$C$2*(1-L468)*907.2/0.621371*N468*[1]Transportation!$M$40)</f>
        <v>6218886.3753840039</v>
      </c>
      <c r="Q468" s="5">
        <f>IF(L468="","",IF([1]Inputs_Outputs!$B$5="Herbaceous",(LCA!$E$29*'[1]LOCH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8" s="5">
        <f>IF(M468="","",$E$2*1000*'[1]LOCH Calc COE Calc'!$C$44)</f>
        <v>4896457.3202133691</v>
      </c>
      <c r="S468" s="6">
        <f>IF(N468="","",SUM(O468:R468)/('[1]LOCH Calc COE Calc'!$C$28))</f>
        <v>85.657199046790467</v>
      </c>
      <c r="T468">
        <f>IF(L468="","",O468/'[1]LOCH Calc COE Calc'!$C$28)</f>
        <v>81.967885599748755</v>
      </c>
      <c r="U468">
        <f>IF(L468="","",P468/'[1]LOCH Calc COE Calc'!$C$28)</f>
        <v>0.26816947338539554</v>
      </c>
      <c r="V468">
        <f>IF(L468="","",Q468/'[1]LOCH Calc COE Calc'!$C$28)</f>
        <v>3.2100000000000004</v>
      </c>
      <c r="W468">
        <f>IF(L468="","",R468/'[1]LOCH Calc COE Calc'!$C$28)</f>
        <v>0.21114397365631307</v>
      </c>
    </row>
    <row r="469" spans="12:23" x14ac:dyDescent="0.25">
      <c r="L469" s="4">
        <f>IF('[1]All Data '!BE474="","",'[1]All Data '!BE474)</f>
        <v>5.5E-2</v>
      </c>
      <c r="M469">
        <f>IF('[1]All Data '!BF474="","",'[1]All Data '!BF474)</f>
        <v>4767.5627999999997</v>
      </c>
      <c r="N469" s="5">
        <f>IF('[1]All Data '!BB474="","",'[1]All Data '!BC474/'[1]All Data '!BH474)</f>
        <v>398704</v>
      </c>
      <c r="O469" s="5">
        <f t="shared" si="9"/>
        <v>1900846358.6111999</v>
      </c>
      <c r="P469" s="5">
        <f>IF(M469="","",$C$2*(1-L469)*907.2/0.621371*N469*[1]Transportation!$M$40)</f>
        <v>6218886.3753840039</v>
      </c>
      <c r="Q469" s="5">
        <f>IF(L469="","",IF([1]Inputs_Outputs!$B$5="Herbaceous",(LCA!$E$29*'[1]LOCH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69" s="5">
        <f>IF(M469="","",$E$2*1000*'[1]LOCH Calc COE Calc'!$C$44)</f>
        <v>4896457.3202133691</v>
      </c>
      <c r="S469" s="6">
        <f>IF(N469="","",SUM(O469:R469)/('[1]LOCH Calc COE Calc'!$C$28))</f>
        <v>85.657199046790467</v>
      </c>
      <c r="T469">
        <f>IF(L469="","",O469/'[1]LOCH Calc COE Calc'!$C$28)</f>
        <v>81.967885599748755</v>
      </c>
      <c r="U469">
        <f>IF(L469="","",P469/'[1]LOCH Calc COE Calc'!$C$28)</f>
        <v>0.26816947338539554</v>
      </c>
      <c r="V469">
        <f>IF(L469="","",Q469/'[1]LOCH Calc COE Calc'!$C$28)</f>
        <v>3.2100000000000004</v>
      </c>
      <c r="W469">
        <f>IF(L469="","",R469/'[1]LOCH Calc COE Calc'!$C$28)</f>
        <v>0.21114397365631307</v>
      </c>
    </row>
    <row r="470" spans="12:23" x14ac:dyDescent="0.25">
      <c r="L470" s="4">
        <f>IF('[1]All Data '!BE475="","",'[1]All Data '!BE475)</f>
        <v>5.5E-2</v>
      </c>
      <c r="M470">
        <f>IF('[1]All Data '!BF475="","",'[1]All Data '!BF475)</f>
        <v>4767.5627999999997</v>
      </c>
      <c r="N470" s="5">
        <f>IF('[1]All Data '!BB475="","",'[1]All Data '!BC475/'[1]All Data '!BH475)</f>
        <v>398141</v>
      </c>
      <c r="O470" s="5">
        <f t="shared" si="9"/>
        <v>1898162220.7547998</v>
      </c>
      <c r="P470" s="5">
        <f>IF(M470="","",$C$2*(1-L470)*907.2/0.621371*N470*[1]Transportation!$M$40)</f>
        <v>6210104.8406380732</v>
      </c>
      <c r="Q470" s="5">
        <f>IF(L470="","",IF([1]Inputs_Outputs!$B$5="Herbaceous",(LCA!$E$29*'[1]LOCH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0" s="5">
        <f>IF(M470="","",$E$2*1000*'[1]LOCH Calc COE Calc'!$C$44)</f>
        <v>4896457.3202133691</v>
      </c>
      <c r="S470" s="6">
        <f>IF(N470="","",SUM(O470:R470)/('[1]LOCH Calc COE Calc'!$C$28))</f>
        <v>85.541075559175155</v>
      </c>
      <c r="T470">
        <f>IF(L470="","",O470/'[1]LOCH Calc COE Calc'!$C$28)</f>
        <v>81.852140787575664</v>
      </c>
      <c r="U470">
        <f>IF(L470="","",P470/'[1]LOCH Calc COE Calc'!$C$28)</f>
        <v>0.26779079794317279</v>
      </c>
      <c r="V470">
        <f>IF(L470="","",Q470/'[1]LOCH Calc COE Calc'!$C$28)</f>
        <v>3.2100000000000004</v>
      </c>
      <c r="W470">
        <f>IF(L470="","",R470/'[1]LOCH Calc COE Calc'!$C$28)</f>
        <v>0.21114397365631307</v>
      </c>
    </row>
    <row r="471" spans="12:23" x14ac:dyDescent="0.25">
      <c r="L471" s="4">
        <f>IF('[1]All Data '!BE476="","",'[1]All Data '!BE476)</f>
        <v>5.5E-2</v>
      </c>
      <c r="M471">
        <f>IF('[1]All Data '!BF476="","",'[1]All Data '!BF476)</f>
        <v>4767.5627999999997</v>
      </c>
      <c r="N471" s="5">
        <f>IF('[1]All Data '!BB476="","",'[1]All Data '!BC476/'[1]All Data '!BH476)</f>
        <v>397914</v>
      </c>
      <c r="O471" s="5">
        <f t="shared" si="9"/>
        <v>1897079983.9991999</v>
      </c>
      <c r="P471" s="5">
        <f>IF(M471="","",$C$2*(1-L471)*907.2/0.621371*N471*[1]Transportation!$M$40)</f>
        <v>6206564.150784919</v>
      </c>
      <c r="Q471" s="5">
        <f>IF(L471="","",IF([1]Inputs_Outputs!$B$5="Herbaceous",(LCA!$E$29*'[1]LOCH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1" s="5">
        <f>IF(M471="","",$E$2*1000*'[1]LOCH Calc COE Calc'!$C$44)</f>
        <v>4896457.3202133691</v>
      </c>
      <c r="S471" s="6">
        <f>IF(N471="","",SUM(O471:R471)/('[1]LOCH Calc COE Calc'!$C$28))</f>
        <v>85.494254898982135</v>
      </c>
      <c r="T471">
        <f>IF(L471="","",O471/'[1]LOCH Calc COE Calc'!$C$28)</f>
        <v>81.805472808244772</v>
      </c>
      <c r="U471">
        <f>IF(L471="","",P471/'[1]LOCH Calc COE Calc'!$C$28)</f>
        <v>0.26763811708103324</v>
      </c>
      <c r="V471">
        <f>IF(L471="","",Q471/'[1]LOCH Calc COE Calc'!$C$28)</f>
        <v>3.2100000000000004</v>
      </c>
      <c r="W471">
        <f>IF(L471="","",R471/'[1]LOCH Calc COE Calc'!$C$28)</f>
        <v>0.21114397365631307</v>
      </c>
    </row>
    <row r="472" spans="12:23" x14ac:dyDescent="0.25">
      <c r="L472" s="4">
        <f>IF('[1]All Data '!BE477="","",'[1]All Data '!BE477)</f>
        <v>5.5E-2</v>
      </c>
      <c r="M472">
        <f>IF('[1]All Data '!BF477="","",'[1]All Data '!BF477)</f>
        <v>4767.5627999999997</v>
      </c>
      <c r="N472" s="5">
        <f>IF('[1]All Data '!BB477="","",'[1]All Data '!BC477/'[1]All Data '!BH477)</f>
        <v>396598</v>
      </c>
      <c r="O472" s="5">
        <f t="shared" si="9"/>
        <v>1890805871.3543999</v>
      </c>
      <c r="P472" s="5">
        <f>IF(M472="","",$C$2*(1-L472)*907.2/0.621371*N472*[1]Transportation!$M$40)</f>
        <v>6186037.5082882168</v>
      </c>
      <c r="Q472" s="5">
        <f>IF(L472="","",IF([1]Inputs_Outputs!$B$5="Herbaceous",(LCA!$E$29*'[1]LOCH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2" s="5">
        <f>IF(M472="","",$E$2*1000*'[1]LOCH Calc COE Calc'!$C$44)</f>
        <v>4896457.3202133691</v>
      </c>
      <c r="S472" s="6">
        <f>IF(N472="","",SUM(O472:R472)/('[1]LOCH Calc COE Calc'!$C$28))</f>
        <v>85.222818824911528</v>
      </c>
      <c r="T472">
        <f>IF(L472="","",O472/'[1]LOCH Calc COE Calc'!$C$28)</f>
        <v>81.534921879612838</v>
      </c>
      <c r="U472">
        <f>IF(L472="","",P472/'[1]LOCH Calc COE Calc'!$C$28)</f>
        <v>0.26675297164237405</v>
      </c>
      <c r="V472">
        <f>IF(L472="","",Q472/'[1]LOCH Calc COE Calc'!$C$28)</f>
        <v>3.2100000000000004</v>
      </c>
      <c r="W472">
        <f>IF(L472="","",R472/'[1]LOCH Calc COE Calc'!$C$28)</f>
        <v>0.21114397365631307</v>
      </c>
    </row>
    <row r="473" spans="12:23" x14ac:dyDescent="0.25">
      <c r="L473" s="4">
        <f>IF('[1]All Data '!BE478="","",'[1]All Data '!BE478)</f>
        <v>5.5E-2</v>
      </c>
      <c r="M473">
        <f>IF('[1]All Data '!BF478="","",'[1]All Data '!BF478)</f>
        <v>4767.5627999999997</v>
      </c>
      <c r="N473" s="5">
        <f>IF('[1]All Data '!BB478="","",'[1]All Data '!BC478/'[1]All Data '!BH478)</f>
        <v>394150</v>
      </c>
      <c r="O473" s="5">
        <f t="shared" si="9"/>
        <v>1879134877.6199999</v>
      </c>
      <c r="P473" s="5">
        <f>IF(M473="","",$C$2*(1-L473)*907.2/0.621371*N473*[1]Transportation!$M$40)</f>
        <v>6147854.2097837115</v>
      </c>
      <c r="Q473" s="5">
        <f>IF(L473="","",IF([1]Inputs_Outputs!$B$5="Herbaceous",(LCA!$E$29*'[1]LOCH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3" s="5">
        <f>IF(M473="","",$E$2*1000*'[1]LOCH Calc COE Calc'!$C$44)</f>
        <v>4896457.3202133691</v>
      </c>
      <c r="S473" s="6">
        <f>IF(N473="","",SUM(O473:R473)/('[1]LOCH Calc COE Calc'!$C$28))</f>
        <v>84.717898225120621</v>
      </c>
      <c r="T473">
        <f>IF(L473="","",O473/'[1]LOCH Calc COE Calc'!$C$28)</f>
        <v>81.031647811762539</v>
      </c>
      <c r="U473">
        <f>IF(L473="","",P473/'[1]LOCH Calc COE Calc'!$C$28)</f>
        <v>0.26510643970176784</v>
      </c>
      <c r="V473">
        <f>IF(L473="","",Q473/'[1]LOCH Calc COE Calc'!$C$28)</f>
        <v>3.2100000000000004</v>
      </c>
      <c r="W473">
        <f>IF(L473="","",R473/'[1]LOCH Calc COE Calc'!$C$28)</f>
        <v>0.21114397365631307</v>
      </c>
    </row>
    <row r="474" spans="12:23" x14ac:dyDescent="0.25">
      <c r="L474" s="4">
        <f>IF('[1]All Data '!BE479="","",'[1]All Data '!BE479)</f>
        <v>5.5000000000000007E-2</v>
      </c>
      <c r="M474">
        <f>IF('[1]All Data '!BF479="","",'[1]All Data '!BF479)</f>
        <v>4767.5627999999997</v>
      </c>
      <c r="N474" s="5">
        <f>IF('[1]All Data '!BB479="","",'[1]All Data '!BC479/'[1]All Data '!BH479)</f>
        <v>393843</v>
      </c>
      <c r="O474" s="5">
        <f t="shared" si="9"/>
        <v>1877671235.8404</v>
      </c>
      <c r="P474" s="5">
        <f>IF(M474="","",$C$2*(1-L474)*907.2/0.621371*N474*[1]Transportation!$M$40)</f>
        <v>6143065.6997179911</v>
      </c>
      <c r="Q474" s="5">
        <f>IF(L474="","",IF([1]Inputs_Outputs!$B$5="Herbaceous",(LCA!$E$29*'[1]LOCH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4" s="5">
        <f>IF(M474="","",$E$2*1000*'[1]LOCH Calc COE Calc'!$C$44)</f>
        <v>4896457.3202133691</v>
      </c>
      <c r="S474" s="6">
        <f>IF(N474="","",SUM(O474:R474)/('[1]LOCH Calc COE Calc'!$C$28))</f>
        <v>84.654576891731821</v>
      </c>
      <c r="T474">
        <f>IF(L474="","",O474/'[1]LOCH Calc COE Calc'!$C$28)</f>
        <v>80.96853296746923</v>
      </c>
      <c r="U474">
        <f>IF(L474="","",P474/'[1]LOCH Calc COE Calc'!$C$28)</f>
        <v>0.26489995060627514</v>
      </c>
      <c r="V474">
        <f>IF(L474="","",Q474/'[1]LOCH Calc COE Calc'!$C$28)</f>
        <v>3.2100000000000004</v>
      </c>
      <c r="W474">
        <f>IF(L474="","",R474/'[1]LOCH Calc COE Calc'!$C$28)</f>
        <v>0.21114397365631307</v>
      </c>
    </row>
    <row r="475" spans="12:23" x14ac:dyDescent="0.25">
      <c r="L475" s="4">
        <f>IF('[1]All Data '!BE480="","",'[1]All Data '!BE480)</f>
        <v>5.4999999999999993E-2</v>
      </c>
      <c r="M475">
        <f>IF('[1]All Data '!BF480="","",'[1]All Data '!BF480)</f>
        <v>4767.5627999999997</v>
      </c>
      <c r="N475" s="5">
        <f>IF('[1]All Data '!BB480="","",'[1]All Data '!BC480/'[1]All Data '!BH480)</f>
        <v>392783</v>
      </c>
      <c r="O475" s="5">
        <f t="shared" si="9"/>
        <v>1872617619.2723999</v>
      </c>
      <c r="P475" s="5">
        <f>IF(M475="","",$C$2*(1-L475)*907.2/0.621371*N475*[1]Transportation!$M$40)</f>
        <v>6126532.0819014981</v>
      </c>
      <c r="Q475" s="5">
        <f>IF(L475="","",IF([1]Inputs_Outputs!$B$5="Herbaceous",(LCA!$E$29*'[1]LOCH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5" s="5">
        <f>IF(M475="","",$E$2*1000*'[1]LOCH Calc COE Calc'!$C$44)</f>
        <v>4896457.3202133691</v>
      </c>
      <c r="S475" s="6">
        <f>IF(N475="","",SUM(O475:R475)/('[1]LOCH Calc COE Calc'!$C$28))</f>
        <v>84.435942971887712</v>
      </c>
      <c r="T475">
        <f>IF(L475="","",O475/'[1]LOCH Calc COE Calc'!$C$28)</f>
        <v>80.750612006717049</v>
      </c>
      <c r="U475">
        <f>IF(L475="","",P475/'[1]LOCH Calc COE Calc'!$C$28)</f>
        <v>0.26418699151434599</v>
      </c>
      <c r="V475">
        <f>IF(L475="","",Q475/'[1]LOCH Calc COE Calc'!$C$28)</f>
        <v>3.2100000000000004</v>
      </c>
      <c r="W475">
        <f>IF(L475="","",R475/'[1]LOCH Calc COE Calc'!$C$28)</f>
        <v>0.21114397365631307</v>
      </c>
    </row>
    <row r="476" spans="12:23" x14ac:dyDescent="0.25">
      <c r="L476" s="4">
        <f>IF('[1]All Data '!BE481="","",'[1]All Data '!BE481)</f>
        <v>5.5E-2</v>
      </c>
      <c r="M476">
        <f>IF('[1]All Data '!BF481="","",'[1]All Data '!BF481)</f>
        <v>4767.5627999999997</v>
      </c>
      <c r="N476" s="5">
        <f>IF('[1]All Data '!BB481="","",'[1]All Data '!BC481/'[1]All Data '!BH481)</f>
        <v>392705</v>
      </c>
      <c r="O476" s="5">
        <f t="shared" si="9"/>
        <v>1872245749.3739998</v>
      </c>
      <c r="P476" s="5">
        <f>IF(M476="","",$C$2*(1-L476)*907.2/0.621371*N476*[1]Transportation!$M$40)</f>
        <v>6125315.4571942464</v>
      </c>
      <c r="Q476" s="5">
        <f>IF(L476="","",IF([1]Inputs_Outputs!$B$5="Herbaceous",(LCA!$E$29*'[1]LOCH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6" s="5">
        <f>IF(M476="","",$E$2*1000*'[1]LOCH Calc COE Calc'!$C$44)</f>
        <v>4896457.3202133691</v>
      </c>
      <c r="S476" s="6">
        <f>IF(N476="","",SUM(O476:R476)/('[1]LOCH Calc COE Calc'!$C$28))</f>
        <v>84.41985481552183</v>
      </c>
      <c r="T476">
        <f>IF(L476="","",O476/'[1]LOCH Calc COE Calc'!$C$28)</f>
        <v>80.734576313378682</v>
      </c>
      <c r="U476">
        <f>IF(L476="","",P476/'[1]LOCH Calc COE Calc'!$C$28)</f>
        <v>0.26413452848682667</v>
      </c>
      <c r="V476">
        <f>IF(L476="","",Q476/'[1]LOCH Calc COE Calc'!$C$28)</f>
        <v>3.2100000000000004</v>
      </c>
      <c r="W476">
        <f>IF(L476="","",R476/'[1]LOCH Calc COE Calc'!$C$28)</f>
        <v>0.21114397365631307</v>
      </c>
    </row>
    <row r="477" spans="12:23" x14ac:dyDescent="0.25">
      <c r="L477" s="4">
        <f>IF('[1]All Data '!BE482="","",'[1]All Data '!BE482)</f>
        <v>5.5E-2</v>
      </c>
      <c r="M477">
        <f>IF('[1]All Data '!BF482="","",'[1]All Data '!BF482)</f>
        <v>4767.5627999999997</v>
      </c>
      <c r="N477" s="5">
        <f>IF('[1]All Data '!BB482="","",'[1]All Data '!BC482/'[1]All Data '!BH482)</f>
        <v>392605</v>
      </c>
      <c r="O477" s="5">
        <f t="shared" si="9"/>
        <v>1871768993.0939999</v>
      </c>
      <c r="P477" s="5">
        <f>IF(M477="","",$C$2*(1-L477)*907.2/0.621371*N477*[1]Transportation!$M$40)</f>
        <v>6123755.6819285406</v>
      </c>
      <c r="Q477" s="5">
        <f>IF(L477="","",IF([1]Inputs_Outputs!$B$5="Herbaceous",(LCA!$E$29*'[1]LOCH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7" s="5">
        <f>IF(M477="","",$E$2*1000*'[1]LOCH Calc COE Calc'!$C$44)</f>
        <v>4896457.3202133691</v>
      </c>
      <c r="S477" s="6">
        <f>IF(N477="","",SUM(O477:R477)/('[1]LOCH Calc COE Calc'!$C$28))</f>
        <v>84.399228974027096</v>
      </c>
      <c r="T477">
        <f>IF(L477="","",O477/'[1]LOCH Calc COE Calc'!$C$28)</f>
        <v>80.714017732175648</v>
      </c>
      <c r="U477">
        <f>IF(L477="","",P477/'[1]LOCH Calc COE Calc'!$C$28)</f>
        <v>0.26406726819513532</v>
      </c>
      <c r="V477">
        <f>IF(L477="","",Q477/'[1]LOCH Calc COE Calc'!$C$28)</f>
        <v>3.2100000000000004</v>
      </c>
      <c r="W477">
        <f>IF(L477="","",R477/'[1]LOCH Calc COE Calc'!$C$28)</f>
        <v>0.21114397365631307</v>
      </c>
    </row>
    <row r="478" spans="12:23" x14ac:dyDescent="0.25">
      <c r="L478" s="4">
        <f>IF('[1]All Data '!BE483="","",'[1]All Data '!BE483)</f>
        <v>5.5E-2</v>
      </c>
      <c r="M478">
        <f>IF('[1]All Data '!BF483="","",'[1]All Data '!BF483)</f>
        <v>4767.5627999999997</v>
      </c>
      <c r="N478" s="5">
        <f>IF('[1]All Data '!BB483="","",'[1]All Data '!BC483/'[1]All Data '!BH483)</f>
        <v>390649</v>
      </c>
      <c r="O478" s="5">
        <f t="shared" si="9"/>
        <v>1862443640.2571998</v>
      </c>
      <c r="P478" s="5">
        <f>IF(M478="","",$C$2*(1-L478)*907.2/0.621371*N478*[1]Transportation!$M$40)</f>
        <v>6093246.4777313136</v>
      </c>
      <c r="Q478" s="5">
        <f>IF(L478="","",IF([1]Inputs_Outputs!$B$5="Herbaceous",(LCA!$E$29*'[1]LOCH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8" s="5">
        <f>IF(M478="","",$E$2*1000*'[1]LOCH Calc COE Calc'!$C$44)</f>
        <v>4896457.3202133691</v>
      </c>
      <c r="S478" s="6">
        <f>IF(N478="","",SUM(O478:R478)/('[1]LOCH Calc COE Calc'!$C$28))</f>
        <v>83.995787514390244</v>
      </c>
      <c r="T478">
        <f>IF(L478="","",O478/'[1]LOCH Calc COE Calc'!$C$28)</f>
        <v>80.311891883844282</v>
      </c>
      <c r="U478">
        <f>IF(L478="","",P478/'[1]LOCH Calc COE Calc'!$C$28)</f>
        <v>0.26275165688965091</v>
      </c>
      <c r="V478">
        <f>IF(L478="","",Q478/'[1]LOCH Calc COE Calc'!$C$28)</f>
        <v>3.2100000000000004</v>
      </c>
      <c r="W478">
        <f>IF(L478="","",R478/'[1]LOCH Calc COE Calc'!$C$28)</f>
        <v>0.21114397365631307</v>
      </c>
    </row>
    <row r="479" spans="12:23" x14ac:dyDescent="0.25">
      <c r="L479" s="4">
        <f>IF('[1]All Data '!BE484="","",'[1]All Data '!BE484)</f>
        <v>5.5E-2</v>
      </c>
      <c r="M479">
        <f>IF('[1]All Data '!BF484="","",'[1]All Data '!BF484)</f>
        <v>4767.5627999999997</v>
      </c>
      <c r="N479" s="5">
        <f>IF('[1]All Data '!BB484="","",'[1]All Data '!BC484/'[1]All Data '!BH484)</f>
        <v>389454</v>
      </c>
      <c r="O479" s="5">
        <f t="shared" si="9"/>
        <v>1856746402.7112</v>
      </c>
      <c r="P479" s="5">
        <f>IF(M479="","",$C$2*(1-L479)*907.2/0.621371*N479*[1]Transportation!$M$40)</f>
        <v>6074607.1633061161</v>
      </c>
      <c r="Q479" s="5">
        <f>IF(L479="","",IF([1]Inputs_Outputs!$B$5="Herbaceous",(LCA!$E$29*'[1]LOCH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79" s="5">
        <f>IF(M479="","",$E$2*1000*'[1]LOCH Calc COE Calc'!$C$44)</f>
        <v>4896457.3202133691</v>
      </c>
      <c r="S479" s="6">
        <f>IF(N479="","",SUM(O479:R479)/('[1]LOCH Calc COE Calc'!$C$28))</f>
        <v>83.749308708528275</v>
      </c>
      <c r="T479">
        <f>IF(L479="","",O479/'[1]LOCH Calc COE Calc'!$C$28)</f>
        <v>80.066216838468023</v>
      </c>
      <c r="U479">
        <f>IF(L479="","",P479/'[1]LOCH Calc COE Calc'!$C$28)</f>
        <v>0.26194789640393834</v>
      </c>
      <c r="V479">
        <f>IF(L479="","",Q479/'[1]LOCH Calc COE Calc'!$C$28)</f>
        <v>3.2100000000000004</v>
      </c>
      <c r="W479">
        <f>IF(L479="","",R479/'[1]LOCH Calc COE Calc'!$C$28)</f>
        <v>0.21114397365631307</v>
      </c>
    </row>
    <row r="480" spans="12:23" x14ac:dyDescent="0.25">
      <c r="L480" s="4">
        <f>IF('[1]All Data '!BE485="","",'[1]All Data '!BE485)</f>
        <v>5.5E-2</v>
      </c>
      <c r="M480">
        <f>IF('[1]All Data '!BF485="","",'[1]All Data '!BF485)</f>
        <v>4767.5627999999997</v>
      </c>
      <c r="N480" s="5">
        <f>IF('[1]All Data '!BB485="","",'[1]All Data '!BC485/'[1]All Data '!BH485)</f>
        <v>389091</v>
      </c>
      <c r="O480" s="5">
        <f t="shared" si="9"/>
        <v>1855015777.4147999</v>
      </c>
      <c r="P480" s="5">
        <f>IF(M480="","",$C$2*(1-L480)*907.2/0.621371*N480*[1]Transportation!$M$40)</f>
        <v>6068945.1790915998</v>
      </c>
      <c r="Q480" s="5">
        <f>IF(L480="","",IF([1]Inputs_Outputs!$B$5="Herbaceous",(LCA!$E$29*'[1]LOCH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0" s="5">
        <f>IF(M480="","",$E$2*1000*'[1]LOCH Calc COE Calc'!$C$44)</f>
        <v>4896457.3202133691</v>
      </c>
      <c r="S480" s="6">
        <f>IF(N480="","",SUM(O480:R480)/('[1]LOCH Calc COE Calc'!$C$28))</f>
        <v>83.674436903902418</v>
      </c>
      <c r="T480">
        <f>IF(L480="","",O480/'[1]LOCH Calc COE Calc'!$C$28)</f>
        <v>79.991589188700999</v>
      </c>
      <c r="U480">
        <f>IF(L480="","",P480/'[1]LOCH Calc COE Calc'!$C$28)</f>
        <v>0.26170374154509846</v>
      </c>
      <c r="V480">
        <f>IF(L480="","",Q480/'[1]LOCH Calc COE Calc'!$C$28)</f>
        <v>3.2100000000000004</v>
      </c>
      <c r="W480">
        <f>IF(L480="","",R480/'[1]LOCH Calc COE Calc'!$C$28)</f>
        <v>0.21114397365631307</v>
      </c>
    </row>
    <row r="481" spans="12:23" x14ac:dyDescent="0.25">
      <c r="L481" s="4">
        <f>IF('[1]All Data '!BE486="","",'[1]All Data '!BE486)</f>
        <v>5.5E-2</v>
      </c>
      <c r="M481">
        <f>IF('[1]All Data '!BF486="","",'[1]All Data '!BF486)</f>
        <v>4767.5627999999997</v>
      </c>
      <c r="N481" s="5">
        <f>IF('[1]All Data '!BB486="","",'[1]All Data '!BC486/'[1]All Data '!BH486)</f>
        <v>388763</v>
      </c>
      <c r="O481" s="5">
        <f t="shared" si="9"/>
        <v>1853452016.8163998</v>
      </c>
      <c r="P481" s="5">
        <f>IF(M481="","",$C$2*(1-L481)*907.2/0.621371*N481*[1]Transportation!$M$40)</f>
        <v>6063829.1162200812</v>
      </c>
      <c r="Q481" s="5">
        <f>IF(L481="","",IF([1]Inputs_Outputs!$B$5="Herbaceous",(LCA!$E$29*'[1]LOCH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1" s="5">
        <f>IF(M481="","",$E$2*1000*'[1]LOCH Calc COE Calc'!$C$44)</f>
        <v>4896457.3202133691</v>
      </c>
      <c r="S481" s="6">
        <f>IF(N481="","",SUM(O481:R481)/('[1]LOCH Calc COE Calc'!$C$28))</f>
        <v>83.6067841437997</v>
      </c>
      <c r="T481">
        <f>IF(L481="","",O481/'[1]LOCH Calc COE Calc'!$C$28)</f>
        <v>79.924157042355034</v>
      </c>
      <c r="U481">
        <f>IF(L481="","",P481/'[1]LOCH Calc COE Calc'!$C$28)</f>
        <v>0.26148312778835059</v>
      </c>
      <c r="V481">
        <f>IF(L481="","",Q481/'[1]LOCH Calc COE Calc'!$C$28)</f>
        <v>3.2100000000000004</v>
      </c>
      <c r="W481">
        <f>IF(L481="","",R481/'[1]LOCH Calc COE Calc'!$C$28)</f>
        <v>0.21114397365631307</v>
      </c>
    </row>
    <row r="482" spans="12:23" x14ac:dyDescent="0.25">
      <c r="L482" s="4">
        <f>IF('[1]All Data '!BE487="","",'[1]All Data '!BE487)</f>
        <v>5.5E-2</v>
      </c>
      <c r="M482">
        <f>IF('[1]All Data '!BF487="","",'[1]All Data '!BF487)</f>
        <v>4767.5627999999997</v>
      </c>
      <c r="N482" s="5">
        <f>IF('[1]All Data '!BB487="","",'[1]All Data '!BC487/'[1]All Data '!BH487)</f>
        <v>387815</v>
      </c>
      <c r="O482" s="5">
        <f t="shared" si="9"/>
        <v>1848932367.2819998</v>
      </c>
      <c r="P482" s="5">
        <f>IF(M482="","",$C$2*(1-L482)*907.2/0.621371*N482*[1]Transportation!$M$40)</f>
        <v>6049042.4467011802</v>
      </c>
      <c r="Q482" s="5">
        <f>IF(L482="","",IF([1]Inputs_Outputs!$B$5="Herbaceous",(LCA!$E$29*'[1]LOCH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2" s="5">
        <f>IF(M482="","",$E$2*1000*'[1]LOCH Calc COE Calc'!$C$44)</f>
        <v>4896457.3202133691</v>
      </c>
      <c r="S482" s="6">
        <f>IF(N482="","",SUM(O482:R482)/('[1]LOCH Calc COE Calc'!$C$28))</f>
        <v>83.411251166429707</v>
      </c>
      <c r="T482">
        <f>IF(L482="","",O482/'[1]LOCH Calc COE Calc'!$C$28)</f>
        <v>79.729261692550267</v>
      </c>
      <c r="U482">
        <f>IF(L482="","",P482/'[1]LOCH Calc COE Calc'!$C$28)</f>
        <v>0.26084550022311581</v>
      </c>
      <c r="V482">
        <f>IF(L482="","",Q482/'[1]LOCH Calc COE Calc'!$C$28)</f>
        <v>3.2100000000000004</v>
      </c>
      <c r="W482">
        <f>IF(L482="","",R482/'[1]LOCH Calc COE Calc'!$C$28)</f>
        <v>0.21114397365631307</v>
      </c>
    </row>
    <row r="483" spans="12:23" x14ac:dyDescent="0.25">
      <c r="L483" s="4">
        <f>IF('[1]All Data '!BE488="","",'[1]All Data '!BE488)</f>
        <v>5.5E-2</v>
      </c>
      <c r="M483">
        <f>IF('[1]All Data '!BF488="","",'[1]All Data '!BF488)</f>
        <v>4767.5627999999997</v>
      </c>
      <c r="N483" s="5">
        <f>IF('[1]All Data '!BB488="","",'[1]All Data '!BC488/'[1]All Data '!BH488)</f>
        <v>387797</v>
      </c>
      <c r="O483" s="5">
        <f t="shared" si="9"/>
        <v>1848846551.1515999</v>
      </c>
      <c r="P483" s="5">
        <f>IF(M483="","",$C$2*(1-L483)*907.2/0.621371*N483*[1]Transportation!$M$40)</f>
        <v>6048761.6871533524</v>
      </c>
      <c r="Q483" s="5">
        <f>IF(L483="","",IF([1]Inputs_Outputs!$B$5="Herbaceous",(LCA!$E$29*'[1]LOCH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3" s="5">
        <f>IF(M483="","",$E$2*1000*'[1]LOCH Calc COE Calc'!$C$44)</f>
        <v>4896457.3202133691</v>
      </c>
      <c r="S483" s="6">
        <f>IF(N483="","",SUM(O483:R483)/('[1]LOCH Calc COE Calc'!$C$28))</f>
        <v>83.407538514960649</v>
      </c>
      <c r="T483">
        <f>IF(L483="","",O483/'[1]LOCH Calc COE Calc'!$C$28)</f>
        <v>79.725561147933732</v>
      </c>
      <c r="U483">
        <f>IF(L483="","",P483/'[1]LOCH Calc COE Calc'!$C$28)</f>
        <v>0.26083339337061134</v>
      </c>
      <c r="V483">
        <f>IF(L483="","",Q483/'[1]LOCH Calc COE Calc'!$C$28)</f>
        <v>3.2100000000000004</v>
      </c>
      <c r="W483">
        <f>IF(L483="","",R483/'[1]LOCH Calc COE Calc'!$C$28)</f>
        <v>0.21114397365631307</v>
      </c>
    </row>
    <row r="484" spans="12:23" x14ac:dyDescent="0.25">
      <c r="L484" s="4">
        <f>IF('[1]All Data '!BE489="","",'[1]All Data '!BE489)</f>
        <v>5.5000000000000007E-2</v>
      </c>
      <c r="M484">
        <f>IF('[1]All Data '!BF489="","",'[1]All Data '!BF489)</f>
        <v>4767.5627999999997</v>
      </c>
      <c r="N484" s="5">
        <f>IF('[1]All Data '!BB489="","",'[1]All Data '!BC489/'[1]All Data '!BH489)</f>
        <v>387119</v>
      </c>
      <c r="O484" s="5">
        <f t="shared" si="9"/>
        <v>1845614143.5732</v>
      </c>
      <c r="P484" s="5">
        <f>IF(M484="","",$C$2*(1-L484)*907.2/0.621371*N484*[1]Transportation!$M$40)</f>
        <v>6038186.4108518604</v>
      </c>
      <c r="Q484" s="5">
        <f>IF(L484="","",IF([1]Inputs_Outputs!$B$5="Herbaceous",(LCA!$E$29*'[1]LOCH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4" s="5">
        <f>IF(M484="","",$E$2*1000*'[1]LOCH Calc COE Calc'!$C$44)</f>
        <v>4896457.3202133691</v>
      </c>
      <c r="S484" s="6">
        <f>IF(N484="","",SUM(O484:R484)/('[1]LOCH Calc COE Calc'!$C$28))</f>
        <v>83.267695309626419</v>
      </c>
      <c r="T484">
        <f>IF(L484="","",O484/'[1]LOCH Calc COE Calc'!$C$28)</f>
        <v>79.58617396737715</v>
      </c>
      <c r="U484">
        <f>IF(L484="","",P484/'[1]LOCH Calc COE Calc'!$C$28)</f>
        <v>0.26037736859294347</v>
      </c>
      <c r="V484">
        <f>IF(L484="","",Q484/'[1]LOCH Calc COE Calc'!$C$28)</f>
        <v>3.2100000000000004</v>
      </c>
      <c r="W484">
        <f>IF(L484="","",R484/'[1]LOCH Calc COE Calc'!$C$28)</f>
        <v>0.21114397365631307</v>
      </c>
    </row>
    <row r="485" spans="12:23" x14ac:dyDescent="0.25">
      <c r="L485" s="4">
        <f>IF('[1]All Data '!BE490="","",'[1]All Data '!BE490)</f>
        <v>5.5E-2</v>
      </c>
      <c r="M485">
        <f>IF('[1]All Data '!BF490="","",'[1]All Data '!BF490)</f>
        <v>4767.5627999999997</v>
      </c>
      <c r="N485" s="5">
        <f>IF('[1]All Data '!BB490="","",'[1]All Data '!BC490/'[1]All Data '!BH490)</f>
        <v>387000</v>
      </c>
      <c r="O485" s="5">
        <f t="shared" si="9"/>
        <v>1845046803.5999999</v>
      </c>
      <c r="P485" s="5">
        <f>IF(M485="","",$C$2*(1-L485)*907.2/0.621371*N485*[1]Transportation!$M$40)</f>
        <v>6036330.2782856692</v>
      </c>
      <c r="Q485" s="5">
        <f>IF(L485="","",IF([1]Inputs_Outputs!$B$5="Herbaceous",(LCA!$E$29*'[1]LOCH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5" s="5">
        <f>IF(M485="","",$E$2*1000*'[1]LOCH Calc COE Calc'!$C$44)</f>
        <v>4896457.3202133691</v>
      </c>
      <c r="S485" s="6">
        <f>IF(N485="","",SUM(O485:R485)/('[1]LOCH Calc COE Calc'!$C$28))</f>
        <v>83.243150558247692</v>
      </c>
      <c r="T485">
        <f>IF(L485="","",O485/'[1]LOCH Calc COE Calc'!$C$28)</f>
        <v>79.561709255745541</v>
      </c>
      <c r="U485">
        <f>IF(L485="","",P485/'[1]LOCH Calc COE Calc'!$C$28)</f>
        <v>0.26029732884583068</v>
      </c>
      <c r="V485">
        <f>IF(L485="","",Q485/'[1]LOCH Calc COE Calc'!$C$28)</f>
        <v>3.2100000000000004</v>
      </c>
      <c r="W485">
        <f>IF(L485="","",R485/'[1]LOCH Calc COE Calc'!$C$28)</f>
        <v>0.21114397365631307</v>
      </c>
    </row>
    <row r="486" spans="12:23" x14ac:dyDescent="0.25">
      <c r="L486" s="4">
        <f>IF('[1]All Data '!BE491="","",'[1]All Data '!BE491)</f>
        <v>5.5E-2</v>
      </c>
      <c r="M486">
        <f>IF('[1]All Data '!BF491="","",'[1]All Data '!BF491)</f>
        <v>4767.5627999999997</v>
      </c>
      <c r="N486" s="5">
        <f>IF('[1]All Data '!BB491="","",'[1]All Data '!BC491/'[1]All Data '!BH491)</f>
        <v>384654</v>
      </c>
      <c r="O486" s="5">
        <f t="shared" si="9"/>
        <v>1833862101.2711999</v>
      </c>
      <c r="P486" s="5">
        <f>IF(M486="","",$C$2*(1-L486)*907.2/0.621371*N486*[1]Transportation!$M$40)</f>
        <v>5999737.950552186</v>
      </c>
      <c r="Q486" s="5">
        <f>IF(L486="","",IF([1]Inputs_Outputs!$B$5="Herbaceous",(LCA!$E$29*'[1]LOCH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6" s="5">
        <f>IF(M486="","",$E$2*1000*'[1]LOCH Calc COE Calc'!$C$44)</f>
        <v>4896457.3202133691</v>
      </c>
      <c r="S486" s="6">
        <f>IF(N486="","",SUM(O486:R486)/('[1]LOCH Calc COE Calc'!$C$28))</f>
        <v>82.759268316781402</v>
      </c>
      <c r="T486">
        <f>IF(L486="","",O486/'[1]LOCH Calc COE Calc'!$C$28)</f>
        <v>79.079404940722341</v>
      </c>
      <c r="U486">
        <f>IF(L486="","",P486/'[1]LOCH Calc COE Calc'!$C$28)</f>
        <v>0.25871940240274977</v>
      </c>
      <c r="V486">
        <f>IF(L486="","",Q486/'[1]LOCH Calc COE Calc'!$C$28)</f>
        <v>3.2100000000000004</v>
      </c>
      <c r="W486">
        <f>IF(L486="","",R486/'[1]LOCH Calc COE Calc'!$C$28)</f>
        <v>0.21114397365631307</v>
      </c>
    </row>
    <row r="487" spans="12:23" x14ac:dyDescent="0.25">
      <c r="L487" s="4">
        <f>IF('[1]All Data '!BE492="","",'[1]All Data '!BE492)</f>
        <v>5.4999999999999993E-2</v>
      </c>
      <c r="M487">
        <f>IF('[1]All Data '!BF492="","",'[1]All Data '!BF492)</f>
        <v>4767.5627999999997</v>
      </c>
      <c r="N487" s="5">
        <f>IF('[1]All Data '!BB492="","",'[1]All Data '!BC492/'[1]All Data '!BH492)</f>
        <v>382983</v>
      </c>
      <c r="O487" s="5">
        <f t="shared" si="9"/>
        <v>1825895503.8323998</v>
      </c>
      <c r="P487" s="5">
        <f>IF(M487="","",$C$2*(1-L487)*907.2/0.621371*N487*[1]Transportation!$M$40)</f>
        <v>5973674.1058622235</v>
      </c>
      <c r="Q487" s="5">
        <f>IF(L487="","",IF([1]Inputs_Outputs!$B$5="Herbaceous",(LCA!$E$29*'[1]LOCH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7" s="5">
        <f>IF(M487="","",$E$2*1000*'[1]LOCH Calc COE Calc'!$C$44)</f>
        <v>4896457.3202133691</v>
      </c>
      <c r="S487" s="6">
        <f>IF(N487="","",SUM(O487:R487)/('[1]LOCH Calc COE Calc'!$C$28))</f>
        <v>82.414610505404511</v>
      </c>
      <c r="T487">
        <f>IF(L487="","",O487/'[1]LOCH Calc COE Calc'!$C$28)</f>
        <v>78.735871048819618</v>
      </c>
      <c r="U487">
        <f>IF(L487="","",P487/'[1]LOCH Calc COE Calc'!$C$28)</f>
        <v>0.25759548292858597</v>
      </c>
      <c r="V487">
        <f>IF(L487="","",Q487/'[1]LOCH Calc COE Calc'!$C$28)</f>
        <v>3.2100000000000004</v>
      </c>
      <c r="W487">
        <f>IF(L487="","",R487/'[1]LOCH Calc COE Calc'!$C$28)</f>
        <v>0.21114397365631307</v>
      </c>
    </row>
    <row r="488" spans="12:23" x14ac:dyDescent="0.25">
      <c r="L488" s="4">
        <f>IF('[1]All Data '!BE493="","",'[1]All Data '!BE493)</f>
        <v>5.5E-2</v>
      </c>
      <c r="M488">
        <f>IF('[1]All Data '!BF493="","",'[1]All Data '!BF493)</f>
        <v>4767.5627999999997</v>
      </c>
      <c r="N488" s="5">
        <f>IF('[1]All Data '!BB493="","",'[1]All Data '!BC493/'[1]All Data '!BH493)</f>
        <v>381803</v>
      </c>
      <c r="O488" s="5">
        <f t="shared" si="9"/>
        <v>1820269779.7284</v>
      </c>
      <c r="P488" s="5">
        <f>IF(M488="","",$C$2*(1-L488)*907.2/0.621371*N488*[1]Transportation!$M$40)</f>
        <v>5955268.7577268817</v>
      </c>
      <c r="Q488" s="5">
        <f>IF(L488="","",IF([1]Inputs_Outputs!$B$5="Herbaceous",(LCA!$E$29*'[1]LOCH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8" s="5">
        <f>IF(M488="","",$E$2*1000*'[1]LOCH Calc COE Calc'!$C$44)</f>
        <v>4896457.3202133691</v>
      </c>
      <c r="S488" s="6">
        <f>IF(N488="","",SUM(O488:R488)/('[1]LOCH Calc COE Calc'!$C$28))</f>
        <v>82.171225575766755</v>
      </c>
      <c r="T488">
        <f>IF(L488="","",O488/'[1]LOCH Calc COE Calc'!$C$28)</f>
        <v>78.493279790623816</v>
      </c>
      <c r="U488">
        <f>IF(L488="","",P488/'[1]LOCH Calc COE Calc'!$C$28)</f>
        <v>0.25680181148662712</v>
      </c>
      <c r="V488">
        <f>IF(L488="","",Q488/'[1]LOCH Calc COE Calc'!$C$28)</f>
        <v>3.2100000000000004</v>
      </c>
      <c r="W488">
        <f>IF(L488="","",R488/'[1]LOCH Calc COE Calc'!$C$28)</f>
        <v>0.21114397365631307</v>
      </c>
    </row>
    <row r="489" spans="12:23" x14ac:dyDescent="0.25">
      <c r="L489" s="4">
        <f>IF('[1]All Data '!BE494="","",'[1]All Data '!BE494)</f>
        <v>5.5E-2</v>
      </c>
      <c r="M489">
        <f>IF('[1]All Data '!BF494="","",'[1]All Data '!BF494)</f>
        <v>4767.5627999999997</v>
      </c>
      <c r="N489" s="5">
        <f>IF('[1]All Data '!BB494="","",'[1]All Data '!BC494/'[1]All Data '!BH494)</f>
        <v>381752</v>
      </c>
      <c r="O489" s="5">
        <f t="shared" si="9"/>
        <v>1820026634.0256</v>
      </c>
      <c r="P489" s="5">
        <f>IF(M489="","",$C$2*(1-L489)*907.2/0.621371*N489*[1]Transportation!$M$40)</f>
        <v>5954473.2723413715</v>
      </c>
      <c r="Q489" s="5">
        <f>IF(L489="","",IF([1]Inputs_Outputs!$B$5="Herbaceous",(LCA!$E$29*'[1]LOCH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89" s="5">
        <f>IF(M489="","",$E$2*1000*'[1]LOCH Calc COE Calc'!$C$44)</f>
        <v>4896457.3202133691</v>
      </c>
      <c r="S489" s="6">
        <f>IF(N489="","",SUM(O489:R489)/('[1]LOCH Calc COE Calc'!$C$28))</f>
        <v>82.160706396604439</v>
      </c>
      <c r="T489">
        <f>IF(L489="","",O489/'[1]LOCH Calc COE Calc'!$C$28)</f>
        <v>78.48279491421026</v>
      </c>
      <c r="U489">
        <f>IF(L489="","",P489/'[1]LOCH Calc COE Calc'!$C$28)</f>
        <v>0.25676750873786447</v>
      </c>
      <c r="V489">
        <f>IF(L489="","",Q489/'[1]LOCH Calc COE Calc'!$C$28)</f>
        <v>3.2100000000000004</v>
      </c>
      <c r="W489">
        <f>IF(L489="","",R489/'[1]LOCH Calc COE Calc'!$C$28)</f>
        <v>0.21114397365631307</v>
      </c>
    </row>
    <row r="490" spans="12:23" x14ac:dyDescent="0.25">
      <c r="L490" s="4">
        <f>IF('[1]All Data '!BE495="","",'[1]All Data '!BE495)</f>
        <v>5.5E-2</v>
      </c>
      <c r="M490">
        <f>IF('[1]All Data '!BF495="","",'[1]All Data '!BF495)</f>
        <v>4767.5627999999997</v>
      </c>
      <c r="N490" s="5">
        <f>IF('[1]All Data '!BB495="","",'[1]All Data '!BC495/'[1]All Data '!BH495)</f>
        <v>381665</v>
      </c>
      <c r="O490" s="5">
        <f t="shared" si="9"/>
        <v>1819611856.0619998</v>
      </c>
      <c r="P490" s="5">
        <f>IF(M490="","",$C$2*(1-L490)*907.2/0.621371*N490*[1]Transportation!$M$40)</f>
        <v>5953116.2678602068</v>
      </c>
      <c r="Q490" s="5">
        <f>IF(L490="","",IF([1]Inputs_Outputs!$B$5="Herbaceous",(LCA!$E$29*'[1]LOCH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0" s="5">
        <f>IF(M490="","",$E$2*1000*'[1]LOCH Calc COE Calc'!$C$44)</f>
        <v>4896457.3202133691</v>
      </c>
      <c r="S490" s="6">
        <f>IF(N490="","",SUM(O490:R490)/('[1]LOCH Calc COE Calc'!$C$28))</f>
        <v>82.142761914504021</v>
      </c>
      <c r="T490">
        <f>IF(L490="","",O490/'[1]LOCH Calc COE Calc'!$C$28)</f>
        <v>78.464908948563618</v>
      </c>
      <c r="U490">
        <f>IF(L490="","",P490/'[1]LOCH Calc COE Calc'!$C$28)</f>
        <v>0.25670899228409294</v>
      </c>
      <c r="V490">
        <f>IF(L490="","",Q490/'[1]LOCH Calc COE Calc'!$C$28)</f>
        <v>3.2100000000000004</v>
      </c>
      <c r="W490">
        <f>IF(L490="","",R490/'[1]LOCH Calc COE Calc'!$C$28)</f>
        <v>0.21114397365631307</v>
      </c>
    </row>
    <row r="491" spans="12:23" x14ac:dyDescent="0.25">
      <c r="L491" s="4">
        <f>IF('[1]All Data '!BE496="","",'[1]All Data '!BE496)</f>
        <v>5.5E-2</v>
      </c>
      <c r="M491">
        <f>IF('[1]All Data '!BF496="","",'[1]All Data '!BF496)</f>
        <v>4767.5627999999997</v>
      </c>
      <c r="N491" s="5">
        <f>IF('[1]All Data '!BB496="","",'[1]All Data '!BC496/'[1]All Data '!BH496)</f>
        <v>381348</v>
      </c>
      <c r="O491" s="5">
        <f t="shared" si="9"/>
        <v>1818100538.6543999</v>
      </c>
      <c r="P491" s="5">
        <f>IF(M491="","",$C$2*(1-L491)*907.2/0.621371*N491*[1]Transportation!$M$40)</f>
        <v>5948171.7802679148</v>
      </c>
      <c r="Q491" s="5">
        <f>IF(L491="","",IF([1]Inputs_Outputs!$B$5="Herbaceous",(LCA!$E$29*'[1]LOCH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1" s="5">
        <f>IF(M491="","",$E$2*1000*'[1]LOCH Calc COE Calc'!$C$44)</f>
        <v>4896457.3202133691</v>
      </c>
      <c r="S491" s="6">
        <f>IF(N491="","",SUM(O491:R491)/('[1]LOCH Calc COE Calc'!$C$28))</f>
        <v>82.077377996965737</v>
      </c>
      <c r="T491">
        <f>IF(L491="","",O491/'[1]LOCH Calc COE Calc'!$C$28)</f>
        <v>78.399738246149994</v>
      </c>
      <c r="U491">
        <f>IF(L491="","",P491/'[1]LOCH Calc COE Calc'!$C$28)</f>
        <v>0.25649577715943106</v>
      </c>
      <c r="V491">
        <f>IF(L491="","",Q491/'[1]LOCH Calc COE Calc'!$C$28)</f>
        <v>3.2100000000000004</v>
      </c>
      <c r="W491">
        <f>IF(L491="","",R491/'[1]LOCH Calc COE Calc'!$C$28)</f>
        <v>0.21114397365631307</v>
      </c>
    </row>
    <row r="492" spans="12:23" x14ac:dyDescent="0.25">
      <c r="L492" s="4">
        <f>IF('[1]All Data '!BE497="","",'[1]All Data '!BE497)</f>
        <v>5.5E-2</v>
      </c>
      <c r="M492">
        <f>IF('[1]All Data '!BF497="","",'[1]All Data '!BF497)</f>
        <v>4767.5627999999997</v>
      </c>
      <c r="N492" s="5">
        <f>IF('[1]All Data '!BB497="","",'[1]All Data '!BC497/'[1]All Data '!BH497)</f>
        <v>380916</v>
      </c>
      <c r="O492" s="5">
        <f t="shared" si="9"/>
        <v>1816040951.5247998</v>
      </c>
      <c r="P492" s="5">
        <f>IF(M492="","",$C$2*(1-L492)*907.2/0.621371*N492*[1]Transportation!$M$40)</f>
        <v>5941433.5511200614</v>
      </c>
      <c r="Q492" s="5">
        <f>IF(L492="","",IF([1]Inputs_Outputs!$B$5="Herbaceous",(LCA!$E$29*'[1]LOCH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2" s="5">
        <f>IF(M492="","",$E$2*1000*'[1]LOCH Calc COE Calc'!$C$44)</f>
        <v>4896457.3202133691</v>
      </c>
      <c r="S492" s="6">
        <f>IF(N492="","",SUM(O492:R492)/('[1]LOCH Calc COE Calc'!$C$28))</f>
        <v>81.98827436170852</v>
      </c>
      <c r="T492">
        <f>IF(L492="","",O492/'[1]LOCH Calc COE Calc'!$C$28)</f>
        <v>78.310925175352878</v>
      </c>
      <c r="U492">
        <f>IF(L492="","",P492/'[1]LOCH Calc COE Calc'!$C$28)</f>
        <v>0.25620521269932411</v>
      </c>
      <c r="V492">
        <f>IF(L492="","",Q492/'[1]LOCH Calc COE Calc'!$C$28)</f>
        <v>3.2100000000000004</v>
      </c>
      <c r="W492">
        <f>IF(L492="","",R492/'[1]LOCH Calc COE Calc'!$C$28)</f>
        <v>0.21114397365631307</v>
      </c>
    </row>
    <row r="493" spans="12:23" x14ac:dyDescent="0.25">
      <c r="L493" s="4">
        <f>IF('[1]All Data '!BE498="","",'[1]All Data '!BE498)</f>
        <v>5.5E-2</v>
      </c>
      <c r="M493">
        <f>IF('[1]All Data '!BF498="","",'[1]All Data '!BF498)</f>
        <v>4767.5627999999997</v>
      </c>
      <c r="N493" s="5">
        <f>IF('[1]All Data '!BB498="","",'[1]All Data '!BC498/'[1]All Data '!BH498)</f>
        <v>380737</v>
      </c>
      <c r="O493" s="5">
        <f t="shared" si="9"/>
        <v>1815187557.7835999</v>
      </c>
      <c r="P493" s="5">
        <f>IF(M493="","",$C$2*(1-L493)*907.2/0.621371*N493*[1]Transportation!$M$40)</f>
        <v>5938641.5533944461</v>
      </c>
      <c r="Q493" s="5">
        <f>IF(L493="","",IF([1]Inputs_Outputs!$B$5="Herbaceous",(LCA!$E$29*'[1]LOCH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3" s="5">
        <f>IF(M493="","",$E$2*1000*'[1]LOCH Calc COE Calc'!$C$44)</f>
        <v>4896457.3202133691</v>
      </c>
      <c r="S493" s="6">
        <f>IF(N493="","",SUM(O493:R493)/('[1]LOCH Calc COE Calc'!$C$28))</f>
        <v>81.951354105432969</v>
      </c>
      <c r="T493">
        <f>IF(L493="","",O493/'[1]LOCH Calc COE Calc'!$C$28)</f>
        <v>78.274125314999452</v>
      </c>
      <c r="U493">
        <f>IF(L493="","",P493/'[1]LOCH Calc COE Calc'!$C$28)</f>
        <v>0.25608481677719647</v>
      </c>
      <c r="V493">
        <f>IF(L493="","",Q493/'[1]LOCH Calc COE Calc'!$C$28)</f>
        <v>3.2100000000000004</v>
      </c>
      <c r="W493">
        <f>IF(L493="","",R493/'[1]LOCH Calc COE Calc'!$C$28)</f>
        <v>0.21114397365631307</v>
      </c>
    </row>
    <row r="494" spans="12:23" x14ac:dyDescent="0.25">
      <c r="L494" s="4">
        <f>IF('[1]All Data '!BE499="","",'[1]All Data '!BE499)</f>
        <v>5.5E-2</v>
      </c>
      <c r="M494">
        <f>IF('[1]All Data '!BF499="","",'[1]All Data '!BF499)</f>
        <v>4767.5627999999997</v>
      </c>
      <c r="N494" s="5">
        <f>IF('[1]All Data '!BB499="","",'[1]All Data '!BC499/'[1]All Data '!BH499)</f>
        <v>380473</v>
      </c>
      <c r="O494" s="5">
        <f t="shared" si="9"/>
        <v>1813928921.2043998</v>
      </c>
      <c r="P494" s="5">
        <f>IF(M494="","",$C$2*(1-L494)*907.2/0.621371*N494*[1]Transportation!$M$40)</f>
        <v>5934523.7466929797</v>
      </c>
      <c r="Q494" s="5">
        <f>IF(L494="","",IF([1]Inputs_Outputs!$B$5="Herbaceous",(LCA!$E$29*'[1]LOCH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4" s="5">
        <f>IF(M494="","",$E$2*1000*'[1]LOCH Calc COE Calc'!$C$44)</f>
        <v>4896457.3202133691</v>
      </c>
      <c r="S494" s="6">
        <f>IF(N494="","",SUM(O494:R494)/('[1]LOCH Calc COE Calc'!$C$28))</f>
        <v>81.896901883886883</v>
      </c>
      <c r="T494">
        <f>IF(L494="","",O494/'[1]LOCH Calc COE Calc'!$C$28)</f>
        <v>78.219850660623436</v>
      </c>
      <c r="U494">
        <f>IF(L494="","",P494/'[1]LOCH Calc COE Calc'!$C$28)</f>
        <v>0.25590724960713107</v>
      </c>
      <c r="V494">
        <f>IF(L494="","",Q494/'[1]LOCH Calc COE Calc'!$C$28)</f>
        <v>3.2100000000000004</v>
      </c>
      <c r="W494">
        <f>IF(L494="","",R494/'[1]LOCH Calc COE Calc'!$C$28)</f>
        <v>0.21114397365631307</v>
      </c>
    </row>
    <row r="495" spans="12:23" x14ac:dyDescent="0.25">
      <c r="L495" s="4">
        <f>IF('[1]All Data '!BE500="","",'[1]All Data '!BE500)</f>
        <v>5.4999999999999993E-2</v>
      </c>
      <c r="M495">
        <f>IF('[1]All Data '!BF500="","",'[1]All Data '!BF500)</f>
        <v>4767.5627999999997</v>
      </c>
      <c r="N495" s="5">
        <f>IF('[1]All Data '!BB500="","",'[1]All Data '!BC500/'[1]All Data '!BH500)</f>
        <v>379258</v>
      </c>
      <c r="O495" s="5">
        <f t="shared" si="9"/>
        <v>1808136332.4023998</v>
      </c>
      <c r="P495" s="5">
        <f>IF(M495="","",$C$2*(1-L495)*907.2/0.621371*N495*[1]Transportation!$M$40)</f>
        <v>5915572.4772146419</v>
      </c>
      <c r="Q495" s="5">
        <f>IF(L495="","",IF([1]Inputs_Outputs!$B$5="Herbaceous",(LCA!$E$29*'[1]LOCH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5" s="5">
        <f>IF(M495="","",$E$2*1000*'[1]LOCH Calc COE Calc'!$C$44)</f>
        <v>4896457.3202133691</v>
      </c>
      <c r="S495" s="6">
        <f>IF(N495="","",SUM(O495:R495)/('[1]LOCH Calc COE Calc'!$C$28))</f>
        <v>81.646297909725959</v>
      </c>
      <c r="T495">
        <f>IF(L495="","",O495/'[1]LOCH Calc COE Calc'!$C$28)</f>
        <v>77.970063899006561</v>
      </c>
      <c r="U495">
        <f>IF(L495="","",P495/'[1]LOCH Calc COE Calc'!$C$28)</f>
        <v>0.25509003706308025</v>
      </c>
      <c r="V495">
        <f>IF(L495="","",Q495/'[1]LOCH Calc COE Calc'!$C$28)</f>
        <v>3.2100000000000004</v>
      </c>
      <c r="W495">
        <f>IF(L495="","",R495/'[1]LOCH Calc COE Calc'!$C$28)</f>
        <v>0.21114397365631307</v>
      </c>
    </row>
    <row r="496" spans="12:23" x14ac:dyDescent="0.25">
      <c r="L496" s="4">
        <f>IF('[1]All Data '!BE501="","",'[1]All Data '!BE501)</f>
        <v>5.5E-2</v>
      </c>
      <c r="M496">
        <f>IF('[1]All Data '!BF501="","",'[1]All Data '!BF501)</f>
        <v>4767.5627999999997</v>
      </c>
      <c r="N496" s="5">
        <f>IF('[1]All Data '!BB501="","",'[1]All Data '!BC501/'[1]All Data '!BH501)</f>
        <v>377562</v>
      </c>
      <c r="O496" s="5">
        <f t="shared" si="9"/>
        <v>1800050545.8936</v>
      </c>
      <c r="P496" s="5">
        <f>IF(M496="","",$C$2*(1-L496)*907.2/0.621371*N496*[1]Transportation!$M$40)</f>
        <v>5889118.6887082532</v>
      </c>
      <c r="Q496" s="5">
        <f>IF(L496="","",IF([1]Inputs_Outputs!$B$5="Herbaceous",(LCA!$E$29*'[1]LOCH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6" s="5">
        <f>IF(M496="","",$E$2*1000*'[1]LOCH Calc COE Calc'!$C$44)</f>
        <v>4896457.3202133691</v>
      </c>
      <c r="S496" s="6">
        <f>IF(N496="","",SUM(O496:R496)/('[1]LOCH Calc COE Calc'!$C$28))</f>
        <v>81.296483637975399</v>
      </c>
      <c r="T496">
        <f>IF(L496="","",O496/'[1]LOCH Calc COE Calc'!$C$28)</f>
        <v>77.621390361803094</v>
      </c>
      <c r="U496">
        <f>IF(L496="","",P496/'[1]LOCH Calc COE Calc'!$C$28)</f>
        <v>0.25394930251599362</v>
      </c>
      <c r="V496">
        <f>IF(L496="","",Q496/'[1]LOCH Calc COE Calc'!$C$28)</f>
        <v>3.2100000000000004</v>
      </c>
      <c r="W496">
        <f>IF(L496="","",R496/'[1]LOCH Calc COE Calc'!$C$28)</f>
        <v>0.21114397365631307</v>
      </c>
    </row>
    <row r="497" spans="12:23" x14ac:dyDescent="0.25">
      <c r="L497" s="4">
        <f>IF('[1]All Data '!BE502="","",'[1]All Data '!BE502)</f>
        <v>5.4999999999999993E-2</v>
      </c>
      <c r="M497">
        <f>IF('[1]All Data '!BF502="","",'[1]All Data '!BF502)</f>
        <v>4767.5627999999997</v>
      </c>
      <c r="N497" s="5">
        <f>IF('[1]All Data '!BB502="","",'[1]All Data '!BC502/'[1]All Data '!BH502)</f>
        <v>376220</v>
      </c>
      <c r="O497" s="5">
        <f t="shared" si="9"/>
        <v>1793652476.6159999</v>
      </c>
      <c r="P497" s="5">
        <f>IF(M497="","",$C$2*(1-L497)*907.2/0.621371*N497*[1]Transportation!$M$40)</f>
        <v>5868186.5046424661</v>
      </c>
      <c r="Q497" s="5">
        <f>IF(L497="","",IF([1]Inputs_Outputs!$B$5="Herbaceous",(LCA!$E$29*'[1]LOCH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7" s="5">
        <f>IF(M497="","",$E$2*1000*'[1]LOCH Calc COE Calc'!$C$44)</f>
        <v>4896457.3202133691</v>
      </c>
      <c r="S497" s="6">
        <f>IF(N497="","",SUM(O497:R497)/('[1]LOCH Calc COE Calc'!$C$28))</f>
        <v>81.019684845116174</v>
      </c>
      <c r="T497">
        <f>IF(L497="","",O497/'[1]LOCH Calc COE Calc'!$C$28)</f>
        <v>77.345494202058362</v>
      </c>
      <c r="U497">
        <f>IF(L497="","",P497/'[1]LOCH Calc COE Calc'!$C$28)</f>
        <v>0.25304666940149462</v>
      </c>
      <c r="V497">
        <f>IF(L497="","",Q497/'[1]LOCH Calc COE Calc'!$C$28)</f>
        <v>3.2100000000000004</v>
      </c>
      <c r="W497">
        <f>IF(L497="","",R497/'[1]LOCH Calc COE Calc'!$C$28)</f>
        <v>0.21114397365631307</v>
      </c>
    </row>
    <row r="498" spans="12:23" x14ac:dyDescent="0.25">
      <c r="L498" s="4">
        <f>IF('[1]All Data '!BE503="","",'[1]All Data '!BE503)</f>
        <v>5.4999999999999993E-2</v>
      </c>
      <c r="M498">
        <f>IF('[1]All Data '!BF503="","",'[1]All Data '!BF503)</f>
        <v>4767.5627999999997</v>
      </c>
      <c r="N498" s="5">
        <f>IF('[1]All Data '!BB503="","",'[1]All Data '!BC503/'[1]All Data '!BH503)</f>
        <v>375695</v>
      </c>
      <c r="O498" s="5">
        <f t="shared" si="9"/>
        <v>1791149506.1459999</v>
      </c>
      <c r="P498" s="5">
        <f>IF(M498="","",$C$2*(1-L498)*907.2/0.621371*N498*[1]Transportation!$M$40)</f>
        <v>5859997.6844975054</v>
      </c>
      <c r="Q498" s="5">
        <f>IF(L498="","",IF([1]Inputs_Outputs!$B$5="Herbaceous",(LCA!$E$29*'[1]LOCH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8" s="5">
        <f>IF(M498="","",$E$2*1000*'[1]LOCH Calc COE Calc'!$C$44)</f>
        <v>4896457.3202133691</v>
      </c>
      <c r="S498" s="6">
        <f>IF(N498="","",SUM(O498:R498)/('[1]LOCH Calc COE Calc'!$C$28))</f>
        <v>80.911399177268862</v>
      </c>
      <c r="T498">
        <f>IF(L498="","",O498/'[1]LOCH Calc COE Calc'!$C$28)</f>
        <v>77.237561650742421</v>
      </c>
      <c r="U498">
        <f>IF(L498="","",P498/'[1]LOCH Calc COE Calc'!$C$28)</f>
        <v>0.25269355287011463</v>
      </c>
      <c r="V498">
        <f>IF(L498="","",Q498/'[1]LOCH Calc COE Calc'!$C$28)</f>
        <v>3.2100000000000004</v>
      </c>
      <c r="W498">
        <f>IF(L498="","",R498/'[1]LOCH Calc COE Calc'!$C$28)</f>
        <v>0.21114397365631307</v>
      </c>
    </row>
    <row r="499" spans="12:23" x14ac:dyDescent="0.25">
      <c r="L499" s="4">
        <f>IF('[1]All Data '!BE504="","",'[1]All Data '!BE504)</f>
        <v>5.4999999999999993E-2</v>
      </c>
      <c r="M499">
        <f>IF('[1]All Data '!BF504="","",'[1]All Data '!BF504)</f>
        <v>4767.5627999999997</v>
      </c>
      <c r="N499" s="5">
        <f>IF('[1]All Data '!BB504="","",'[1]All Data '!BC504/'[1]All Data '!BH504)</f>
        <v>375270</v>
      </c>
      <c r="O499" s="5">
        <f t="shared" si="9"/>
        <v>1789123291.9559999</v>
      </c>
      <c r="P499" s="5">
        <f>IF(M499="","",$C$2*(1-L499)*907.2/0.621371*N499*[1]Transportation!$M$40)</f>
        <v>5853368.6396182505</v>
      </c>
      <c r="Q499" s="5">
        <f>IF(L499="","",IF([1]Inputs_Outputs!$B$5="Herbaceous",(LCA!$E$29*'[1]LOCH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499" s="5">
        <f>IF(M499="","",$E$2*1000*'[1]LOCH Calc COE Calc'!$C$44)</f>
        <v>4896457.3202133691</v>
      </c>
      <c r="S499" s="6">
        <f>IF(N499="","",SUM(O499:R499)/('[1]LOCH Calc COE Calc'!$C$28))</f>
        <v>80.82373935091627</v>
      </c>
      <c r="T499">
        <f>IF(L499="","",O499/'[1]LOCH Calc COE Calc'!$C$28)</f>
        <v>77.150187680629529</v>
      </c>
      <c r="U499">
        <f>IF(L499="","",P499/'[1]LOCH Calc COE Calc'!$C$28)</f>
        <v>0.25240769663042606</v>
      </c>
      <c r="V499">
        <f>IF(L499="","",Q499/'[1]LOCH Calc COE Calc'!$C$28)</f>
        <v>3.2100000000000004</v>
      </c>
      <c r="W499">
        <f>IF(L499="","",R499/'[1]LOCH Calc COE Calc'!$C$28)</f>
        <v>0.21114397365631307</v>
      </c>
    </row>
    <row r="500" spans="12:23" x14ac:dyDescent="0.25">
      <c r="L500" s="4">
        <f>IF('[1]All Data '!BE505="","",'[1]All Data '!BE505)</f>
        <v>5.5E-2</v>
      </c>
      <c r="M500">
        <f>IF('[1]All Data '!BF505="","",'[1]All Data '!BF505)</f>
        <v>4767.5627999999997</v>
      </c>
      <c r="N500" s="5">
        <f>IF('[1]All Data '!BB505="","",'[1]All Data '!BC505/'[1]All Data '!BH505)</f>
        <v>375041</v>
      </c>
      <c r="O500" s="5">
        <f t="shared" si="9"/>
        <v>1788031520.0747998</v>
      </c>
      <c r="P500" s="5">
        <f>IF(M500="","",$C$2*(1-L500)*907.2/0.621371*N500*[1]Transportation!$M$40)</f>
        <v>5849796.7542597819</v>
      </c>
      <c r="Q500" s="5">
        <f>IF(L500="","",IF([1]Inputs_Outputs!$B$5="Herbaceous",(LCA!$E$29*'[1]LOCH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0" s="5">
        <f>IF(M500="","",$E$2*1000*'[1]LOCH Calc COE Calc'!$C$44)</f>
        <v>4896457.3202133691</v>
      </c>
      <c r="S500" s="6">
        <f>IF(N500="","",SUM(O500:R500)/('[1]LOCH Calc COE Calc'!$C$28))</f>
        <v>80.776506173893338</v>
      </c>
      <c r="T500">
        <f>IF(L500="","",O500/'[1]LOCH Calc COE Calc'!$C$28)</f>
        <v>77.103108529674572</v>
      </c>
      <c r="U500">
        <f>IF(L500="","",P500/'[1]LOCH Calc COE Calc'!$C$28)</f>
        <v>0.25225367056245268</v>
      </c>
      <c r="V500">
        <f>IF(L500="","",Q500/'[1]LOCH Calc COE Calc'!$C$28)</f>
        <v>3.2100000000000004</v>
      </c>
      <c r="W500">
        <f>IF(L500="","",R500/'[1]LOCH Calc COE Calc'!$C$28)</f>
        <v>0.21114397365631307</v>
      </c>
    </row>
    <row r="501" spans="12:23" x14ac:dyDescent="0.25">
      <c r="L501" s="4">
        <f>IF('[1]All Data '!BE506="","",'[1]All Data '!BE506)</f>
        <v>5.5E-2</v>
      </c>
      <c r="M501">
        <f>IF('[1]All Data '!BF506="","",'[1]All Data '!BF506)</f>
        <v>4767.5627999999997</v>
      </c>
      <c r="N501" s="5">
        <f>IF('[1]All Data '!BB506="","",'[1]All Data '!BC506/'[1]All Data '!BH506)</f>
        <v>374362</v>
      </c>
      <c r="O501" s="5">
        <f t="shared" si="9"/>
        <v>1784794344.9335999</v>
      </c>
      <c r="P501" s="5">
        <f>IF(M501="","",$C$2*(1-L501)*907.2/0.621371*N501*[1]Transportation!$M$40)</f>
        <v>5839205.8802056313</v>
      </c>
      <c r="Q501" s="5">
        <f>IF(L501="","",IF([1]Inputs_Outputs!$B$5="Herbaceous",(LCA!$E$29*'[1]LOCH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1" s="5">
        <f>IF(M501="","",$E$2*1000*'[1]LOCH Calc COE Calc'!$C$44)</f>
        <v>4896457.3202133691</v>
      </c>
      <c r="S501" s="6">
        <f>IF(N501="","",SUM(O501:R501)/('[1]LOCH Calc COE Calc'!$C$28))</f>
        <v>80.636456710144159</v>
      </c>
      <c r="T501">
        <f>IF(L501="","",O501/'[1]LOCH Calc COE Calc'!$C$28)</f>
        <v>76.963515763305978</v>
      </c>
      <c r="U501">
        <f>IF(L501="","",P501/'[1]LOCH Calc COE Calc'!$C$28)</f>
        <v>0.25179697318186783</v>
      </c>
      <c r="V501">
        <f>IF(L501="","",Q501/'[1]LOCH Calc COE Calc'!$C$28)</f>
        <v>3.2100000000000004</v>
      </c>
      <c r="W501">
        <f>IF(L501="","",R501/'[1]LOCH Calc COE Calc'!$C$28)</f>
        <v>0.21114397365631307</v>
      </c>
    </row>
    <row r="502" spans="12:23" x14ac:dyDescent="0.25">
      <c r="L502" s="4">
        <f>IF('[1]All Data '!BE507="","",'[1]All Data '!BE507)</f>
        <v>5.5E-2</v>
      </c>
      <c r="M502">
        <f>IF('[1]All Data '!BF507="","",'[1]All Data '!BF507)</f>
        <v>4767.5627999999997</v>
      </c>
      <c r="N502" s="5">
        <f>IF('[1]All Data '!BB507="","",'[1]All Data '!BC507/'[1]All Data '!BH507)</f>
        <v>373627</v>
      </c>
      <c r="O502" s="5">
        <f t="shared" si="9"/>
        <v>1781290186.2756</v>
      </c>
      <c r="P502" s="5">
        <f>IF(M502="","",$C$2*(1-L502)*907.2/0.621371*N502*[1]Transportation!$M$40)</f>
        <v>5827741.5320026856</v>
      </c>
      <c r="Q502" s="5">
        <f>IF(L502="","",IF([1]Inputs_Outputs!$B$5="Herbaceous",(LCA!$E$29*'[1]LOCH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2" s="5">
        <f>IF(M502="","",$E$2*1000*'[1]LOCH Calc COE Calc'!$C$44)</f>
        <v>4896457.3202133691</v>
      </c>
      <c r="S502" s="6">
        <f>IF(N502="","",SUM(O502:R502)/('[1]LOCH Calc COE Calc'!$C$28))</f>
        <v>80.484856775157922</v>
      </c>
      <c r="T502">
        <f>IF(L502="","",O502/'[1]LOCH Calc COE Calc'!$C$28)</f>
        <v>76.81241019146367</v>
      </c>
      <c r="U502">
        <f>IF(L502="","",P502/'[1]LOCH Calc COE Calc'!$C$28)</f>
        <v>0.2513026100379358</v>
      </c>
      <c r="V502">
        <f>IF(L502="","",Q502/'[1]LOCH Calc COE Calc'!$C$28)</f>
        <v>3.2100000000000004</v>
      </c>
      <c r="W502">
        <f>IF(L502="","",R502/'[1]LOCH Calc COE Calc'!$C$28)</f>
        <v>0.21114397365631307</v>
      </c>
    </row>
    <row r="503" spans="12:23" x14ac:dyDescent="0.25">
      <c r="L503" s="4">
        <f>IF('[1]All Data '!BE508="","",'[1]All Data '!BE508)</f>
        <v>5.5000000000000007E-2</v>
      </c>
      <c r="M503">
        <f>IF('[1]All Data '!BF508="","",'[1]All Data '!BF508)</f>
        <v>4767.5627999999997</v>
      </c>
      <c r="N503" s="5">
        <f>IF('[1]All Data '!BB508="","",'[1]All Data '!BC508/'[1]All Data '!BH508)</f>
        <v>373318</v>
      </c>
      <c r="O503" s="5">
        <f t="shared" si="9"/>
        <v>1779817009.3704</v>
      </c>
      <c r="P503" s="5">
        <f>IF(M503="","",$C$2*(1-L503)*907.2/0.621371*N503*[1]Transportation!$M$40)</f>
        <v>5822921.8264316525</v>
      </c>
      <c r="Q503" s="5">
        <f>IF(L503="","",IF([1]Inputs_Outputs!$B$5="Herbaceous",(LCA!$E$29*'[1]LOCH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3" s="5">
        <f>IF(M503="","",$E$2*1000*'[1]LOCH Calc COE Calc'!$C$44)</f>
        <v>4896457.3202133691</v>
      </c>
      <c r="S503" s="6">
        <f>IF(N503="","",SUM(O503:R503)/('[1]LOCH Calc COE Calc'!$C$28))</f>
        <v>80.421122924939212</v>
      </c>
      <c r="T503">
        <f>IF(L503="","",O503/'[1]LOCH Calc COE Calc'!$C$28)</f>
        <v>76.74888417554628</v>
      </c>
      <c r="U503">
        <f>IF(L503="","",P503/'[1]LOCH Calc COE Calc'!$C$28)</f>
        <v>0.25109477573660938</v>
      </c>
      <c r="V503">
        <f>IF(L503="","",Q503/'[1]LOCH Calc COE Calc'!$C$28)</f>
        <v>3.2100000000000004</v>
      </c>
      <c r="W503">
        <f>IF(L503="","",R503/'[1]LOCH Calc COE Calc'!$C$28)</f>
        <v>0.21114397365631307</v>
      </c>
    </row>
    <row r="504" spans="12:23" x14ac:dyDescent="0.25">
      <c r="L504" s="4">
        <f>IF('[1]All Data '!BE509="","",'[1]All Data '!BE509)</f>
        <v>5.5E-2</v>
      </c>
      <c r="M504">
        <f>IF('[1]All Data '!BF509="","",'[1]All Data '!BF509)</f>
        <v>4767.5627999999997</v>
      </c>
      <c r="N504" s="5">
        <f>IF('[1]All Data '!BB509="","",'[1]All Data '!BC509/'[1]All Data '!BH509)</f>
        <v>371504</v>
      </c>
      <c r="O504" s="5">
        <f t="shared" si="9"/>
        <v>1771168650.4511998</v>
      </c>
      <c r="P504" s="5">
        <f>IF(M504="","",$C$2*(1-L504)*907.2/0.621371*N504*[1]Transportation!$M$40)</f>
        <v>5794627.5031117294</v>
      </c>
      <c r="Q504" s="5">
        <f>IF(L504="","",IF([1]Inputs_Outputs!$B$5="Herbaceous",(LCA!$E$29*'[1]LOCH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4" s="5">
        <f>IF(M504="","",$E$2*1000*'[1]LOCH Calc COE Calc'!$C$44)</f>
        <v>4896457.3202133691</v>
      </c>
      <c r="S504" s="6">
        <f>IF(N504="","",SUM(O504:R504)/('[1]LOCH Calc COE Calc'!$C$28))</f>
        <v>80.046970160224873</v>
      </c>
      <c r="T504">
        <f>IF(L504="","",O504/'[1]LOCH Calc COE Calc'!$C$28)</f>
        <v>76.37595151252323</v>
      </c>
      <c r="U504">
        <f>IF(L504="","",P504/'[1]LOCH Calc COE Calc'!$C$28)</f>
        <v>0.24987467404532684</v>
      </c>
      <c r="V504">
        <f>IF(L504="","",Q504/'[1]LOCH Calc COE Calc'!$C$28)</f>
        <v>3.2100000000000004</v>
      </c>
      <c r="W504">
        <f>IF(L504="","",R504/'[1]LOCH Calc COE Calc'!$C$28)</f>
        <v>0.21114397365631307</v>
      </c>
    </row>
    <row r="505" spans="12:23" x14ac:dyDescent="0.25">
      <c r="L505" s="4">
        <f>IF('[1]All Data '!BE510="","",'[1]All Data '!BE510)</f>
        <v>5.4999999999999993E-2</v>
      </c>
      <c r="M505">
        <f>IF('[1]All Data '!BF510="","",'[1]All Data '!BF510)</f>
        <v>4767.5627999999997</v>
      </c>
      <c r="N505" s="5">
        <f>IF('[1]All Data '!BB510="","",'[1]All Data '!BC510/'[1]All Data '!BH510)</f>
        <v>370733</v>
      </c>
      <c r="O505" s="5">
        <f t="shared" si="9"/>
        <v>1767492859.5323999</v>
      </c>
      <c r="P505" s="5">
        <f>IF(M505="","",$C$2*(1-L505)*907.2/0.621371*N505*[1]Transportation!$M$40)</f>
        <v>5782601.6358131282</v>
      </c>
      <c r="Q505" s="5">
        <f>IF(L505="","",IF([1]Inputs_Outputs!$B$5="Herbaceous",(LCA!$E$29*'[1]LOCH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5" s="5">
        <f>IF(M505="","",$E$2*1000*'[1]LOCH Calc COE Calc'!$C$44)</f>
        <v>4896457.3202133691</v>
      </c>
      <c r="S505" s="6">
        <f>IF(N505="","",SUM(O505:R505)/('[1]LOCH Calc COE Calc'!$C$28))</f>
        <v>79.887944922300534</v>
      </c>
      <c r="T505">
        <f>IF(L505="","",O505/'[1]LOCH Calc COE Calc'!$C$28)</f>
        <v>76.217444851447823</v>
      </c>
      <c r="U505">
        <f>IF(L505="","",P505/'[1]LOCH Calc COE Calc'!$C$28)</f>
        <v>0.24935609719638588</v>
      </c>
      <c r="V505">
        <f>IF(L505="","",Q505/'[1]LOCH Calc COE Calc'!$C$28)</f>
        <v>3.2100000000000004</v>
      </c>
      <c r="W505">
        <f>IF(L505="","",R505/'[1]LOCH Calc COE Calc'!$C$28)</f>
        <v>0.21114397365631307</v>
      </c>
    </row>
    <row r="506" spans="12:23" x14ac:dyDescent="0.25">
      <c r="L506" s="4">
        <f>IF('[1]All Data '!BE511="","",'[1]All Data '!BE511)</f>
        <v>5.5000000000000007E-2</v>
      </c>
      <c r="M506">
        <f>IF('[1]All Data '!BF511="","",'[1]All Data '!BF511)</f>
        <v>4767.5627999999997</v>
      </c>
      <c r="N506" s="5">
        <f>IF('[1]All Data '!BB511="","",'[1]All Data '!BC511/'[1]All Data '!BH511)</f>
        <v>370194</v>
      </c>
      <c r="O506" s="5">
        <f t="shared" si="9"/>
        <v>1764923143.1831999</v>
      </c>
      <c r="P506" s="5">
        <f>IF(M506="","",$C$2*(1-L506)*907.2/0.621371*N506*[1]Transportation!$M$40)</f>
        <v>5774194.4471309688</v>
      </c>
      <c r="Q506" s="5">
        <f>IF(L506="","",IF([1]Inputs_Outputs!$B$5="Herbaceous",(LCA!$E$29*'[1]LOCH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6" s="5">
        <f>IF(M506="","",$E$2*1000*'[1]LOCH Calc COE Calc'!$C$44)</f>
        <v>4896457.3202133691</v>
      </c>
      <c r="S506" s="6">
        <f>IF(N506="","",SUM(O506:R506)/('[1]LOCH Calc COE Calc'!$C$28))</f>
        <v>79.776771636643957</v>
      </c>
      <c r="T506">
        <f>IF(L506="","",O506/'[1]LOCH Calc COE Calc'!$C$28)</f>
        <v>76.106634098763465</v>
      </c>
      <c r="U506">
        <f>IF(L506="","",P506/'[1]LOCH Calc COE Calc'!$C$28)</f>
        <v>0.2489935642241691</v>
      </c>
      <c r="V506">
        <f>IF(L506="","",Q506/'[1]LOCH Calc COE Calc'!$C$28)</f>
        <v>3.2100000000000004</v>
      </c>
      <c r="W506">
        <f>IF(L506="","",R506/'[1]LOCH Calc COE Calc'!$C$28)</f>
        <v>0.21114397365631307</v>
      </c>
    </row>
    <row r="507" spans="12:23" x14ac:dyDescent="0.25">
      <c r="L507" s="4">
        <f>IF('[1]All Data '!BE512="","",'[1]All Data '!BE512)</f>
        <v>5.5E-2</v>
      </c>
      <c r="M507">
        <f>IF('[1]All Data '!BF512="","",'[1]All Data '!BF512)</f>
        <v>4767.5627999999997</v>
      </c>
      <c r="N507" s="5">
        <f>IF('[1]All Data '!BB512="","",'[1]All Data '!BC512/'[1]All Data '!BH512)</f>
        <v>369813</v>
      </c>
      <c r="O507" s="5">
        <f t="shared" si="9"/>
        <v>1763106701.7563999</v>
      </c>
      <c r="P507" s="5">
        <f>IF(M507="","",$C$2*(1-L507)*907.2/0.621371*N507*[1]Transportation!$M$40)</f>
        <v>5768251.7033686256</v>
      </c>
      <c r="Q507" s="5">
        <f>IF(L507="","",IF([1]Inputs_Outputs!$B$5="Herbaceous",(LCA!$E$29*'[1]LOCH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7" s="5">
        <f>IF(M507="","",$E$2*1000*'[1]LOCH Calc COE Calc'!$C$44)</f>
        <v>4896457.3202133691</v>
      </c>
      <c r="S507" s="6">
        <f>IF(N507="","",SUM(O507:R507)/('[1]LOCH Calc COE Calc'!$C$28))</f>
        <v>79.698187180549041</v>
      </c>
      <c r="T507">
        <f>IF(L507="","",O507/'[1]LOCH Calc COE Calc'!$C$28)</f>
        <v>76.028305904379906</v>
      </c>
      <c r="U507">
        <f>IF(L507="","",P507/'[1]LOCH Calc COE Calc'!$C$28)</f>
        <v>0.24873730251282475</v>
      </c>
      <c r="V507">
        <f>IF(L507="","",Q507/'[1]LOCH Calc COE Calc'!$C$28)</f>
        <v>3.2100000000000004</v>
      </c>
      <c r="W507">
        <f>IF(L507="","",R507/'[1]LOCH Calc COE Calc'!$C$28)</f>
        <v>0.21114397365631307</v>
      </c>
    </row>
    <row r="508" spans="12:23" x14ac:dyDescent="0.25">
      <c r="L508" s="4">
        <f>IF('[1]All Data '!BE513="","",'[1]All Data '!BE513)</f>
        <v>5.5E-2</v>
      </c>
      <c r="M508">
        <f>IF('[1]All Data '!BF513="","",'[1]All Data '!BF513)</f>
        <v>4767.5627999999997</v>
      </c>
      <c r="N508" s="5">
        <f>IF('[1]All Data '!BB513="","",'[1]All Data '!BC513/'[1]All Data '!BH513)</f>
        <v>369651</v>
      </c>
      <c r="O508" s="5">
        <f t="shared" si="9"/>
        <v>1762334356.5827999</v>
      </c>
      <c r="P508" s="5">
        <f>IF(M508="","",$C$2*(1-L508)*907.2/0.621371*N508*[1]Transportation!$M$40)</f>
        <v>5765724.8674381804</v>
      </c>
      <c r="Q508" s="5">
        <f>IF(L508="","",IF([1]Inputs_Outputs!$B$5="Herbaceous",(LCA!$E$29*'[1]LOCH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8" s="5">
        <f>IF(M508="","",$E$2*1000*'[1]LOCH Calc COE Calc'!$C$44)</f>
        <v>4896457.3202133691</v>
      </c>
      <c r="S508" s="6">
        <f>IF(N508="","",SUM(O508:R508)/('[1]LOCH Calc COE Calc'!$C$28))</f>
        <v>79.664773317327587</v>
      </c>
      <c r="T508">
        <f>IF(L508="","",O508/'[1]LOCH Calc COE Calc'!$C$28)</f>
        <v>75.995001002830989</v>
      </c>
      <c r="U508">
        <f>IF(L508="","",P508/'[1]LOCH Calc COE Calc'!$C$28)</f>
        <v>0.24862834084028465</v>
      </c>
      <c r="V508">
        <f>IF(L508="","",Q508/'[1]LOCH Calc COE Calc'!$C$28)</f>
        <v>3.2100000000000004</v>
      </c>
      <c r="W508">
        <f>IF(L508="","",R508/'[1]LOCH Calc COE Calc'!$C$28)</f>
        <v>0.21114397365631307</v>
      </c>
    </row>
    <row r="509" spans="12:23" x14ac:dyDescent="0.25">
      <c r="L509" s="4">
        <f>IF('[1]All Data '!BE514="","",'[1]All Data '!BE514)</f>
        <v>5.5E-2</v>
      </c>
      <c r="M509">
        <f>IF('[1]All Data '!BF514="","",'[1]All Data '!BF514)</f>
        <v>4767.5627999999997</v>
      </c>
      <c r="N509" s="5">
        <f>IF('[1]All Data '!BB514="","",'[1]All Data '!BC514/'[1]All Data '!BH514)</f>
        <v>369110</v>
      </c>
      <c r="O509" s="5">
        <f t="shared" si="9"/>
        <v>1759755105.1079998</v>
      </c>
      <c r="P509" s="5">
        <f>IF(M509="","",$C$2*(1-L509)*907.2/0.621371*N509*[1]Transportation!$M$40)</f>
        <v>5757286.4832507065</v>
      </c>
      <c r="Q509" s="5">
        <f>IF(L509="","",IF([1]Inputs_Outputs!$B$5="Herbaceous",(LCA!$E$29*'[1]LOCH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09" s="5">
        <f>IF(M509="","",$E$2*1000*'[1]LOCH Calc COE Calc'!$C$44)</f>
        <v>4896457.3202133691</v>
      </c>
      <c r="S509" s="6">
        <f>IF(N509="","",SUM(O509:R509)/('[1]LOCH Calc COE Calc'!$C$28))</f>
        <v>79.553187514841113</v>
      </c>
      <c r="T509">
        <f>IF(L509="","",O509/'[1]LOCH Calc COE Calc'!$C$28)</f>
        <v>75.883779078522565</v>
      </c>
      <c r="U509">
        <f>IF(L509="","",P509/'[1]LOCH Calc COE Calc'!$C$28)</f>
        <v>0.24826446266223401</v>
      </c>
      <c r="V509">
        <f>IF(L509="","",Q509/'[1]LOCH Calc COE Calc'!$C$28)</f>
        <v>3.2100000000000004</v>
      </c>
      <c r="W509">
        <f>IF(L509="","",R509/'[1]LOCH Calc COE Calc'!$C$28)</f>
        <v>0.21114397365631307</v>
      </c>
    </row>
    <row r="510" spans="12:23" x14ac:dyDescent="0.25">
      <c r="L510" s="4">
        <f>IF('[1]All Data '!BE515="","",'[1]All Data '!BE515)</f>
        <v>5.5E-2</v>
      </c>
      <c r="M510">
        <f>IF('[1]All Data '!BF515="","",'[1]All Data '!BF515)</f>
        <v>4767.5627999999997</v>
      </c>
      <c r="N510" s="5">
        <f>IF('[1]All Data '!BB515="","",'[1]All Data '!BC515/'[1]All Data '!BH515)</f>
        <v>367954</v>
      </c>
      <c r="O510" s="5">
        <f t="shared" si="9"/>
        <v>1754243802.5112</v>
      </c>
      <c r="P510" s="5">
        <f>IF(M510="","",$C$2*(1-L510)*907.2/0.621371*N510*[1]Transportation!$M$40)</f>
        <v>5739255.4811791349</v>
      </c>
      <c r="Q510" s="5">
        <f>IF(L510="","",IF([1]Inputs_Outputs!$B$5="Herbaceous",(LCA!$E$29*'[1]LOCH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0" s="5">
        <f>IF(M510="","",$E$2*1000*'[1]LOCH Calc COE Calc'!$C$44)</f>
        <v>4896457.3202133691</v>
      </c>
      <c r="S510" s="6">
        <f>IF(N510="","",SUM(O510:R510)/('[1]LOCH Calc COE Calc'!$C$28))</f>
        <v>79.314752787162092</v>
      </c>
      <c r="T510">
        <f>IF(L510="","",O510/'[1]LOCH Calc COE Calc'!$C$28)</f>
        <v>75.646121879815482</v>
      </c>
      <c r="U510">
        <f>IF(L510="","",P510/'[1]LOCH Calc COE Calc'!$C$28)</f>
        <v>0.2474869336902811</v>
      </c>
      <c r="V510">
        <f>IF(L510="","",Q510/'[1]LOCH Calc COE Calc'!$C$28)</f>
        <v>3.2100000000000004</v>
      </c>
      <c r="W510">
        <f>IF(L510="","",R510/'[1]LOCH Calc COE Calc'!$C$28)</f>
        <v>0.21114397365631307</v>
      </c>
    </row>
    <row r="511" spans="12:23" x14ac:dyDescent="0.25">
      <c r="L511" s="4">
        <f>IF('[1]All Data '!BE516="","",'[1]All Data '!BE516)</f>
        <v>5.4999999999999993E-2</v>
      </c>
      <c r="M511">
        <f>IF('[1]All Data '!BF516="","",'[1]All Data '!BF516)</f>
        <v>4767.5627999999997</v>
      </c>
      <c r="N511" s="5">
        <f>IF('[1]All Data '!BB516="","",'[1]All Data '!BC516/'[1]All Data '!BH516)</f>
        <v>367295</v>
      </c>
      <c r="O511" s="5">
        <f t="shared" si="9"/>
        <v>1751101978.6259999</v>
      </c>
      <c r="P511" s="5">
        <f>IF(M511="","",$C$2*(1-L511)*907.2/0.621371*N511*[1]Transportation!$M$40)</f>
        <v>5728976.5621781256</v>
      </c>
      <c r="Q511" s="5">
        <f>IF(L511="","",IF([1]Inputs_Outputs!$B$5="Herbaceous",(LCA!$E$29*'[1]LOCH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1" s="5">
        <f>IF(M511="","",$E$2*1000*'[1]LOCH Calc COE Calc'!$C$44)</f>
        <v>4896457.3202133691</v>
      </c>
      <c r="S511" s="6">
        <f>IF(N511="","",SUM(O511:R511)/('[1]LOCH Calc COE Calc'!$C$28))</f>
        <v>79.17882849171184</v>
      </c>
      <c r="T511">
        <f>IF(L511="","",O511/'[1]LOCH Calc COE Calc'!$C$28)</f>
        <v>75.510640829687489</v>
      </c>
      <c r="U511">
        <f>IF(L511="","",P511/'[1]LOCH Calc COE Calc'!$C$28)</f>
        <v>0.24704368836803456</v>
      </c>
      <c r="V511">
        <f>IF(L511="","",Q511/'[1]LOCH Calc COE Calc'!$C$28)</f>
        <v>3.2100000000000004</v>
      </c>
      <c r="W511">
        <f>IF(L511="","",R511/'[1]LOCH Calc COE Calc'!$C$28)</f>
        <v>0.21114397365631307</v>
      </c>
    </row>
    <row r="512" spans="12:23" x14ac:dyDescent="0.25">
      <c r="L512" s="4">
        <f>IF('[1]All Data '!BE517="","",'[1]All Data '!BE517)</f>
        <v>5.5E-2</v>
      </c>
      <c r="M512">
        <f>IF('[1]All Data '!BF517="","",'[1]All Data '!BF517)</f>
        <v>4767.5627999999997</v>
      </c>
      <c r="N512" s="5">
        <f>IF('[1]All Data '!BB517="","",'[1]All Data '!BC517/'[1]All Data '!BH517)</f>
        <v>366354</v>
      </c>
      <c r="O512" s="5">
        <f t="shared" si="9"/>
        <v>1746615702.0311999</v>
      </c>
      <c r="P512" s="5">
        <f>IF(M512="","",$C$2*(1-L512)*907.2/0.621371*N512*[1]Transportation!$M$40)</f>
        <v>5714299.0769278239</v>
      </c>
      <c r="Q512" s="5">
        <f>IF(L512="","",IF([1]Inputs_Outputs!$B$5="Herbaceous",(LCA!$E$29*'[1]LOCH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2" s="5">
        <f>IF(M512="","",$E$2*1000*'[1]LOCH Calc COE Calc'!$C$44)</f>
        <v>4896457.3202133691</v>
      </c>
      <c r="S512" s="6">
        <f>IF(N512="","",SUM(O512:R512)/('[1]LOCH Calc COE Calc'!$C$28))</f>
        <v>78.984739323246458</v>
      </c>
      <c r="T512">
        <f>IF(L512="","",O512/'[1]LOCH Calc COE Calc'!$C$28)</f>
        <v>75.317184580566931</v>
      </c>
      <c r="U512">
        <f>IF(L512="","",P512/'[1]LOCH Calc COE Calc'!$C$28)</f>
        <v>0.24641076902321821</v>
      </c>
      <c r="V512">
        <f>IF(L512="","",Q512/'[1]LOCH Calc COE Calc'!$C$28)</f>
        <v>3.2100000000000004</v>
      </c>
      <c r="W512">
        <f>IF(L512="","",R512/'[1]LOCH Calc COE Calc'!$C$28)</f>
        <v>0.21114397365631307</v>
      </c>
    </row>
    <row r="513" spans="12:23" x14ac:dyDescent="0.25">
      <c r="L513" s="4">
        <f>IF('[1]All Data '!BE518="","",'[1]All Data '!BE518)</f>
        <v>5.5E-2</v>
      </c>
      <c r="M513">
        <f>IF('[1]All Data '!BF518="","",'[1]All Data '!BF518)</f>
        <v>4767.5627999999997</v>
      </c>
      <c r="N513" s="5">
        <f>IF('[1]All Data '!BB518="","",'[1]All Data '!BC518/'[1]All Data '!BH518)</f>
        <v>365912</v>
      </c>
      <c r="O513" s="5">
        <f t="shared" si="9"/>
        <v>1744508439.2735999</v>
      </c>
      <c r="P513" s="5">
        <f>IF(M513="","",$C$2*(1-L513)*907.2/0.621371*N513*[1]Transportation!$M$40)</f>
        <v>5707404.8702533999</v>
      </c>
      <c r="Q513" s="5">
        <f>IF(L513="","",IF([1]Inputs_Outputs!$B$5="Herbaceous",(LCA!$E$29*'[1]LOCH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3" s="5">
        <f>IF(M513="","",$E$2*1000*'[1]LOCH Calc COE Calc'!$C$44)</f>
        <v>4896457.3202133691</v>
      </c>
      <c r="S513" s="6">
        <f>IF(N513="","",SUM(O513:R513)/('[1]LOCH Calc COE Calc'!$C$28))</f>
        <v>78.893573103839756</v>
      </c>
      <c r="T513">
        <f>IF(L513="","",O513/'[1]LOCH Calc COE Calc'!$C$28)</f>
        <v>75.226315651649514</v>
      </c>
      <c r="U513">
        <f>IF(L513="","",P513/'[1]LOCH Calc COE Calc'!$C$28)</f>
        <v>0.24611347853394211</v>
      </c>
      <c r="V513">
        <f>IF(L513="","",Q513/'[1]LOCH Calc COE Calc'!$C$28)</f>
        <v>3.2100000000000004</v>
      </c>
      <c r="W513">
        <f>IF(L513="","",R513/'[1]LOCH Calc COE Calc'!$C$28)</f>
        <v>0.21114397365631307</v>
      </c>
    </row>
    <row r="514" spans="12:23" x14ac:dyDescent="0.25">
      <c r="L514" s="4">
        <f>IF('[1]All Data '!BE519="","",'[1]All Data '!BE519)</f>
        <v>5.5E-2</v>
      </c>
      <c r="M514">
        <f>IF('[1]All Data '!BF519="","",'[1]All Data '!BF519)</f>
        <v>4767.5627999999997</v>
      </c>
      <c r="N514" s="5">
        <f>IF('[1]All Data '!BB519="","",'[1]All Data '!BC519/'[1]All Data '!BH519)</f>
        <v>365817</v>
      </c>
      <c r="O514" s="5">
        <f t="shared" si="9"/>
        <v>1744055520.8075998</v>
      </c>
      <c r="P514" s="5">
        <f>IF(M514="","",$C$2*(1-L514)*907.2/0.621371*N514*[1]Transportation!$M$40)</f>
        <v>5705923.0837509781</v>
      </c>
      <c r="Q514" s="5">
        <f>IF(L514="","",IF([1]Inputs_Outputs!$B$5="Herbaceous",(LCA!$E$29*'[1]LOCH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4" s="5">
        <f>IF(M514="","",$E$2*1000*'[1]LOCH Calc COE Calc'!$C$44)</f>
        <v>4896457.3202133691</v>
      </c>
      <c r="S514" s="6">
        <f>IF(N514="","",SUM(O514:R514)/('[1]LOCH Calc COE Calc'!$C$28))</f>
        <v>78.873978554419779</v>
      </c>
      <c r="T514">
        <f>IF(L514="","",O514/'[1]LOCH Calc COE Calc'!$C$28)</f>
        <v>75.206784999506624</v>
      </c>
      <c r="U514">
        <f>IF(L514="","",P514/'[1]LOCH Calc COE Calc'!$C$28)</f>
        <v>0.24604958125683524</v>
      </c>
      <c r="V514">
        <f>IF(L514="","",Q514/'[1]LOCH Calc COE Calc'!$C$28)</f>
        <v>3.2100000000000004</v>
      </c>
      <c r="W514">
        <f>IF(L514="","",R514/'[1]LOCH Calc COE Calc'!$C$28)</f>
        <v>0.21114397365631307</v>
      </c>
    </row>
    <row r="515" spans="12:23" x14ac:dyDescent="0.25">
      <c r="L515" s="4">
        <f>IF('[1]All Data '!BE520="","",'[1]All Data '!BE520)</f>
        <v>5.5E-2</v>
      </c>
      <c r="M515">
        <f>IF('[1]All Data '!BF520="","",'[1]All Data '!BF520)</f>
        <v>4767.5627999999997</v>
      </c>
      <c r="N515" s="5">
        <f>IF('[1]All Data '!BB520="","",'[1]All Data '!BC520/'[1]All Data '!BH520)</f>
        <v>364490</v>
      </c>
      <c r="O515" s="5">
        <f t="shared" si="9"/>
        <v>1737728964.9719999</v>
      </c>
      <c r="P515" s="5">
        <f>IF(M515="","",$C$2*(1-L515)*907.2/0.621371*N515*[1]Transportation!$M$40)</f>
        <v>5685224.8659750475</v>
      </c>
      <c r="Q515" s="5">
        <f>IF(L515="","",IF([1]Inputs_Outputs!$B$5="Herbaceous",(LCA!$E$29*'[1]LOCH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5" s="5">
        <f>IF(M515="","",$E$2*1000*'[1]LOCH Calc COE Calc'!$C$44)</f>
        <v>4896457.3202133691</v>
      </c>
      <c r="S515" s="6">
        <f>IF(N515="","",SUM(O515:R515)/('[1]LOCH Calc COE Calc'!$C$28))</f>
        <v>78.600273637784767</v>
      </c>
      <c r="T515">
        <f>IF(L515="","",O515/'[1]LOCH Calc COE Calc'!$C$28)</f>
        <v>74.933972626942349</v>
      </c>
      <c r="U515">
        <f>IF(L515="","",P515/'[1]LOCH Calc COE Calc'!$C$28)</f>
        <v>0.24515703718608997</v>
      </c>
      <c r="V515">
        <f>IF(L515="","",Q515/'[1]LOCH Calc COE Calc'!$C$28)</f>
        <v>3.2100000000000004</v>
      </c>
      <c r="W515">
        <f>IF(L515="","",R515/'[1]LOCH Calc COE Calc'!$C$28)</f>
        <v>0.21114397365631307</v>
      </c>
    </row>
    <row r="516" spans="12:23" x14ac:dyDescent="0.25">
      <c r="L516" s="4">
        <f>IF('[1]All Data '!BE521="","",'[1]All Data '!BE521)</f>
        <v>5.5E-2</v>
      </c>
      <c r="M516">
        <f>IF('[1]All Data '!BF521="","",'[1]All Data '!BF521)</f>
        <v>4767.5627999999997</v>
      </c>
      <c r="N516" s="5">
        <f>IF('[1]All Data '!BB521="","",'[1]All Data '!BC521/'[1]All Data '!BH521)</f>
        <v>363236</v>
      </c>
      <c r="O516" s="5">
        <f t="shared" ref="O516:O579" si="10">IF(N516="","",M516*N516)</f>
        <v>1731750441.2207999</v>
      </c>
      <c r="P516" s="5">
        <f>IF(M516="","",$C$2*(1-L516)*907.2/0.621371*N516*[1]Transportation!$M$40)</f>
        <v>5665665.2841430828</v>
      </c>
      <c r="Q516" s="5">
        <f>IF(L516="","",IF([1]Inputs_Outputs!$B$5="Herbaceous",(LCA!$E$29*'[1]LOCH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6" s="5">
        <f>IF(M516="","",$E$2*1000*'[1]LOCH Calc COE Calc'!$C$44)</f>
        <v>4896457.3202133691</v>
      </c>
      <c r="S516" s="6">
        <f>IF(N516="","",SUM(O516:R516)/('[1]LOCH Calc COE Calc'!$C$28))</f>
        <v>78.34162558544088</v>
      </c>
      <c r="T516">
        <f>IF(L516="","",O516/'[1]LOCH Calc COE Calc'!$C$28)</f>
        <v>74.676168018656298</v>
      </c>
      <c r="U516">
        <f>IF(L516="","",P516/'[1]LOCH Calc COE Calc'!$C$28)</f>
        <v>0.24431359312827944</v>
      </c>
      <c r="V516">
        <f>IF(L516="","",Q516/'[1]LOCH Calc COE Calc'!$C$28)</f>
        <v>3.2100000000000004</v>
      </c>
      <c r="W516">
        <f>IF(L516="","",R516/'[1]LOCH Calc COE Calc'!$C$28)</f>
        <v>0.21114397365631307</v>
      </c>
    </row>
    <row r="517" spans="12:23" x14ac:dyDescent="0.25">
      <c r="L517" s="4">
        <f>IF('[1]All Data '!BE522="","",'[1]All Data '!BE522)</f>
        <v>5.5E-2</v>
      </c>
      <c r="M517">
        <f>IF('[1]All Data '!BF522="","",'[1]All Data '!BF522)</f>
        <v>4767.5627999999997</v>
      </c>
      <c r="N517" s="5">
        <f>IF('[1]All Data '!BB522="","",'[1]All Data '!BC522/'[1]All Data '!BH522)</f>
        <v>362990</v>
      </c>
      <c r="O517" s="5">
        <f t="shared" si="10"/>
        <v>1730577620.7719998</v>
      </c>
      <c r="P517" s="5">
        <f>IF(M517="","",$C$2*(1-L517)*907.2/0.621371*N517*[1]Transportation!$M$40)</f>
        <v>5661828.2369894441</v>
      </c>
      <c r="Q517" s="5">
        <f>IF(L517="","",IF([1]Inputs_Outputs!$B$5="Herbaceous",(LCA!$E$29*'[1]LOCH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7" s="5">
        <f>IF(M517="","",$E$2*1000*'[1]LOCH Calc COE Calc'!$C$44)</f>
        <v>4896457.3202133691</v>
      </c>
      <c r="S517" s="6">
        <f>IF(N517="","",SUM(O517:R517)/('[1]LOCH Calc COE Calc'!$C$28))</f>
        <v>78.290886015363867</v>
      </c>
      <c r="T517">
        <f>IF(L517="","",O517/'[1]LOCH Calc COE Calc'!$C$28)</f>
        <v>74.625593908896832</v>
      </c>
      <c r="U517">
        <f>IF(L517="","",P517/'[1]LOCH Calc COE Calc'!$C$28)</f>
        <v>0.24414813281071854</v>
      </c>
      <c r="V517">
        <f>IF(L517="","",Q517/'[1]LOCH Calc COE Calc'!$C$28)</f>
        <v>3.2100000000000004</v>
      </c>
      <c r="W517">
        <f>IF(L517="","",R517/'[1]LOCH Calc COE Calc'!$C$28)</f>
        <v>0.21114397365631307</v>
      </c>
    </row>
    <row r="518" spans="12:23" x14ac:dyDescent="0.25">
      <c r="L518" s="4">
        <f>IF('[1]All Data '!BE523="","",'[1]All Data '!BE523)</f>
        <v>5.5000000000000007E-2</v>
      </c>
      <c r="M518">
        <f>IF('[1]All Data '!BF523="","",'[1]All Data '!BF523)</f>
        <v>4767.5627999999997</v>
      </c>
      <c r="N518" s="5">
        <f>IF('[1]All Data '!BB523="","",'[1]All Data '!BC523/'[1]All Data '!BH523)</f>
        <v>362818</v>
      </c>
      <c r="O518" s="5">
        <f t="shared" si="10"/>
        <v>1729757599.9703999</v>
      </c>
      <c r="P518" s="5">
        <f>IF(M518="","",$C$2*(1-L518)*907.2/0.621371*N518*[1]Transportation!$M$40)</f>
        <v>5659145.4235324282</v>
      </c>
      <c r="Q518" s="5">
        <f>IF(L518="","",IF([1]Inputs_Outputs!$B$5="Herbaceous",(LCA!$E$29*'[1]LOCH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8" s="5">
        <f>IF(M518="","",$E$2*1000*'[1]LOCH Calc COE Calc'!$C$44)</f>
        <v>4896457.3202133691</v>
      </c>
      <c r="S518" s="6">
        <f>IF(N518="","",SUM(O518:R518)/('[1]LOCH Calc COE Calc'!$C$28))</f>
        <v>78.255409567992928</v>
      </c>
      <c r="T518">
        <f>IF(L518="","",O518/'[1]LOCH Calc COE Calc'!$C$28)</f>
        <v>74.590233149227601</v>
      </c>
      <c r="U518">
        <f>IF(L518="","",P518/'[1]LOCH Calc COE Calc'!$C$28)</f>
        <v>0.24403244510900926</v>
      </c>
      <c r="V518">
        <f>IF(L518="","",Q518/'[1]LOCH Calc COE Calc'!$C$28)</f>
        <v>3.2100000000000004</v>
      </c>
      <c r="W518">
        <f>IF(L518="","",R518/'[1]LOCH Calc COE Calc'!$C$28)</f>
        <v>0.21114397365631307</v>
      </c>
    </row>
    <row r="519" spans="12:23" x14ac:dyDescent="0.25">
      <c r="L519" s="4">
        <f>IF('[1]All Data '!BE524="","",'[1]All Data '!BE524)</f>
        <v>5.4999999999999993E-2</v>
      </c>
      <c r="M519">
        <f>IF('[1]All Data '!BF524="","",'[1]All Data '!BF524)</f>
        <v>4767.5627999999997</v>
      </c>
      <c r="N519" s="5">
        <f>IF('[1]All Data '!BB524="","",'[1]All Data '!BC524/'[1]All Data '!BH524)</f>
        <v>361920</v>
      </c>
      <c r="O519" s="5">
        <f t="shared" si="10"/>
        <v>1725476328.576</v>
      </c>
      <c r="P519" s="5">
        <f>IF(M519="","",$C$2*(1-L519)*907.2/0.621371*N519*[1]Transportation!$M$40)</f>
        <v>5645138.6416463805</v>
      </c>
      <c r="Q519" s="5">
        <f>IF(L519="","",IF([1]Inputs_Outputs!$B$5="Herbaceous",(LCA!$E$29*'[1]LOCH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19" s="5">
        <f>IF(M519="","",$E$2*1000*'[1]LOCH Calc COE Calc'!$C$44)</f>
        <v>4896457.3202133691</v>
      </c>
      <c r="S519" s="6">
        <f>IF(N519="","",SUM(O519:R519)/('[1]LOCH Calc COE Calc'!$C$28))</f>
        <v>78.070189511370288</v>
      </c>
      <c r="T519">
        <f>IF(L519="","",O519/'[1]LOCH Calc COE Calc'!$C$28)</f>
        <v>74.40561709002435</v>
      </c>
      <c r="U519">
        <f>IF(L519="","",P519/'[1]LOCH Calc COE Calc'!$C$28)</f>
        <v>0.24342844768962024</v>
      </c>
      <c r="V519">
        <f>IF(L519="","",Q519/'[1]LOCH Calc COE Calc'!$C$28)</f>
        <v>3.2100000000000004</v>
      </c>
      <c r="W519">
        <f>IF(L519="","",R519/'[1]LOCH Calc COE Calc'!$C$28)</f>
        <v>0.21114397365631307</v>
      </c>
    </row>
    <row r="520" spans="12:23" x14ac:dyDescent="0.25">
      <c r="L520" s="4">
        <f>IF('[1]All Data '!BE525="","",'[1]All Data '!BE525)</f>
        <v>5.5E-2</v>
      </c>
      <c r="M520">
        <f>IF('[1]All Data '!BF525="","",'[1]All Data '!BF525)</f>
        <v>4767.5627999999997</v>
      </c>
      <c r="N520" s="5">
        <f>IF('[1]All Data '!BB525="","",'[1]All Data '!BC525/'[1]All Data '!BH525)</f>
        <v>361712</v>
      </c>
      <c r="O520" s="5">
        <f t="shared" si="10"/>
        <v>1724484675.5135999</v>
      </c>
      <c r="P520" s="5">
        <f>IF(M520="","",$C$2*(1-L520)*907.2/0.621371*N520*[1]Transportation!$M$40)</f>
        <v>5641894.30909371</v>
      </c>
      <c r="Q520" s="5">
        <f>IF(L520="","",IF([1]Inputs_Outputs!$B$5="Herbaceous",(LCA!$E$29*'[1]LOCH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0" s="5">
        <f>IF(M520="","",$E$2*1000*'[1]LOCH Calc COE Calc'!$C$44)</f>
        <v>4896457.3202133691</v>
      </c>
      <c r="S520" s="6">
        <f>IF(N520="","",SUM(O520:R520)/('[1]LOCH Calc COE Calc'!$C$28))</f>
        <v>78.02728776106126</v>
      </c>
      <c r="T520">
        <f>IF(L520="","",O520/'[1]LOCH Calc COE Calc'!$C$28)</f>
        <v>74.362855241122034</v>
      </c>
      <c r="U520">
        <f>IF(L520="","",P520/'[1]LOCH Calc COE Calc'!$C$28)</f>
        <v>0.24328854628290206</v>
      </c>
      <c r="V520">
        <f>IF(L520="","",Q520/'[1]LOCH Calc COE Calc'!$C$28)</f>
        <v>3.2100000000000004</v>
      </c>
      <c r="W520">
        <f>IF(L520="","",R520/'[1]LOCH Calc COE Calc'!$C$28)</f>
        <v>0.21114397365631307</v>
      </c>
    </row>
    <row r="521" spans="12:23" x14ac:dyDescent="0.25">
      <c r="L521" s="4">
        <f>IF('[1]All Data '!BE526="","",'[1]All Data '!BE526)</f>
        <v>5.5E-2</v>
      </c>
      <c r="M521">
        <f>IF('[1]All Data '!BF526="","",'[1]All Data '!BF526)</f>
        <v>4767.5627999999997</v>
      </c>
      <c r="N521" s="5">
        <f>IF('[1]All Data '!BB526="","",'[1]All Data '!BC526/'[1]All Data '!BH526)</f>
        <v>361712</v>
      </c>
      <c r="O521" s="5">
        <f t="shared" si="10"/>
        <v>1724484675.5135999</v>
      </c>
      <c r="P521" s="5">
        <f>IF(M521="","",$C$2*(1-L521)*907.2/0.621371*N521*[1]Transportation!$M$40)</f>
        <v>5641894.30909371</v>
      </c>
      <c r="Q521" s="5">
        <f>IF(L521="","",IF([1]Inputs_Outputs!$B$5="Herbaceous",(LCA!$E$29*'[1]LOCH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1" s="5">
        <f>IF(M521="","",$E$2*1000*'[1]LOCH Calc COE Calc'!$C$44)</f>
        <v>4896457.3202133691</v>
      </c>
      <c r="S521" s="6">
        <f>IF(N521="","",SUM(O521:R521)/('[1]LOCH Calc COE Calc'!$C$28))</f>
        <v>78.02728776106126</v>
      </c>
      <c r="T521">
        <f>IF(L521="","",O521/'[1]LOCH Calc COE Calc'!$C$28)</f>
        <v>74.362855241122034</v>
      </c>
      <c r="U521">
        <f>IF(L521="","",P521/'[1]LOCH Calc COE Calc'!$C$28)</f>
        <v>0.24328854628290206</v>
      </c>
      <c r="V521">
        <f>IF(L521="","",Q521/'[1]LOCH Calc COE Calc'!$C$28)</f>
        <v>3.2100000000000004</v>
      </c>
      <c r="W521">
        <f>IF(L521="","",R521/'[1]LOCH Calc COE Calc'!$C$28)</f>
        <v>0.21114397365631307</v>
      </c>
    </row>
    <row r="522" spans="12:23" x14ac:dyDescent="0.25">
      <c r="L522" s="4">
        <f>IF('[1]All Data '!BE527="","",'[1]All Data '!BE527)</f>
        <v>5.5E-2</v>
      </c>
      <c r="M522">
        <f>IF('[1]All Data '!BF527="","",'[1]All Data '!BF527)</f>
        <v>4767.5627999999997</v>
      </c>
      <c r="N522" s="5">
        <f>IF('[1]All Data '!BB527="","",'[1]All Data '!BC527/'[1]All Data '!BH527)</f>
        <v>361487</v>
      </c>
      <c r="O522" s="5">
        <f t="shared" si="10"/>
        <v>1723411973.8836</v>
      </c>
      <c r="P522" s="5">
        <f>IF(M522="","",$C$2*(1-L522)*907.2/0.621371*N522*[1]Transportation!$M$40)</f>
        <v>5638384.8147458695</v>
      </c>
      <c r="Q522" s="5">
        <f>IF(L522="","",IF([1]Inputs_Outputs!$B$5="Herbaceous",(LCA!$E$29*'[1]LOCH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2" s="5">
        <f>IF(M522="","",$E$2*1000*'[1]LOCH Calc COE Calc'!$C$44)</f>
        <v>4896457.3202133691</v>
      </c>
      <c r="S522" s="6">
        <f>IF(N522="","",SUM(O522:R522)/('[1]LOCH Calc COE Calc'!$C$28))</f>
        <v>77.980879617698122</v>
      </c>
      <c r="T522">
        <f>IF(L522="","",O522/'[1]LOCH Calc COE Calc'!$C$28)</f>
        <v>74.316598433415209</v>
      </c>
      <c r="U522">
        <f>IF(L522="","",P522/'[1]LOCH Calc COE Calc'!$C$28)</f>
        <v>0.24313721062659635</v>
      </c>
      <c r="V522">
        <f>IF(L522="","",Q522/'[1]LOCH Calc COE Calc'!$C$28)</f>
        <v>3.2100000000000004</v>
      </c>
      <c r="W522">
        <f>IF(L522="","",R522/'[1]LOCH Calc COE Calc'!$C$28)</f>
        <v>0.21114397365631307</v>
      </c>
    </row>
    <row r="523" spans="12:23" x14ac:dyDescent="0.25">
      <c r="L523" s="4">
        <f>IF('[1]All Data '!BE528="","",'[1]All Data '!BE528)</f>
        <v>5.5E-2</v>
      </c>
      <c r="M523">
        <f>IF('[1]All Data '!BF528="","",'[1]All Data '!BF528)</f>
        <v>4767.5627999999997</v>
      </c>
      <c r="N523" s="5">
        <f>IF('[1]All Data '!BB528="","",'[1]All Data '!BC528/'[1]All Data '!BH528)</f>
        <v>360729</v>
      </c>
      <c r="O523" s="5">
        <f t="shared" si="10"/>
        <v>1719798161.2811999</v>
      </c>
      <c r="P523" s="5">
        <f>IF(M523="","",$C$2*(1-L523)*907.2/0.621371*N523*[1]Transportation!$M$40)</f>
        <v>5626561.7182318112</v>
      </c>
      <c r="Q523" s="5">
        <f>IF(L523="","",IF([1]Inputs_Outputs!$B$5="Herbaceous",(LCA!$E$29*'[1]LOCH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3" s="5">
        <f>IF(M523="","",$E$2*1000*'[1]LOCH Calc COE Calc'!$C$44)</f>
        <v>4896457.3202133691</v>
      </c>
      <c r="S523" s="6">
        <f>IF(N523="","",SUM(O523:R523)/('[1]LOCH Calc COE Calc'!$C$28))</f>
        <v>77.824535739168098</v>
      </c>
      <c r="T523">
        <f>IF(L523="","",O523/'[1]LOCH Calc COE Calc'!$C$28)</f>
        <v>74.160764387896208</v>
      </c>
      <c r="U523">
        <f>IF(L523="","",P523/'[1]LOCH Calc COE Calc'!$C$28)</f>
        <v>0.24262737761557532</v>
      </c>
      <c r="V523">
        <f>IF(L523="","",Q523/'[1]LOCH Calc COE Calc'!$C$28)</f>
        <v>3.2100000000000004</v>
      </c>
      <c r="W523">
        <f>IF(L523="","",R523/'[1]LOCH Calc COE Calc'!$C$28)</f>
        <v>0.21114397365631307</v>
      </c>
    </row>
    <row r="524" spans="12:23" x14ac:dyDescent="0.25">
      <c r="L524" s="4">
        <f>IF('[1]All Data '!BE529="","",'[1]All Data '!BE529)</f>
        <v>5.5E-2</v>
      </c>
      <c r="M524">
        <f>IF('[1]All Data '!BF529="","",'[1]All Data '!BF529)</f>
        <v>4767.5627999999997</v>
      </c>
      <c r="N524" s="5">
        <f>IF('[1]All Data '!BB529="","",'[1]All Data '!BC529/'[1]All Data '!BH529)</f>
        <v>360729</v>
      </c>
      <c r="O524" s="5">
        <f t="shared" si="10"/>
        <v>1719798161.2811999</v>
      </c>
      <c r="P524" s="5">
        <f>IF(M524="","",$C$2*(1-L524)*907.2/0.621371*N524*[1]Transportation!$M$40)</f>
        <v>5626561.7182318112</v>
      </c>
      <c r="Q524" s="5">
        <f>IF(L524="","",IF([1]Inputs_Outputs!$B$5="Herbaceous",(LCA!$E$29*'[1]LOCH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4" s="5">
        <f>IF(M524="","",$E$2*1000*'[1]LOCH Calc COE Calc'!$C$44)</f>
        <v>4896457.3202133691</v>
      </c>
      <c r="S524" s="6">
        <f>IF(N524="","",SUM(O524:R524)/('[1]LOCH Calc COE Calc'!$C$28))</f>
        <v>77.824535739168098</v>
      </c>
      <c r="T524">
        <f>IF(L524="","",O524/'[1]LOCH Calc COE Calc'!$C$28)</f>
        <v>74.160764387896208</v>
      </c>
      <c r="U524">
        <f>IF(L524="","",P524/'[1]LOCH Calc COE Calc'!$C$28)</f>
        <v>0.24262737761557532</v>
      </c>
      <c r="V524">
        <f>IF(L524="","",Q524/'[1]LOCH Calc COE Calc'!$C$28)</f>
        <v>3.2100000000000004</v>
      </c>
      <c r="W524">
        <f>IF(L524="","",R524/'[1]LOCH Calc COE Calc'!$C$28)</f>
        <v>0.21114397365631307</v>
      </c>
    </row>
    <row r="525" spans="12:23" x14ac:dyDescent="0.25">
      <c r="L525" s="4">
        <f>IF('[1]All Data '!BE530="","",'[1]All Data '!BE530)</f>
        <v>5.5E-2</v>
      </c>
      <c r="M525">
        <f>IF('[1]All Data '!BF530="","",'[1]All Data '!BF530)</f>
        <v>4767.5627999999997</v>
      </c>
      <c r="N525" s="5">
        <f>IF('[1]All Data '!BB530="","",'[1]All Data '!BC530/'[1]All Data '!BH530)</f>
        <v>360267</v>
      </c>
      <c r="O525" s="5">
        <f t="shared" si="10"/>
        <v>1717595547.2675998</v>
      </c>
      <c r="P525" s="5">
        <f>IF(M525="","",$C$2*(1-L525)*907.2/0.621371*N525*[1]Transportation!$M$40)</f>
        <v>5619355.5565042458</v>
      </c>
      <c r="Q525" s="5">
        <f>IF(L525="","",IF([1]Inputs_Outputs!$B$5="Herbaceous",(LCA!$E$29*'[1]LOCH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5" s="5">
        <f>IF(M525="","",$E$2*1000*'[1]LOCH Calc COE Calc'!$C$44)</f>
        <v>4896457.3202133691</v>
      </c>
      <c r="S525" s="6">
        <f>IF(N525="","",SUM(O525:R525)/('[1]LOCH Calc COE Calc'!$C$28))</f>
        <v>77.729244351462455</v>
      </c>
      <c r="T525">
        <f>IF(L525="","",O525/'[1]LOCH Calc COE Calc'!$C$28)</f>
        <v>74.065783742738176</v>
      </c>
      <c r="U525">
        <f>IF(L525="","",P525/'[1]LOCH Calc COE Calc'!$C$28)</f>
        <v>0.24231663506796094</v>
      </c>
      <c r="V525">
        <f>IF(L525="","",Q525/'[1]LOCH Calc COE Calc'!$C$28)</f>
        <v>3.2100000000000004</v>
      </c>
      <c r="W525">
        <f>IF(L525="","",R525/'[1]LOCH Calc COE Calc'!$C$28)</f>
        <v>0.21114397365631307</v>
      </c>
    </row>
    <row r="526" spans="12:23" x14ac:dyDescent="0.25">
      <c r="L526" s="4">
        <f>IF('[1]All Data '!BE531="","",'[1]All Data '!BE531)</f>
        <v>5.5000000000000007E-2</v>
      </c>
      <c r="M526">
        <f>IF('[1]All Data '!BF531="","",'[1]All Data '!BF531)</f>
        <v>4767.5627999999997</v>
      </c>
      <c r="N526" s="5">
        <f>IF('[1]All Data '!BB531="","",'[1]All Data '!BC531/'[1]All Data '!BH531)</f>
        <v>359056</v>
      </c>
      <c r="O526" s="5">
        <f t="shared" si="10"/>
        <v>1711822028.7168</v>
      </c>
      <c r="P526" s="5">
        <f>IF(M526="","",$C$2*(1-L526)*907.2/0.621371*N526*[1]Transportation!$M$40)</f>
        <v>5600466.6780365352</v>
      </c>
      <c r="Q526" s="5">
        <f>IF(L526="","",IF([1]Inputs_Outputs!$B$5="Herbaceous",(LCA!$E$29*'[1]LOCH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6" s="5">
        <f>IF(M526="","",$E$2*1000*'[1]LOCH Calc COE Calc'!$C$44)</f>
        <v>4896457.3202133691</v>
      </c>
      <c r="S526" s="6">
        <f>IF(N526="","",SUM(O526:R526)/('[1]LOCH Calc COE Calc'!$C$28))</f>
        <v>77.479465410961325</v>
      </c>
      <c r="T526">
        <f>IF(L526="","",O526/'[1]LOCH Calc COE Calc'!$C$28)</f>
        <v>73.816819324369433</v>
      </c>
      <c r="U526">
        <f>IF(L526="","",P526/'[1]LOCH Calc COE Calc'!$C$28)</f>
        <v>0.24150211293557772</v>
      </c>
      <c r="V526">
        <f>IF(L526="","",Q526/'[1]LOCH Calc COE Calc'!$C$28)</f>
        <v>3.2100000000000004</v>
      </c>
      <c r="W526">
        <f>IF(L526="","",R526/'[1]LOCH Calc COE Calc'!$C$28)</f>
        <v>0.21114397365631307</v>
      </c>
    </row>
    <row r="527" spans="12:23" x14ac:dyDescent="0.25">
      <c r="L527" s="4">
        <f>IF('[1]All Data '!BE532="","",'[1]All Data '!BE532)</f>
        <v>5.5000000000000007E-2</v>
      </c>
      <c r="M527">
        <f>IF('[1]All Data '!BF532="","",'[1]All Data '!BF532)</f>
        <v>4767.5627999999997</v>
      </c>
      <c r="N527" s="5">
        <f>IF('[1]All Data '!BB532="","",'[1]All Data '!BC532/'[1]All Data '!BH532)</f>
        <v>358906</v>
      </c>
      <c r="O527" s="5">
        <f t="shared" si="10"/>
        <v>1711106894.2967999</v>
      </c>
      <c r="P527" s="5">
        <f>IF(M527="","",$C$2*(1-L527)*907.2/0.621371*N527*[1]Transportation!$M$40)</f>
        <v>5598127.0151379742</v>
      </c>
      <c r="Q527" s="5">
        <f>IF(L527="","",IF([1]Inputs_Outputs!$B$5="Herbaceous",(LCA!$E$29*'[1]LOCH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7" s="5">
        <f>IF(M527="","",$E$2*1000*'[1]LOCH Calc COE Calc'!$C$44)</f>
        <v>4896457.3202133691</v>
      </c>
      <c r="S527" s="6">
        <f>IF(N527="","",SUM(O527:R527)/('[1]LOCH Calc COE Calc'!$C$28))</f>
        <v>77.448526648719223</v>
      </c>
      <c r="T527">
        <f>IF(L527="","",O527/'[1]LOCH Calc COE Calc'!$C$28)</f>
        <v>73.785981452564883</v>
      </c>
      <c r="U527">
        <f>IF(L527="","",P527/'[1]LOCH Calc COE Calc'!$C$28)</f>
        <v>0.24140122249804055</v>
      </c>
      <c r="V527">
        <f>IF(L527="","",Q527/'[1]LOCH Calc COE Calc'!$C$28)</f>
        <v>3.2100000000000004</v>
      </c>
      <c r="W527">
        <f>IF(L527="","",R527/'[1]LOCH Calc COE Calc'!$C$28)</f>
        <v>0.21114397365631307</v>
      </c>
    </row>
    <row r="528" spans="12:23" x14ac:dyDescent="0.25">
      <c r="L528" s="4">
        <f>IF('[1]All Data '!BE533="","",'[1]All Data '!BE533)</f>
        <v>5.5000000000000007E-2</v>
      </c>
      <c r="M528">
        <f>IF('[1]All Data '!BF533="","",'[1]All Data '!BF533)</f>
        <v>4767.5627999999997</v>
      </c>
      <c r="N528" s="5">
        <f>IF('[1]All Data '!BB533="","",'[1]All Data '!BC533/'[1]All Data '!BH533)</f>
        <v>358430</v>
      </c>
      <c r="O528" s="5">
        <f t="shared" si="10"/>
        <v>1708837534.4039998</v>
      </c>
      <c r="P528" s="5">
        <f>IF(M528="","",$C$2*(1-L528)*907.2/0.621371*N528*[1]Transportation!$M$40)</f>
        <v>5590702.4848732101</v>
      </c>
      <c r="Q528" s="5">
        <f>IF(L528="","",IF([1]Inputs_Outputs!$B$5="Herbaceous",(LCA!$E$29*'[1]LOCH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8" s="5">
        <f>IF(M528="","",$E$2*1000*'[1]LOCH Calc COE Calc'!$C$44)</f>
        <v>4896457.3202133691</v>
      </c>
      <c r="S528" s="6">
        <f>IF(N528="","",SUM(O528:R528)/('[1]LOCH Calc COE Calc'!$C$28))</f>
        <v>77.35034764320433</v>
      </c>
      <c r="T528">
        <f>IF(L528="","",O528/'[1]LOCH Calc COE Calc'!$C$28)</f>
        <v>73.688122606038434</v>
      </c>
      <c r="U528">
        <f>IF(L528="","",P528/'[1]LOCH Calc COE Calc'!$C$28)</f>
        <v>0.24108106350958938</v>
      </c>
      <c r="V528">
        <f>IF(L528="","",Q528/'[1]LOCH Calc COE Calc'!$C$28)</f>
        <v>3.2100000000000004</v>
      </c>
      <c r="W528">
        <f>IF(L528="","",R528/'[1]LOCH Calc COE Calc'!$C$28)</f>
        <v>0.21114397365631307</v>
      </c>
    </row>
    <row r="529" spans="12:23" x14ac:dyDescent="0.25">
      <c r="L529" s="4">
        <f>IF('[1]All Data '!BE534="","",'[1]All Data '!BE534)</f>
        <v>5.5000000000000007E-2</v>
      </c>
      <c r="M529">
        <f>IF('[1]All Data '!BF534="","",'[1]All Data '!BF534)</f>
        <v>4767.5627999999997</v>
      </c>
      <c r="N529" s="5">
        <f>IF('[1]All Data '!BB534="","",'[1]All Data '!BC534/'[1]All Data '!BH534)</f>
        <v>358430</v>
      </c>
      <c r="O529" s="5">
        <f t="shared" si="10"/>
        <v>1708837534.4039998</v>
      </c>
      <c r="P529" s="5">
        <f>IF(M529="","",$C$2*(1-L529)*907.2/0.621371*N529*[1]Transportation!$M$40)</f>
        <v>5590702.4848732101</v>
      </c>
      <c r="Q529" s="5">
        <f>IF(L529="","",IF([1]Inputs_Outputs!$B$5="Herbaceous",(LCA!$E$29*'[1]LOCH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29" s="5">
        <f>IF(M529="","",$E$2*1000*'[1]LOCH Calc COE Calc'!$C$44)</f>
        <v>4896457.3202133691</v>
      </c>
      <c r="S529" s="6">
        <f>IF(N529="","",SUM(O529:R529)/('[1]LOCH Calc COE Calc'!$C$28))</f>
        <v>77.35034764320433</v>
      </c>
      <c r="T529">
        <f>IF(L529="","",O529/'[1]LOCH Calc COE Calc'!$C$28)</f>
        <v>73.688122606038434</v>
      </c>
      <c r="U529">
        <f>IF(L529="","",P529/'[1]LOCH Calc COE Calc'!$C$28)</f>
        <v>0.24108106350958938</v>
      </c>
      <c r="V529">
        <f>IF(L529="","",Q529/'[1]LOCH Calc COE Calc'!$C$28)</f>
        <v>3.2100000000000004</v>
      </c>
      <c r="W529">
        <f>IF(L529="","",R529/'[1]LOCH Calc COE Calc'!$C$28)</f>
        <v>0.21114397365631307</v>
      </c>
    </row>
    <row r="530" spans="12:23" x14ac:dyDescent="0.25">
      <c r="L530" s="4">
        <f>IF('[1]All Data '!BE535="","",'[1]All Data '!BE535)</f>
        <v>5.5E-2</v>
      </c>
      <c r="M530">
        <f>IF('[1]All Data '!BF535="","",'[1]All Data '!BF535)</f>
        <v>4767.5627999999997</v>
      </c>
      <c r="N530" s="5">
        <f>IF('[1]All Data '!BB535="","",'[1]All Data '!BC535/'[1]All Data '!BH535)</f>
        <v>358129</v>
      </c>
      <c r="O530" s="5">
        <f t="shared" si="10"/>
        <v>1707402498.0012</v>
      </c>
      <c r="P530" s="5">
        <f>IF(M530="","",$C$2*(1-L530)*907.2/0.621371*N530*[1]Transportation!$M$40)</f>
        <v>5586007.5613234323</v>
      </c>
      <c r="Q530" s="5">
        <f>IF(L530="","",IF([1]Inputs_Outputs!$B$5="Herbaceous",(LCA!$E$29*'[1]LOCH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0" s="5">
        <f>IF(M530="","",$E$2*1000*'[1]LOCH Calc COE Calc'!$C$44)</f>
        <v>4896457.3202133691</v>
      </c>
      <c r="S530" s="6">
        <f>IF(N530="","",SUM(O530:R530)/('[1]LOCH Calc COE Calc'!$C$28))</f>
        <v>77.288263860305207</v>
      </c>
      <c r="T530">
        <f>IF(L530="","",O530/'[1]LOCH Calc COE Calc'!$C$28)</f>
        <v>73.626241276617293</v>
      </c>
      <c r="U530">
        <f>IF(L530="","",P530/'[1]LOCH Calc COE Calc'!$C$28)</f>
        <v>0.24087861003159816</v>
      </c>
      <c r="V530">
        <f>IF(L530="","",Q530/'[1]LOCH Calc COE Calc'!$C$28)</f>
        <v>3.2100000000000004</v>
      </c>
      <c r="W530">
        <f>IF(L530="","",R530/'[1]LOCH Calc COE Calc'!$C$28)</f>
        <v>0.21114397365631307</v>
      </c>
    </row>
    <row r="531" spans="12:23" x14ac:dyDescent="0.25">
      <c r="L531" s="4">
        <f>IF('[1]All Data '!BE536="","",'[1]All Data '!BE536)</f>
        <v>5.5000000000000007E-2</v>
      </c>
      <c r="M531">
        <f>IF('[1]All Data '!BF536="","",'[1]All Data '!BF536)</f>
        <v>4767.5627999999997</v>
      </c>
      <c r="N531" s="5">
        <f>IF('[1]All Data '!BB536="","",'[1]All Data '!BC536/'[1]All Data '!BH536)</f>
        <v>357505</v>
      </c>
      <c r="O531" s="5">
        <f t="shared" si="10"/>
        <v>1704427538.8139999</v>
      </c>
      <c r="P531" s="5">
        <f>IF(M531="","",$C$2*(1-L531)*907.2/0.621371*N531*[1]Transportation!$M$40)</f>
        <v>5576274.5636654217</v>
      </c>
      <c r="Q531" s="5">
        <f>IF(L531="","",IF([1]Inputs_Outputs!$B$5="Herbaceous",(LCA!$E$29*'[1]LOCH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1" s="5">
        <f>IF(M531="","",$E$2*1000*'[1]LOCH Calc COE Calc'!$C$44)</f>
        <v>4896457.3202133691</v>
      </c>
      <c r="S531" s="6">
        <f>IF(N531="","",SUM(O531:R531)/('[1]LOCH Calc COE Calc'!$C$28))</f>
        <v>77.159558609378109</v>
      </c>
      <c r="T531">
        <f>IF(L531="","",O531/'[1]LOCH Calc COE Calc'!$C$28)</f>
        <v>73.497955729910359</v>
      </c>
      <c r="U531">
        <f>IF(L531="","",P531/'[1]LOCH Calc COE Calc'!$C$28)</f>
        <v>0.24045890581144366</v>
      </c>
      <c r="V531">
        <f>IF(L531="","",Q531/'[1]LOCH Calc COE Calc'!$C$28)</f>
        <v>3.2100000000000004</v>
      </c>
      <c r="W531">
        <f>IF(L531="","",R531/'[1]LOCH Calc COE Calc'!$C$28)</f>
        <v>0.21114397365631307</v>
      </c>
    </row>
    <row r="532" spans="12:23" x14ac:dyDescent="0.25">
      <c r="L532" s="4">
        <f>IF('[1]All Data '!BE537="","",'[1]All Data '!BE537)</f>
        <v>5.4999999999999993E-2</v>
      </c>
      <c r="M532">
        <f>IF('[1]All Data '!BF537="","",'[1]All Data '!BF537)</f>
        <v>4767.5627999999997</v>
      </c>
      <c r="N532" s="5">
        <f>IF('[1]All Data '!BB537="","",'[1]All Data '!BC537/'[1]All Data '!BH537)</f>
        <v>357446</v>
      </c>
      <c r="O532" s="5">
        <f t="shared" si="10"/>
        <v>1704146252.6087999</v>
      </c>
      <c r="P532" s="5">
        <f>IF(M532="","",$C$2*(1-L532)*907.2/0.621371*N532*[1]Transportation!$M$40)</f>
        <v>5575354.2962586544</v>
      </c>
      <c r="Q532" s="5">
        <f>IF(L532="","",IF([1]Inputs_Outputs!$B$5="Herbaceous",(LCA!$E$29*'[1]LOCH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2" s="5">
        <f>IF(M532="","",$E$2*1000*'[1]LOCH Calc COE Calc'!$C$44)</f>
        <v>4896457.3202133691</v>
      </c>
      <c r="S532" s="6">
        <f>IF(N532="","",SUM(O532:R532)/('[1]LOCH Calc COE Calc'!$C$28))</f>
        <v>77.147389362896234</v>
      </c>
      <c r="T532">
        <f>IF(L532="","",O532/'[1]LOCH Calc COE Calc'!$C$28)</f>
        <v>73.485826167000567</v>
      </c>
      <c r="U532">
        <f>IF(L532="","",P532/'[1]LOCH Calc COE Calc'!$C$28)</f>
        <v>0.24041922223934573</v>
      </c>
      <c r="V532">
        <f>IF(L532="","",Q532/'[1]LOCH Calc COE Calc'!$C$28)</f>
        <v>3.2100000000000004</v>
      </c>
      <c r="W532">
        <f>IF(L532="","",R532/'[1]LOCH Calc COE Calc'!$C$28)</f>
        <v>0.21114397365631307</v>
      </c>
    </row>
    <row r="533" spans="12:23" x14ac:dyDescent="0.25">
      <c r="L533" s="4">
        <f>IF('[1]All Data '!BE538="","",'[1]All Data '!BE538)</f>
        <v>5.5000000000000007E-2</v>
      </c>
      <c r="M533">
        <f>IF('[1]All Data '!BF538="","",'[1]All Data '!BF538)</f>
        <v>4767.5627999999997</v>
      </c>
      <c r="N533" s="5">
        <f>IF('[1]All Data '!BB538="","",'[1]All Data '!BC538/'[1]All Data '!BH538)</f>
        <v>356131</v>
      </c>
      <c r="O533" s="5">
        <f t="shared" si="10"/>
        <v>1697876907.5267999</v>
      </c>
      <c r="P533" s="5">
        <f>IF(M533="","",$C$2*(1-L533)*907.2/0.621371*N533*[1]Transportation!$M$40)</f>
        <v>5554843.251514609</v>
      </c>
      <c r="Q533" s="5">
        <f>IF(L533="","",IF([1]Inputs_Outputs!$B$5="Herbaceous",(LCA!$E$29*'[1]LOCH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3" s="5">
        <f>IF(M533="","",$E$2*1000*'[1]LOCH Calc COE Calc'!$C$44)</f>
        <v>4896457.3202133691</v>
      </c>
      <c r="S533" s="6">
        <f>IF(N533="","",SUM(O533:R533)/('[1]LOCH Calc COE Calc'!$C$28))</f>
        <v>76.876159547240576</v>
      </c>
      <c r="T533">
        <f>IF(L533="","",O533/'[1]LOCH Calc COE Calc'!$C$28)</f>
        <v>73.215480824180659</v>
      </c>
      <c r="U533">
        <f>IF(L533="","",P533/'[1]LOCH Calc COE Calc'!$C$28)</f>
        <v>0.23953474940360342</v>
      </c>
      <c r="V533">
        <f>IF(L533="","",Q533/'[1]LOCH Calc COE Calc'!$C$28)</f>
        <v>3.2100000000000004</v>
      </c>
      <c r="W533">
        <f>IF(L533="","",R533/'[1]LOCH Calc COE Calc'!$C$28)</f>
        <v>0.21114397365631307</v>
      </c>
    </row>
    <row r="534" spans="12:23" x14ac:dyDescent="0.25">
      <c r="L534" s="4">
        <f>IF('[1]All Data '!BE539="","",'[1]All Data '!BE539)</f>
        <v>5.5E-2</v>
      </c>
      <c r="M534">
        <f>IF('[1]All Data '!BF539="","",'[1]All Data '!BF539)</f>
        <v>4767.5627999999997</v>
      </c>
      <c r="N534" s="5">
        <f>IF('[1]All Data '!BB539="","",'[1]All Data '!BC539/'[1]All Data '!BH539)</f>
        <v>355386</v>
      </c>
      <c r="O534" s="5">
        <f t="shared" si="10"/>
        <v>1694325073.2407999</v>
      </c>
      <c r="P534" s="5">
        <f>IF(M534="","",$C$2*(1-L534)*907.2/0.621371*N534*[1]Transportation!$M$40)</f>
        <v>5543222.9257850926</v>
      </c>
      <c r="Q534" s="5">
        <f>IF(L534="","",IF([1]Inputs_Outputs!$B$5="Herbaceous",(LCA!$E$29*'[1]LOCH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4" s="5">
        <f>IF(M534="","",$E$2*1000*'[1]LOCH Calc COE Calc'!$C$44)</f>
        <v>4896457.3202133691</v>
      </c>
      <c r="S534" s="6">
        <f>IF(N534="","",SUM(O534:R534)/('[1]LOCH Calc COE Calc'!$C$28))</f>
        <v>76.722497028104854</v>
      </c>
      <c r="T534">
        <f>IF(L534="","",O534/'[1]LOCH Calc COE Calc'!$C$28)</f>
        <v>73.062319394218051</v>
      </c>
      <c r="U534">
        <f>IF(L534="","",P534/'[1]LOCH Calc COE Calc'!$C$28)</f>
        <v>0.23903366023050229</v>
      </c>
      <c r="V534">
        <f>IF(L534="","",Q534/'[1]LOCH Calc COE Calc'!$C$28)</f>
        <v>3.2100000000000004</v>
      </c>
      <c r="W534">
        <f>IF(L534="","",R534/'[1]LOCH Calc COE Calc'!$C$28)</f>
        <v>0.21114397365631307</v>
      </c>
    </row>
    <row r="535" spans="12:23" x14ac:dyDescent="0.25">
      <c r="L535" s="4">
        <f>IF('[1]All Data '!BE540="","",'[1]All Data '!BE540)</f>
        <v>5.5E-2</v>
      </c>
      <c r="M535">
        <f>IF('[1]All Data '!BF540="","",'[1]All Data '!BF540)</f>
        <v>4767.5627999999997</v>
      </c>
      <c r="N535" s="5">
        <f>IF('[1]All Data '!BB540="","",'[1]All Data '!BC540/'[1]All Data '!BH540)</f>
        <v>354874</v>
      </c>
      <c r="O535" s="5">
        <f t="shared" si="10"/>
        <v>1691884081.0871999</v>
      </c>
      <c r="P535" s="5">
        <f>IF(M535="","",$C$2*(1-L535)*907.2/0.621371*N535*[1]Transportation!$M$40)</f>
        <v>5535236.876424673</v>
      </c>
      <c r="Q535" s="5">
        <f>IF(L535="","",IF([1]Inputs_Outputs!$B$5="Herbaceous",(LCA!$E$29*'[1]LOCH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5" s="5">
        <f>IF(M535="","",$E$2*1000*'[1]LOCH Calc COE Calc'!$C$44)</f>
        <v>4896457.3202133691</v>
      </c>
      <c r="S535" s="6">
        <f>IF(N535="","",SUM(O535:R535)/('[1]LOCH Calc COE Calc'!$C$28))</f>
        <v>76.616892719651872</v>
      </c>
      <c r="T535">
        <f>IF(L535="","",O535/'[1]LOCH Calc COE Calc'!$C$28)</f>
        <v>72.957059458458502</v>
      </c>
      <c r="U535">
        <f>IF(L535="","",P535/'[1]LOCH Calc COE Calc'!$C$28)</f>
        <v>0.23868928753704216</v>
      </c>
      <c r="V535">
        <f>IF(L535="","",Q535/'[1]LOCH Calc COE Calc'!$C$28)</f>
        <v>3.2100000000000004</v>
      </c>
      <c r="W535">
        <f>IF(L535="","",R535/'[1]LOCH Calc COE Calc'!$C$28)</f>
        <v>0.21114397365631307</v>
      </c>
    </row>
    <row r="536" spans="12:23" x14ac:dyDescent="0.25">
      <c r="L536" s="4">
        <f>IF('[1]All Data '!BE541="","",'[1]All Data '!BE541)</f>
        <v>5.5E-2</v>
      </c>
      <c r="M536">
        <f>IF('[1]All Data '!BF541="","",'[1]All Data '!BF541)</f>
        <v>4767.5627999999997</v>
      </c>
      <c r="N536" s="5">
        <f>IF('[1]All Data '!BB541="","",'[1]All Data '!BC541/'[1]All Data '!BH541)</f>
        <v>354854</v>
      </c>
      <c r="O536" s="5">
        <f t="shared" si="10"/>
        <v>1691788729.8311999</v>
      </c>
      <c r="P536" s="5">
        <f>IF(M536="","",$C$2*(1-L536)*907.2/0.621371*N536*[1]Transportation!$M$40)</f>
        <v>5534924.9213715317</v>
      </c>
      <c r="Q536" s="5">
        <f>IF(L536="","",IF([1]Inputs_Outputs!$B$5="Herbaceous",(LCA!$E$29*'[1]LOCH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6" s="5">
        <f>IF(M536="","",$E$2*1000*'[1]LOCH Calc COE Calc'!$C$44)</f>
        <v>4896457.3202133691</v>
      </c>
      <c r="S536" s="6">
        <f>IF(N536="","",SUM(O536:R536)/('[1]LOCH Calc COE Calc'!$C$28))</f>
        <v>76.612767551352917</v>
      </c>
      <c r="T536">
        <f>IF(L536="","",O536/'[1]LOCH Calc COE Calc'!$C$28)</f>
        <v>72.952947742217901</v>
      </c>
      <c r="U536">
        <f>IF(L536="","",P536/'[1]LOCH Calc COE Calc'!$C$28)</f>
        <v>0.23867583547870386</v>
      </c>
      <c r="V536">
        <f>IF(L536="","",Q536/'[1]LOCH Calc COE Calc'!$C$28)</f>
        <v>3.2100000000000004</v>
      </c>
      <c r="W536">
        <f>IF(L536="","",R536/'[1]LOCH Calc COE Calc'!$C$28)</f>
        <v>0.21114397365631307</v>
      </c>
    </row>
    <row r="537" spans="12:23" x14ac:dyDescent="0.25">
      <c r="L537" s="4">
        <f>IF('[1]All Data '!BE542="","",'[1]All Data '!BE542)</f>
        <v>5.5E-2</v>
      </c>
      <c r="M537">
        <f>IF('[1]All Data '!BF542="","",'[1]All Data '!BF542)</f>
        <v>4767.5627999999997</v>
      </c>
      <c r="N537" s="5">
        <f>IF('[1]All Data '!BB542="","",'[1]All Data '!BC542/'[1]All Data '!BH542)</f>
        <v>353786</v>
      </c>
      <c r="O537" s="5">
        <f t="shared" si="10"/>
        <v>1686696972.7607999</v>
      </c>
      <c r="P537" s="5">
        <f>IF(M537="","",$C$2*(1-L537)*907.2/0.621371*N537*[1]Transportation!$M$40)</f>
        <v>5518266.5215337817</v>
      </c>
      <c r="Q537" s="5">
        <f>IF(L537="","",IF([1]Inputs_Outputs!$B$5="Herbaceous",(LCA!$E$29*'[1]LOCH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7" s="5">
        <f>IF(M537="","",$E$2*1000*'[1]LOCH Calc COE Calc'!$C$44)</f>
        <v>4896457.3202133691</v>
      </c>
      <c r="S537" s="6">
        <f>IF(N537="","",SUM(O537:R537)/('[1]LOCH Calc COE Calc'!$C$28))</f>
        <v>76.392483564189234</v>
      </c>
      <c r="T537">
        <f>IF(L537="","",O537/'[1]LOCH Calc COE Calc'!$C$28)</f>
        <v>72.733382094969485</v>
      </c>
      <c r="U537">
        <f>IF(L537="","",P537/'[1]LOCH Calc COE Calc'!$C$28)</f>
        <v>0.2379574955634394</v>
      </c>
      <c r="V537">
        <f>IF(L537="","",Q537/'[1]LOCH Calc COE Calc'!$C$28)</f>
        <v>3.2100000000000004</v>
      </c>
      <c r="W537">
        <f>IF(L537="","",R537/'[1]LOCH Calc COE Calc'!$C$28)</f>
        <v>0.21114397365631307</v>
      </c>
    </row>
    <row r="538" spans="12:23" x14ac:dyDescent="0.25">
      <c r="L538" s="4">
        <f>IF('[1]All Data '!BE543="","",'[1]All Data '!BE543)</f>
        <v>5.5E-2</v>
      </c>
      <c r="M538">
        <f>IF('[1]All Data '!BF543="","",'[1]All Data '!BF543)</f>
        <v>4767.5627999999997</v>
      </c>
      <c r="N538" s="5">
        <f>IF('[1]All Data '!BB543="","",'[1]All Data '!BC543/'[1]All Data '!BH543)</f>
        <v>353438</v>
      </c>
      <c r="O538" s="5">
        <f t="shared" si="10"/>
        <v>1685037860.9064</v>
      </c>
      <c r="P538" s="5">
        <f>IF(M538="","",$C$2*(1-L538)*907.2/0.621371*N538*[1]Transportation!$M$40)</f>
        <v>5512838.5036091227</v>
      </c>
      <c r="Q538" s="5">
        <f>IF(L538="","",IF([1]Inputs_Outputs!$B$5="Herbaceous",(LCA!$E$29*'[1]LOCH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8" s="5">
        <f>IF(M538="","",$E$2*1000*'[1]LOCH Calc COE Calc'!$C$44)</f>
        <v>4896457.3202133691</v>
      </c>
      <c r="S538" s="6">
        <f>IF(N538="","",SUM(O538:R538)/('[1]LOCH Calc COE Calc'!$C$28))</f>
        <v>76.32070563578759</v>
      </c>
      <c r="T538">
        <f>IF(L538="","",O538/'[1]LOCH Calc COE Calc'!$C$28)</f>
        <v>72.66183823238292</v>
      </c>
      <c r="U538">
        <f>IF(L538="","",P538/'[1]LOCH Calc COE Calc'!$C$28)</f>
        <v>0.23772342974835325</v>
      </c>
      <c r="V538">
        <f>IF(L538="","",Q538/'[1]LOCH Calc COE Calc'!$C$28)</f>
        <v>3.2100000000000004</v>
      </c>
      <c r="W538">
        <f>IF(L538="","",R538/'[1]LOCH Calc COE Calc'!$C$28)</f>
        <v>0.21114397365631307</v>
      </c>
    </row>
    <row r="539" spans="12:23" x14ac:dyDescent="0.25">
      <c r="L539" s="4">
        <f>IF('[1]All Data '!BE544="","",'[1]All Data '!BE544)</f>
        <v>5.5E-2</v>
      </c>
      <c r="M539">
        <f>IF('[1]All Data '!BF544="","",'[1]All Data '!BF544)</f>
        <v>4767.5627999999997</v>
      </c>
      <c r="N539" s="5">
        <f>IF('[1]All Data '!BB544="","",'[1]All Data '!BC544/'[1]All Data '!BH544)</f>
        <v>352879</v>
      </c>
      <c r="O539" s="5">
        <f t="shared" si="10"/>
        <v>1682372793.3011999</v>
      </c>
      <c r="P539" s="5">
        <f>IF(M539="","",$C$2*(1-L539)*907.2/0.621371*N539*[1]Transportation!$M$40)</f>
        <v>5504119.3598738201</v>
      </c>
      <c r="Q539" s="5">
        <f>IF(L539="","",IF([1]Inputs_Outputs!$B$5="Herbaceous",(LCA!$E$29*'[1]LOCH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39" s="5">
        <f>IF(M539="","",$E$2*1000*'[1]LOCH Calc COE Calc'!$C$44)</f>
        <v>4896457.3202133691</v>
      </c>
      <c r="S539" s="6">
        <f>IF(N539="","",SUM(O539:R539)/('[1]LOCH Calc COE Calc'!$C$28))</f>
        <v>76.205407181832072</v>
      </c>
      <c r="T539">
        <f>IF(L539="","",O539/'[1]LOCH Calc COE Calc'!$C$28)</f>
        <v>72.54691576345796</v>
      </c>
      <c r="U539">
        <f>IF(L539="","",P539/'[1]LOCH Calc COE Calc'!$C$28)</f>
        <v>0.23734744471779812</v>
      </c>
      <c r="V539">
        <f>IF(L539="","",Q539/'[1]LOCH Calc COE Calc'!$C$28)</f>
        <v>3.2100000000000004</v>
      </c>
      <c r="W539">
        <f>IF(L539="","",R539/'[1]LOCH Calc COE Calc'!$C$28)</f>
        <v>0.21114397365631307</v>
      </c>
    </row>
    <row r="540" spans="12:23" x14ac:dyDescent="0.25">
      <c r="L540" s="4">
        <f>IF('[1]All Data '!BE545="","",'[1]All Data '!BE545)</f>
        <v>5.5E-2</v>
      </c>
      <c r="M540">
        <f>IF('[1]All Data '!BF545="","",'[1]All Data '!BF545)</f>
        <v>4767.5627999999997</v>
      </c>
      <c r="N540" s="5">
        <f>IF('[1]All Data '!BB545="","",'[1]All Data '!BC545/'[1]All Data '!BH545)</f>
        <v>352090</v>
      </c>
      <c r="O540" s="5">
        <f t="shared" si="10"/>
        <v>1678611186.2519999</v>
      </c>
      <c r="P540" s="5">
        <f>IF(M540="","",$C$2*(1-L540)*907.2/0.621371*N540*[1]Transportation!$M$40)</f>
        <v>5491812.733027393</v>
      </c>
      <c r="Q540" s="5">
        <f>IF(L540="","",IF([1]Inputs_Outputs!$B$5="Herbaceous",(LCA!$E$29*'[1]LOCH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0" s="5">
        <f>IF(M540="","",$E$2*1000*'[1]LOCH Calc COE Calc'!$C$44)</f>
        <v>4896457.3202133691</v>
      </c>
      <c r="S540" s="6">
        <f>IF(N540="","",SUM(O540:R540)/('[1]LOCH Calc COE Calc'!$C$28))</f>
        <v>76.042669292438674</v>
      </c>
      <c r="T540">
        <f>IF(L540="","",O540/'[1]LOCH Calc COE Calc'!$C$28)</f>
        <v>72.384708557766004</v>
      </c>
      <c r="U540">
        <f>IF(L540="","",P540/'[1]LOCH Calc COE Calc'!$C$28)</f>
        <v>0.23681676101635277</v>
      </c>
      <c r="V540">
        <f>IF(L540="","",Q540/'[1]LOCH Calc COE Calc'!$C$28)</f>
        <v>3.2100000000000004</v>
      </c>
      <c r="W540">
        <f>IF(L540="","",R540/'[1]LOCH Calc COE Calc'!$C$28)</f>
        <v>0.21114397365631307</v>
      </c>
    </row>
    <row r="541" spans="12:23" x14ac:dyDescent="0.25">
      <c r="L541" s="4">
        <f>IF('[1]All Data '!BE546="","",'[1]All Data '!BE546)</f>
        <v>5.5E-2</v>
      </c>
      <c r="M541">
        <f>IF('[1]All Data '!BF546="","",'[1]All Data '!BF546)</f>
        <v>4767.5627999999997</v>
      </c>
      <c r="N541" s="5">
        <f>IF('[1]All Data '!BB546="","",'[1]All Data '!BC546/'[1]All Data '!BH546)</f>
        <v>351840</v>
      </c>
      <c r="O541" s="5">
        <f t="shared" si="10"/>
        <v>1677419295.5519998</v>
      </c>
      <c r="P541" s="5">
        <f>IF(M541="","",$C$2*(1-L541)*907.2/0.621371*N541*[1]Transportation!$M$40)</f>
        <v>5487913.2948631262</v>
      </c>
      <c r="Q541" s="5">
        <f>IF(L541="","",IF([1]Inputs_Outputs!$B$5="Herbaceous",(LCA!$E$29*'[1]LOCH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1" s="5">
        <f>IF(M541="","",$E$2*1000*'[1]LOCH Calc COE Calc'!$C$44)</f>
        <v>4896457.3202133691</v>
      </c>
      <c r="S541" s="6">
        <f>IF(N541="","",SUM(O541:R541)/('[1]LOCH Calc COE Calc'!$C$28))</f>
        <v>75.991104688701867</v>
      </c>
      <c r="T541">
        <f>IF(L541="","",O541/'[1]LOCH Calc COE Calc'!$C$28)</f>
        <v>72.33331210475842</v>
      </c>
      <c r="U541">
        <f>IF(L541="","",P541/'[1]LOCH Calc COE Calc'!$C$28)</f>
        <v>0.23664861028712422</v>
      </c>
      <c r="V541">
        <f>IF(L541="","",Q541/'[1]LOCH Calc COE Calc'!$C$28)</f>
        <v>3.2100000000000004</v>
      </c>
      <c r="W541">
        <f>IF(L541="","",R541/'[1]LOCH Calc COE Calc'!$C$28)</f>
        <v>0.21114397365631307</v>
      </c>
    </row>
    <row r="542" spans="12:23" x14ac:dyDescent="0.25">
      <c r="L542" s="4">
        <f>IF('[1]All Data '!BE547="","",'[1]All Data '!BE547)</f>
        <v>5.4999999999999993E-2</v>
      </c>
      <c r="M542">
        <f>IF('[1]All Data '!BF547="","",'[1]All Data '!BF547)</f>
        <v>4767.5627999999997</v>
      </c>
      <c r="N542" s="5">
        <f>IF('[1]All Data '!BB547="","",'[1]All Data '!BC547/'[1]All Data '!BH547)</f>
        <v>351407</v>
      </c>
      <c r="O542" s="5">
        <f t="shared" si="10"/>
        <v>1675354940.8595998</v>
      </c>
      <c r="P542" s="5">
        <f>IF(M542="","",$C$2*(1-L542)*907.2/0.621371*N542*[1]Transportation!$M$40)</f>
        <v>5481159.4679626152</v>
      </c>
      <c r="Q542" s="5">
        <f>IF(L542="","",IF([1]Inputs_Outputs!$B$5="Herbaceous",(LCA!$E$29*'[1]LOCH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2" s="5">
        <f>IF(M542="","",$E$2*1000*'[1]LOCH Calc COE Calc'!$C$44)</f>
        <v>4896457.3202133691</v>
      </c>
      <c r="S542" s="6">
        <f>IF(N542="","",SUM(O542:R542)/('[1]LOCH Calc COE Calc'!$C$28))</f>
        <v>75.901794795029687</v>
      </c>
      <c r="T542">
        <f>IF(L542="","",O542/'[1]LOCH Calc COE Calc'!$C$28)</f>
        <v>72.244293448149278</v>
      </c>
      <c r="U542">
        <f>IF(L542="","",P542/'[1]LOCH Calc COE Calc'!$C$28)</f>
        <v>0.2363573732241003</v>
      </c>
      <c r="V542">
        <f>IF(L542="","",Q542/'[1]LOCH Calc COE Calc'!$C$28)</f>
        <v>3.2100000000000004</v>
      </c>
      <c r="W542">
        <f>IF(L542="","",R542/'[1]LOCH Calc COE Calc'!$C$28)</f>
        <v>0.21114397365631307</v>
      </c>
    </row>
    <row r="543" spans="12:23" x14ac:dyDescent="0.25">
      <c r="L543" s="4">
        <f>IF('[1]All Data '!BE548="","",'[1]All Data '!BE548)</f>
        <v>5.4999999999999993E-2</v>
      </c>
      <c r="M543">
        <f>IF('[1]All Data '!BF548="","",'[1]All Data '!BF548)</f>
        <v>4767.5627999999997</v>
      </c>
      <c r="N543" s="5">
        <f>IF('[1]All Data '!BB548="","",'[1]All Data '!BC548/'[1]All Data '!BH548)</f>
        <v>351346</v>
      </c>
      <c r="O543" s="5">
        <f t="shared" si="10"/>
        <v>1675064119.5288</v>
      </c>
      <c r="P543" s="5">
        <f>IF(M543="","",$C$2*(1-L543)*907.2/0.621371*N543*[1]Transportation!$M$40)</f>
        <v>5480208.0050505344</v>
      </c>
      <c r="Q543" s="5">
        <f>IF(L543="","",IF([1]Inputs_Outputs!$B$5="Herbaceous",(LCA!$E$29*'[1]LOCH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3" s="5">
        <f>IF(M543="","",$E$2*1000*'[1]LOCH Calc COE Calc'!$C$44)</f>
        <v>4896457.3202133691</v>
      </c>
      <c r="S543" s="6">
        <f>IF(N543="","",SUM(O543:R543)/('[1]LOCH Calc COE Calc'!$C$28))</f>
        <v>75.889213031717915</v>
      </c>
      <c r="T543">
        <f>IF(L543="","",O543/'[1]LOCH Calc COE Calc'!$C$28)</f>
        <v>72.231752713615435</v>
      </c>
      <c r="U543">
        <f>IF(L543="","",P543/'[1]LOCH Calc COE Calc'!$C$28)</f>
        <v>0.23631634444616856</v>
      </c>
      <c r="V543">
        <f>IF(L543="","",Q543/'[1]LOCH Calc COE Calc'!$C$28)</f>
        <v>3.2100000000000004</v>
      </c>
      <c r="W543">
        <f>IF(L543="","",R543/'[1]LOCH Calc COE Calc'!$C$28)</f>
        <v>0.21114397365631307</v>
      </c>
    </row>
    <row r="544" spans="12:23" x14ac:dyDescent="0.25">
      <c r="L544" s="4">
        <f>IF('[1]All Data '!BE549="","",'[1]All Data '!BE549)</f>
        <v>5.5E-2</v>
      </c>
      <c r="M544">
        <f>IF('[1]All Data '!BF549="","",'[1]All Data '!BF549)</f>
        <v>4767.5627999999997</v>
      </c>
      <c r="N544" s="5">
        <f>IF('[1]All Data '!BB549="","",'[1]All Data '!BC549/'[1]All Data '!BH549)</f>
        <v>350550</v>
      </c>
      <c r="O544" s="5">
        <f t="shared" si="10"/>
        <v>1671269139.54</v>
      </c>
      <c r="P544" s="5">
        <f>IF(M544="","",$C$2*(1-L544)*907.2/0.621371*N544*[1]Transportation!$M$40)</f>
        <v>5467792.193935507</v>
      </c>
      <c r="Q544" s="5">
        <f>IF(L544="","",IF([1]Inputs_Outputs!$B$5="Herbaceous",(LCA!$E$29*'[1]LOCH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4" s="5">
        <f>IF(M544="","",$E$2*1000*'[1]LOCH Calc COE Calc'!$C$44)</f>
        <v>4896457.3202133691</v>
      </c>
      <c r="S544" s="6">
        <f>IF(N544="","",SUM(O544:R544)/('[1]LOCH Calc COE Calc'!$C$28))</f>
        <v>75.725031333419892</v>
      </c>
      <c r="T544">
        <f>IF(L544="","",O544/'[1]LOCH Calc COE Calc'!$C$28)</f>
        <v>72.06810640723927</v>
      </c>
      <c r="U544">
        <f>IF(L544="","",P544/'[1]LOCH Calc COE Calc'!$C$28)</f>
        <v>0.23578095252430475</v>
      </c>
      <c r="V544">
        <f>IF(L544="","",Q544/'[1]LOCH Calc COE Calc'!$C$28)</f>
        <v>3.2100000000000004</v>
      </c>
      <c r="W544">
        <f>IF(L544="","",R544/'[1]LOCH Calc COE Calc'!$C$28)</f>
        <v>0.21114397365631307</v>
      </c>
    </row>
    <row r="545" spans="12:23" x14ac:dyDescent="0.25">
      <c r="L545" s="4">
        <f>IF('[1]All Data '!BE550="","",'[1]All Data '!BE550)</f>
        <v>5.5E-2</v>
      </c>
      <c r="M545">
        <f>IF('[1]All Data '!BF550="","",'[1]All Data '!BF550)</f>
        <v>4767.5627999999997</v>
      </c>
      <c r="N545" s="5">
        <f>IF('[1]All Data '!BB550="","",'[1]All Data '!BC550/'[1]All Data '!BH550)</f>
        <v>349314</v>
      </c>
      <c r="O545" s="5">
        <f t="shared" si="10"/>
        <v>1665376431.9191999</v>
      </c>
      <c r="P545" s="5">
        <f>IF(M545="","",$C$2*(1-L545)*907.2/0.621371*N545*[1]Transportation!$M$40)</f>
        <v>5448513.3716513701</v>
      </c>
      <c r="Q545" s="5">
        <f>IF(L545="","",IF([1]Inputs_Outputs!$B$5="Herbaceous",(LCA!$E$29*'[1]LOCH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5" s="5">
        <f>IF(M545="","",$E$2*1000*'[1]LOCH Calc COE Calc'!$C$44)</f>
        <v>4896457.3202133691</v>
      </c>
      <c r="S545" s="6">
        <f>IF(N545="","",SUM(O545:R545)/('[1]LOCH Calc COE Calc'!$C$28))</f>
        <v>75.470095932545078</v>
      </c>
      <c r="T545">
        <f>IF(L545="","",O545/'[1]LOCH Calc COE Calc'!$C$28)</f>
        <v>71.814002343569754</v>
      </c>
      <c r="U545">
        <f>IF(L545="","",P545/'[1]LOCH Calc COE Calc'!$C$28)</f>
        <v>0.23494961531899872</v>
      </c>
      <c r="V545">
        <f>IF(L545="","",Q545/'[1]LOCH Calc COE Calc'!$C$28)</f>
        <v>3.2100000000000004</v>
      </c>
      <c r="W545">
        <f>IF(L545="","",R545/'[1]LOCH Calc COE Calc'!$C$28)</f>
        <v>0.21114397365631307</v>
      </c>
    </row>
    <row r="546" spans="12:23" x14ac:dyDescent="0.25">
      <c r="L546" s="4">
        <f>IF('[1]All Data '!BE551="","",'[1]All Data '!BE551)</f>
        <v>5.4999999999999993E-2</v>
      </c>
      <c r="M546">
        <f>IF('[1]All Data '!BF551="","",'[1]All Data '!BF551)</f>
        <v>4767.5627999999997</v>
      </c>
      <c r="N546" s="5">
        <f>IF('[1]All Data '!BB551="","",'[1]All Data '!BC551/'[1]All Data '!BH551)</f>
        <v>349157</v>
      </c>
      <c r="O546" s="5">
        <f t="shared" si="10"/>
        <v>1664627924.5595999</v>
      </c>
      <c r="P546" s="5">
        <f>IF(M546="","",$C$2*(1-L546)*907.2/0.621371*N546*[1]Transportation!$M$40)</f>
        <v>5446064.5244842097</v>
      </c>
      <c r="Q546" s="5">
        <f>IF(L546="","",IF([1]Inputs_Outputs!$B$5="Herbaceous",(LCA!$E$29*'[1]LOCH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6" s="5">
        <f>IF(M546="","",$E$2*1000*'[1]LOCH Calc COE Calc'!$C$44)</f>
        <v>4896457.3202133691</v>
      </c>
      <c r="S546" s="6">
        <f>IF(N546="","",SUM(O546:R546)/('[1]LOCH Calc COE Calc'!$C$28))</f>
        <v>75.437713361398352</v>
      </c>
      <c r="T546">
        <f>IF(L546="","",O546/'[1]LOCH Calc COE Calc'!$C$28)</f>
        <v>71.781725371080995</v>
      </c>
      <c r="U546">
        <f>IF(L546="","",P546/'[1]LOCH Calc COE Calc'!$C$28)</f>
        <v>0.23484401666104313</v>
      </c>
      <c r="V546">
        <f>IF(L546="","",Q546/'[1]LOCH Calc COE Calc'!$C$28)</f>
        <v>3.2100000000000004</v>
      </c>
      <c r="W546">
        <f>IF(L546="","",R546/'[1]LOCH Calc COE Calc'!$C$28)</f>
        <v>0.21114397365631307</v>
      </c>
    </row>
    <row r="547" spans="12:23" x14ac:dyDescent="0.25">
      <c r="L547" s="4">
        <f>IF('[1]All Data '!BE552="","",'[1]All Data '!BE552)</f>
        <v>5.5000000000000007E-2</v>
      </c>
      <c r="M547">
        <f>IF('[1]All Data '!BF552="","",'[1]All Data '!BF552)</f>
        <v>4767.5627999999997</v>
      </c>
      <c r="N547" s="5">
        <f>IF('[1]All Data '!BB552="","",'[1]All Data '!BC552/'[1]All Data '!BH552)</f>
        <v>349119</v>
      </c>
      <c r="O547" s="5">
        <f t="shared" si="10"/>
        <v>1664446757.1731999</v>
      </c>
      <c r="P547" s="5">
        <f>IF(M547="","",$C$2*(1-L547)*907.2/0.621371*N547*[1]Transportation!$M$40)</f>
        <v>5445471.8098832415</v>
      </c>
      <c r="Q547" s="5">
        <f>IF(L547="","",IF([1]Inputs_Outputs!$B$5="Herbaceous",(LCA!$E$29*'[1]LOCH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7" s="5">
        <f>IF(M547="","",$E$2*1000*'[1]LOCH Calc COE Calc'!$C$44)</f>
        <v>4896457.3202133691</v>
      </c>
      <c r="S547" s="6">
        <f>IF(N547="","",SUM(O547:R547)/('[1]LOCH Calc COE Calc'!$C$28))</f>
        <v>75.429875541630366</v>
      </c>
      <c r="T547">
        <f>IF(L547="","",O547/'[1]LOCH Calc COE Calc'!$C$28)</f>
        <v>71.773913110223845</v>
      </c>
      <c r="U547">
        <f>IF(L547="","",P547/'[1]LOCH Calc COE Calc'!$C$28)</f>
        <v>0.23481845775020041</v>
      </c>
      <c r="V547">
        <f>IF(L547="","",Q547/'[1]LOCH Calc COE Calc'!$C$28)</f>
        <v>3.2100000000000004</v>
      </c>
      <c r="W547">
        <f>IF(L547="","",R547/'[1]LOCH Calc COE Calc'!$C$28)</f>
        <v>0.21114397365631307</v>
      </c>
    </row>
    <row r="548" spans="12:23" x14ac:dyDescent="0.25">
      <c r="L548" s="4">
        <f>IF('[1]All Data '!BE553="","",'[1]All Data '!BE553)</f>
        <v>5.5E-2</v>
      </c>
      <c r="M548">
        <f>IF('[1]All Data '!BF553="","",'[1]All Data '!BF553)</f>
        <v>4767.5627999999997</v>
      </c>
      <c r="N548" s="5">
        <f>IF('[1]All Data '!BB553="","",'[1]All Data '!BC553/'[1]All Data '!BH553)</f>
        <v>348586</v>
      </c>
      <c r="O548" s="5">
        <f t="shared" si="10"/>
        <v>1661905646.2007999</v>
      </c>
      <c r="P548" s="5">
        <f>IF(M548="","",$C$2*(1-L548)*907.2/0.621371*N548*[1]Transportation!$M$40)</f>
        <v>5437158.2077170238</v>
      </c>
      <c r="Q548" s="5">
        <f>IF(L548="","",IF([1]Inputs_Outputs!$B$5="Herbaceous",(LCA!$E$29*'[1]LOCH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8" s="5">
        <f>IF(M548="","",$E$2*1000*'[1]LOCH Calc COE Calc'!$C$44)</f>
        <v>4896457.3202133691</v>
      </c>
      <c r="S548" s="6">
        <f>IF(N548="","",SUM(O548:R548)/('[1]LOCH Calc COE Calc'!$C$28))</f>
        <v>75.319939806463466</v>
      </c>
      <c r="T548">
        <f>IF(L548="","",O548/'[1]LOCH Calc COE Calc'!$C$28)</f>
        <v>71.664335872411669</v>
      </c>
      <c r="U548">
        <f>IF(L548="","",P548/'[1]LOCH Calc COE Calc'!$C$28)</f>
        <v>0.23445996039548508</v>
      </c>
      <c r="V548">
        <f>IF(L548="","",Q548/'[1]LOCH Calc COE Calc'!$C$28)</f>
        <v>3.2100000000000004</v>
      </c>
      <c r="W548">
        <f>IF(L548="","",R548/'[1]LOCH Calc COE Calc'!$C$28)</f>
        <v>0.21114397365631307</v>
      </c>
    </row>
    <row r="549" spans="12:23" x14ac:dyDescent="0.25">
      <c r="L549" s="4">
        <f>IF('[1]All Data '!BE554="","",'[1]All Data '!BE554)</f>
        <v>5.5E-2</v>
      </c>
      <c r="M549">
        <f>IF('[1]All Data '!BF554="","",'[1]All Data '!BF554)</f>
        <v>4767.5627999999997</v>
      </c>
      <c r="N549" s="5">
        <f>IF('[1]All Data '!BB554="","",'[1]All Data '!BC554/'[1]All Data '!BH554)</f>
        <v>348260</v>
      </c>
      <c r="O549" s="5">
        <f t="shared" si="10"/>
        <v>1660351420.7279999</v>
      </c>
      <c r="P549" s="5">
        <f>IF(M549="","",$C$2*(1-L549)*907.2/0.621371*N549*[1]Transportation!$M$40)</f>
        <v>5432073.3403508198</v>
      </c>
      <c r="Q549" s="5">
        <f>IF(L549="","",IF([1]Inputs_Outputs!$B$5="Herbaceous",(LCA!$E$29*'[1]LOCH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49" s="5">
        <f>IF(M549="","",$E$2*1000*'[1]LOCH Calc COE Calc'!$C$44)</f>
        <v>4896457.3202133691</v>
      </c>
      <c r="S549" s="6">
        <f>IF(N549="","",SUM(O549:R549)/('[1]LOCH Calc COE Calc'!$C$28))</f>
        <v>75.25269956319066</v>
      </c>
      <c r="T549">
        <f>IF(L549="","",O549/'[1]LOCH Calc COE Calc'!$C$28)</f>
        <v>71.59731489768977</v>
      </c>
      <c r="U549">
        <f>IF(L549="","",P549/'[1]LOCH Calc COE Calc'!$C$28)</f>
        <v>0.23424069184457105</v>
      </c>
      <c r="V549">
        <f>IF(L549="","",Q549/'[1]LOCH Calc COE Calc'!$C$28)</f>
        <v>3.2100000000000004</v>
      </c>
      <c r="W549">
        <f>IF(L549="","",R549/'[1]LOCH Calc COE Calc'!$C$28)</f>
        <v>0.21114397365631307</v>
      </c>
    </row>
    <row r="550" spans="12:23" x14ac:dyDescent="0.25">
      <c r="L550" s="4">
        <f>IF('[1]All Data '!BE555="","",'[1]All Data '!BE555)</f>
        <v>5.5E-2</v>
      </c>
      <c r="M550">
        <f>IF('[1]All Data '!BF555="","",'[1]All Data '!BF555)</f>
        <v>4767.5627999999997</v>
      </c>
      <c r="N550" s="5">
        <f>IF('[1]All Data '!BB555="","",'[1]All Data '!BC555/'[1]All Data '!BH555)</f>
        <v>347559</v>
      </c>
      <c r="O550" s="5">
        <f t="shared" si="10"/>
        <v>1657009359.2052</v>
      </c>
      <c r="P550" s="5">
        <f>IF(M550="","",$C$2*(1-L550)*907.2/0.621371*N550*[1]Transportation!$M$40)</f>
        <v>5421139.3157382142</v>
      </c>
      <c r="Q550" s="5">
        <f>IF(L550="","",IF([1]Inputs_Outputs!$B$5="Herbaceous",(LCA!$E$29*'[1]LOCH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0" s="5">
        <f>IF(M550="","",$E$2*1000*'[1]LOCH Calc COE Calc'!$C$44)</f>
        <v>4896457.3202133691</v>
      </c>
      <c r="S550" s="6">
        <f>IF(N550="","",SUM(O550:R550)/('[1]LOCH Calc COE Calc'!$C$28))</f>
        <v>75.108112414312629</v>
      </c>
      <c r="T550">
        <f>IF(L550="","",O550/'[1]LOCH Calc COE Calc'!$C$28)</f>
        <v>71.453199243456496</v>
      </c>
      <c r="U550">
        <f>IF(L550="","",P550/'[1]LOCH Calc COE Calc'!$C$28)</f>
        <v>0.23376919719981412</v>
      </c>
      <c r="V550">
        <f>IF(L550="","",Q550/'[1]LOCH Calc COE Calc'!$C$28)</f>
        <v>3.2100000000000004</v>
      </c>
      <c r="W550">
        <f>IF(L550="","",R550/'[1]LOCH Calc COE Calc'!$C$28)</f>
        <v>0.21114397365631307</v>
      </c>
    </row>
    <row r="551" spans="12:23" x14ac:dyDescent="0.25">
      <c r="L551" s="4">
        <f>IF('[1]All Data '!BE556="","",'[1]All Data '!BE556)</f>
        <v>5.5E-2</v>
      </c>
      <c r="M551">
        <f>IF('[1]All Data '!BF556="","",'[1]All Data '!BF556)</f>
        <v>4767.5627999999997</v>
      </c>
      <c r="N551" s="5">
        <f>IF('[1]All Data '!BB556="","",'[1]All Data '!BC556/'[1]All Data '!BH556)</f>
        <v>347487</v>
      </c>
      <c r="O551" s="5">
        <f t="shared" si="10"/>
        <v>1656666094.6835999</v>
      </c>
      <c r="P551" s="5">
        <f>IF(M551="","",$C$2*(1-L551)*907.2/0.621371*N551*[1]Transportation!$M$40)</f>
        <v>5420016.277546905</v>
      </c>
      <c r="Q551" s="5">
        <f>IF(L551="","",IF([1]Inputs_Outputs!$B$5="Herbaceous",(LCA!$E$29*'[1]LOCH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1" s="5">
        <f>IF(M551="","",$E$2*1000*'[1]LOCH Calc COE Calc'!$C$44)</f>
        <v>4896457.3202133691</v>
      </c>
      <c r="S551" s="6">
        <f>IF(N551="","",SUM(O551:R551)/('[1]LOCH Calc COE Calc'!$C$28))</f>
        <v>75.093261808436424</v>
      </c>
      <c r="T551">
        <f>IF(L551="","",O551/'[1]LOCH Calc COE Calc'!$C$28)</f>
        <v>71.438397064990312</v>
      </c>
      <c r="U551">
        <f>IF(L551="","",P551/'[1]LOCH Calc COE Calc'!$C$28)</f>
        <v>0.23372076978979628</v>
      </c>
      <c r="V551">
        <f>IF(L551="","",Q551/'[1]LOCH Calc COE Calc'!$C$28)</f>
        <v>3.2100000000000004</v>
      </c>
      <c r="W551">
        <f>IF(L551="","",R551/'[1]LOCH Calc COE Calc'!$C$28)</f>
        <v>0.21114397365631307</v>
      </c>
    </row>
    <row r="552" spans="12:23" x14ac:dyDescent="0.25">
      <c r="L552" s="4">
        <f>IF('[1]All Data '!BE557="","",'[1]All Data '!BE557)</f>
        <v>5.5E-2</v>
      </c>
      <c r="M552">
        <f>IF('[1]All Data '!BF557="","",'[1]All Data '!BF557)</f>
        <v>4767.5627999999997</v>
      </c>
      <c r="N552" s="5">
        <f>IF('[1]All Data '!BB557="","",'[1]All Data '!BC557/'[1]All Data '!BH557)</f>
        <v>347462</v>
      </c>
      <c r="O552" s="5">
        <f t="shared" si="10"/>
        <v>1656546905.6135998</v>
      </c>
      <c r="P552" s="5">
        <f>IF(M552="","",$C$2*(1-L552)*907.2/0.621371*N552*[1]Transportation!$M$40)</f>
        <v>5419626.3337304778</v>
      </c>
      <c r="Q552" s="5">
        <f>IF(L552="","",IF([1]Inputs_Outputs!$B$5="Herbaceous",(LCA!$E$29*'[1]LOCH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2" s="5">
        <f>IF(M552="","",$E$2*1000*'[1]LOCH Calc COE Calc'!$C$44)</f>
        <v>4896457.3202133691</v>
      </c>
      <c r="S552" s="6">
        <f>IF(N552="","",SUM(O552:R552)/('[1]LOCH Calc COE Calc'!$C$28))</f>
        <v>75.088105348062726</v>
      </c>
      <c r="T552">
        <f>IF(L552="","",O552/'[1]LOCH Calc COE Calc'!$C$28)</f>
        <v>71.433257419689539</v>
      </c>
      <c r="U552">
        <f>IF(L552="","",P552/'[1]LOCH Calc COE Calc'!$C$28)</f>
        <v>0.23370395471687341</v>
      </c>
      <c r="V552">
        <f>IF(L552="","",Q552/'[1]LOCH Calc COE Calc'!$C$28)</f>
        <v>3.2100000000000004</v>
      </c>
      <c r="W552">
        <f>IF(L552="","",R552/'[1]LOCH Calc COE Calc'!$C$28)</f>
        <v>0.21114397365631307</v>
      </c>
    </row>
    <row r="553" spans="12:23" x14ac:dyDescent="0.25">
      <c r="L553" s="4">
        <f>IF('[1]All Data '!BE558="","",'[1]All Data '!BE558)</f>
        <v>5.5E-2</v>
      </c>
      <c r="M553">
        <f>IF('[1]All Data '!BF558="","",'[1]All Data '!BF558)</f>
        <v>4767.5627999999997</v>
      </c>
      <c r="N553" s="5">
        <f>IF('[1]All Data '!BB558="","",'[1]All Data '!BC558/'[1]All Data '!BH558)</f>
        <v>347462</v>
      </c>
      <c r="O553" s="5">
        <f t="shared" si="10"/>
        <v>1656546905.6135998</v>
      </c>
      <c r="P553" s="5">
        <f>IF(M553="","",$C$2*(1-L553)*907.2/0.621371*N553*[1]Transportation!$M$40)</f>
        <v>5419626.3337304778</v>
      </c>
      <c r="Q553" s="5">
        <f>IF(L553="","",IF([1]Inputs_Outputs!$B$5="Herbaceous",(LCA!$E$29*'[1]LOCH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3" s="5">
        <f>IF(M553="","",$E$2*1000*'[1]LOCH Calc COE Calc'!$C$44)</f>
        <v>4896457.3202133691</v>
      </c>
      <c r="S553" s="6">
        <f>IF(N553="","",SUM(O553:R553)/('[1]LOCH Calc COE Calc'!$C$28))</f>
        <v>75.088105348062726</v>
      </c>
      <c r="T553">
        <f>IF(L553="","",O553/'[1]LOCH Calc COE Calc'!$C$28)</f>
        <v>71.433257419689539</v>
      </c>
      <c r="U553">
        <f>IF(L553="","",P553/'[1]LOCH Calc COE Calc'!$C$28)</f>
        <v>0.23370395471687341</v>
      </c>
      <c r="V553">
        <f>IF(L553="","",Q553/'[1]LOCH Calc COE Calc'!$C$28)</f>
        <v>3.2100000000000004</v>
      </c>
      <c r="W553">
        <f>IF(L553="","",R553/'[1]LOCH Calc COE Calc'!$C$28)</f>
        <v>0.21114397365631307</v>
      </c>
    </row>
    <row r="554" spans="12:23" x14ac:dyDescent="0.25">
      <c r="L554" s="4">
        <f>IF('[1]All Data '!BE559="","",'[1]All Data '!BE559)</f>
        <v>5.5E-2</v>
      </c>
      <c r="M554">
        <f>IF('[1]All Data '!BF559="","",'[1]All Data '!BF559)</f>
        <v>4767.5627999999997</v>
      </c>
      <c r="N554" s="5">
        <f>IF('[1]All Data '!BB559="","",'[1]All Data '!BC559/'[1]All Data '!BH559)</f>
        <v>345088</v>
      </c>
      <c r="O554" s="5">
        <f t="shared" si="10"/>
        <v>1645228711.5263999</v>
      </c>
      <c r="P554" s="5">
        <f>IF(M554="","",$C$2*(1-L554)*907.2/0.621371*N554*[1]Transportation!$M$40)</f>
        <v>5382597.2689225972</v>
      </c>
      <c r="Q554" s="5">
        <f>IF(L554="","",IF([1]Inputs_Outputs!$B$5="Herbaceous",(LCA!$E$29*'[1]LOCH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4" s="5">
        <f>IF(M554="","",$E$2*1000*'[1]LOCH Calc COE Calc'!$C$44)</f>
        <v>4896457.3202133691</v>
      </c>
      <c r="S554" s="6">
        <f>IF(N554="","",SUM(O554:R554)/('[1]LOCH Calc COE Calc'!$C$28))</f>
        <v>74.598447870977921</v>
      </c>
      <c r="T554">
        <f>IF(L554="","",O554/'[1]LOCH Calc COE Calc'!$C$28)</f>
        <v>70.94519670192949</v>
      </c>
      <c r="U554">
        <f>IF(L554="","",P554/'[1]LOCH Calc COE Calc'!$C$28)</f>
        <v>0.23210719539211894</v>
      </c>
      <c r="V554">
        <f>IF(L554="","",Q554/'[1]LOCH Calc COE Calc'!$C$28)</f>
        <v>3.2100000000000004</v>
      </c>
      <c r="W554">
        <f>IF(L554="","",R554/'[1]LOCH Calc COE Calc'!$C$28)</f>
        <v>0.21114397365631307</v>
      </c>
    </row>
    <row r="555" spans="12:23" x14ac:dyDescent="0.25">
      <c r="L555" s="4">
        <f>IF('[1]All Data '!BE560="","",'[1]All Data '!BE560)</f>
        <v>5.5000000000000007E-2</v>
      </c>
      <c r="M555">
        <f>IF('[1]All Data '!BF560="","",'[1]All Data '!BF560)</f>
        <v>4767.5627999999997</v>
      </c>
      <c r="N555" s="5">
        <f>IF('[1]All Data '!BB560="","",'[1]All Data '!BC560/'[1]All Data '!BH560)</f>
        <v>344518</v>
      </c>
      <c r="O555" s="5">
        <f t="shared" si="10"/>
        <v>1642511200.7303998</v>
      </c>
      <c r="P555" s="5">
        <f>IF(M555="","",$C$2*(1-L555)*907.2/0.621371*N555*[1]Transportation!$M$40)</f>
        <v>5373706.5499080671</v>
      </c>
      <c r="Q555" s="5">
        <f>IF(L555="","",IF([1]Inputs_Outputs!$B$5="Herbaceous",(LCA!$E$29*'[1]LOCH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5" s="5">
        <f>IF(M555="","",$E$2*1000*'[1]LOCH Calc COE Calc'!$C$44)</f>
        <v>4896457.3202133691</v>
      </c>
      <c r="S555" s="6">
        <f>IF(N555="","",SUM(O555:R555)/('[1]LOCH Calc COE Calc'!$C$28))</f>
        <v>74.480880574457998</v>
      </c>
      <c r="T555">
        <f>IF(L555="","",O555/'[1]LOCH Calc COE Calc'!$C$28)</f>
        <v>70.82801278907219</v>
      </c>
      <c r="U555">
        <f>IF(L555="","",P555/'[1]LOCH Calc COE Calc'!$C$28)</f>
        <v>0.23172381172947776</v>
      </c>
      <c r="V555">
        <f>IF(L555="","",Q555/'[1]LOCH Calc COE Calc'!$C$28)</f>
        <v>3.2100000000000004</v>
      </c>
      <c r="W555">
        <f>IF(L555="","",R555/'[1]LOCH Calc COE Calc'!$C$28)</f>
        <v>0.21114397365631307</v>
      </c>
    </row>
    <row r="556" spans="12:23" x14ac:dyDescent="0.25">
      <c r="L556" s="4">
        <f>IF('[1]All Data '!BE561="","",'[1]All Data '!BE561)</f>
        <v>5.5000000000000007E-2</v>
      </c>
      <c r="M556">
        <f>IF('[1]All Data '!BF561="","",'[1]All Data '!BF561)</f>
        <v>4767.5627999999997</v>
      </c>
      <c r="N556" s="5">
        <f>IF('[1]All Data '!BB561="","",'[1]All Data '!BC561/'[1]All Data '!BH561)</f>
        <v>344518</v>
      </c>
      <c r="O556" s="5">
        <f t="shared" si="10"/>
        <v>1642511200.7303998</v>
      </c>
      <c r="P556" s="5">
        <f>IF(M556="","",$C$2*(1-L556)*907.2/0.621371*N556*[1]Transportation!$M$40)</f>
        <v>5373706.5499080671</v>
      </c>
      <c r="Q556" s="5">
        <f>IF(L556="","",IF([1]Inputs_Outputs!$B$5="Herbaceous",(LCA!$E$29*'[1]LOCH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6" s="5">
        <f>IF(M556="","",$E$2*1000*'[1]LOCH Calc COE Calc'!$C$44)</f>
        <v>4896457.3202133691</v>
      </c>
      <c r="S556" s="6">
        <f>IF(N556="","",SUM(O556:R556)/('[1]LOCH Calc COE Calc'!$C$28))</f>
        <v>74.480880574457998</v>
      </c>
      <c r="T556">
        <f>IF(L556="","",O556/'[1]LOCH Calc COE Calc'!$C$28)</f>
        <v>70.82801278907219</v>
      </c>
      <c r="U556">
        <f>IF(L556="","",P556/'[1]LOCH Calc COE Calc'!$C$28)</f>
        <v>0.23172381172947776</v>
      </c>
      <c r="V556">
        <f>IF(L556="","",Q556/'[1]LOCH Calc COE Calc'!$C$28)</f>
        <v>3.2100000000000004</v>
      </c>
      <c r="W556">
        <f>IF(L556="","",R556/'[1]LOCH Calc COE Calc'!$C$28)</f>
        <v>0.21114397365631307</v>
      </c>
    </row>
    <row r="557" spans="12:23" x14ac:dyDescent="0.25">
      <c r="L557" s="4">
        <f>IF('[1]All Data '!BE562="","",'[1]All Data '!BE562)</f>
        <v>5.5E-2</v>
      </c>
      <c r="M557">
        <f>IF('[1]All Data '!BF562="","",'[1]All Data '!BF562)</f>
        <v>4767.5627999999997</v>
      </c>
      <c r="N557" s="5">
        <f>IF('[1]All Data '!BB562="","",'[1]All Data '!BC562/'[1]All Data '!BH562)</f>
        <v>344387</v>
      </c>
      <c r="O557" s="5">
        <f t="shared" si="10"/>
        <v>1641886650.0035999</v>
      </c>
      <c r="P557" s="5">
        <f>IF(M557="","",$C$2*(1-L557)*907.2/0.621371*N557*[1]Transportation!$M$40)</f>
        <v>5371663.2443099916</v>
      </c>
      <c r="Q557" s="5">
        <f>IF(L557="","",IF([1]Inputs_Outputs!$B$5="Herbaceous",(LCA!$E$29*'[1]LOCH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7" s="5">
        <f>IF(M557="","",$E$2*1000*'[1]LOCH Calc COE Calc'!$C$44)</f>
        <v>4896457.3202133691</v>
      </c>
      <c r="S557" s="6">
        <f>IF(N557="","",SUM(O557:R557)/('[1]LOCH Calc COE Calc'!$C$28))</f>
        <v>74.45386072209989</v>
      </c>
      <c r="T557">
        <f>IF(L557="","",O557/'[1]LOCH Calc COE Calc'!$C$28)</f>
        <v>70.801081047696215</v>
      </c>
      <c r="U557">
        <f>IF(L557="","",P557/'[1]LOCH Calc COE Calc'!$C$28)</f>
        <v>0.23163570074736201</v>
      </c>
      <c r="V557">
        <f>IF(L557="","",Q557/'[1]LOCH Calc COE Calc'!$C$28)</f>
        <v>3.2100000000000004</v>
      </c>
      <c r="W557">
        <f>IF(L557="","",R557/'[1]LOCH Calc COE Calc'!$C$28)</f>
        <v>0.21114397365631307</v>
      </c>
    </row>
    <row r="558" spans="12:23" x14ac:dyDescent="0.25">
      <c r="L558" s="4">
        <f>IF('[1]All Data '!BE563="","",'[1]All Data '!BE563)</f>
        <v>5.5E-2</v>
      </c>
      <c r="M558">
        <f>IF('[1]All Data '!BF563="","",'[1]All Data '!BF563)</f>
        <v>4767.5627999999997</v>
      </c>
      <c r="N558" s="5">
        <f>IF('[1]All Data '!BB563="","",'[1]All Data '!BC563/'[1]All Data '!BH563)</f>
        <v>344104</v>
      </c>
      <c r="O558" s="5">
        <f t="shared" si="10"/>
        <v>1640537429.7312</v>
      </c>
      <c r="P558" s="5">
        <f>IF(M558="","",$C$2*(1-L558)*907.2/0.621371*N558*[1]Transportation!$M$40)</f>
        <v>5367249.0803080406</v>
      </c>
      <c r="Q558" s="5">
        <f>IF(L558="","",IF([1]Inputs_Outputs!$B$5="Herbaceous",(LCA!$E$29*'[1]LOCH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8" s="5">
        <f>IF(M558="","",$E$2*1000*'[1]LOCH Calc COE Calc'!$C$44)</f>
        <v>4896457.3202133691</v>
      </c>
      <c r="S558" s="6">
        <f>IF(N558="","",SUM(O558:R558)/('[1]LOCH Calc COE Calc'!$C$28))</f>
        <v>74.395489590669825</v>
      </c>
      <c r="T558">
        <f>IF(L558="","",O558/'[1]LOCH Calc COE Calc'!$C$28)</f>
        <v>70.742900262891638</v>
      </c>
      <c r="U558">
        <f>IF(L558="","",P558/'[1]LOCH Calc COE Calc'!$C$28)</f>
        <v>0.23144535412187522</v>
      </c>
      <c r="V558">
        <f>IF(L558="","",Q558/'[1]LOCH Calc COE Calc'!$C$28)</f>
        <v>3.2100000000000004</v>
      </c>
      <c r="W558">
        <f>IF(L558="","",R558/'[1]LOCH Calc COE Calc'!$C$28)</f>
        <v>0.21114397365631307</v>
      </c>
    </row>
    <row r="559" spans="12:23" x14ac:dyDescent="0.25">
      <c r="L559" s="4">
        <f>IF('[1]All Data '!BE564="","",'[1]All Data '!BE564)</f>
        <v>5.5000000000000007E-2</v>
      </c>
      <c r="M559">
        <f>IF('[1]All Data '!BF564="","",'[1]All Data '!BF564)</f>
        <v>4767.5627999999997</v>
      </c>
      <c r="N559" s="5">
        <f>IF('[1]All Data '!BB564="","",'[1]All Data '!BC564/'[1]All Data '!BH564)</f>
        <v>344006</v>
      </c>
      <c r="O559" s="5">
        <f t="shared" si="10"/>
        <v>1640070208.5767999</v>
      </c>
      <c r="P559" s="5">
        <f>IF(M559="","",$C$2*(1-L559)*907.2/0.621371*N559*[1]Transportation!$M$40)</f>
        <v>5365720.5005476484</v>
      </c>
      <c r="Q559" s="5">
        <f>IF(L559="","",IF([1]Inputs_Outputs!$B$5="Herbaceous",(LCA!$E$29*'[1]LOCH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59" s="5">
        <f>IF(M559="","",$E$2*1000*'[1]LOCH Calc COE Calc'!$C$44)</f>
        <v>4896457.3202133691</v>
      </c>
      <c r="S559" s="6">
        <f>IF(N559="","",SUM(O559:R559)/('[1]LOCH Calc COE Calc'!$C$28))</f>
        <v>74.375276266004988</v>
      </c>
      <c r="T559">
        <f>IF(L559="","",O559/'[1]LOCH Calc COE Calc'!$C$28)</f>
        <v>70.722752853312656</v>
      </c>
      <c r="U559">
        <f>IF(L559="","",P559/'[1]LOCH Calc COE Calc'!$C$28)</f>
        <v>0.23137943903601765</v>
      </c>
      <c r="V559">
        <f>IF(L559="","",Q559/'[1]LOCH Calc COE Calc'!$C$28)</f>
        <v>3.2100000000000004</v>
      </c>
      <c r="W559">
        <f>IF(L559="","",R559/'[1]LOCH Calc COE Calc'!$C$28)</f>
        <v>0.21114397365631307</v>
      </c>
    </row>
    <row r="560" spans="12:23" x14ac:dyDescent="0.25">
      <c r="L560" s="4">
        <f>IF('[1]All Data '!BE565="","",'[1]All Data '!BE565)</f>
        <v>5.5E-2</v>
      </c>
      <c r="M560">
        <f>IF('[1]All Data '!BF565="","",'[1]All Data '!BF565)</f>
        <v>4767.5627999999997</v>
      </c>
      <c r="N560" s="5">
        <f>IF('[1]All Data '!BB565="","",'[1]All Data '!BC565/'[1]All Data '!BH565)</f>
        <v>343640</v>
      </c>
      <c r="O560" s="5">
        <f t="shared" si="10"/>
        <v>1638325280.592</v>
      </c>
      <c r="P560" s="5">
        <f>IF(M560="","",$C$2*(1-L560)*907.2/0.621371*N560*[1]Transportation!$M$40)</f>
        <v>5360011.7230751608</v>
      </c>
      <c r="Q560" s="5">
        <f>IF(L560="","",IF([1]Inputs_Outputs!$B$5="Herbaceous",(LCA!$E$29*'[1]LOCH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0" s="5">
        <f>IF(M560="","",$E$2*1000*'[1]LOCH Calc COE Calc'!$C$44)</f>
        <v>4896457.3202133691</v>
      </c>
      <c r="S560" s="6">
        <f>IF(N560="","",SUM(O560:R560)/('[1]LOCH Calc COE Calc'!$C$28))</f>
        <v>74.2997856861343</v>
      </c>
      <c r="T560">
        <f>IF(L560="","",O560/'[1]LOCH Calc COE Calc'!$C$28)</f>
        <v>70.647508446109555</v>
      </c>
      <c r="U560">
        <f>IF(L560="","",P560/'[1]LOCH Calc COE Calc'!$C$28)</f>
        <v>0.23113326636842702</v>
      </c>
      <c r="V560">
        <f>IF(L560="","",Q560/'[1]LOCH Calc COE Calc'!$C$28)</f>
        <v>3.2100000000000004</v>
      </c>
      <c r="W560">
        <f>IF(L560="","",R560/'[1]LOCH Calc COE Calc'!$C$28)</f>
        <v>0.21114397365631307</v>
      </c>
    </row>
    <row r="561" spans="12:23" x14ac:dyDescent="0.25">
      <c r="L561" s="4">
        <f>IF('[1]All Data '!BE566="","",'[1]All Data '!BE566)</f>
        <v>5.5E-2</v>
      </c>
      <c r="M561">
        <f>IF('[1]All Data '!BF566="","",'[1]All Data '!BF566)</f>
        <v>4767.5627999999997</v>
      </c>
      <c r="N561" s="5">
        <f>IF('[1]All Data '!BB566="","",'[1]All Data '!BC566/'[1]All Data '!BH566)</f>
        <v>343640</v>
      </c>
      <c r="O561" s="5">
        <f t="shared" si="10"/>
        <v>1638325280.592</v>
      </c>
      <c r="P561" s="5">
        <f>IF(M561="","",$C$2*(1-L561)*907.2/0.621371*N561*[1]Transportation!$M$40)</f>
        <v>5360011.7230751608</v>
      </c>
      <c r="Q561" s="5">
        <f>IF(L561="","",IF([1]Inputs_Outputs!$B$5="Herbaceous",(LCA!$E$29*'[1]LOCH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1" s="5">
        <f>IF(M561="","",$E$2*1000*'[1]LOCH Calc COE Calc'!$C$44)</f>
        <v>4896457.3202133691</v>
      </c>
      <c r="S561" s="6">
        <f>IF(N561="","",SUM(O561:R561)/('[1]LOCH Calc COE Calc'!$C$28))</f>
        <v>74.2997856861343</v>
      </c>
      <c r="T561">
        <f>IF(L561="","",O561/'[1]LOCH Calc COE Calc'!$C$28)</f>
        <v>70.647508446109555</v>
      </c>
      <c r="U561">
        <f>IF(L561="","",P561/'[1]LOCH Calc COE Calc'!$C$28)</f>
        <v>0.23113326636842702</v>
      </c>
      <c r="V561">
        <f>IF(L561="","",Q561/'[1]LOCH Calc COE Calc'!$C$28)</f>
        <v>3.2100000000000004</v>
      </c>
      <c r="W561">
        <f>IF(L561="","",R561/'[1]LOCH Calc COE Calc'!$C$28)</f>
        <v>0.21114397365631307</v>
      </c>
    </row>
    <row r="562" spans="12:23" x14ac:dyDescent="0.25">
      <c r="L562" s="4">
        <f>IF('[1]All Data '!BE567="","",'[1]All Data '!BE567)</f>
        <v>5.5E-2</v>
      </c>
      <c r="M562">
        <f>IF('[1]All Data '!BF567="","",'[1]All Data '!BF567)</f>
        <v>4767.5627999999997</v>
      </c>
      <c r="N562" s="5">
        <f>IF('[1]All Data '!BB567="","",'[1]All Data '!BC567/'[1]All Data '!BH567)</f>
        <v>343377</v>
      </c>
      <c r="O562" s="5">
        <f t="shared" si="10"/>
        <v>1637071411.5755999</v>
      </c>
      <c r="P562" s="5">
        <f>IF(M562="","",$C$2*(1-L562)*907.2/0.621371*N562*[1]Transportation!$M$40)</f>
        <v>5355909.514126352</v>
      </c>
      <c r="Q562" s="5">
        <f>IF(L562="","",IF([1]Inputs_Outputs!$B$5="Herbaceous",(LCA!$E$29*'[1]LOCH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2" s="5">
        <f>IF(M562="","",$E$2*1000*'[1]LOCH Calc COE Calc'!$C$44)</f>
        <v>4896457.3202133691</v>
      </c>
      <c r="S562" s="6">
        <f>IF(N562="","",SUM(O562:R562)/('[1]LOCH Calc COE Calc'!$C$28))</f>
        <v>74.245539723003162</v>
      </c>
      <c r="T562">
        <f>IF(L562="","",O562/'[1]LOCH Calc COE Calc'!$C$28)</f>
        <v>70.593439377545565</v>
      </c>
      <c r="U562">
        <f>IF(L562="","",P562/'[1]LOCH Calc COE Calc'!$C$28)</f>
        <v>0.23095637180127856</v>
      </c>
      <c r="V562">
        <f>IF(L562="","",Q562/'[1]LOCH Calc COE Calc'!$C$28)</f>
        <v>3.2100000000000004</v>
      </c>
      <c r="W562">
        <f>IF(L562="","",R562/'[1]LOCH Calc COE Calc'!$C$28)</f>
        <v>0.21114397365631307</v>
      </c>
    </row>
    <row r="563" spans="12:23" x14ac:dyDescent="0.25">
      <c r="L563" s="4">
        <f>IF('[1]All Data '!BE568="","",'[1]All Data '!BE568)</f>
        <v>5.4999999999999993E-2</v>
      </c>
      <c r="M563">
        <f>IF('[1]All Data '!BF568="","",'[1]All Data '!BF568)</f>
        <v>4767.5627999999997</v>
      </c>
      <c r="N563" s="5">
        <f>IF('[1]All Data '!BB568="","",'[1]All Data '!BC568/'[1]All Data '!BH568)</f>
        <v>343371</v>
      </c>
      <c r="O563" s="5">
        <f t="shared" si="10"/>
        <v>1637042806.1987998</v>
      </c>
      <c r="P563" s="5">
        <f>IF(M563="","",$C$2*(1-L563)*907.2/0.621371*N563*[1]Transportation!$M$40)</f>
        <v>5355815.9276104094</v>
      </c>
      <c r="Q563" s="5">
        <f>IF(L563="","",IF([1]Inputs_Outputs!$B$5="Herbaceous",(LCA!$E$29*'[1]LOCH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3" s="5">
        <f>IF(M563="","",$E$2*1000*'[1]LOCH Calc COE Calc'!$C$44)</f>
        <v>4896457.3202133691</v>
      </c>
      <c r="S563" s="6">
        <f>IF(N563="","",SUM(O563:R563)/('[1]LOCH Calc COE Calc'!$C$28))</f>
        <v>74.244302172513471</v>
      </c>
      <c r="T563">
        <f>IF(L563="","",O563/'[1]LOCH Calc COE Calc'!$C$28)</f>
        <v>70.592205862673381</v>
      </c>
      <c r="U563">
        <f>IF(L563="","",P563/'[1]LOCH Calc COE Calc'!$C$28)</f>
        <v>0.23095233618377706</v>
      </c>
      <c r="V563">
        <f>IF(L563="","",Q563/'[1]LOCH Calc COE Calc'!$C$28)</f>
        <v>3.2100000000000004</v>
      </c>
      <c r="W563">
        <f>IF(L563="","",R563/'[1]LOCH Calc COE Calc'!$C$28)</f>
        <v>0.21114397365631307</v>
      </c>
    </row>
    <row r="564" spans="12:23" x14ac:dyDescent="0.25">
      <c r="L564" s="4">
        <f>IF('[1]All Data '!BE569="","",'[1]All Data '!BE569)</f>
        <v>5.4999999999999993E-2</v>
      </c>
      <c r="M564">
        <f>IF('[1]All Data '!BF569="","",'[1]All Data '!BF569)</f>
        <v>4767.5627999999997</v>
      </c>
      <c r="N564" s="5">
        <f>IF('[1]All Data '!BB569="","",'[1]All Data '!BC569/'[1]All Data '!BH569)</f>
        <v>343358</v>
      </c>
      <c r="O564" s="5">
        <f t="shared" si="10"/>
        <v>1636980827.8823998</v>
      </c>
      <c r="P564" s="5">
        <f>IF(M564="","",$C$2*(1-L564)*907.2/0.621371*N564*[1]Transportation!$M$40)</f>
        <v>5355613.1568258675</v>
      </c>
      <c r="Q564" s="5">
        <f>IF(L564="","",IF([1]Inputs_Outputs!$B$5="Herbaceous",(LCA!$E$29*'[1]LOCH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4" s="5">
        <f>IF(M564="","",$E$2*1000*'[1]LOCH Calc COE Calc'!$C$44)</f>
        <v>4896457.3202133691</v>
      </c>
      <c r="S564" s="6">
        <f>IF(N564="","",SUM(O564:R564)/('[1]LOCH Calc COE Calc'!$C$28))</f>
        <v>74.241620813119155</v>
      </c>
      <c r="T564">
        <f>IF(L564="","",O564/'[1]LOCH Calc COE Calc'!$C$28)</f>
        <v>70.589533247116989</v>
      </c>
      <c r="U564">
        <f>IF(L564="","",P564/'[1]LOCH Calc COE Calc'!$C$28)</f>
        <v>0.23094359234585718</v>
      </c>
      <c r="V564">
        <f>IF(L564="","",Q564/'[1]LOCH Calc COE Calc'!$C$28)</f>
        <v>3.2100000000000004</v>
      </c>
      <c r="W564">
        <f>IF(L564="","",R564/'[1]LOCH Calc COE Calc'!$C$28)</f>
        <v>0.21114397365631307</v>
      </c>
    </row>
    <row r="565" spans="12:23" x14ac:dyDescent="0.25">
      <c r="L565" s="4">
        <f>IF('[1]All Data '!BE570="","",'[1]All Data '!BE570)</f>
        <v>5.5E-2</v>
      </c>
      <c r="M565">
        <f>IF('[1]All Data '!BF570="","",'[1]All Data '!BF570)</f>
        <v>4767.5627999999997</v>
      </c>
      <c r="N565" s="5">
        <f>IF('[1]All Data '!BB570="","",'[1]All Data '!BC570/'[1]All Data '!BH570)</f>
        <v>343140</v>
      </c>
      <c r="O565" s="5">
        <f t="shared" si="10"/>
        <v>1635941499.1919999</v>
      </c>
      <c r="P565" s="5">
        <f>IF(M565="","",$C$2*(1-L565)*907.2/0.621371*N565*[1]Transportation!$M$40)</f>
        <v>5352212.8467466263</v>
      </c>
      <c r="Q565" s="5">
        <f>IF(L565="","",IF([1]Inputs_Outputs!$B$5="Herbaceous",(LCA!$E$29*'[1]LOCH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5" s="5">
        <f>IF(M565="","",$E$2*1000*'[1]LOCH Calc COE Calc'!$C$44)</f>
        <v>4896457.3202133691</v>
      </c>
      <c r="S565" s="6">
        <f>IF(N565="","",SUM(O565:R565)/('[1]LOCH Calc COE Calc'!$C$28))</f>
        <v>74.196656478660657</v>
      </c>
      <c r="T565">
        <f>IF(L565="","",O565/'[1]LOCH Calc COE Calc'!$C$28)</f>
        <v>70.544715540094373</v>
      </c>
      <c r="U565">
        <f>IF(L565="","",P565/'[1]LOCH Calc COE Calc'!$C$28)</f>
        <v>0.23079696490996987</v>
      </c>
      <c r="V565">
        <f>IF(L565="","",Q565/'[1]LOCH Calc COE Calc'!$C$28)</f>
        <v>3.2100000000000004</v>
      </c>
      <c r="W565">
        <f>IF(L565="","",R565/'[1]LOCH Calc COE Calc'!$C$28)</f>
        <v>0.21114397365631307</v>
      </c>
    </row>
    <row r="566" spans="12:23" x14ac:dyDescent="0.25">
      <c r="L566" s="4">
        <f>IF('[1]All Data '!BE571="","",'[1]All Data '!BE571)</f>
        <v>5.5E-2</v>
      </c>
      <c r="M566">
        <f>IF('[1]All Data '!BF571="","",'[1]All Data '!BF571)</f>
        <v>4767.5627999999997</v>
      </c>
      <c r="N566" s="5">
        <f>IF('[1]All Data '!BB571="","",'[1]All Data '!BC571/'[1]All Data '!BH571)</f>
        <v>342799</v>
      </c>
      <c r="O566" s="5">
        <f t="shared" si="10"/>
        <v>1634315760.2772</v>
      </c>
      <c r="P566" s="5">
        <f>IF(M566="","",$C$2*(1-L566)*907.2/0.621371*N566*[1]Transportation!$M$40)</f>
        <v>5346894.0130905658</v>
      </c>
      <c r="Q566" s="5">
        <f>IF(L566="","",IF([1]Inputs_Outputs!$B$5="Herbaceous",(LCA!$E$29*'[1]LOCH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6" s="5">
        <f>IF(M566="","",$E$2*1000*'[1]LOCH Calc COE Calc'!$C$44)</f>
        <v>4896457.3202133691</v>
      </c>
      <c r="S566" s="6">
        <f>IF(N566="","",SUM(O566:R566)/('[1]LOCH Calc COE Calc'!$C$28))</f>
        <v>74.126322359163652</v>
      </c>
      <c r="T566">
        <f>IF(L566="","",O566/'[1]LOCH Calc COE Calc'!$C$28)</f>
        <v>70.47461077819203</v>
      </c>
      <c r="U566">
        <f>IF(L566="","",P566/'[1]LOCH Calc COE Calc'!$C$28)</f>
        <v>0.2305676073153021</v>
      </c>
      <c r="V566">
        <f>IF(L566="","",Q566/'[1]LOCH Calc COE Calc'!$C$28)</f>
        <v>3.2100000000000004</v>
      </c>
      <c r="W566">
        <f>IF(L566="","",R566/'[1]LOCH Calc COE Calc'!$C$28)</f>
        <v>0.21114397365631307</v>
      </c>
    </row>
    <row r="567" spans="12:23" x14ac:dyDescent="0.25">
      <c r="L567" s="4">
        <f>IF('[1]All Data '!BE572="","",'[1]All Data '!BE572)</f>
        <v>5.5E-2</v>
      </c>
      <c r="M567">
        <f>IF('[1]All Data '!BF572="","",'[1]All Data '!BF572)</f>
        <v>4767.5627999999997</v>
      </c>
      <c r="N567" s="5">
        <f>IF('[1]All Data '!BB572="","",'[1]All Data '!BC572/'[1]All Data '!BH572)</f>
        <v>342435</v>
      </c>
      <c r="O567" s="5">
        <f t="shared" si="10"/>
        <v>1632580367.418</v>
      </c>
      <c r="P567" s="5">
        <f>IF(M567="","",$C$2*(1-L567)*907.2/0.621371*N567*[1]Transportation!$M$40)</f>
        <v>5341216.4311233927</v>
      </c>
      <c r="Q567" s="5">
        <f>IF(L567="","",IF([1]Inputs_Outputs!$B$5="Herbaceous",(LCA!$E$29*'[1]LOCH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7" s="5">
        <f>IF(M567="","",$E$2*1000*'[1]LOCH Calc COE Calc'!$C$44)</f>
        <v>4896457.3202133691</v>
      </c>
      <c r="S567" s="6">
        <f>IF(N567="","",SUM(O567:R567)/('[1]LOCH Calc COE Calc'!$C$28))</f>
        <v>74.051244296122846</v>
      </c>
      <c r="T567">
        <f>IF(L567="","",O567/'[1]LOCH Calc COE Calc'!$C$28)</f>
        <v>70.399777542612981</v>
      </c>
      <c r="U567">
        <f>IF(L567="","",P567/'[1]LOCH Calc COE Calc'!$C$28)</f>
        <v>0.23032277985354527</v>
      </c>
      <c r="V567">
        <f>IF(L567="","",Q567/'[1]LOCH Calc COE Calc'!$C$28)</f>
        <v>3.2100000000000004</v>
      </c>
      <c r="W567">
        <f>IF(L567="","",R567/'[1]LOCH Calc COE Calc'!$C$28)</f>
        <v>0.21114397365631307</v>
      </c>
    </row>
    <row r="568" spans="12:23" x14ac:dyDescent="0.25">
      <c r="L568" s="4">
        <f>IF('[1]All Data '!BE573="","",'[1]All Data '!BE573)</f>
        <v>5.5E-2</v>
      </c>
      <c r="M568">
        <f>IF('[1]All Data '!BF573="","",'[1]All Data '!BF573)</f>
        <v>4767.5627999999997</v>
      </c>
      <c r="N568" s="5">
        <f>IF('[1]All Data '!BB573="","",'[1]All Data '!BC573/'[1]All Data '!BH573)</f>
        <v>341398</v>
      </c>
      <c r="O568" s="5">
        <f t="shared" si="10"/>
        <v>1627636404.7944</v>
      </c>
      <c r="P568" s="5">
        <f>IF(M568="","",$C$2*(1-L568)*907.2/0.621371*N568*[1]Transportation!$M$40)</f>
        <v>5325041.5616180124</v>
      </c>
      <c r="Q568" s="5">
        <f>IF(L568="","",IF([1]Inputs_Outputs!$B$5="Herbaceous",(LCA!$E$29*'[1]LOCH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8" s="5">
        <f>IF(M568="","",$E$2*1000*'[1]LOCH Calc COE Calc'!$C$44)</f>
        <v>4896457.3202133691</v>
      </c>
      <c r="S568" s="6">
        <f>IF(N568="","",SUM(O568:R568)/('[1]LOCH Calc COE Calc'!$C$28))</f>
        <v>73.837354319822538</v>
      </c>
      <c r="T568">
        <f>IF(L568="","",O568/'[1]LOCH Calc COE Calc'!$C$28)</f>
        <v>70.186585055537506</v>
      </c>
      <c r="U568">
        <f>IF(L568="","",P568/'[1]LOCH Calc COE Calc'!$C$28)</f>
        <v>0.22962529062870518</v>
      </c>
      <c r="V568">
        <f>IF(L568="","",Q568/'[1]LOCH Calc COE Calc'!$C$28)</f>
        <v>3.2100000000000004</v>
      </c>
      <c r="W568">
        <f>IF(L568="","",R568/'[1]LOCH Calc COE Calc'!$C$28)</f>
        <v>0.21114397365631307</v>
      </c>
    </row>
    <row r="569" spans="12:23" x14ac:dyDescent="0.25">
      <c r="L569" s="4">
        <f>IF('[1]All Data '!BE574="","",'[1]All Data '!BE574)</f>
        <v>5.5000000000000007E-2</v>
      </c>
      <c r="M569">
        <f>IF('[1]All Data '!BF574="","",'[1]All Data '!BF574)</f>
        <v>4767.5627999999997</v>
      </c>
      <c r="N569" s="5">
        <f>IF('[1]All Data '!BB574="","",'[1]All Data '!BC574/'[1]All Data '!BH574)</f>
        <v>340942</v>
      </c>
      <c r="O569" s="5">
        <f t="shared" si="10"/>
        <v>1625462396.1575999</v>
      </c>
      <c r="P569" s="5">
        <f>IF(M569="","",$C$2*(1-L569)*907.2/0.621371*N569*[1]Transportation!$M$40)</f>
        <v>5317928.9864063887</v>
      </c>
      <c r="Q569" s="5">
        <f>IF(L569="","",IF([1]Inputs_Outputs!$B$5="Herbaceous",(LCA!$E$29*'[1]LOCH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69" s="5">
        <f>IF(M569="","",$E$2*1000*'[1]LOCH Calc COE Calc'!$C$44)</f>
        <v>4896457.3202133691</v>
      </c>
      <c r="S569" s="6">
        <f>IF(N569="","",SUM(O569:R569)/('[1]LOCH Calc COE Calc'!$C$28))</f>
        <v>73.743300482606571</v>
      </c>
      <c r="T569">
        <f>IF(L569="","",O569/'[1]LOCH Calc COE Calc'!$C$28)</f>
        <v>70.092837925251672</v>
      </c>
      <c r="U569">
        <f>IF(L569="","",P569/'[1]LOCH Calc COE Calc'!$C$28)</f>
        <v>0.22931858369859223</v>
      </c>
      <c r="V569">
        <f>IF(L569="","",Q569/'[1]LOCH Calc COE Calc'!$C$28)</f>
        <v>3.2100000000000004</v>
      </c>
      <c r="W569">
        <f>IF(L569="","",R569/'[1]LOCH Calc COE Calc'!$C$28)</f>
        <v>0.21114397365631307</v>
      </c>
    </row>
    <row r="570" spans="12:23" x14ac:dyDescent="0.25">
      <c r="L570" s="4">
        <f>IF('[1]All Data '!BE575="","",'[1]All Data '!BE575)</f>
        <v>5.4999999999999993E-2</v>
      </c>
      <c r="M570">
        <f>IF('[1]All Data '!BF575="","",'[1]All Data '!BF575)</f>
        <v>4767.5627999999997</v>
      </c>
      <c r="N570" s="5">
        <f>IF('[1]All Data '!BB575="","",'[1]All Data '!BC575/'[1]All Data '!BH575)</f>
        <v>339133</v>
      </c>
      <c r="O570" s="5">
        <f t="shared" si="10"/>
        <v>1616837875.0523999</v>
      </c>
      <c r="P570" s="5">
        <f>IF(M570="","",$C$2*(1-L570)*907.2/0.621371*N570*[1]Transportation!$M$40)</f>
        <v>5289712.6518497514</v>
      </c>
      <c r="Q570" s="5">
        <f>IF(L570="","",IF([1]Inputs_Outputs!$B$5="Herbaceous",(LCA!$E$29*'[1]LOCH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0" s="5">
        <f>IF(M570="","",$E$2*1000*'[1]LOCH Calc COE Calc'!$C$44)</f>
        <v>4896457.3202133691</v>
      </c>
      <c r="S570" s="6">
        <f>IF(N570="","",SUM(O570:R570)/('[1]LOCH Calc COE Calc'!$C$28))</f>
        <v>73.370179009966975</v>
      </c>
      <c r="T570">
        <f>IF(L570="","",O570/'[1]LOCH Calc COE Calc'!$C$28)</f>
        <v>69.720933191288765</v>
      </c>
      <c r="U570">
        <f>IF(L570="","",P570/'[1]LOCH Calc COE Calc'!$C$28)</f>
        <v>0.22810184502189429</v>
      </c>
      <c r="V570">
        <f>IF(L570="","",Q570/'[1]LOCH Calc COE Calc'!$C$28)</f>
        <v>3.2100000000000004</v>
      </c>
      <c r="W570">
        <f>IF(L570="","",R570/'[1]LOCH Calc COE Calc'!$C$28)</f>
        <v>0.21114397365631307</v>
      </c>
    </row>
    <row r="571" spans="12:23" x14ac:dyDescent="0.25">
      <c r="L571" s="4">
        <f>IF('[1]All Data '!BE576="","",'[1]All Data '!BE576)</f>
        <v>5.4999999999999993E-2</v>
      </c>
      <c r="M571">
        <f>IF('[1]All Data '!BF576="","",'[1]All Data '!BF576)</f>
        <v>4767.5627999999997</v>
      </c>
      <c r="N571" s="5">
        <f>IF('[1]All Data '!BB576="","",'[1]All Data '!BC576/'[1]All Data '!BH576)</f>
        <v>339133</v>
      </c>
      <c r="O571" s="5">
        <f t="shared" si="10"/>
        <v>1616837875.0523999</v>
      </c>
      <c r="P571" s="5">
        <f>IF(M571="","",$C$2*(1-L571)*907.2/0.621371*N571*[1]Transportation!$M$40)</f>
        <v>5289712.6518497514</v>
      </c>
      <c r="Q571" s="5">
        <f>IF(L571="","",IF([1]Inputs_Outputs!$B$5="Herbaceous",(LCA!$E$29*'[1]LOCH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1" s="5">
        <f>IF(M571="","",$E$2*1000*'[1]LOCH Calc COE Calc'!$C$44)</f>
        <v>4896457.3202133691</v>
      </c>
      <c r="S571" s="6">
        <f>IF(N571="","",SUM(O571:R571)/('[1]LOCH Calc COE Calc'!$C$28))</f>
        <v>73.370179009966975</v>
      </c>
      <c r="T571">
        <f>IF(L571="","",O571/'[1]LOCH Calc COE Calc'!$C$28)</f>
        <v>69.720933191288765</v>
      </c>
      <c r="U571">
        <f>IF(L571="","",P571/'[1]LOCH Calc COE Calc'!$C$28)</f>
        <v>0.22810184502189429</v>
      </c>
      <c r="V571">
        <f>IF(L571="","",Q571/'[1]LOCH Calc COE Calc'!$C$28)</f>
        <v>3.2100000000000004</v>
      </c>
      <c r="W571">
        <f>IF(L571="","",R571/'[1]LOCH Calc COE Calc'!$C$28)</f>
        <v>0.21114397365631307</v>
      </c>
    </row>
    <row r="572" spans="12:23" x14ac:dyDescent="0.25">
      <c r="L572" s="4">
        <f>IF('[1]All Data '!BE577="","",'[1]All Data '!BE577)</f>
        <v>5.4999999999999993E-2</v>
      </c>
      <c r="M572">
        <f>IF('[1]All Data '!BF577="","",'[1]All Data '!BF577)</f>
        <v>4767.5627999999997</v>
      </c>
      <c r="N572" s="5">
        <f>IF('[1]All Data '!BB577="","",'[1]All Data '!BC577/'[1]All Data '!BH577)</f>
        <v>337970</v>
      </c>
      <c r="O572" s="5">
        <f t="shared" si="10"/>
        <v>1611293199.5159998</v>
      </c>
      <c r="P572" s="5">
        <f>IF(M572="","",$C$2*(1-L572)*907.2/0.621371*N572*[1]Transportation!$M$40)</f>
        <v>5271572.4655095804</v>
      </c>
      <c r="Q572" s="5">
        <f>IF(L572="","",IF([1]Inputs_Outputs!$B$5="Herbaceous",(LCA!$E$29*'[1]LOCH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2" s="5">
        <f>IF(M572="","",$E$2*1000*'[1]LOCH Calc COE Calc'!$C$44)</f>
        <v>4896457.3202133691</v>
      </c>
      <c r="S572" s="6">
        <f>IF(N572="","",SUM(O572:R572)/('[1]LOCH Calc COE Calc'!$C$28))</f>
        <v>73.130300473383301</v>
      </c>
      <c r="T572">
        <f>IF(L572="","",O572/'[1]LOCH Calc COE Calc'!$C$28)</f>
        <v>69.481836891897458</v>
      </c>
      <c r="U572">
        <f>IF(L572="","",P572/'[1]LOCH Calc COE Calc'!$C$28)</f>
        <v>0.22731960782952298</v>
      </c>
      <c r="V572">
        <f>IF(L572="","",Q572/'[1]LOCH Calc COE Calc'!$C$28)</f>
        <v>3.2100000000000004</v>
      </c>
      <c r="W572">
        <f>IF(L572="","",R572/'[1]LOCH Calc COE Calc'!$C$28)</f>
        <v>0.21114397365631307</v>
      </c>
    </row>
    <row r="573" spans="12:23" x14ac:dyDescent="0.25">
      <c r="L573" s="4">
        <f>IF('[1]All Data '!BE578="","",'[1]All Data '!BE578)</f>
        <v>5.5E-2</v>
      </c>
      <c r="M573">
        <f>IF('[1]All Data '!BF578="","",'[1]All Data '!BF578)</f>
        <v>4767.5627999999997</v>
      </c>
      <c r="N573" s="5">
        <f>IF('[1]All Data '!BB578="","",'[1]All Data '!BC578/'[1]All Data '!BH578)</f>
        <v>335903</v>
      </c>
      <c r="O573" s="5">
        <f t="shared" si="10"/>
        <v>1601438647.2084</v>
      </c>
      <c r="P573" s="5">
        <f>IF(M573="","",$C$2*(1-L573)*907.2/0.621371*N573*[1]Transportation!$M$40)</f>
        <v>5239331.9107674193</v>
      </c>
      <c r="Q573" s="5">
        <f>IF(L573="","",IF([1]Inputs_Outputs!$B$5="Herbaceous",(LCA!$E$29*'[1]LOCH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3" s="5">
        <f>IF(M573="","",$E$2*1000*'[1]LOCH Calc COE Calc'!$C$44)</f>
        <v>4896457.3202133691</v>
      </c>
      <c r="S573" s="6">
        <f>IF(N573="","",SUM(O573:R573)/('[1]LOCH Calc COE Calc'!$C$28))</f>
        <v>72.703964329687309</v>
      </c>
      <c r="T573">
        <f>IF(L573="","",O573/'[1]LOCH Calc COE Calc'!$C$28)</f>
        <v>69.056891018430733</v>
      </c>
      <c r="U573">
        <f>IF(L573="","",P573/'[1]LOCH Calc COE Calc'!$C$28)</f>
        <v>0.22592933760026115</v>
      </c>
      <c r="V573">
        <f>IF(L573="","",Q573/'[1]LOCH Calc COE Calc'!$C$28)</f>
        <v>3.2100000000000004</v>
      </c>
      <c r="W573">
        <f>IF(L573="","",R573/'[1]LOCH Calc COE Calc'!$C$28)</f>
        <v>0.21114397365631307</v>
      </c>
    </row>
    <row r="574" spans="12:23" x14ac:dyDescent="0.25">
      <c r="L574" s="4">
        <f>IF('[1]All Data '!BE579="","",'[1]All Data '!BE579)</f>
        <v>5.5E-2</v>
      </c>
      <c r="M574">
        <f>IF('[1]All Data '!BF579="","",'[1]All Data '!BF579)</f>
        <v>4767.5627999999997</v>
      </c>
      <c r="N574" s="5">
        <f>IF('[1]All Data '!BB579="","",'[1]All Data '!BC579/'[1]All Data '!BH579)</f>
        <v>335699</v>
      </c>
      <c r="O574" s="5">
        <f t="shared" si="10"/>
        <v>1600466064.3971999</v>
      </c>
      <c r="P574" s="5">
        <f>IF(M574="","",$C$2*(1-L574)*907.2/0.621371*N574*[1]Transportation!$M$40)</f>
        <v>5236149.9692253768</v>
      </c>
      <c r="Q574" s="5">
        <f>IF(L574="","",IF([1]Inputs_Outputs!$B$5="Herbaceous",(LCA!$E$29*'[1]LOCH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4" s="5">
        <f>IF(M574="","",$E$2*1000*'[1]LOCH Calc COE Calc'!$C$44)</f>
        <v>4896457.3202133691</v>
      </c>
      <c r="S574" s="6">
        <f>IF(N574="","",SUM(O574:R574)/('[1]LOCH Calc COE Calc'!$C$28))</f>
        <v>72.661887613038061</v>
      </c>
      <c r="T574">
        <f>IF(L574="","",O574/'[1]LOCH Calc COE Calc'!$C$28)</f>
        <v>69.014951512776534</v>
      </c>
      <c r="U574">
        <f>IF(L574="","",P574/'[1]LOCH Calc COE Calc'!$C$28)</f>
        <v>0.22579212660521064</v>
      </c>
      <c r="V574">
        <f>IF(L574="","",Q574/'[1]LOCH Calc COE Calc'!$C$28)</f>
        <v>3.2100000000000004</v>
      </c>
      <c r="W574">
        <f>IF(L574="","",R574/'[1]LOCH Calc COE Calc'!$C$28)</f>
        <v>0.21114397365631307</v>
      </c>
    </row>
    <row r="575" spans="12:23" x14ac:dyDescent="0.25">
      <c r="L575" s="4">
        <f>IF('[1]All Data '!BE580="","",'[1]All Data '!BE580)</f>
        <v>5.5E-2</v>
      </c>
      <c r="M575">
        <f>IF('[1]All Data '!BF580="","",'[1]All Data '!BF580)</f>
        <v>4767.5627999999997</v>
      </c>
      <c r="N575" s="5">
        <f>IF('[1]All Data '!BB580="","",'[1]All Data '!BC580/'[1]All Data '!BH580)</f>
        <v>335584</v>
      </c>
      <c r="O575" s="5">
        <f t="shared" si="10"/>
        <v>1599917794.6752</v>
      </c>
      <c r="P575" s="5">
        <f>IF(M575="","",$C$2*(1-L575)*907.2/0.621371*N575*[1]Transportation!$M$40)</f>
        <v>5234356.2276698137</v>
      </c>
      <c r="Q575" s="5">
        <f>IF(L575="","",IF([1]Inputs_Outputs!$B$5="Herbaceous",(LCA!$E$29*'[1]LOCH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5" s="5">
        <f>IF(M575="","",$E$2*1000*'[1]LOCH Calc COE Calc'!$C$44)</f>
        <v>4896457.3202133691</v>
      </c>
      <c r="S575" s="6">
        <f>IF(N575="","",SUM(O575:R575)/('[1]LOCH Calc COE Calc'!$C$28))</f>
        <v>72.638167895319128</v>
      </c>
      <c r="T575">
        <f>IF(L575="","",O575/'[1]LOCH Calc COE Calc'!$C$28)</f>
        <v>68.991309144393057</v>
      </c>
      <c r="U575">
        <f>IF(L575="","",P575/'[1]LOCH Calc COE Calc'!$C$28)</f>
        <v>0.22571477726976547</v>
      </c>
      <c r="V575">
        <f>IF(L575="","",Q575/'[1]LOCH Calc COE Calc'!$C$28)</f>
        <v>3.2100000000000004</v>
      </c>
      <c r="W575">
        <f>IF(L575="","",R575/'[1]LOCH Calc COE Calc'!$C$28)</f>
        <v>0.21114397365631307</v>
      </c>
    </row>
    <row r="576" spans="12:23" x14ac:dyDescent="0.25">
      <c r="L576" s="4">
        <f>IF('[1]All Data '!BE581="","",'[1]All Data '!BE581)</f>
        <v>5.5E-2</v>
      </c>
      <c r="M576">
        <f>IF('[1]All Data '!BF581="","",'[1]All Data '!BF581)</f>
        <v>4767.5627999999997</v>
      </c>
      <c r="N576" s="5">
        <f>IF('[1]All Data '!BB581="","",'[1]All Data '!BC581/'[1]All Data '!BH581)</f>
        <v>333252</v>
      </c>
      <c r="O576" s="5">
        <f t="shared" si="10"/>
        <v>1588799838.2256</v>
      </c>
      <c r="P576" s="5">
        <f>IF(M576="","",$C$2*(1-L576)*907.2/0.621371*N576*[1]Transportation!$M$40)</f>
        <v>5197982.2684735283</v>
      </c>
      <c r="Q576" s="5">
        <f>IF(L576="","",IF([1]Inputs_Outputs!$B$5="Herbaceous",(LCA!$E$29*'[1]LOCH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6" s="5">
        <f>IF(M576="","",$E$2*1000*'[1]LOCH Calc COE Calc'!$C$44)</f>
        <v>4896457.3202133691</v>
      </c>
      <c r="S576" s="6">
        <f>IF(N576="","",SUM(O576:R576)/('[1]LOCH Calc COE Calc'!$C$28))</f>
        <v>72.157173271662117</v>
      </c>
      <c r="T576">
        <f>IF(L576="","",O576/'[1]LOCH Calc COE Calc'!$C$28)</f>
        <v>68.511883030738275</v>
      </c>
      <c r="U576">
        <f>IF(L576="","",P576/'[1]LOCH Calc COE Calc'!$C$28)</f>
        <v>0.22414626726752132</v>
      </c>
      <c r="V576">
        <f>IF(L576="","",Q576/'[1]LOCH Calc COE Calc'!$C$28)</f>
        <v>3.2100000000000004</v>
      </c>
      <c r="W576">
        <f>IF(L576="","",R576/'[1]LOCH Calc COE Calc'!$C$28)</f>
        <v>0.21114397365631307</v>
      </c>
    </row>
    <row r="577" spans="12:23" x14ac:dyDescent="0.25">
      <c r="L577" s="4">
        <f>IF('[1]All Data '!BE582="","",'[1]All Data '!BE582)</f>
        <v>5.5000000000000007E-2</v>
      </c>
      <c r="M577">
        <f>IF('[1]All Data '!BF582="","",'[1]All Data '!BF582)</f>
        <v>4767.5627999999997</v>
      </c>
      <c r="N577" s="5">
        <f>IF('[1]All Data '!BB582="","",'[1]All Data '!BC582/'[1]All Data '!BH582)</f>
        <v>333068</v>
      </c>
      <c r="O577" s="5">
        <f t="shared" si="10"/>
        <v>1587922606.6703999</v>
      </c>
      <c r="P577" s="5">
        <f>IF(M577="","",$C$2*(1-L577)*907.2/0.621371*N577*[1]Transportation!$M$40)</f>
        <v>5195112.2819846282</v>
      </c>
      <c r="Q577" s="5">
        <f>IF(L577="","",IF([1]Inputs_Outputs!$B$5="Herbaceous",(LCA!$E$29*'[1]LOCH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7" s="5">
        <f>IF(M577="","",$E$2*1000*'[1]LOCH Calc COE Calc'!$C$44)</f>
        <v>4896457.3202133691</v>
      </c>
      <c r="S577" s="6">
        <f>IF(N577="","",SUM(O577:R577)/('[1]LOCH Calc COE Calc'!$C$28))</f>
        <v>72.11922172331181</v>
      </c>
      <c r="T577">
        <f>IF(L577="","",O577/'[1]LOCH Calc COE Calc'!$C$28)</f>
        <v>68.474055241324692</v>
      </c>
      <c r="U577">
        <f>IF(L577="","",P577/'[1]LOCH Calc COE Calc'!$C$28)</f>
        <v>0.22402250833080911</v>
      </c>
      <c r="V577">
        <f>IF(L577="","",Q577/'[1]LOCH Calc COE Calc'!$C$28)</f>
        <v>3.2100000000000004</v>
      </c>
      <c r="W577">
        <f>IF(L577="","",R577/'[1]LOCH Calc COE Calc'!$C$28)</f>
        <v>0.21114397365631307</v>
      </c>
    </row>
    <row r="578" spans="12:23" x14ac:dyDescent="0.25">
      <c r="L578" s="4">
        <f>IF('[1]All Data '!BE583="","",'[1]All Data '!BE583)</f>
        <v>5.5000000000000007E-2</v>
      </c>
      <c r="M578">
        <f>IF('[1]All Data '!BF583="","",'[1]All Data '!BF583)</f>
        <v>4767.5627999999997</v>
      </c>
      <c r="N578" s="5">
        <f>IF('[1]All Data '!BB583="","",'[1]All Data '!BC583/'[1]All Data '!BH583)</f>
        <v>333068</v>
      </c>
      <c r="O578" s="5">
        <f t="shared" si="10"/>
        <v>1587922606.6703999</v>
      </c>
      <c r="P578" s="5">
        <f>IF(M578="","",$C$2*(1-L578)*907.2/0.621371*N578*[1]Transportation!$M$40)</f>
        <v>5195112.2819846282</v>
      </c>
      <c r="Q578" s="5">
        <f>IF(L578="","",IF([1]Inputs_Outputs!$B$5="Herbaceous",(LCA!$E$29*'[1]LOCH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8" s="5">
        <f>IF(M578="","",$E$2*1000*'[1]LOCH Calc COE Calc'!$C$44)</f>
        <v>4896457.3202133691</v>
      </c>
      <c r="S578" s="6">
        <f>IF(N578="","",SUM(O578:R578)/('[1]LOCH Calc COE Calc'!$C$28))</f>
        <v>72.11922172331181</v>
      </c>
      <c r="T578">
        <f>IF(L578="","",O578/'[1]LOCH Calc COE Calc'!$C$28)</f>
        <v>68.474055241324692</v>
      </c>
      <c r="U578">
        <f>IF(L578="","",P578/'[1]LOCH Calc COE Calc'!$C$28)</f>
        <v>0.22402250833080911</v>
      </c>
      <c r="V578">
        <f>IF(L578="","",Q578/'[1]LOCH Calc COE Calc'!$C$28)</f>
        <v>3.2100000000000004</v>
      </c>
      <c r="W578">
        <f>IF(L578="","",R578/'[1]LOCH Calc COE Calc'!$C$28)</f>
        <v>0.21114397365631307</v>
      </c>
    </row>
    <row r="579" spans="12:23" x14ac:dyDescent="0.25">
      <c r="L579" s="4">
        <f>IF('[1]All Data '!BE584="","",'[1]All Data '!BE584)</f>
        <v>5.5E-2</v>
      </c>
      <c r="M579">
        <f>IF('[1]All Data '!BF584="","",'[1]All Data '!BF584)</f>
        <v>4767.5627999999997</v>
      </c>
      <c r="N579" s="5">
        <f>IF('[1]All Data '!BB584="","",'[1]All Data '!BC584/'[1]All Data '!BH584)</f>
        <v>331860</v>
      </c>
      <c r="O579" s="5">
        <f t="shared" si="10"/>
        <v>1582163390.8079998</v>
      </c>
      <c r="P579" s="5">
        <f>IF(M579="","",$C$2*(1-L579)*907.2/0.621371*N579*[1]Transportation!$M$40)</f>
        <v>5176270.1967748888</v>
      </c>
      <c r="Q579" s="5">
        <f>IF(L579="","",IF([1]Inputs_Outputs!$B$5="Herbaceous",(LCA!$E$29*'[1]LOCH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79" s="5">
        <f>IF(M579="","",$E$2*1000*'[1]LOCH Calc COE Calc'!$C$44)</f>
        <v>4896457.3202133691</v>
      </c>
      <c r="S579" s="6">
        <f>IF(N579="","",SUM(O579:R579)/('[1]LOCH Calc COE Calc'!$C$28))</f>
        <v>71.870061558055511</v>
      </c>
      <c r="T579">
        <f>IF(L579="","",O579/'[1]LOCH Calc COE Calc'!$C$28)</f>
        <v>68.225707580392026</v>
      </c>
      <c r="U579">
        <f>IF(L579="","",P579/'[1]LOCH Calc COE Calc'!$C$28)</f>
        <v>0.22321000400717664</v>
      </c>
      <c r="V579">
        <f>IF(L579="","",Q579/'[1]LOCH Calc COE Calc'!$C$28)</f>
        <v>3.2100000000000004</v>
      </c>
      <c r="W579">
        <f>IF(L579="","",R579/'[1]LOCH Calc COE Calc'!$C$28)</f>
        <v>0.21114397365631307</v>
      </c>
    </row>
    <row r="580" spans="12:23" x14ac:dyDescent="0.25">
      <c r="L580" s="4">
        <f>IF('[1]All Data '!BE585="","",'[1]All Data '!BE585)</f>
        <v>5.5E-2</v>
      </c>
      <c r="M580">
        <f>IF('[1]All Data '!BF585="","",'[1]All Data '!BF585)</f>
        <v>4767.5627999999997</v>
      </c>
      <c r="N580" s="5">
        <f>IF('[1]All Data '!BB585="","",'[1]All Data '!BC585/'[1]All Data '!BH585)</f>
        <v>331212</v>
      </c>
      <c r="O580" s="5">
        <f t="shared" ref="O580:O643" si="11">IF(N580="","",M580*N580)</f>
        <v>1579074010.1136</v>
      </c>
      <c r="P580" s="5">
        <f>IF(M580="","",$C$2*(1-L580)*907.2/0.621371*N580*[1]Transportation!$M$40)</f>
        <v>5166162.8530531088</v>
      </c>
      <c r="Q580" s="5">
        <f>IF(L580="","",IF([1]Inputs_Outputs!$B$5="Herbaceous",(LCA!$E$29*'[1]LOCH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0" s="5">
        <f>IF(M580="","",$E$2*1000*'[1]LOCH Calc COE Calc'!$C$44)</f>
        <v>4896457.3202133691</v>
      </c>
      <c r="S580" s="6">
        <f>IF(N580="","",SUM(O580:R580)/('[1]LOCH Calc COE Calc'!$C$28))</f>
        <v>71.736406105169692</v>
      </c>
      <c r="T580">
        <f>IF(L580="","",O580/'[1]LOCH Calc COE Calc'!$C$28)</f>
        <v>68.092487974196359</v>
      </c>
      <c r="U580">
        <f>IF(L580="","",P580/'[1]LOCH Calc COE Calc'!$C$28)</f>
        <v>0.22277415731701622</v>
      </c>
      <c r="V580">
        <f>IF(L580="","",Q580/'[1]LOCH Calc COE Calc'!$C$28)</f>
        <v>3.2100000000000004</v>
      </c>
      <c r="W580">
        <f>IF(L580="","",R580/'[1]LOCH Calc COE Calc'!$C$28)</f>
        <v>0.21114397365631307</v>
      </c>
    </row>
    <row r="581" spans="12:23" x14ac:dyDescent="0.25">
      <c r="L581" s="4">
        <f>IF('[1]All Data '!BE586="","",'[1]All Data '!BE586)</f>
        <v>5.5E-2</v>
      </c>
      <c r="M581">
        <f>IF('[1]All Data '!BF586="","",'[1]All Data '!BF586)</f>
        <v>4767.5627999999997</v>
      </c>
      <c r="N581" s="5">
        <f>IF('[1]All Data '!BB586="","",'[1]All Data '!BC586/'[1]All Data '!BH586)</f>
        <v>330536</v>
      </c>
      <c r="O581" s="5">
        <f t="shared" si="11"/>
        <v>1575851137.6608</v>
      </c>
      <c r="P581" s="5">
        <f>IF(M581="","",$C$2*(1-L581)*907.2/0.621371*N581*[1]Transportation!$M$40)</f>
        <v>5155618.7722569294</v>
      </c>
      <c r="Q581" s="5">
        <f>IF(L581="","",IF([1]Inputs_Outputs!$B$5="Herbaceous",(LCA!$E$29*'[1]LOCH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1" s="5">
        <f>IF(M581="","",$E$2*1000*'[1]LOCH Calc COE Calc'!$C$44)</f>
        <v>4896457.3202133691</v>
      </c>
      <c r="S581" s="6">
        <f>IF(N581="","",SUM(O581:R581)/('[1]LOCH Calc COE Calc'!$C$28))</f>
        <v>71.596975416665344</v>
      </c>
      <c r="T581">
        <f>IF(L581="","",O581/'[1]LOCH Calc COE Calc'!$C$28)</f>
        <v>67.953511965263843</v>
      </c>
      <c r="U581">
        <f>IF(L581="","",P581/'[1]LOCH Calc COE Calc'!$C$28)</f>
        <v>0.22231947774518213</v>
      </c>
      <c r="V581">
        <f>IF(L581="","",Q581/'[1]LOCH Calc COE Calc'!$C$28)</f>
        <v>3.2100000000000004</v>
      </c>
      <c r="W581">
        <f>IF(L581="","",R581/'[1]LOCH Calc COE Calc'!$C$28)</f>
        <v>0.21114397365631307</v>
      </c>
    </row>
    <row r="582" spans="12:23" x14ac:dyDescent="0.25">
      <c r="L582" s="4">
        <f>IF('[1]All Data '!BE587="","",'[1]All Data '!BE587)</f>
        <v>5.5000000000000007E-2</v>
      </c>
      <c r="M582">
        <f>IF('[1]All Data '!BF587="","",'[1]All Data '!BF587)</f>
        <v>4767.5627999999997</v>
      </c>
      <c r="N582" s="5">
        <f>IF('[1]All Data '!BB587="","",'[1]All Data '!BC587/'[1]All Data '!BH587)</f>
        <v>326430</v>
      </c>
      <c r="O582" s="5">
        <f t="shared" si="11"/>
        <v>1556275524.8039999</v>
      </c>
      <c r="P582" s="5">
        <f>IF(M582="","",$C$2*(1-L582)*907.2/0.621371*N582*[1]Transportation!$M$40)</f>
        <v>5091574.3998470046</v>
      </c>
      <c r="Q582" s="5">
        <f>IF(L582="","",IF([1]Inputs_Outputs!$B$5="Herbaceous",(LCA!$E$29*'[1]LOCH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2" s="5">
        <f>IF(M582="","",$E$2*1000*'[1]LOCH Calc COE Calc'!$C$44)</f>
        <v>4896457.3202133691</v>
      </c>
      <c r="S582" s="6">
        <f>IF(N582="","",SUM(O582:R582)/('[1]LOCH Calc COE Calc'!$C$28))</f>
        <v>70.750078364891877</v>
      </c>
      <c r="T582">
        <f>IF(L582="","",O582/'[1]LOCH Calc COE Calc'!$C$28)</f>
        <v>67.109376621067227</v>
      </c>
      <c r="U582">
        <f>IF(L582="","",P582/'[1]LOCH Calc COE Calc'!$C$28)</f>
        <v>0.21955777016833206</v>
      </c>
      <c r="V582">
        <f>IF(L582="","",Q582/'[1]LOCH Calc COE Calc'!$C$28)</f>
        <v>3.2100000000000004</v>
      </c>
      <c r="W582">
        <f>IF(L582="","",R582/'[1]LOCH Calc COE Calc'!$C$28)</f>
        <v>0.21114397365631307</v>
      </c>
    </row>
    <row r="583" spans="12:23" x14ac:dyDescent="0.25">
      <c r="L583" s="4">
        <f>IF('[1]All Data '!BE588="","",'[1]All Data '!BE588)</f>
        <v>5.4999999999999993E-2</v>
      </c>
      <c r="M583">
        <f>IF('[1]All Data '!BF588="","",'[1]All Data '!BF588)</f>
        <v>4767.5627999999997</v>
      </c>
      <c r="N583" s="5">
        <f>IF('[1]All Data '!BB588="","",'[1]All Data '!BC588/'[1]All Data '!BH588)</f>
        <v>326207</v>
      </c>
      <c r="O583" s="5">
        <f t="shared" si="11"/>
        <v>1555212358.2995999</v>
      </c>
      <c r="P583" s="5">
        <f>IF(M583="","",$C$2*(1-L583)*907.2/0.621371*N583*[1]Transportation!$M$40)</f>
        <v>5088096.1010044785</v>
      </c>
      <c r="Q583" s="5">
        <f>IF(L583="","",IF([1]Inputs_Outputs!$B$5="Herbaceous",(LCA!$E$29*'[1]LOCH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3" s="5">
        <f>IF(M583="","",$E$2*1000*'[1]LOCH Calc COE Calc'!$C$44)</f>
        <v>4896457.3202133691</v>
      </c>
      <c r="S583" s="6">
        <f>IF(N583="","",SUM(O583:R583)/('[1]LOCH Calc COE Calc'!$C$28))</f>
        <v>70.704082738358622</v>
      </c>
      <c r="T583">
        <f>IF(L583="","",O583/'[1]LOCH Calc COE Calc'!$C$28)</f>
        <v>67.063530984984453</v>
      </c>
      <c r="U583">
        <f>IF(L583="","",P583/'[1]LOCH Calc COE Calc'!$C$28)</f>
        <v>0.21940777971786016</v>
      </c>
      <c r="V583">
        <f>IF(L583="","",Q583/'[1]LOCH Calc COE Calc'!$C$28)</f>
        <v>3.2100000000000004</v>
      </c>
      <c r="W583">
        <f>IF(L583="","",R583/'[1]LOCH Calc COE Calc'!$C$28)</f>
        <v>0.21114397365631307</v>
      </c>
    </row>
    <row r="584" spans="12:23" x14ac:dyDescent="0.25">
      <c r="L584" s="4">
        <f>IF('[1]All Data '!BE589="","",'[1]All Data '!BE589)</f>
        <v>5.5E-2</v>
      </c>
      <c r="M584">
        <f>IF('[1]All Data '!BF589="","",'[1]All Data '!BF589)</f>
        <v>4767.5627999999997</v>
      </c>
      <c r="N584" s="5">
        <f>IF('[1]All Data '!BB589="","",'[1]All Data '!BC589/'[1]All Data '!BH589)</f>
        <v>325826</v>
      </c>
      <c r="O584" s="5">
        <f t="shared" si="11"/>
        <v>1553395916.8727999</v>
      </c>
      <c r="P584" s="5">
        <f>IF(M584="","",$C$2*(1-L584)*907.2/0.621371*N584*[1]Transportation!$M$40)</f>
        <v>5082153.3572421353</v>
      </c>
      <c r="Q584" s="5">
        <f>IF(L584="","",IF([1]Inputs_Outputs!$B$5="Herbaceous",(LCA!$E$29*'[1]LOCH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4" s="5">
        <f>IF(M584="","",$E$2*1000*'[1]LOCH Calc COE Calc'!$C$44)</f>
        <v>4896457.3202133691</v>
      </c>
      <c r="S584" s="6">
        <f>IF(N584="","",SUM(O584:R584)/('[1]LOCH Calc COE Calc'!$C$28))</f>
        <v>70.62549828226372</v>
      </c>
      <c r="T584">
        <f>IF(L584="","",O584/'[1]LOCH Calc COE Calc'!$C$28)</f>
        <v>66.985202790600894</v>
      </c>
      <c r="U584">
        <f>IF(L584="","",P584/'[1]LOCH Calc COE Calc'!$C$28)</f>
        <v>0.21915151800651583</v>
      </c>
      <c r="V584">
        <f>IF(L584="","",Q584/'[1]LOCH Calc COE Calc'!$C$28)</f>
        <v>3.2100000000000004</v>
      </c>
      <c r="W584">
        <f>IF(L584="","",R584/'[1]LOCH Calc COE Calc'!$C$28)</f>
        <v>0.21114397365631307</v>
      </c>
    </row>
    <row r="585" spans="12:23" x14ac:dyDescent="0.25">
      <c r="L585" s="4">
        <f>IF('[1]All Data '!BE590="","",'[1]All Data '!BE590)</f>
        <v>5.5E-2</v>
      </c>
      <c r="M585">
        <f>IF('[1]All Data '!BF590="","",'[1]All Data '!BF590)</f>
        <v>4767.5627999999997</v>
      </c>
      <c r="N585" s="5">
        <f>IF('[1]All Data '!BB590="","",'[1]All Data '!BC590/'[1]All Data '!BH590)</f>
        <v>323952</v>
      </c>
      <c r="O585" s="5">
        <f t="shared" si="11"/>
        <v>1544461504.1855998</v>
      </c>
      <c r="P585" s="5">
        <f>IF(M585="","",$C$2*(1-L585)*907.2/0.621371*N585*[1]Transportation!$M$40)</f>
        <v>5052923.1687627882</v>
      </c>
      <c r="Q585" s="5">
        <f>IF(L585="","",IF([1]Inputs_Outputs!$B$5="Herbaceous",(LCA!$E$29*'[1]LOCH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5" s="5">
        <f>IF(M585="","",$E$2*1000*'[1]LOCH Calc COE Calc'!$C$44)</f>
        <v>4896457.3202133691</v>
      </c>
      <c r="S585" s="6">
        <f>IF(N585="","",SUM(O585:R585)/('[1]LOCH Calc COE Calc'!$C$28))</f>
        <v>70.238970012652544</v>
      </c>
      <c r="T585">
        <f>IF(L585="","",O585/'[1]LOCH Calc COE Calc'!$C$28)</f>
        <v>66.599934978856012</v>
      </c>
      <c r="U585">
        <f>IF(L585="","",P585/'[1]LOCH Calc COE Calc'!$C$28)</f>
        <v>0.21789106014021845</v>
      </c>
      <c r="V585">
        <f>IF(L585="","",Q585/'[1]LOCH Calc COE Calc'!$C$28)</f>
        <v>3.2100000000000004</v>
      </c>
      <c r="W585">
        <f>IF(L585="","",R585/'[1]LOCH Calc COE Calc'!$C$28)</f>
        <v>0.21114397365631307</v>
      </c>
    </row>
    <row r="586" spans="12:23" x14ac:dyDescent="0.25">
      <c r="L586" s="4">
        <f>IF('[1]All Data '!BE591="","",'[1]All Data '!BE591)</f>
        <v>5.5000000000000007E-2</v>
      </c>
      <c r="M586">
        <f>IF('[1]All Data '!BF591="","",'[1]All Data '!BF591)</f>
        <v>4767.5627999999997</v>
      </c>
      <c r="N586" s="5">
        <f>IF('[1]All Data '!BB591="","",'[1]All Data '!BC591/'[1]All Data '!BH591)</f>
        <v>322744</v>
      </c>
      <c r="O586" s="5">
        <f t="shared" si="11"/>
        <v>1538702288.3232</v>
      </c>
      <c r="P586" s="5">
        <f>IF(M586="","",$C$2*(1-L586)*907.2/0.621371*N586*[1]Transportation!$M$40)</f>
        <v>5034081.0835530488</v>
      </c>
      <c r="Q586" s="5">
        <f>IF(L586="","",IF([1]Inputs_Outputs!$B$5="Herbaceous",(LCA!$E$29*'[1]LOCH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6" s="5">
        <f>IF(M586="","",$E$2*1000*'[1]LOCH Calc COE Calc'!$C$44)</f>
        <v>4896457.3202133691</v>
      </c>
      <c r="S586" s="6">
        <f>IF(N586="","",SUM(O586:R586)/('[1]LOCH Calc COE Calc'!$C$28))</f>
        <v>69.989809847396259</v>
      </c>
      <c r="T586">
        <f>IF(L586="","",O586/'[1]LOCH Calc COE Calc'!$C$28)</f>
        <v>66.351587317923361</v>
      </c>
      <c r="U586">
        <f>IF(L586="","",P586/'[1]LOCH Calc COE Calc'!$C$28)</f>
        <v>0.21707855581658597</v>
      </c>
      <c r="V586">
        <f>IF(L586="","",Q586/'[1]LOCH Calc COE Calc'!$C$28)</f>
        <v>3.2100000000000004</v>
      </c>
      <c r="W586">
        <f>IF(L586="","",R586/'[1]LOCH Calc COE Calc'!$C$28)</f>
        <v>0.21114397365631307</v>
      </c>
    </row>
    <row r="587" spans="12:23" x14ac:dyDescent="0.25">
      <c r="L587" s="4">
        <f>IF('[1]All Data '!BE592="","",'[1]All Data '!BE592)</f>
        <v>5.5000000000000007E-2</v>
      </c>
      <c r="M587">
        <f>IF('[1]All Data '!BF592="","",'[1]All Data '!BF592)</f>
        <v>4767.5627999999997</v>
      </c>
      <c r="N587" s="5">
        <f>IF('[1]All Data '!BB592="","",'[1]All Data '!BC592/'[1]All Data '!BH592)</f>
        <v>322144</v>
      </c>
      <c r="O587" s="5">
        <f t="shared" si="11"/>
        <v>1535841750.6431999</v>
      </c>
      <c r="P587" s="5">
        <f>IF(M587="","",$C$2*(1-L587)*907.2/0.621371*N587*[1]Transportation!$M$40)</f>
        <v>5024722.4319588076</v>
      </c>
      <c r="Q587" s="5">
        <f>IF(L587="","",IF([1]Inputs_Outputs!$B$5="Herbaceous",(LCA!$E$29*'[1]LOCH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7" s="5">
        <f>IF(M587="","",$E$2*1000*'[1]LOCH Calc COE Calc'!$C$44)</f>
        <v>4896457.3202133691</v>
      </c>
      <c r="S587" s="6">
        <f>IF(N587="","",SUM(O587:R587)/('[1]LOCH Calc COE Calc'!$C$28))</f>
        <v>69.866054798427896</v>
      </c>
      <c r="T587">
        <f>IF(L587="","",O587/'[1]LOCH Calc COE Calc'!$C$28)</f>
        <v>66.228235830705145</v>
      </c>
      <c r="U587">
        <f>IF(L587="","",P587/'[1]LOCH Calc COE Calc'!$C$28)</f>
        <v>0.21667499406643742</v>
      </c>
      <c r="V587">
        <f>IF(L587="","",Q587/'[1]LOCH Calc COE Calc'!$C$28)</f>
        <v>3.2100000000000004</v>
      </c>
      <c r="W587">
        <f>IF(L587="","",R587/'[1]LOCH Calc COE Calc'!$C$28)</f>
        <v>0.21114397365631307</v>
      </c>
    </row>
    <row r="588" spans="12:23" x14ac:dyDescent="0.25">
      <c r="L588" s="4">
        <f>IF('[1]All Data '!BE593="","",'[1]All Data '!BE593)</f>
        <v>5.5E-2</v>
      </c>
      <c r="M588">
        <f>IF('[1]All Data '!BF593="","",'[1]All Data '!BF593)</f>
        <v>4767.5627999999997</v>
      </c>
      <c r="N588" s="5">
        <f>IF('[1]All Data '!BB593="","",'[1]All Data '!BC593/'[1]All Data '!BH593)</f>
        <v>321825</v>
      </c>
      <c r="O588" s="5">
        <f t="shared" si="11"/>
        <v>1534320898.1099999</v>
      </c>
      <c r="P588" s="5">
        <f>IF(M588="","",$C$2*(1-L588)*907.2/0.621371*N588*[1]Transportation!$M$40)</f>
        <v>5019746.748861203</v>
      </c>
      <c r="Q588" s="5">
        <f>IF(L588="","",IF([1]Inputs_Outputs!$B$5="Herbaceous",(LCA!$E$29*'[1]LOCH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8" s="5">
        <f>IF(M588="","",$E$2*1000*'[1]LOCH Calc COE Calc'!$C$44)</f>
        <v>4896457.3202133691</v>
      </c>
      <c r="S588" s="6">
        <f>IF(N588="","",SUM(O588:R588)/('[1]LOCH Calc COE Calc'!$C$28))</f>
        <v>69.800258364059715</v>
      </c>
      <c r="T588">
        <f>IF(L588="","",O588/'[1]LOCH Calc COE Calc'!$C$28)</f>
        <v>66.162653956667455</v>
      </c>
      <c r="U588">
        <f>IF(L588="","",P588/'[1]LOCH Calc COE Calc'!$C$28)</f>
        <v>0.21646043373594176</v>
      </c>
      <c r="V588">
        <f>IF(L588="","",Q588/'[1]LOCH Calc COE Calc'!$C$28)</f>
        <v>3.2100000000000004</v>
      </c>
      <c r="W588">
        <f>IF(L588="","",R588/'[1]LOCH Calc COE Calc'!$C$28)</f>
        <v>0.21114397365631307</v>
      </c>
    </row>
    <row r="589" spans="12:23" x14ac:dyDescent="0.25">
      <c r="L589" s="4">
        <f>IF('[1]All Data '!BE594="","",'[1]All Data '!BE594)</f>
        <v>5.4999999999999993E-2</v>
      </c>
      <c r="M589">
        <f>IF('[1]All Data '!BF594="","",'[1]All Data '!BF594)</f>
        <v>4767.5627999999997</v>
      </c>
      <c r="N589" s="5">
        <f>IF('[1]All Data '!BB594="","",'[1]All Data '!BC594/'[1]All Data '!BH594)</f>
        <v>321795</v>
      </c>
      <c r="O589" s="5">
        <f t="shared" si="11"/>
        <v>1534177871.2259998</v>
      </c>
      <c r="P589" s="5">
        <f>IF(M589="","",$C$2*(1-L589)*907.2/0.621371*N589*[1]Transportation!$M$40)</f>
        <v>5019278.816281491</v>
      </c>
      <c r="Q589" s="5">
        <f>IF(L589="","",IF([1]Inputs_Outputs!$B$5="Herbaceous",(LCA!$E$29*'[1]LOCH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89" s="5">
        <f>IF(M589="","",$E$2*1000*'[1]LOCH Calc COE Calc'!$C$44)</f>
        <v>4896457.3202133691</v>
      </c>
      <c r="S589" s="6">
        <f>IF(N589="","",SUM(O589:R589)/('[1]LOCH Calc COE Calc'!$C$28))</f>
        <v>69.794070611611303</v>
      </c>
      <c r="T589">
        <f>IF(L589="","",O589/'[1]LOCH Calc COE Calc'!$C$28)</f>
        <v>66.156486382306554</v>
      </c>
      <c r="U589">
        <f>IF(L589="","",P589/'[1]LOCH Calc COE Calc'!$C$28)</f>
        <v>0.21644025564843433</v>
      </c>
      <c r="V589">
        <f>IF(L589="","",Q589/'[1]LOCH Calc COE Calc'!$C$28)</f>
        <v>3.2100000000000004</v>
      </c>
      <c r="W589">
        <f>IF(L589="","",R589/'[1]LOCH Calc COE Calc'!$C$28)</f>
        <v>0.21114397365631307</v>
      </c>
    </row>
    <row r="590" spans="12:23" x14ac:dyDescent="0.25">
      <c r="L590" s="4">
        <f>IF('[1]All Data '!BE595="","",'[1]All Data '!BE595)</f>
        <v>5.5E-2</v>
      </c>
      <c r="M590">
        <f>IF('[1]All Data '!BF595="","",'[1]All Data '!BF595)</f>
        <v>4767.5627999999997</v>
      </c>
      <c r="N590" s="5">
        <f>IF('[1]All Data '!BB595="","",'[1]All Data '!BC595/'[1]All Data '!BH595)</f>
        <v>320126</v>
      </c>
      <c r="O590" s="5">
        <f t="shared" si="11"/>
        <v>1526220808.9127998</v>
      </c>
      <c r="P590" s="5">
        <f>IF(M590="","",$C$2*(1-L590)*907.2/0.621371*N590*[1]Transportation!$M$40)</f>
        <v>4993246.1670968421</v>
      </c>
      <c r="Q590" s="5">
        <f>IF(L590="","",IF([1]Inputs_Outputs!$B$5="Herbaceous",(LCA!$E$29*'[1]LOCH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0" s="5">
        <f>IF(M590="","",$E$2*1000*'[1]LOCH Calc COE Calc'!$C$44)</f>
        <v>4896457.3202133691</v>
      </c>
      <c r="S590" s="6">
        <f>IF(N590="","",SUM(O590:R590)/('[1]LOCH Calc COE Calc'!$C$28))</f>
        <v>69.44982531706431</v>
      </c>
      <c r="T590">
        <f>IF(L590="","",O590/'[1]LOCH Calc COE Calc'!$C$28)</f>
        <v>65.813363662027896</v>
      </c>
      <c r="U590">
        <f>IF(L590="","",P590/'[1]LOCH Calc COE Calc'!$C$28)</f>
        <v>0.21531768138010435</v>
      </c>
      <c r="V590">
        <f>IF(L590="","",Q590/'[1]LOCH Calc COE Calc'!$C$28)</f>
        <v>3.2100000000000004</v>
      </c>
      <c r="W590">
        <f>IF(L590="","",R590/'[1]LOCH Calc COE Calc'!$C$28)</f>
        <v>0.21114397365631307</v>
      </c>
    </row>
    <row r="591" spans="12:23" x14ac:dyDescent="0.25">
      <c r="L591" s="4">
        <f>IF('[1]All Data '!BE596="","",'[1]All Data '!BE596)</f>
        <v>5.5E-2</v>
      </c>
      <c r="M591">
        <f>IF('[1]All Data '!BF596="","",'[1]All Data '!BF596)</f>
        <v>4767.5627999999997</v>
      </c>
      <c r="N591" s="5">
        <f>IF('[1]All Data '!BB596="","",'[1]All Data '!BC596/'[1]All Data '!BH596)</f>
        <v>320126</v>
      </c>
      <c r="O591" s="5">
        <f t="shared" si="11"/>
        <v>1526220808.9127998</v>
      </c>
      <c r="P591" s="5">
        <f>IF(M591="","",$C$2*(1-L591)*907.2/0.621371*N591*[1]Transportation!$M$40)</f>
        <v>4993246.1670968421</v>
      </c>
      <c r="Q591" s="5">
        <f>IF(L591="","",IF([1]Inputs_Outputs!$B$5="Herbaceous",(LCA!$E$29*'[1]LOCH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1" s="5">
        <f>IF(M591="","",$E$2*1000*'[1]LOCH Calc COE Calc'!$C$44)</f>
        <v>4896457.3202133691</v>
      </c>
      <c r="S591" s="6">
        <f>IF(N591="","",SUM(O591:R591)/('[1]LOCH Calc COE Calc'!$C$28))</f>
        <v>69.44982531706431</v>
      </c>
      <c r="T591">
        <f>IF(L591="","",O591/'[1]LOCH Calc COE Calc'!$C$28)</f>
        <v>65.813363662027896</v>
      </c>
      <c r="U591">
        <f>IF(L591="","",P591/'[1]LOCH Calc COE Calc'!$C$28)</f>
        <v>0.21531768138010435</v>
      </c>
      <c r="V591">
        <f>IF(L591="","",Q591/'[1]LOCH Calc COE Calc'!$C$28)</f>
        <v>3.2100000000000004</v>
      </c>
      <c r="W591">
        <f>IF(L591="","",R591/'[1]LOCH Calc COE Calc'!$C$28)</f>
        <v>0.21114397365631307</v>
      </c>
    </row>
    <row r="592" spans="12:23" x14ac:dyDescent="0.25">
      <c r="L592" s="4">
        <f>IF('[1]All Data '!BE597="","",'[1]All Data '!BE597)</f>
        <v>5.4999999999999993E-2</v>
      </c>
      <c r="M592">
        <f>IF('[1]All Data '!BF597="","",'[1]All Data '!BF597)</f>
        <v>4767.5627999999997</v>
      </c>
      <c r="N592" s="5">
        <f>IF('[1]All Data '!BB597="","",'[1]All Data '!BC597/'[1]All Data '!BH597)</f>
        <v>319795</v>
      </c>
      <c r="O592" s="5">
        <f t="shared" si="11"/>
        <v>1524642745.6259999</v>
      </c>
      <c r="P592" s="5">
        <f>IF(M592="","",$C$2*(1-L592)*907.2/0.621371*N592*[1]Transportation!$M$40)</f>
        <v>4988083.3109673532</v>
      </c>
      <c r="Q592" s="5">
        <f>IF(L592="","",IF([1]Inputs_Outputs!$B$5="Herbaceous",(LCA!$E$29*'[1]LOCH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2" s="5">
        <f>IF(M592="","",$E$2*1000*'[1]LOCH Calc COE Calc'!$C$44)</f>
        <v>4896457.3202133691</v>
      </c>
      <c r="S592" s="6">
        <f>IF(N592="","",SUM(O592:R592)/('[1]LOCH Calc COE Calc'!$C$28))</f>
        <v>69.381553781716775</v>
      </c>
      <c r="T592">
        <f>IF(L592="","",O592/'[1]LOCH Calc COE Calc'!$C$28)</f>
        <v>65.745314758245854</v>
      </c>
      <c r="U592">
        <f>IF(L592="","",P592/'[1]LOCH Calc COE Calc'!$C$28)</f>
        <v>0.21509504981460575</v>
      </c>
      <c r="V592">
        <f>IF(L592="","",Q592/'[1]LOCH Calc COE Calc'!$C$28)</f>
        <v>3.2100000000000004</v>
      </c>
      <c r="W592">
        <f>IF(L592="","",R592/'[1]LOCH Calc COE Calc'!$C$28)</f>
        <v>0.21114397365631307</v>
      </c>
    </row>
    <row r="593" spans="12:23" x14ac:dyDescent="0.25">
      <c r="L593" s="4">
        <f>IF('[1]All Data '!BE598="","",'[1]All Data '!BE598)</f>
        <v>5.4999999999999993E-2</v>
      </c>
      <c r="M593">
        <f>IF('[1]All Data '!BF598="","",'[1]All Data '!BF598)</f>
        <v>4767.5627999999997</v>
      </c>
      <c r="N593" s="5">
        <f>IF('[1]All Data '!BB598="","",'[1]All Data '!BC598/'[1]All Data '!BH598)</f>
        <v>319621</v>
      </c>
      <c r="O593" s="5">
        <f t="shared" si="11"/>
        <v>1523813189.6987998</v>
      </c>
      <c r="P593" s="5">
        <f>IF(M593="","",$C$2*(1-L593)*907.2/0.621371*N593*[1]Transportation!$M$40)</f>
        <v>4985369.3020050228</v>
      </c>
      <c r="Q593" s="5">
        <f>IF(L593="","",IF([1]Inputs_Outputs!$B$5="Herbaceous",(LCA!$E$29*'[1]LOCH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3" s="5">
        <f>IF(M593="","",$E$2*1000*'[1]LOCH Calc COE Calc'!$C$44)</f>
        <v>4896457.3202133691</v>
      </c>
      <c r="S593" s="6">
        <f>IF(N593="","",SUM(O593:R593)/('[1]LOCH Calc COE Calc'!$C$28))</f>
        <v>69.345664817515939</v>
      </c>
      <c r="T593">
        <f>IF(L593="","",O593/'[1]LOCH Calc COE Calc'!$C$28)</f>
        <v>65.709542826952571</v>
      </c>
      <c r="U593">
        <f>IF(L593="","",P593/'[1]LOCH Calc COE Calc'!$C$28)</f>
        <v>0.21497801690706264</v>
      </c>
      <c r="V593">
        <f>IF(L593="","",Q593/'[1]LOCH Calc COE Calc'!$C$28)</f>
        <v>3.2100000000000004</v>
      </c>
      <c r="W593">
        <f>IF(L593="","",R593/'[1]LOCH Calc COE Calc'!$C$28)</f>
        <v>0.21114397365631307</v>
      </c>
    </row>
    <row r="594" spans="12:23" x14ac:dyDescent="0.25">
      <c r="L594" s="4">
        <f>IF('[1]All Data '!BE599="","",'[1]All Data '!BE599)</f>
        <v>5.4999999999999993E-2</v>
      </c>
      <c r="M594">
        <f>IF('[1]All Data '!BF599="","",'[1]All Data '!BF599)</f>
        <v>4767.5627999999997</v>
      </c>
      <c r="N594" s="5">
        <f>IF('[1]All Data '!BB599="","",'[1]All Data '!BC599/'[1]All Data '!BH599)</f>
        <v>319621</v>
      </c>
      <c r="O594" s="5">
        <f t="shared" si="11"/>
        <v>1523813189.6987998</v>
      </c>
      <c r="P594" s="5">
        <f>IF(M594="","",$C$2*(1-L594)*907.2/0.621371*N594*[1]Transportation!$M$40)</f>
        <v>4985369.3020050228</v>
      </c>
      <c r="Q594" s="5">
        <f>IF(L594="","",IF([1]Inputs_Outputs!$B$5="Herbaceous",(LCA!$E$29*'[1]LOCH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4" s="5">
        <f>IF(M594="","",$E$2*1000*'[1]LOCH Calc COE Calc'!$C$44)</f>
        <v>4896457.3202133691</v>
      </c>
      <c r="S594" s="6">
        <f>IF(N594="","",SUM(O594:R594)/('[1]LOCH Calc COE Calc'!$C$28))</f>
        <v>69.345664817515939</v>
      </c>
      <c r="T594">
        <f>IF(L594="","",O594/'[1]LOCH Calc COE Calc'!$C$28)</f>
        <v>65.709542826952571</v>
      </c>
      <c r="U594">
        <f>IF(L594="","",P594/'[1]LOCH Calc COE Calc'!$C$28)</f>
        <v>0.21497801690706264</v>
      </c>
      <c r="V594">
        <f>IF(L594="","",Q594/'[1]LOCH Calc COE Calc'!$C$28)</f>
        <v>3.2100000000000004</v>
      </c>
      <c r="W594">
        <f>IF(L594="","",R594/'[1]LOCH Calc COE Calc'!$C$28)</f>
        <v>0.21114397365631307</v>
      </c>
    </row>
    <row r="595" spans="12:23" x14ac:dyDescent="0.25">
      <c r="L595" s="4">
        <f>IF('[1]All Data '!BE600="","",'[1]All Data '!BE600)</f>
        <v>5.5E-2</v>
      </c>
      <c r="M595">
        <f>IF('[1]All Data '!BF600="","",'[1]All Data '!BF600)</f>
        <v>4767.5627999999997</v>
      </c>
      <c r="N595" s="5">
        <f>IF('[1]All Data '!BB600="","",'[1]All Data '!BC600/'[1]All Data '!BH600)</f>
        <v>319413</v>
      </c>
      <c r="O595" s="5">
        <f t="shared" si="11"/>
        <v>1522821536.6364</v>
      </c>
      <c r="P595" s="5">
        <f>IF(M595="","",$C$2*(1-L595)*907.2/0.621371*N595*[1]Transportation!$M$40)</f>
        <v>4982124.9694523532</v>
      </c>
      <c r="Q595" s="5">
        <f>IF(L595="","",IF([1]Inputs_Outputs!$B$5="Herbaceous",(LCA!$E$29*'[1]LOCH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5" s="5">
        <f>IF(M595="","",$E$2*1000*'[1]LOCH Calc COE Calc'!$C$44)</f>
        <v>4896457.3202133691</v>
      </c>
      <c r="S595" s="6">
        <f>IF(N595="","",SUM(O595:R595)/('[1]LOCH Calc COE Calc'!$C$28))</f>
        <v>69.302763067206925</v>
      </c>
      <c r="T595">
        <f>IF(L595="","",O595/'[1]LOCH Calc COE Calc'!$C$28)</f>
        <v>65.666780978050255</v>
      </c>
      <c r="U595">
        <f>IF(L595="","",P595/'[1]LOCH Calc COE Calc'!$C$28)</f>
        <v>0.21483811550034451</v>
      </c>
      <c r="V595">
        <f>IF(L595="","",Q595/'[1]LOCH Calc COE Calc'!$C$28)</f>
        <v>3.2100000000000004</v>
      </c>
      <c r="W595">
        <f>IF(L595="","",R595/'[1]LOCH Calc COE Calc'!$C$28)</f>
        <v>0.21114397365631307</v>
      </c>
    </row>
    <row r="596" spans="12:23" x14ac:dyDescent="0.25">
      <c r="L596" s="4">
        <f>IF('[1]All Data '!BE601="","",'[1]All Data '!BE601)</f>
        <v>5.5E-2</v>
      </c>
      <c r="M596">
        <f>IF('[1]All Data '!BF601="","",'[1]All Data '!BF601)</f>
        <v>4767.5627999999997</v>
      </c>
      <c r="N596" s="5">
        <f>IF('[1]All Data '!BB601="","",'[1]All Data '!BC601/'[1]All Data '!BH601)</f>
        <v>318740</v>
      </c>
      <c r="O596" s="5">
        <f t="shared" si="11"/>
        <v>1519612966.872</v>
      </c>
      <c r="P596" s="5">
        <f>IF(M596="","",$C$2*(1-L596)*907.2/0.621371*N596*[1]Transportation!$M$40)</f>
        <v>4971627.6819141451</v>
      </c>
      <c r="Q596" s="5">
        <f>IF(L596="","",IF([1]Inputs_Outputs!$B$5="Herbaceous",(LCA!$E$29*'[1]LOCH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6" s="5">
        <f>IF(M596="","",$E$2*1000*'[1]LOCH Calc COE Calc'!$C$44)</f>
        <v>4896457.3202133691</v>
      </c>
      <c r="S596" s="6">
        <f>IF(N596="","",SUM(O596:R596)/('[1]LOCH Calc COE Calc'!$C$28))</f>
        <v>69.163951153947409</v>
      </c>
      <c r="T596">
        <f>IF(L596="","",O596/'[1]LOCH Calc COE Calc'!$C$28)</f>
        <v>65.52842172655383</v>
      </c>
      <c r="U596">
        <f>IF(L596="","",P596/'[1]LOCH Calc COE Calc'!$C$28)</f>
        <v>0.21438545373726117</v>
      </c>
      <c r="V596">
        <f>IF(L596="","",Q596/'[1]LOCH Calc COE Calc'!$C$28)</f>
        <v>3.2100000000000004</v>
      </c>
      <c r="W596">
        <f>IF(L596="","",R596/'[1]LOCH Calc COE Calc'!$C$28)</f>
        <v>0.21114397365631307</v>
      </c>
    </row>
    <row r="597" spans="12:23" x14ac:dyDescent="0.25">
      <c r="L597" s="4">
        <f>IF('[1]All Data '!BE602="","",'[1]All Data '!BE602)</f>
        <v>5.5E-2</v>
      </c>
      <c r="M597">
        <f>IF('[1]All Data '!BF602="","",'[1]All Data '!BF602)</f>
        <v>4767.5627999999997</v>
      </c>
      <c r="N597" s="5">
        <f>IF('[1]All Data '!BB602="","",'[1]All Data '!BC602/'[1]All Data '!BH602)</f>
        <v>318348</v>
      </c>
      <c r="O597" s="5">
        <f t="shared" si="11"/>
        <v>1517744082.2544</v>
      </c>
      <c r="P597" s="5">
        <f>IF(M597="","",$C$2*(1-L597)*907.2/0.621371*N597*[1]Transportation!$M$40)</f>
        <v>4965513.3628725745</v>
      </c>
      <c r="Q597" s="5">
        <f>IF(L597="","",IF([1]Inputs_Outputs!$B$5="Herbaceous",(LCA!$E$29*'[1]LOCH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7" s="5">
        <f>IF(M597="","",$E$2*1000*'[1]LOCH Calc COE Calc'!$C$44)</f>
        <v>4896457.3202133691</v>
      </c>
      <c r="S597" s="6">
        <f>IF(N597="","",SUM(O597:R597)/('[1]LOCH Calc COE Calc'!$C$28))</f>
        <v>69.083097855288088</v>
      </c>
      <c r="T597">
        <f>IF(L597="","",O597/'[1]LOCH Calc COE Calc'!$C$28)</f>
        <v>65.447832088237931</v>
      </c>
      <c r="U597">
        <f>IF(L597="","",P597/'[1]LOCH Calc COE Calc'!$C$28)</f>
        <v>0.21412179339383078</v>
      </c>
      <c r="V597">
        <f>IF(L597="","",Q597/'[1]LOCH Calc COE Calc'!$C$28)</f>
        <v>3.2100000000000004</v>
      </c>
      <c r="W597">
        <f>IF(L597="","",R597/'[1]LOCH Calc COE Calc'!$C$28)</f>
        <v>0.21114397365631307</v>
      </c>
    </row>
    <row r="598" spans="12:23" x14ac:dyDescent="0.25">
      <c r="L598" s="4">
        <f>IF('[1]All Data '!BE603="","",'[1]All Data '!BE603)</f>
        <v>5.5E-2</v>
      </c>
      <c r="M598">
        <f>IF('[1]All Data '!BF603="","",'[1]All Data '!BF603)</f>
        <v>4767.5627999999997</v>
      </c>
      <c r="N598" s="5">
        <f>IF('[1]All Data '!BB603="","",'[1]All Data '!BC603/'[1]All Data '!BH603)</f>
        <v>317910</v>
      </c>
      <c r="O598" s="5">
        <f t="shared" si="11"/>
        <v>1515655889.7479999</v>
      </c>
      <c r="P598" s="5">
        <f>IF(M598="","",$C$2*(1-L598)*907.2/0.621371*N598*[1]Transportation!$M$40)</f>
        <v>4958681.5472087776</v>
      </c>
      <c r="Q598" s="5">
        <f>IF(L598="","",IF([1]Inputs_Outputs!$B$5="Herbaceous",(LCA!$E$29*'[1]LOCH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8" s="5">
        <f>IF(M598="","",$E$2*1000*'[1]LOCH Calc COE Calc'!$C$44)</f>
        <v>4896457.3202133691</v>
      </c>
      <c r="S598" s="6">
        <f>IF(N598="","",SUM(O598:R598)/('[1]LOCH Calc COE Calc'!$C$28))</f>
        <v>68.99275666954118</v>
      </c>
      <c r="T598">
        <f>IF(L598="","",O598/'[1]LOCH Calc COE Calc'!$C$28)</f>
        <v>65.357785502568646</v>
      </c>
      <c r="U598">
        <f>IF(L598="","",P598/'[1]LOCH Calc COE Calc'!$C$28)</f>
        <v>0.2138271933162223</v>
      </c>
      <c r="V598">
        <f>IF(L598="","",Q598/'[1]LOCH Calc COE Calc'!$C$28)</f>
        <v>3.2100000000000004</v>
      </c>
      <c r="W598">
        <f>IF(L598="","",R598/'[1]LOCH Calc COE Calc'!$C$28)</f>
        <v>0.21114397365631307</v>
      </c>
    </row>
    <row r="599" spans="12:23" x14ac:dyDescent="0.25">
      <c r="L599" s="4">
        <f>IF('[1]All Data '!BE604="","",'[1]All Data '!BE604)</f>
        <v>5.5E-2</v>
      </c>
      <c r="M599">
        <f>IF('[1]All Data '!BF604="","",'[1]All Data '!BF604)</f>
        <v>4767.5627999999997</v>
      </c>
      <c r="N599" s="5">
        <f>IF('[1]All Data '!BB604="","",'[1]All Data '!BC604/'[1]All Data '!BH604)</f>
        <v>317910</v>
      </c>
      <c r="O599" s="5">
        <f t="shared" si="11"/>
        <v>1515655889.7479999</v>
      </c>
      <c r="P599" s="5">
        <f>IF(M599="","",$C$2*(1-L599)*907.2/0.621371*N599*[1]Transportation!$M$40)</f>
        <v>4958681.5472087776</v>
      </c>
      <c r="Q599" s="5">
        <f>IF(L599="","",IF([1]Inputs_Outputs!$B$5="Herbaceous",(LCA!$E$29*'[1]LOCH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599" s="5">
        <f>IF(M599="","",$E$2*1000*'[1]LOCH Calc COE Calc'!$C$44)</f>
        <v>4896457.3202133691</v>
      </c>
      <c r="S599" s="6">
        <f>IF(N599="","",SUM(O599:R599)/('[1]LOCH Calc COE Calc'!$C$28))</f>
        <v>68.99275666954118</v>
      </c>
      <c r="T599">
        <f>IF(L599="","",O599/'[1]LOCH Calc COE Calc'!$C$28)</f>
        <v>65.357785502568646</v>
      </c>
      <c r="U599">
        <f>IF(L599="","",P599/'[1]LOCH Calc COE Calc'!$C$28)</f>
        <v>0.2138271933162223</v>
      </c>
      <c r="V599">
        <f>IF(L599="","",Q599/'[1]LOCH Calc COE Calc'!$C$28)</f>
        <v>3.2100000000000004</v>
      </c>
      <c r="W599">
        <f>IF(L599="","",R599/'[1]LOCH Calc COE Calc'!$C$28)</f>
        <v>0.21114397365631307</v>
      </c>
    </row>
    <row r="600" spans="12:23" x14ac:dyDescent="0.25">
      <c r="L600" s="4">
        <f>IF('[1]All Data '!BE605="","",'[1]All Data '!BE605)</f>
        <v>5.5E-2</v>
      </c>
      <c r="M600">
        <f>IF('[1]All Data '!BF605="","",'[1]All Data '!BF605)</f>
        <v>4767.5627999999997</v>
      </c>
      <c r="N600" s="5">
        <f>IF('[1]All Data '!BB605="","",'[1]All Data '!BC605/'[1]All Data '!BH605)</f>
        <v>317160</v>
      </c>
      <c r="O600" s="5">
        <f t="shared" si="11"/>
        <v>1512080217.648</v>
      </c>
      <c r="P600" s="5">
        <f>IF(M600="","",$C$2*(1-L600)*907.2/0.621371*N600*[1]Transportation!$M$40)</f>
        <v>4946983.2327159755</v>
      </c>
      <c r="Q600" s="5">
        <f>IF(L600="","",IF([1]Inputs_Outputs!$B$5="Herbaceous",(LCA!$E$29*'[1]LOCH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0" s="5">
        <f>IF(M600="","",$E$2*1000*'[1]LOCH Calc COE Calc'!$C$44)</f>
        <v>4896457.3202133691</v>
      </c>
      <c r="S600" s="6">
        <f>IF(N600="","",SUM(O600:R600)/('[1]LOCH Calc COE Calc'!$C$28))</f>
        <v>68.83806285833073</v>
      </c>
      <c r="T600">
        <f>IF(L600="","",O600/'[1]LOCH Calc COE Calc'!$C$28)</f>
        <v>65.20359614354588</v>
      </c>
      <c r="U600">
        <f>IF(L600="","",P600/'[1]LOCH Calc COE Calc'!$C$28)</f>
        <v>0.21332274112853655</v>
      </c>
      <c r="V600">
        <f>IF(L600="","",Q600/'[1]LOCH Calc COE Calc'!$C$28)</f>
        <v>3.2100000000000004</v>
      </c>
      <c r="W600">
        <f>IF(L600="","",R600/'[1]LOCH Calc COE Calc'!$C$28)</f>
        <v>0.21114397365631307</v>
      </c>
    </row>
    <row r="601" spans="12:23" x14ac:dyDescent="0.25">
      <c r="L601" s="4">
        <f>IF('[1]All Data '!BE606="","",'[1]All Data '!BE606)</f>
        <v>5.5E-2</v>
      </c>
      <c r="M601">
        <f>IF('[1]All Data '!BF606="","",'[1]All Data '!BF606)</f>
        <v>4767.5627999999997</v>
      </c>
      <c r="N601" s="5">
        <f>IF('[1]All Data '!BB606="","",'[1]All Data '!BC606/'[1]All Data '!BH606)</f>
        <v>317160</v>
      </c>
      <c r="O601" s="5">
        <f t="shared" si="11"/>
        <v>1512080217.648</v>
      </c>
      <c r="P601" s="5">
        <f>IF(M601="","",$C$2*(1-L601)*907.2/0.621371*N601*[1]Transportation!$M$40)</f>
        <v>4946983.2327159755</v>
      </c>
      <c r="Q601" s="5">
        <f>IF(L601="","",IF([1]Inputs_Outputs!$B$5="Herbaceous",(LCA!$E$29*'[1]LOCH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1" s="5">
        <f>IF(M601="","",$E$2*1000*'[1]LOCH Calc COE Calc'!$C$44)</f>
        <v>4896457.3202133691</v>
      </c>
      <c r="S601" s="6">
        <f>IF(N601="","",SUM(O601:R601)/('[1]LOCH Calc COE Calc'!$C$28))</f>
        <v>68.83806285833073</v>
      </c>
      <c r="T601">
        <f>IF(L601="","",O601/'[1]LOCH Calc COE Calc'!$C$28)</f>
        <v>65.20359614354588</v>
      </c>
      <c r="U601">
        <f>IF(L601="","",P601/'[1]LOCH Calc COE Calc'!$C$28)</f>
        <v>0.21332274112853655</v>
      </c>
      <c r="V601">
        <f>IF(L601="","",Q601/'[1]LOCH Calc COE Calc'!$C$28)</f>
        <v>3.2100000000000004</v>
      </c>
      <c r="W601">
        <f>IF(L601="","",R601/'[1]LOCH Calc COE Calc'!$C$28)</f>
        <v>0.21114397365631307</v>
      </c>
    </row>
    <row r="602" spans="12:23" x14ac:dyDescent="0.25">
      <c r="L602" s="4">
        <f>IF('[1]All Data '!BE607="","",'[1]All Data '!BE607)</f>
        <v>5.4999999999999993E-2</v>
      </c>
      <c r="M602">
        <f>IF('[1]All Data '!BF607="","",'[1]All Data '!BF607)</f>
        <v>4767.5627999999997</v>
      </c>
      <c r="N602" s="5">
        <f>IF('[1]All Data '!BB607="","",'[1]All Data '!BC607/'[1]All Data '!BH607)</f>
        <v>315884</v>
      </c>
      <c r="O602" s="5">
        <f t="shared" si="11"/>
        <v>1505996807.5151999</v>
      </c>
      <c r="P602" s="5">
        <f>IF(M602="","",$C$2*(1-L602)*907.2/0.621371*N602*[1]Transportation!$M$40)</f>
        <v>4927080.5003255559</v>
      </c>
      <c r="Q602" s="5">
        <f>IF(L602="","",IF([1]Inputs_Outputs!$B$5="Herbaceous",(LCA!$E$29*'[1]LOCH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2" s="5">
        <f>IF(M602="","",$E$2*1000*'[1]LOCH Calc COE Calc'!$C$44)</f>
        <v>4896457.3202133691</v>
      </c>
      <c r="S602" s="6">
        <f>IF(N602="","",SUM(O602:R602)/('[1]LOCH Calc COE Calc'!$C$28))</f>
        <v>68.574877120858019</v>
      </c>
      <c r="T602">
        <f>IF(L602="","",O602/'[1]LOCH Calc COE Calc'!$C$28)</f>
        <v>64.941268647395148</v>
      </c>
      <c r="U602">
        <f>IF(L602="","",P602/'[1]LOCH Calc COE Calc'!$C$28)</f>
        <v>0.21246449980655394</v>
      </c>
      <c r="V602">
        <f>IF(L602="","",Q602/'[1]LOCH Calc COE Calc'!$C$28)</f>
        <v>3.2100000000000004</v>
      </c>
      <c r="W602">
        <f>IF(L602="","",R602/'[1]LOCH Calc COE Calc'!$C$28)</f>
        <v>0.21114397365631307</v>
      </c>
    </row>
    <row r="603" spans="12:23" x14ac:dyDescent="0.25">
      <c r="L603" s="4">
        <f>IF('[1]All Data '!BE608="","",'[1]All Data '!BE608)</f>
        <v>5.4999999999999993E-2</v>
      </c>
      <c r="M603">
        <f>IF('[1]All Data '!BF608="","",'[1]All Data '!BF608)</f>
        <v>4767.5627999999997</v>
      </c>
      <c r="N603" s="5">
        <f>IF('[1]All Data '!BB608="","",'[1]All Data '!BC608/'[1]All Data '!BH608)</f>
        <v>314708</v>
      </c>
      <c r="O603" s="5">
        <f t="shared" si="11"/>
        <v>1500390153.6624</v>
      </c>
      <c r="P603" s="5">
        <f>IF(M603="","",$C$2*(1-L603)*907.2/0.621371*N603*[1]Transportation!$M$40)</f>
        <v>4908737.543200843</v>
      </c>
      <c r="Q603" s="5">
        <f>IF(L603="","",IF([1]Inputs_Outputs!$B$5="Herbaceous",(LCA!$E$29*'[1]LOCH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3" s="5">
        <f>IF(M603="","",$E$2*1000*'[1]LOCH Calc COE Calc'!$C$44)</f>
        <v>4896457.3202133691</v>
      </c>
      <c r="S603" s="6">
        <f>IF(N603="","",SUM(O603:R603)/('[1]LOCH Calc COE Calc'!$C$28))</f>
        <v>68.332317224880029</v>
      </c>
      <c r="T603">
        <f>IF(L603="","",O603/'[1]LOCH Calc COE Calc'!$C$28)</f>
        <v>64.699499732447464</v>
      </c>
      <c r="U603">
        <f>IF(L603="","",P603/'[1]LOCH Calc COE Calc'!$C$28)</f>
        <v>0.21167351877626273</v>
      </c>
      <c r="V603">
        <f>IF(L603="","",Q603/'[1]LOCH Calc COE Calc'!$C$28)</f>
        <v>3.2100000000000004</v>
      </c>
      <c r="W603">
        <f>IF(L603="","",R603/'[1]LOCH Calc COE Calc'!$C$28)</f>
        <v>0.21114397365631307</v>
      </c>
    </row>
    <row r="604" spans="12:23" x14ac:dyDescent="0.25">
      <c r="L604" s="4">
        <f>IF('[1]All Data '!BE609="","",'[1]All Data '!BE609)</f>
        <v>5.4999999999999993E-2</v>
      </c>
      <c r="M604">
        <f>IF('[1]All Data '!BF609="","",'[1]All Data '!BF609)</f>
        <v>4767.5627999999997</v>
      </c>
      <c r="N604" s="5">
        <f>IF('[1]All Data '!BB609="","",'[1]All Data '!BC609/'[1]All Data '!BH609)</f>
        <v>313783</v>
      </c>
      <c r="O604" s="5">
        <f t="shared" si="11"/>
        <v>1495980158.0723999</v>
      </c>
      <c r="P604" s="5">
        <f>IF(M604="","",$C$2*(1-L604)*907.2/0.621371*N604*[1]Transportation!$M$40)</f>
        <v>4894309.6219930546</v>
      </c>
      <c r="Q604" s="5">
        <f>IF(L604="","",IF([1]Inputs_Outputs!$B$5="Herbaceous",(LCA!$E$29*'[1]LOCH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4" s="5">
        <f>IF(M604="","",$E$2*1000*'[1]LOCH Calc COE Calc'!$C$44)</f>
        <v>4896457.3202133691</v>
      </c>
      <c r="S604" s="6">
        <f>IF(N604="","",SUM(O604:R604)/('[1]LOCH Calc COE Calc'!$C$28))</f>
        <v>68.141528191053808</v>
      </c>
      <c r="T604">
        <f>IF(L604="","",O604/'[1]LOCH Calc COE Calc'!$C$28)</f>
        <v>64.509332856319375</v>
      </c>
      <c r="U604">
        <f>IF(L604="","",P604/'[1]LOCH Calc COE Calc'!$C$28)</f>
        <v>0.21105136107811703</v>
      </c>
      <c r="V604">
        <f>IF(L604="","",Q604/'[1]LOCH Calc COE Calc'!$C$28)</f>
        <v>3.2100000000000004</v>
      </c>
      <c r="W604">
        <f>IF(L604="","",R604/'[1]LOCH Calc COE Calc'!$C$28)</f>
        <v>0.21114397365631307</v>
      </c>
    </row>
    <row r="605" spans="12:23" x14ac:dyDescent="0.25">
      <c r="L605" s="4">
        <f>IF('[1]All Data '!BE610="","",'[1]All Data '!BE610)</f>
        <v>5.5000000000000007E-2</v>
      </c>
      <c r="M605">
        <f>IF('[1]All Data '!BF610="","",'[1]All Data '!BF610)</f>
        <v>4767.5627999999997</v>
      </c>
      <c r="N605" s="5">
        <f>IF('[1]All Data '!BB610="","",'[1]All Data '!BC610/'[1]All Data '!BH610)</f>
        <v>313105</v>
      </c>
      <c r="O605" s="5">
        <f t="shared" si="11"/>
        <v>1492747750.494</v>
      </c>
      <c r="P605" s="5">
        <f>IF(M605="","",$C$2*(1-L605)*907.2/0.621371*N605*[1]Transportation!$M$40)</f>
        <v>4883734.3456915617</v>
      </c>
      <c r="Q605" s="5">
        <f>IF(L605="","",IF([1]Inputs_Outputs!$B$5="Herbaceous",(LCA!$E$29*'[1]LOCH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5" s="5">
        <f>IF(M605="","",$E$2*1000*'[1]LOCH Calc COE Calc'!$C$44)</f>
        <v>4896457.3202133691</v>
      </c>
      <c r="S605" s="6">
        <f>IF(N605="","",SUM(O605:R605)/('[1]LOCH Calc COE Calc'!$C$28))</f>
        <v>68.001684985719578</v>
      </c>
      <c r="T605">
        <f>IF(L605="","",O605/'[1]LOCH Calc COE Calc'!$C$28)</f>
        <v>64.369945675762807</v>
      </c>
      <c r="U605">
        <f>IF(L605="","",P605/'[1]LOCH Calc COE Calc'!$C$28)</f>
        <v>0.21059533630044913</v>
      </c>
      <c r="V605">
        <f>IF(L605="","",Q605/'[1]LOCH Calc COE Calc'!$C$28)</f>
        <v>3.2100000000000004</v>
      </c>
      <c r="W605">
        <f>IF(L605="","",R605/'[1]LOCH Calc COE Calc'!$C$28)</f>
        <v>0.21114397365631307</v>
      </c>
    </row>
    <row r="606" spans="12:23" x14ac:dyDescent="0.25">
      <c r="L606" s="4">
        <f>IF('[1]All Data '!BE611="","",'[1]All Data '!BE611)</f>
        <v>5.5E-2</v>
      </c>
      <c r="M606">
        <f>IF('[1]All Data '!BF611="","",'[1]All Data '!BF611)</f>
        <v>4767.5627999999997</v>
      </c>
      <c r="N606" s="5">
        <f>IF('[1]All Data '!BB611="","",'[1]All Data '!BC611/'[1]All Data '!BH611)</f>
        <v>311925</v>
      </c>
      <c r="O606" s="5">
        <f t="shared" si="11"/>
        <v>1487122026.3899999</v>
      </c>
      <c r="P606" s="5">
        <f>IF(M606="","",$C$2*(1-L606)*907.2/0.621371*N606*[1]Transportation!$M$40)</f>
        <v>4865328.9975562207</v>
      </c>
      <c r="Q606" s="5">
        <f>IF(L606="","",IF([1]Inputs_Outputs!$B$5="Herbaceous",(LCA!$E$29*'[1]LOCH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6" s="5">
        <f>IF(M606="","",$E$2*1000*'[1]LOCH Calc COE Calc'!$C$44)</f>
        <v>4896457.3202133691</v>
      </c>
      <c r="S606" s="6">
        <f>IF(N606="","",SUM(O606:R606)/('[1]LOCH Calc COE Calc'!$C$28))</f>
        <v>67.758300056081794</v>
      </c>
      <c r="T606">
        <f>IF(L606="","",O606/'[1]LOCH Calc COE Calc'!$C$28)</f>
        <v>64.127354417566991</v>
      </c>
      <c r="U606">
        <f>IF(L606="","",P606/'[1]LOCH Calc COE Calc'!$C$28)</f>
        <v>0.20980166485849028</v>
      </c>
      <c r="V606">
        <f>IF(L606="","",Q606/'[1]LOCH Calc COE Calc'!$C$28)</f>
        <v>3.2100000000000004</v>
      </c>
      <c r="W606">
        <f>IF(L606="","",R606/'[1]LOCH Calc COE Calc'!$C$28)</f>
        <v>0.21114397365631307</v>
      </c>
    </row>
    <row r="607" spans="12:23" x14ac:dyDescent="0.25">
      <c r="L607" s="4">
        <f>IF('[1]All Data '!BE612="","",'[1]All Data '!BE612)</f>
        <v>5.5E-2</v>
      </c>
      <c r="M607">
        <f>IF('[1]All Data '!BF612="","",'[1]All Data '!BF612)</f>
        <v>4767.5627999999997</v>
      </c>
      <c r="N607" s="5">
        <f>IF('[1]All Data '!BB612="","",'[1]All Data '!BC612/'[1]All Data '!BH612)</f>
        <v>311113</v>
      </c>
      <c r="O607" s="5">
        <f t="shared" si="11"/>
        <v>1483250765.3964</v>
      </c>
      <c r="P607" s="5">
        <f>IF(M607="","",$C$2*(1-L607)*907.2/0.621371*N607*[1]Transportation!$M$40)</f>
        <v>4852663.6223986801</v>
      </c>
      <c r="Q607" s="5">
        <f>IF(L607="","",IF([1]Inputs_Outputs!$B$5="Herbaceous",(LCA!$E$29*'[1]LOCH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7" s="5">
        <f>IF(M607="","",$E$2*1000*'[1]LOCH Calc COE Calc'!$C$44)</f>
        <v>4896457.3202133691</v>
      </c>
      <c r="S607" s="6">
        <f>IF(N607="","",SUM(O607:R607)/('[1]LOCH Calc COE Calc'!$C$28))</f>
        <v>67.590818223144623</v>
      </c>
      <c r="T607">
        <f>IF(L607="","",O607/'[1]LOCH Calc COE Calc'!$C$28)</f>
        <v>63.960418738198349</v>
      </c>
      <c r="U607">
        <f>IF(L607="","",P607/'[1]LOCH Calc COE Calc'!$C$28)</f>
        <v>0.20925551128995584</v>
      </c>
      <c r="V607">
        <f>IF(L607="","",Q607/'[1]LOCH Calc COE Calc'!$C$28)</f>
        <v>3.2100000000000004</v>
      </c>
      <c r="W607">
        <f>IF(L607="","",R607/'[1]LOCH Calc COE Calc'!$C$28)</f>
        <v>0.21114397365631307</v>
      </c>
    </row>
    <row r="608" spans="12:23" x14ac:dyDescent="0.25">
      <c r="L608" s="4">
        <f>IF('[1]All Data '!BE613="","",'[1]All Data '!BE613)</f>
        <v>5.5E-2</v>
      </c>
      <c r="M608">
        <f>IF('[1]All Data '!BF613="","",'[1]All Data '!BF613)</f>
        <v>4767.5627999999997</v>
      </c>
      <c r="N608" s="5">
        <f>IF('[1]All Data '!BB613="","",'[1]All Data '!BC613/'[1]All Data '!BH613)</f>
        <v>311113</v>
      </c>
      <c r="O608" s="5">
        <f t="shared" si="11"/>
        <v>1483250765.3964</v>
      </c>
      <c r="P608" s="5">
        <f>IF(M608="","",$C$2*(1-L608)*907.2/0.621371*N608*[1]Transportation!$M$40)</f>
        <v>4852663.6223986801</v>
      </c>
      <c r="Q608" s="5">
        <f>IF(L608="","",IF([1]Inputs_Outputs!$B$5="Herbaceous",(LCA!$E$29*'[1]LOCH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8" s="5">
        <f>IF(M608="","",$E$2*1000*'[1]LOCH Calc COE Calc'!$C$44)</f>
        <v>4896457.3202133691</v>
      </c>
      <c r="S608" s="6">
        <f>IF(N608="","",SUM(O608:R608)/('[1]LOCH Calc COE Calc'!$C$28))</f>
        <v>67.590818223144623</v>
      </c>
      <c r="T608">
        <f>IF(L608="","",O608/'[1]LOCH Calc COE Calc'!$C$28)</f>
        <v>63.960418738198349</v>
      </c>
      <c r="U608">
        <f>IF(L608="","",P608/'[1]LOCH Calc COE Calc'!$C$28)</f>
        <v>0.20925551128995584</v>
      </c>
      <c r="V608">
        <f>IF(L608="","",Q608/'[1]LOCH Calc COE Calc'!$C$28)</f>
        <v>3.2100000000000004</v>
      </c>
      <c r="W608">
        <f>IF(L608="","",R608/'[1]LOCH Calc COE Calc'!$C$28)</f>
        <v>0.21114397365631307</v>
      </c>
    </row>
    <row r="609" spans="12:23" x14ac:dyDescent="0.25">
      <c r="L609" s="4">
        <f>IF('[1]All Data '!BE614="","",'[1]All Data '!BE614)</f>
        <v>5.5E-2</v>
      </c>
      <c r="M609">
        <f>IF('[1]All Data '!BF614="","",'[1]All Data '!BF614)</f>
        <v>4767.5627999999997</v>
      </c>
      <c r="N609" s="5">
        <f>IF('[1]All Data '!BB614="","",'[1]All Data '!BC614/'[1]All Data '!BH614)</f>
        <v>309900</v>
      </c>
      <c r="O609" s="5">
        <f t="shared" si="11"/>
        <v>1477467711.7199998</v>
      </c>
      <c r="P609" s="5">
        <f>IF(M609="","",$C$2*(1-L609)*907.2/0.621371*N609*[1]Transportation!$M$40)</f>
        <v>4833743.5484256558</v>
      </c>
      <c r="Q609" s="5">
        <f>IF(L609="","",IF([1]Inputs_Outputs!$B$5="Herbaceous",(LCA!$E$29*'[1]LOCH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09" s="5">
        <f>IF(M609="","",$E$2*1000*'[1]LOCH Calc COE Calc'!$C$44)</f>
        <v>4896457.3202133691</v>
      </c>
      <c r="S609" s="6">
        <f>IF(N609="","",SUM(O609:R609)/('[1]LOCH Calc COE Calc'!$C$28))</f>
        <v>67.340626765813582</v>
      </c>
      <c r="T609">
        <f>IF(L609="","",O609/'[1]LOCH Calc COE Calc'!$C$28)</f>
        <v>63.711043148205526</v>
      </c>
      <c r="U609">
        <f>IF(L609="","",P609/'[1]LOCH Calc COE Calc'!$C$28)</f>
        <v>0.20843964395173883</v>
      </c>
      <c r="V609">
        <f>IF(L609="","",Q609/'[1]LOCH Calc COE Calc'!$C$28)</f>
        <v>3.2100000000000004</v>
      </c>
      <c r="W609">
        <f>IF(L609="","",R609/'[1]LOCH Calc COE Calc'!$C$28)</f>
        <v>0.21114397365631307</v>
      </c>
    </row>
    <row r="610" spans="12:23" x14ac:dyDescent="0.25">
      <c r="L610" s="4">
        <f>IF('[1]All Data '!BE615="","",'[1]All Data '!BE615)</f>
        <v>5.5E-2</v>
      </c>
      <c r="M610">
        <f>IF('[1]All Data '!BF615="","",'[1]All Data '!BF615)</f>
        <v>4767.5627999999997</v>
      </c>
      <c r="N610" s="5">
        <f>IF('[1]All Data '!BB615="","",'[1]All Data '!BC615/'[1]All Data '!BH615)</f>
        <v>309590</v>
      </c>
      <c r="O610" s="5">
        <f t="shared" si="11"/>
        <v>1475989767.2519999</v>
      </c>
      <c r="P610" s="5">
        <f>IF(M610="","",$C$2*(1-L610)*907.2/0.621371*N610*[1]Transportation!$M$40)</f>
        <v>4828908.245101965</v>
      </c>
      <c r="Q610" s="5">
        <f>IF(L610="","",IF([1]Inputs_Outputs!$B$5="Herbaceous",(LCA!$E$29*'[1]LOCH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0" s="5">
        <f>IF(M610="","",$E$2*1000*'[1]LOCH Calc COE Calc'!$C$44)</f>
        <v>4896457.3202133691</v>
      </c>
      <c r="S610" s="6">
        <f>IF(N610="","",SUM(O610:R610)/('[1]LOCH Calc COE Calc'!$C$28))</f>
        <v>67.276686657179937</v>
      </c>
      <c r="T610">
        <f>IF(L610="","",O610/'[1]LOCH Calc COE Calc'!$C$28)</f>
        <v>63.647311546476125</v>
      </c>
      <c r="U610">
        <f>IF(L610="","",P610/'[1]LOCH Calc COE Calc'!$C$28)</f>
        <v>0.20823113704749543</v>
      </c>
      <c r="V610">
        <f>IF(L610="","",Q610/'[1]LOCH Calc COE Calc'!$C$28)</f>
        <v>3.2100000000000004</v>
      </c>
      <c r="W610">
        <f>IF(L610="","",R610/'[1]LOCH Calc COE Calc'!$C$28)</f>
        <v>0.21114397365631307</v>
      </c>
    </row>
    <row r="611" spans="12:23" x14ac:dyDescent="0.25">
      <c r="L611" s="4">
        <f>IF('[1]All Data '!BE616="","",'[1]All Data '!BE616)</f>
        <v>5.5E-2</v>
      </c>
      <c r="M611">
        <f>IF('[1]All Data '!BF616="","",'[1]All Data '!BF616)</f>
        <v>4767.5627999999997</v>
      </c>
      <c r="N611" s="5">
        <f>IF('[1]All Data '!BB616="","",'[1]All Data '!BC616/'[1]All Data '!BH616)</f>
        <v>308025</v>
      </c>
      <c r="O611" s="5">
        <f t="shared" si="11"/>
        <v>1468528531.4699998</v>
      </c>
      <c r="P611" s="5">
        <f>IF(M611="","",$C$2*(1-L611)*907.2/0.621371*N611*[1]Transportation!$M$40)</f>
        <v>4804497.7621936519</v>
      </c>
      <c r="Q611" s="5">
        <f>IF(L611="","",IF([1]Inputs_Outputs!$B$5="Herbaceous",(LCA!$E$29*'[1]LOCH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1" s="5">
        <f>IF(M611="","",$E$2*1000*'[1]LOCH Calc COE Calc'!$C$44)</f>
        <v>4896457.3202133691</v>
      </c>
      <c r="S611" s="6">
        <f>IF(N611="","",SUM(O611:R611)/('[1]LOCH Calc COE Calc'!$C$28))</f>
        <v>66.953892237787457</v>
      </c>
      <c r="T611">
        <f>IF(L611="","",O611/'[1]LOCH Calc COE Calc'!$C$28)</f>
        <v>63.325569750648626</v>
      </c>
      <c r="U611">
        <f>IF(L611="","",P611/'[1]LOCH Calc COE Calc'!$C$28)</f>
        <v>0.20717851348252453</v>
      </c>
      <c r="V611">
        <f>IF(L611="","",Q611/'[1]LOCH Calc COE Calc'!$C$28)</f>
        <v>3.2100000000000004</v>
      </c>
      <c r="W611">
        <f>IF(L611="","",R611/'[1]LOCH Calc COE Calc'!$C$28)</f>
        <v>0.21114397365631307</v>
      </c>
    </row>
    <row r="612" spans="12:23" x14ac:dyDescent="0.25">
      <c r="L612" s="4">
        <f>IF('[1]All Data '!BE617="","",'[1]All Data '!BE617)</f>
        <v>5.5E-2</v>
      </c>
      <c r="M612">
        <f>IF('[1]All Data '!BF617="","",'[1]All Data '!BF617)</f>
        <v>4767.5627999999997</v>
      </c>
      <c r="N612" s="5">
        <f>IF('[1]All Data '!BB617="","",'[1]All Data '!BC617/'[1]All Data '!BH617)</f>
        <v>307810</v>
      </c>
      <c r="O612" s="5">
        <f t="shared" si="11"/>
        <v>1467503505.4679999</v>
      </c>
      <c r="P612" s="5">
        <f>IF(M612="","",$C$2*(1-L612)*907.2/0.621371*N612*[1]Transportation!$M$40)</f>
        <v>4801144.2453723811</v>
      </c>
      <c r="Q612" s="5">
        <f>IF(L612="","",IF([1]Inputs_Outputs!$B$5="Herbaceous",(LCA!$E$29*'[1]LOCH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2" s="5">
        <f>IF(M612="","",$E$2*1000*'[1]LOCH Calc COE Calc'!$C$44)</f>
        <v>4896457.3202133691</v>
      </c>
      <c r="S612" s="6">
        <f>IF(N612="","",SUM(O612:R612)/('[1]LOCH Calc COE Calc'!$C$28))</f>
        <v>66.909546678573804</v>
      </c>
      <c r="T612">
        <f>IF(L612="","",O612/'[1]LOCH Calc COE Calc'!$C$28)</f>
        <v>63.281368801062101</v>
      </c>
      <c r="U612">
        <f>IF(L612="","",P612/'[1]LOCH Calc COE Calc'!$C$28)</f>
        <v>0.20703390385538792</v>
      </c>
      <c r="V612">
        <f>IF(L612="","",Q612/'[1]LOCH Calc COE Calc'!$C$28)</f>
        <v>3.2100000000000004</v>
      </c>
      <c r="W612">
        <f>IF(L612="","",R612/'[1]LOCH Calc COE Calc'!$C$28)</f>
        <v>0.21114397365631307</v>
      </c>
    </row>
    <row r="613" spans="12:23" x14ac:dyDescent="0.25">
      <c r="L613" s="4">
        <f>IF('[1]All Data '!BE618="","",'[1]All Data '!BE618)</f>
        <v>5.5E-2</v>
      </c>
      <c r="M613">
        <f>IF('[1]All Data '!BF618="","",'[1]All Data '!BF618)</f>
        <v>4767.5627999999997</v>
      </c>
      <c r="N613" s="5">
        <f>IF('[1]All Data '!BB618="","",'[1]All Data '!BC618/'[1]All Data '!BH618)</f>
        <v>307500</v>
      </c>
      <c r="O613" s="5">
        <f t="shared" si="11"/>
        <v>1466025561</v>
      </c>
      <c r="P613" s="5">
        <f>IF(M613="","",$C$2*(1-L613)*907.2/0.621371*N613*[1]Transportation!$M$40)</f>
        <v>4796308.9420486903</v>
      </c>
      <c r="Q613" s="5">
        <f>IF(L613="","",IF([1]Inputs_Outputs!$B$5="Herbaceous",(LCA!$E$29*'[1]LOCH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3" s="5">
        <f>IF(M613="","",$E$2*1000*'[1]LOCH Calc COE Calc'!$C$44)</f>
        <v>4896457.3202133691</v>
      </c>
      <c r="S613" s="6">
        <f>IF(N613="","",SUM(O613:R613)/('[1]LOCH Calc COE Calc'!$C$28))</f>
        <v>66.845606569940159</v>
      </c>
      <c r="T613">
        <f>IF(L613="","",O613/'[1]LOCH Calc COE Calc'!$C$28)</f>
        <v>63.2176371993327</v>
      </c>
      <c r="U613">
        <f>IF(L613="","",P613/'[1]LOCH Calc COE Calc'!$C$28)</f>
        <v>0.20682539695114452</v>
      </c>
      <c r="V613">
        <f>IF(L613="","",Q613/'[1]LOCH Calc COE Calc'!$C$28)</f>
        <v>3.2100000000000004</v>
      </c>
      <c r="W613">
        <f>IF(L613="","",R613/'[1]LOCH Calc COE Calc'!$C$28)</f>
        <v>0.21114397365631307</v>
      </c>
    </row>
    <row r="614" spans="12:23" x14ac:dyDescent="0.25">
      <c r="L614" s="4">
        <f>IF('[1]All Data '!BE619="","",'[1]All Data '!BE619)</f>
        <v>5.5E-2</v>
      </c>
      <c r="M614">
        <f>IF('[1]All Data '!BF619="","",'[1]All Data '!BF619)</f>
        <v>4767.5627999999997</v>
      </c>
      <c r="N614" s="5">
        <f>IF('[1]All Data '!BB619="","",'[1]All Data '!BC619/'[1]All Data '!BH619)</f>
        <v>307390</v>
      </c>
      <c r="O614" s="5">
        <f t="shared" si="11"/>
        <v>1465501129.092</v>
      </c>
      <c r="P614" s="5">
        <f>IF(M614="","",$C$2*(1-L614)*907.2/0.621371*N614*[1]Transportation!$M$40)</f>
        <v>4794593.1892564129</v>
      </c>
      <c r="Q614" s="5">
        <f>IF(L614="","",IF([1]Inputs_Outputs!$B$5="Herbaceous",(LCA!$E$29*'[1]LOCH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4" s="5">
        <f>IF(M614="","",$E$2*1000*'[1]LOCH Calc COE Calc'!$C$44)</f>
        <v>4896457.3202133691</v>
      </c>
      <c r="S614" s="6">
        <f>IF(N614="","",SUM(O614:R614)/('[1]LOCH Calc COE Calc'!$C$28))</f>
        <v>66.822918144295954</v>
      </c>
      <c r="T614">
        <f>IF(L614="","",O614/'[1]LOCH Calc COE Calc'!$C$28)</f>
        <v>63.195022760009358</v>
      </c>
      <c r="U614">
        <f>IF(L614="","",P614/'[1]LOCH Calc COE Calc'!$C$28)</f>
        <v>0.20675141063028396</v>
      </c>
      <c r="V614">
        <f>IF(L614="","",Q614/'[1]LOCH Calc COE Calc'!$C$28)</f>
        <v>3.2100000000000004</v>
      </c>
      <c r="W614">
        <f>IF(L614="","",R614/'[1]LOCH Calc COE Calc'!$C$28)</f>
        <v>0.21114397365631307</v>
      </c>
    </row>
    <row r="615" spans="12:23" x14ac:dyDescent="0.25">
      <c r="L615" s="4">
        <f>IF('[1]All Data '!BE620="","",'[1]All Data '!BE620)</f>
        <v>5.4999999999999993E-2</v>
      </c>
      <c r="M615">
        <f>IF('[1]All Data '!BF620="","",'[1]All Data '!BF620)</f>
        <v>4767.5627999999997</v>
      </c>
      <c r="N615" s="5">
        <f>IF('[1]All Data '!BB620="","",'[1]All Data '!BC620/'[1]All Data '!BH620)</f>
        <v>307071</v>
      </c>
      <c r="O615" s="5">
        <f t="shared" si="11"/>
        <v>1463980276.5588</v>
      </c>
      <c r="P615" s="5">
        <f>IF(M615="","",$C$2*(1-L615)*907.2/0.621371*N615*[1]Transportation!$M$40)</f>
        <v>4789617.5061588073</v>
      </c>
      <c r="Q615" s="5">
        <f>IF(L615="","",IF([1]Inputs_Outputs!$B$5="Herbaceous",(LCA!$E$29*'[1]LOCH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5" s="5">
        <f>IF(M615="","",$E$2*1000*'[1]LOCH Calc COE Calc'!$C$44)</f>
        <v>4896457.3202133691</v>
      </c>
      <c r="S615" s="6">
        <f>IF(N615="","",SUM(O615:R615)/('[1]LOCH Calc COE Calc'!$C$28))</f>
        <v>66.757121709927787</v>
      </c>
      <c r="T615">
        <f>IF(L615="","",O615/'[1]LOCH Calc COE Calc'!$C$28)</f>
        <v>63.129440885971675</v>
      </c>
      <c r="U615">
        <f>IF(L615="","",P615/'[1]LOCH Calc COE Calc'!$C$28)</f>
        <v>0.20653685029978827</v>
      </c>
      <c r="V615">
        <f>IF(L615="","",Q615/'[1]LOCH Calc COE Calc'!$C$28)</f>
        <v>3.2100000000000004</v>
      </c>
      <c r="W615">
        <f>IF(L615="","",R615/'[1]LOCH Calc COE Calc'!$C$28)</f>
        <v>0.21114397365631307</v>
      </c>
    </row>
    <row r="616" spans="12:23" x14ac:dyDescent="0.25">
      <c r="L616" s="4">
        <f>IF('[1]All Data '!BE621="","",'[1]All Data '!BE621)</f>
        <v>5.5E-2</v>
      </c>
      <c r="M616">
        <f>IF('[1]All Data '!BF621="","",'[1]All Data '!BF621)</f>
        <v>4767.5627999999997</v>
      </c>
      <c r="N616" s="5">
        <f>IF('[1]All Data '!BB621="","",'[1]All Data '!BC621/'[1]All Data '!BH621)</f>
        <v>306335</v>
      </c>
      <c r="O616" s="5">
        <f t="shared" si="11"/>
        <v>1460471350.3379998</v>
      </c>
      <c r="P616" s="5">
        <f>IF(M616="","",$C$2*(1-L616)*907.2/0.621371*N616*[1]Transportation!$M$40)</f>
        <v>4778137.5602032058</v>
      </c>
      <c r="Q616" s="5">
        <f>IF(L616="","",IF([1]Inputs_Outputs!$B$5="Herbaceous",(LCA!$E$29*'[1]LOCH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6" s="5">
        <f>IF(M616="","",$E$2*1000*'[1]LOCH Calc COE Calc'!$C$44)</f>
        <v>4896457.3202133691</v>
      </c>
      <c r="S616" s="6">
        <f>IF(N616="","",SUM(O616:R616)/('[1]LOCH Calc COE Calc'!$C$28))</f>
        <v>66.605315516526588</v>
      </c>
      <c r="T616">
        <f>IF(L616="","",O616/'[1]LOCH Calc COE Calc'!$C$28)</f>
        <v>62.978129728317334</v>
      </c>
      <c r="U616">
        <f>IF(L616="","",P616/'[1]LOCH Calc COE Calc'!$C$28)</f>
        <v>0.20604181455293941</v>
      </c>
      <c r="V616">
        <f>IF(L616="","",Q616/'[1]LOCH Calc COE Calc'!$C$28)</f>
        <v>3.2100000000000004</v>
      </c>
      <c r="W616">
        <f>IF(L616="","",R616/'[1]LOCH Calc COE Calc'!$C$28)</f>
        <v>0.21114397365631307</v>
      </c>
    </row>
    <row r="617" spans="12:23" x14ac:dyDescent="0.25">
      <c r="L617" s="4">
        <f>IF('[1]All Data '!BE622="","",'[1]All Data '!BE622)</f>
        <v>5.5E-2</v>
      </c>
      <c r="M617">
        <f>IF('[1]All Data '!BF622="","",'[1]All Data '!BF622)</f>
        <v>4767.5627999999997</v>
      </c>
      <c r="N617" s="5">
        <f>IF('[1]All Data '!BB622="","",'[1]All Data '!BC622/'[1]All Data '!BH622)</f>
        <v>305939</v>
      </c>
      <c r="O617" s="5">
        <f t="shared" si="11"/>
        <v>1458583395.4691999</v>
      </c>
      <c r="P617" s="5">
        <f>IF(M617="","",$C$2*(1-L617)*907.2/0.621371*N617*[1]Transportation!$M$40)</f>
        <v>4771960.8501510061</v>
      </c>
      <c r="Q617" s="5">
        <f>IF(L617="","",IF([1]Inputs_Outputs!$B$5="Herbaceous",(LCA!$E$29*'[1]LOCH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7" s="5">
        <f>IF(M617="","",$E$2*1000*'[1]LOCH Calc COE Calc'!$C$44)</f>
        <v>4896457.3202133691</v>
      </c>
      <c r="S617" s="6">
        <f>IF(N617="","",SUM(O617:R617)/('[1]LOCH Calc COE Calc'!$C$28))</f>
        <v>66.523637184207473</v>
      </c>
      <c r="T617">
        <f>IF(L617="","",O617/'[1]LOCH Calc COE Calc'!$C$28)</f>
        <v>62.896717746753318</v>
      </c>
      <c r="U617">
        <f>IF(L617="","",P617/'[1]LOCH Calc COE Calc'!$C$28)</f>
        <v>0.20577546379784134</v>
      </c>
      <c r="V617">
        <f>IF(L617="","",Q617/'[1]LOCH Calc COE Calc'!$C$28)</f>
        <v>3.2100000000000004</v>
      </c>
      <c r="W617">
        <f>IF(L617="","",R617/'[1]LOCH Calc COE Calc'!$C$28)</f>
        <v>0.21114397365631307</v>
      </c>
    </row>
    <row r="618" spans="12:23" x14ac:dyDescent="0.25">
      <c r="L618" s="4">
        <f>IF('[1]All Data '!BE623="","",'[1]All Data '!BE623)</f>
        <v>5.5E-2</v>
      </c>
      <c r="M618">
        <f>IF('[1]All Data '!BF623="","",'[1]All Data '!BF623)</f>
        <v>4767.5627999999997</v>
      </c>
      <c r="N618" s="5">
        <f>IF('[1]All Data '!BB623="","",'[1]All Data '!BC623/'[1]All Data '!BH623)</f>
        <v>305137</v>
      </c>
      <c r="O618" s="5">
        <f t="shared" si="11"/>
        <v>1454759810.1036</v>
      </c>
      <c r="P618" s="5">
        <f>IF(M618="","",$C$2*(1-L618)*907.2/0.621371*N618*[1]Transportation!$M$40)</f>
        <v>4759451.4525200371</v>
      </c>
      <c r="Q618" s="5">
        <f>IF(L618="","",IF([1]Inputs_Outputs!$B$5="Herbaceous",(LCA!$E$29*'[1]LOCH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8" s="5">
        <f>IF(M618="","",$E$2*1000*'[1]LOCH Calc COE Calc'!$C$44)</f>
        <v>4896457.3202133691</v>
      </c>
      <c r="S618" s="6">
        <f>IF(N618="","",SUM(O618:R618)/('[1]LOCH Calc COE Calc'!$C$28))</f>
        <v>66.358217935419773</v>
      </c>
      <c r="T618">
        <f>IF(L618="","",O618/'[1]LOCH Calc COE Calc'!$C$28)</f>
        <v>62.731837925504983</v>
      </c>
      <c r="U618">
        <f>IF(L618="","",P618/'[1]LOCH Calc COE Calc'!$C$28)</f>
        <v>0.20523603625847608</v>
      </c>
      <c r="V618">
        <f>IF(L618="","",Q618/'[1]LOCH Calc COE Calc'!$C$28)</f>
        <v>3.2100000000000004</v>
      </c>
      <c r="W618">
        <f>IF(L618="","",R618/'[1]LOCH Calc COE Calc'!$C$28)</f>
        <v>0.21114397365631307</v>
      </c>
    </row>
    <row r="619" spans="12:23" x14ac:dyDescent="0.25">
      <c r="L619" s="4">
        <f>IF('[1]All Data '!BE624="","",'[1]All Data '!BE624)</f>
        <v>5.5E-2</v>
      </c>
      <c r="M619">
        <f>IF('[1]All Data '!BF624="","",'[1]All Data '!BF624)</f>
        <v>4767.5627999999997</v>
      </c>
      <c r="N619" s="5">
        <f>IF('[1]All Data '!BB624="","",'[1]All Data '!BC624/'[1]All Data '!BH624)</f>
        <v>304715</v>
      </c>
      <c r="O619" s="5">
        <f t="shared" si="11"/>
        <v>1452747898.602</v>
      </c>
      <c r="P619" s="5">
        <f>IF(M619="","",$C$2*(1-L619)*907.2/0.621371*N619*[1]Transportation!$M$40)</f>
        <v>4752869.2008987535</v>
      </c>
      <c r="Q619" s="5">
        <f>IF(L619="","",IF([1]Inputs_Outputs!$B$5="Herbaceous",(LCA!$E$29*'[1]LOCH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19" s="5">
        <f>IF(M619="","",$E$2*1000*'[1]LOCH Calc COE Calc'!$C$44)</f>
        <v>4896457.3202133691</v>
      </c>
      <c r="S619" s="6">
        <f>IF(N619="","",SUM(O619:R619)/('[1]LOCH Calc COE Calc'!$C$28))</f>
        <v>66.271176884312027</v>
      </c>
      <c r="T619">
        <f>IF(L619="","",O619/'[1]LOCH Calc COE Calc'!$C$28)</f>
        <v>62.645080712828175</v>
      </c>
      <c r="U619">
        <f>IF(L619="","",P619/'[1]LOCH Calc COE Calc'!$C$28)</f>
        <v>0.20495219782753824</v>
      </c>
      <c r="V619">
        <f>IF(L619="","",Q619/'[1]LOCH Calc COE Calc'!$C$28)</f>
        <v>3.2100000000000004</v>
      </c>
      <c r="W619">
        <f>IF(L619="","",R619/'[1]LOCH Calc COE Calc'!$C$28)</f>
        <v>0.21114397365631307</v>
      </c>
    </row>
    <row r="620" spans="12:23" x14ac:dyDescent="0.25">
      <c r="L620" s="4">
        <f>IF('[1]All Data '!BE625="","",'[1]All Data '!BE625)</f>
        <v>5.5E-2</v>
      </c>
      <c r="M620">
        <f>IF('[1]All Data '!BF625="","",'[1]All Data '!BF625)</f>
        <v>4767.5627999999997</v>
      </c>
      <c r="N620" s="5">
        <f>IF('[1]All Data '!BB625="","",'[1]All Data '!BC625/'[1]All Data '!BH625)</f>
        <v>304715</v>
      </c>
      <c r="O620" s="5">
        <f t="shared" si="11"/>
        <v>1452747898.602</v>
      </c>
      <c r="P620" s="5">
        <f>IF(M620="","",$C$2*(1-L620)*907.2/0.621371*N620*[1]Transportation!$M$40)</f>
        <v>4752869.2008987535</v>
      </c>
      <c r="Q620" s="5">
        <f>IF(L620="","",IF([1]Inputs_Outputs!$B$5="Herbaceous",(LCA!$E$29*'[1]LOCH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0" s="5">
        <f>IF(M620="","",$E$2*1000*'[1]LOCH Calc COE Calc'!$C$44)</f>
        <v>4896457.3202133691</v>
      </c>
      <c r="S620" s="6">
        <f>IF(N620="","",SUM(O620:R620)/('[1]LOCH Calc COE Calc'!$C$28))</f>
        <v>66.271176884312027</v>
      </c>
      <c r="T620">
        <f>IF(L620="","",O620/'[1]LOCH Calc COE Calc'!$C$28)</f>
        <v>62.645080712828175</v>
      </c>
      <c r="U620">
        <f>IF(L620="","",P620/'[1]LOCH Calc COE Calc'!$C$28)</f>
        <v>0.20495219782753824</v>
      </c>
      <c r="V620">
        <f>IF(L620="","",Q620/'[1]LOCH Calc COE Calc'!$C$28)</f>
        <v>3.2100000000000004</v>
      </c>
      <c r="W620">
        <f>IF(L620="","",R620/'[1]LOCH Calc COE Calc'!$C$28)</f>
        <v>0.21114397365631307</v>
      </c>
    </row>
    <row r="621" spans="12:23" x14ac:dyDescent="0.25">
      <c r="L621" s="4">
        <f>IF('[1]All Data '!BE626="","",'[1]All Data '!BE626)</f>
        <v>5.5E-2</v>
      </c>
      <c r="M621">
        <f>IF('[1]All Data '!BF626="","",'[1]All Data '!BF626)</f>
        <v>4767.5627999999997</v>
      </c>
      <c r="N621" s="5">
        <f>IF('[1]All Data '!BB626="","",'[1]All Data '!BC626/'[1]All Data '!BH626)</f>
        <v>304715</v>
      </c>
      <c r="O621" s="5">
        <f t="shared" si="11"/>
        <v>1452747898.602</v>
      </c>
      <c r="P621" s="5">
        <f>IF(M621="","",$C$2*(1-L621)*907.2/0.621371*N621*[1]Transportation!$M$40)</f>
        <v>4752869.2008987535</v>
      </c>
      <c r="Q621" s="5">
        <f>IF(L621="","",IF([1]Inputs_Outputs!$B$5="Herbaceous",(LCA!$E$29*'[1]LOCH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1" s="5">
        <f>IF(M621="","",$E$2*1000*'[1]LOCH Calc COE Calc'!$C$44)</f>
        <v>4896457.3202133691</v>
      </c>
      <c r="S621" s="6">
        <f>IF(N621="","",SUM(O621:R621)/('[1]LOCH Calc COE Calc'!$C$28))</f>
        <v>66.271176884312027</v>
      </c>
      <c r="T621">
        <f>IF(L621="","",O621/'[1]LOCH Calc COE Calc'!$C$28)</f>
        <v>62.645080712828175</v>
      </c>
      <c r="U621">
        <f>IF(L621="","",P621/'[1]LOCH Calc COE Calc'!$C$28)</f>
        <v>0.20495219782753824</v>
      </c>
      <c r="V621">
        <f>IF(L621="","",Q621/'[1]LOCH Calc COE Calc'!$C$28)</f>
        <v>3.2100000000000004</v>
      </c>
      <c r="W621">
        <f>IF(L621="","",R621/'[1]LOCH Calc COE Calc'!$C$28)</f>
        <v>0.21114397365631307</v>
      </c>
    </row>
    <row r="622" spans="12:23" x14ac:dyDescent="0.25">
      <c r="L622" s="4">
        <f>IF('[1]All Data '!BE627="","",'[1]All Data '!BE627)</f>
        <v>5.5E-2</v>
      </c>
      <c r="M622">
        <f>IF('[1]All Data '!BF627="","",'[1]All Data '!BF627)</f>
        <v>4767.5627999999997</v>
      </c>
      <c r="N622" s="5">
        <f>IF('[1]All Data '!BB627="","",'[1]All Data '!BC627/'[1]All Data '!BH627)</f>
        <v>304715</v>
      </c>
      <c r="O622" s="5">
        <f t="shared" si="11"/>
        <v>1452747898.602</v>
      </c>
      <c r="P622" s="5">
        <f>IF(M622="","",$C$2*(1-L622)*907.2/0.621371*N622*[1]Transportation!$M$40)</f>
        <v>4752869.2008987535</v>
      </c>
      <c r="Q622" s="5">
        <f>IF(L622="","",IF([1]Inputs_Outputs!$B$5="Herbaceous",(LCA!$E$29*'[1]LOCH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2" s="5">
        <f>IF(M622="","",$E$2*1000*'[1]LOCH Calc COE Calc'!$C$44)</f>
        <v>4896457.3202133691</v>
      </c>
      <c r="S622" s="6">
        <f>IF(N622="","",SUM(O622:R622)/('[1]LOCH Calc COE Calc'!$C$28))</f>
        <v>66.271176884312027</v>
      </c>
      <c r="T622">
        <f>IF(L622="","",O622/'[1]LOCH Calc COE Calc'!$C$28)</f>
        <v>62.645080712828175</v>
      </c>
      <c r="U622">
        <f>IF(L622="","",P622/'[1]LOCH Calc COE Calc'!$C$28)</f>
        <v>0.20495219782753824</v>
      </c>
      <c r="V622">
        <f>IF(L622="","",Q622/'[1]LOCH Calc COE Calc'!$C$28)</f>
        <v>3.2100000000000004</v>
      </c>
      <c r="W622">
        <f>IF(L622="","",R622/'[1]LOCH Calc COE Calc'!$C$28)</f>
        <v>0.21114397365631307</v>
      </c>
    </row>
    <row r="623" spans="12:23" x14ac:dyDescent="0.25">
      <c r="L623" s="4">
        <f>IF('[1]All Data '!BE628="","",'[1]All Data '!BE628)</f>
        <v>5.5E-2</v>
      </c>
      <c r="M623">
        <f>IF('[1]All Data '!BF628="","",'[1]All Data '!BF628)</f>
        <v>4767.5627999999997</v>
      </c>
      <c r="N623" s="5">
        <f>IF('[1]All Data '!BB628="","",'[1]All Data '!BC628/'[1]All Data '!BH628)</f>
        <v>304152</v>
      </c>
      <c r="O623" s="5">
        <f t="shared" si="11"/>
        <v>1450063760.7456</v>
      </c>
      <c r="P623" s="5">
        <f>IF(M623="","",$C$2*(1-L623)*907.2/0.621371*N623*[1]Transportation!$M$40)</f>
        <v>4744087.6661528237</v>
      </c>
      <c r="Q623" s="5">
        <f>IF(L623="","",IF([1]Inputs_Outputs!$B$5="Herbaceous",(LCA!$E$29*'[1]LOCH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3" s="5">
        <f>IF(M623="","",$E$2*1000*'[1]LOCH Calc COE Calc'!$C$44)</f>
        <v>4896457.3202133691</v>
      </c>
      <c r="S623" s="6">
        <f>IF(N623="","",SUM(O623:R623)/('[1]LOCH Calc COE Calc'!$C$28))</f>
        <v>66.155053396696715</v>
      </c>
      <c r="T623">
        <f>IF(L623="","",O623/'[1]LOCH Calc COE Calc'!$C$28)</f>
        <v>62.529335900655084</v>
      </c>
      <c r="U623">
        <f>IF(L623="","",P623/'[1]LOCH Calc COE Calc'!$C$28)</f>
        <v>0.20457352238531548</v>
      </c>
      <c r="V623">
        <f>IF(L623="","",Q623/'[1]LOCH Calc COE Calc'!$C$28)</f>
        <v>3.2100000000000004</v>
      </c>
      <c r="W623">
        <f>IF(L623="","",R623/'[1]LOCH Calc COE Calc'!$C$28)</f>
        <v>0.21114397365631307</v>
      </c>
    </row>
    <row r="624" spans="12:23" x14ac:dyDescent="0.25">
      <c r="L624" s="4">
        <f>IF('[1]All Data '!BE629="","",'[1]All Data '!BE629)</f>
        <v>5.5E-2</v>
      </c>
      <c r="M624">
        <f>IF('[1]All Data '!BF629="","",'[1]All Data '!BF629)</f>
        <v>4767.5627999999997</v>
      </c>
      <c r="N624" s="5">
        <f>IF('[1]All Data '!BB629="","",'[1]All Data '!BC629/'[1]All Data '!BH629)</f>
        <v>304126</v>
      </c>
      <c r="O624" s="5">
        <f t="shared" si="11"/>
        <v>1449939804.1127999</v>
      </c>
      <c r="P624" s="5">
        <f>IF(M624="","",$C$2*(1-L624)*907.2/0.621371*N624*[1]Transportation!$M$40)</f>
        <v>4743682.1245837398</v>
      </c>
      <c r="Q624" s="5">
        <f>IF(L624="","",IF([1]Inputs_Outputs!$B$5="Herbaceous",(LCA!$E$29*'[1]LOCH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4" s="5">
        <f>IF(M624="","",$E$2*1000*'[1]LOCH Calc COE Calc'!$C$44)</f>
        <v>4896457.3202133691</v>
      </c>
      <c r="S624" s="6">
        <f>IF(N624="","",SUM(O624:R624)/('[1]LOCH Calc COE Calc'!$C$28))</f>
        <v>66.149690677908083</v>
      </c>
      <c r="T624">
        <f>IF(L624="","",O624/'[1]LOCH Calc COE Calc'!$C$28)</f>
        <v>62.523990669542293</v>
      </c>
      <c r="U624">
        <f>IF(L624="","",P624/'[1]LOCH Calc COE Calc'!$C$28)</f>
        <v>0.2045560347094757</v>
      </c>
      <c r="V624">
        <f>IF(L624="","",Q624/'[1]LOCH Calc COE Calc'!$C$28)</f>
        <v>3.2100000000000004</v>
      </c>
      <c r="W624">
        <f>IF(L624="","",R624/'[1]LOCH Calc COE Calc'!$C$28)</f>
        <v>0.21114397365631307</v>
      </c>
    </row>
    <row r="625" spans="12:23" x14ac:dyDescent="0.25">
      <c r="L625" s="4">
        <f>IF('[1]All Data '!BE630="","",'[1]All Data '!BE630)</f>
        <v>5.5E-2</v>
      </c>
      <c r="M625">
        <f>IF('[1]All Data '!BF630="","",'[1]All Data '!BF630)</f>
        <v>4767.5627999999997</v>
      </c>
      <c r="N625" s="5">
        <f>IF('[1]All Data '!BB630="","",'[1]All Data '!BC630/'[1]All Data '!BH630)</f>
        <v>303597</v>
      </c>
      <c r="O625" s="5">
        <f t="shared" si="11"/>
        <v>1447417763.3915999</v>
      </c>
      <c r="P625" s="5">
        <f>IF(M625="","",$C$2*(1-L625)*907.2/0.621371*N625*[1]Transportation!$M$40)</f>
        <v>4735430.913428151</v>
      </c>
      <c r="Q625" s="5">
        <f>IF(L625="","",IF([1]Inputs_Outputs!$B$5="Herbaceous",(LCA!$E$29*'[1]LOCH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5" s="5">
        <f>IF(M625="","",$E$2*1000*'[1]LOCH Calc COE Calc'!$C$44)</f>
        <v>4896457.3202133691</v>
      </c>
      <c r="S625" s="6">
        <f>IF(N625="","",SUM(O625:R625)/('[1]LOCH Calc COE Calc'!$C$28))</f>
        <v>66.040579976400977</v>
      </c>
      <c r="T625">
        <f>IF(L625="","",O625/'[1]LOCH Calc COE Calc'!$C$28)</f>
        <v>62.415235774978235</v>
      </c>
      <c r="U625">
        <f>IF(L625="","",P625/'[1]LOCH Calc COE Calc'!$C$28)</f>
        <v>0.20420022776642807</v>
      </c>
      <c r="V625">
        <f>IF(L625="","",Q625/'[1]LOCH Calc COE Calc'!$C$28)</f>
        <v>3.2100000000000004</v>
      </c>
      <c r="W625">
        <f>IF(L625="","",R625/'[1]LOCH Calc COE Calc'!$C$28)</f>
        <v>0.21114397365631307</v>
      </c>
    </row>
    <row r="626" spans="12:23" x14ac:dyDescent="0.25">
      <c r="L626" s="4">
        <f>IF('[1]All Data '!BE631="","",'[1]All Data '!BE631)</f>
        <v>5.4999999999999993E-2</v>
      </c>
      <c r="M626">
        <f>IF('[1]All Data '!BF631="","",'[1]All Data '!BF631)</f>
        <v>4767.5627999999997</v>
      </c>
      <c r="N626" s="5">
        <f>IF('[1]All Data '!BB631="","",'[1]All Data '!BC631/'[1]All Data '!BH631)</f>
        <v>302983</v>
      </c>
      <c r="O626" s="5">
        <f t="shared" si="11"/>
        <v>1444490479.8323998</v>
      </c>
      <c r="P626" s="5">
        <f>IF(M626="","",$C$2*(1-L626)*907.2/0.621371*N626*[1]Transportation!$M$40)</f>
        <v>4725853.8932967102</v>
      </c>
      <c r="Q626" s="5">
        <f>IF(L626="","",IF([1]Inputs_Outputs!$B$5="Herbaceous",(LCA!$E$29*'[1]LOCH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6" s="5">
        <f>IF(M626="","",$E$2*1000*'[1]LOCH Calc COE Calc'!$C$44)</f>
        <v>4896457.3202133691</v>
      </c>
      <c r="S626" s="6">
        <f>IF(N626="","",SUM(O626:R626)/('[1]LOCH Calc COE Calc'!$C$28))</f>
        <v>65.91393730962335</v>
      </c>
      <c r="T626">
        <f>IF(L626="","",O626/'[1]LOCH Calc COE Calc'!$C$28)</f>
        <v>62.289006086391602</v>
      </c>
      <c r="U626">
        <f>IF(L626="","",P626/'[1]LOCH Calc COE Calc'!$C$28)</f>
        <v>0.20378724957544267</v>
      </c>
      <c r="V626">
        <f>IF(L626="","",Q626/'[1]LOCH Calc COE Calc'!$C$28)</f>
        <v>3.2100000000000004</v>
      </c>
      <c r="W626">
        <f>IF(L626="","",R626/'[1]LOCH Calc COE Calc'!$C$28)</f>
        <v>0.21114397365631307</v>
      </c>
    </row>
    <row r="627" spans="12:23" x14ac:dyDescent="0.25">
      <c r="L627" s="4">
        <f>IF('[1]All Data '!BE632="","",'[1]All Data '!BE632)</f>
        <v>5.5E-2</v>
      </c>
      <c r="M627">
        <f>IF('[1]All Data '!BF632="","",'[1]All Data '!BF632)</f>
        <v>4767.5627999999997</v>
      </c>
      <c r="N627" s="5">
        <f>IF('[1]All Data '!BB632="","",'[1]All Data '!BC632/'[1]All Data '!BH632)</f>
        <v>302189</v>
      </c>
      <c r="O627" s="5">
        <f t="shared" si="11"/>
        <v>1440705034.9691999</v>
      </c>
      <c r="P627" s="5">
        <f>IF(M627="","",$C$2*(1-L627)*907.2/0.621371*N627*[1]Transportation!$M$40)</f>
        <v>4713469.2776869973</v>
      </c>
      <c r="Q627" s="5">
        <f>IF(L627="","",IF([1]Inputs_Outputs!$B$5="Herbaceous",(LCA!$E$29*'[1]LOCH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7" s="5">
        <f>IF(M627="","",$E$2*1000*'[1]LOCH Calc COE Calc'!$C$44)</f>
        <v>4896457.3202133691</v>
      </c>
      <c r="S627" s="6">
        <f>IF(N627="","",SUM(O627:R627)/('[1]LOCH Calc COE Calc'!$C$28))</f>
        <v>65.750168128155238</v>
      </c>
      <c r="T627">
        <f>IF(L627="","",O627/'[1]LOCH Calc COE Calc'!$C$28)</f>
        <v>62.125770951639502</v>
      </c>
      <c r="U627">
        <f>IF(L627="","",P627/'[1]LOCH Calc COE Calc'!$C$28)</f>
        <v>0.20325320285941273</v>
      </c>
      <c r="V627">
        <f>IF(L627="","",Q627/'[1]LOCH Calc COE Calc'!$C$28)</f>
        <v>3.2100000000000004</v>
      </c>
      <c r="W627">
        <f>IF(L627="","",R627/'[1]LOCH Calc COE Calc'!$C$28)</f>
        <v>0.21114397365631307</v>
      </c>
    </row>
    <row r="628" spans="12:23" x14ac:dyDescent="0.25">
      <c r="L628" s="4">
        <f>IF('[1]All Data '!BE633="","",'[1]All Data '!BE633)</f>
        <v>5.5000000000000007E-2</v>
      </c>
      <c r="M628">
        <f>IF('[1]All Data '!BF633="","",'[1]All Data '!BF633)</f>
        <v>4767.5627999999997</v>
      </c>
      <c r="N628" s="5">
        <f>IF('[1]All Data '!BB633="","",'[1]All Data '!BC633/'[1]All Data '!BH633)</f>
        <v>302005</v>
      </c>
      <c r="O628" s="5">
        <f t="shared" si="11"/>
        <v>1439827803.4139998</v>
      </c>
      <c r="P628" s="5">
        <f>IF(M628="","",$C$2*(1-L628)*907.2/0.621371*N628*[1]Transportation!$M$40)</f>
        <v>4710599.2911980972</v>
      </c>
      <c r="Q628" s="5">
        <f>IF(L628="","",IF([1]Inputs_Outputs!$B$5="Herbaceous",(LCA!$E$29*'[1]LOCH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8" s="5">
        <f>IF(M628="","",$E$2*1000*'[1]LOCH Calc COE Calc'!$C$44)</f>
        <v>4896457.3202133691</v>
      </c>
      <c r="S628" s="6">
        <f>IF(N628="","",SUM(O628:R628)/('[1]LOCH Calc COE Calc'!$C$28))</f>
        <v>65.712216579804931</v>
      </c>
      <c r="T628">
        <f>IF(L628="","",O628/'[1]LOCH Calc COE Calc'!$C$28)</f>
        <v>62.087943162225912</v>
      </c>
      <c r="U628">
        <f>IF(L628="","",P628/'[1]LOCH Calc COE Calc'!$C$28)</f>
        <v>0.20312944392270052</v>
      </c>
      <c r="V628">
        <f>IF(L628="","",Q628/'[1]LOCH Calc COE Calc'!$C$28)</f>
        <v>3.2100000000000004</v>
      </c>
      <c r="W628">
        <f>IF(L628="","",R628/'[1]LOCH Calc COE Calc'!$C$28)</f>
        <v>0.21114397365631307</v>
      </c>
    </row>
    <row r="629" spans="12:23" x14ac:dyDescent="0.25">
      <c r="L629" s="4">
        <f>IF('[1]All Data '!BE634="","",'[1]All Data '!BE634)</f>
        <v>5.5E-2</v>
      </c>
      <c r="M629">
        <f>IF('[1]All Data '!BF634="","",'[1]All Data '!BF634)</f>
        <v>4767.5627999999997</v>
      </c>
      <c r="N629" s="5">
        <f>IF('[1]All Data '!BB634="","",'[1]All Data '!BC634/'[1]All Data '!BH634)</f>
        <v>301575</v>
      </c>
      <c r="O629" s="5">
        <f t="shared" si="11"/>
        <v>1437777751.4099998</v>
      </c>
      <c r="P629" s="5">
        <f>IF(M629="","",$C$2*(1-L629)*907.2/0.621371*N629*[1]Transportation!$M$40)</f>
        <v>4703892.2575555574</v>
      </c>
      <c r="Q629" s="5">
        <f>IF(L629="","",IF([1]Inputs_Outputs!$B$5="Herbaceous",(LCA!$E$29*'[1]LOCH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29" s="5">
        <f>IF(M629="","",$E$2*1000*'[1]LOCH Calc COE Calc'!$C$44)</f>
        <v>4896457.3202133691</v>
      </c>
      <c r="S629" s="6">
        <f>IF(N629="","",SUM(O629:R629)/('[1]LOCH Calc COE Calc'!$C$28))</f>
        <v>65.623525461377611</v>
      </c>
      <c r="T629">
        <f>IF(L629="","",O629/'[1]LOCH Calc COE Calc'!$C$28)</f>
        <v>61.999541263052869</v>
      </c>
      <c r="U629">
        <f>IF(L629="","",P629/'[1]LOCH Calc COE Calc'!$C$28)</f>
        <v>0.20284022466842735</v>
      </c>
      <c r="V629">
        <f>IF(L629="","",Q629/'[1]LOCH Calc COE Calc'!$C$28)</f>
        <v>3.2100000000000004</v>
      </c>
      <c r="W629">
        <f>IF(L629="","",R629/'[1]LOCH Calc COE Calc'!$C$28)</f>
        <v>0.21114397365631307</v>
      </c>
    </row>
    <row r="630" spans="12:23" x14ac:dyDescent="0.25">
      <c r="L630" s="4">
        <f>IF('[1]All Data '!BE635="","",'[1]All Data '!BE635)</f>
        <v>5.5E-2</v>
      </c>
      <c r="M630">
        <f>IF('[1]All Data '!BF635="","",'[1]All Data '!BF635)</f>
        <v>4767.5627999999997</v>
      </c>
      <c r="N630" s="5">
        <f>IF('[1]All Data '!BB635="","",'[1]All Data '!BC635/'[1]All Data '!BH635)</f>
        <v>300913</v>
      </c>
      <c r="O630" s="5">
        <f t="shared" si="11"/>
        <v>1434621624.8363998</v>
      </c>
      <c r="P630" s="5">
        <f>IF(M630="","",$C$2*(1-L630)*907.2/0.621371*N630*[1]Transportation!$M$40)</f>
        <v>4693566.5452965777</v>
      </c>
      <c r="Q630" s="5">
        <f>IF(L630="","",IF([1]Inputs_Outputs!$B$5="Herbaceous",(LCA!$E$29*'[1]LOCH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0" s="5">
        <f>IF(M630="","",$E$2*1000*'[1]LOCH Calc COE Calc'!$C$44)</f>
        <v>4896457.3202133691</v>
      </c>
      <c r="S630" s="6">
        <f>IF(N630="","",SUM(O630:R630)/('[1]LOCH Calc COE Calc'!$C$28))</f>
        <v>65.486982390682527</v>
      </c>
      <c r="T630">
        <f>IF(L630="","",O630/'[1]LOCH Calc COE Calc'!$C$28)</f>
        <v>61.86344345548877</v>
      </c>
      <c r="U630">
        <f>IF(L630="","",P630/'[1]LOCH Calc COE Calc'!$C$28)</f>
        <v>0.20239496153743011</v>
      </c>
      <c r="V630">
        <f>IF(L630="","",Q630/'[1]LOCH Calc COE Calc'!$C$28)</f>
        <v>3.2100000000000004</v>
      </c>
      <c r="W630">
        <f>IF(L630="","",R630/'[1]LOCH Calc COE Calc'!$C$28)</f>
        <v>0.21114397365631307</v>
      </c>
    </row>
    <row r="631" spans="12:23" x14ac:dyDescent="0.25">
      <c r="L631" s="4">
        <f>IF('[1]All Data '!BE636="","",'[1]All Data '!BE636)</f>
        <v>5.5000000000000007E-2</v>
      </c>
      <c r="M631">
        <f>IF('[1]All Data '!BF636="","",'[1]All Data '!BF636)</f>
        <v>4767.5627999999997</v>
      </c>
      <c r="N631" s="5">
        <f>IF('[1]All Data '!BB636="","",'[1]All Data '!BC636/'[1]All Data '!BH636)</f>
        <v>299994</v>
      </c>
      <c r="O631" s="5">
        <f t="shared" si="11"/>
        <v>1430240234.6231999</v>
      </c>
      <c r="P631" s="5">
        <f>IF(M631="","",$C$2*(1-L631)*907.2/0.621371*N631*[1]Transportation!$M$40)</f>
        <v>4679232.210604731</v>
      </c>
      <c r="Q631" s="5">
        <f>IF(L631="","",IF([1]Inputs_Outputs!$B$5="Herbaceous",(LCA!$E$29*'[1]LOCH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1" s="5">
        <f>IF(M631="","",$E$2*1000*'[1]LOCH Calc COE Calc'!$C$44)</f>
        <v>4896457.3202133691</v>
      </c>
      <c r="S631" s="6">
        <f>IF(N631="","",SUM(O631:R631)/('[1]LOCH Calc COE Calc'!$C$28))</f>
        <v>65.297430907345984</v>
      </c>
      <c r="T631">
        <f>IF(L631="","",O631/'[1]LOCH Calc COE Calc'!$C$28)</f>
        <v>61.674510094232886</v>
      </c>
      <c r="U631">
        <f>IF(L631="","",P631/'[1]LOCH Calc COE Calc'!$C$28)</f>
        <v>0.20177683945678584</v>
      </c>
      <c r="V631">
        <f>IF(L631="","",Q631/'[1]LOCH Calc COE Calc'!$C$28)</f>
        <v>3.2100000000000004</v>
      </c>
      <c r="W631">
        <f>IF(L631="","",R631/'[1]LOCH Calc COE Calc'!$C$28)</f>
        <v>0.21114397365631307</v>
      </c>
    </row>
    <row r="632" spans="12:23" x14ac:dyDescent="0.25">
      <c r="L632" s="4">
        <f>IF('[1]All Data '!BE637="","",'[1]All Data '!BE637)</f>
        <v>5.5E-2</v>
      </c>
      <c r="M632">
        <f>IF('[1]All Data '!BF637="","",'[1]All Data '!BF637)</f>
        <v>4767.5627999999997</v>
      </c>
      <c r="N632" s="5">
        <f>IF('[1]All Data '!BB637="","",'[1]All Data '!BC637/'[1]All Data '!BH637)</f>
        <v>299974</v>
      </c>
      <c r="O632" s="5">
        <f t="shared" si="11"/>
        <v>1430144883.3671999</v>
      </c>
      <c r="P632" s="5">
        <f>IF(M632="","",$C$2*(1-L632)*907.2/0.621371*N632*[1]Transportation!$M$40)</f>
        <v>4678920.2555515897</v>
      </c>
      <c r="Q632" s="5">
        <f>IF(L632="","",IF([1]Inputs_Outputs!$B$5="Herbaceous",(LCA!$E$29*'[1]LOCH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2" s="5">
        <f>IF(M632="","",$E$2*1000*'[1]LOCH Calc COE Calc'!$C$44)</f>
        <v>4896457.3202133691</v>
      </c>
      <c r="S632" s="6">
        <f>IF(N632="","",SUM(O632:R632)/('[1]LOCH Calc COE Calc'!$C$28))</f>
        <v>65.293305739047042</v>
      </c>
      <c r="T632">
        <f>IF(L632="","",O632/'[1]LOCH Calc COE Calc'!$C$28)</f>
        <v>61.670398377992278</v>
      </c>
      <c r="U632">
        <f>IF(L632="","",P632/'[1]LOCH Calc COE Calc'!$C$28)</f>
        <v>0.20176338739844757</v>
      </c>
      <c r="V632">
        <f>IF(L632="","",Q632/'[1]LOCH Calc COE Calc'!$C$28)</f>
        <v>3.2100000000000004</v>
      </c>
      <c r="W632">
        <f>IF(L632="","",R632/'[1]LOCH Calc COE Calc'!$C$28)</f>
        <v>0.21114397365631307</v>
      </c>
    </row>
    <row r="633" spans="12:23" x14ac:dyDescent="0.25">
      <c r="L633" s="4">
        <f>IF('[1]All Data '!BE638="","",'[1]All Data '!BE638)</f>
        <v>5.4999999999999993E-2</v>
      </c>
      <c r="M633">
        <f>IF('[1]All Data '!BF638="","",'[1]All Data '!BF638)</f>
        <v>4767.5627999999997</v>
      </c>
      <c r="N633" s="5">
        <f>IF('[1]All Data '!BB638="","",'[1]All Data '!BC638/'[1]All Data '!BH638)</f>
        <v>299970</v>
      </c>
      <c r="O633" s="5">
        <f t="shared" si="11"/>
        <v>1430125813.1159999</v>
      </c>
      <c r="P633" s="5">
        <f>IF(M633="","",$C$2*(1-L633)*907.2/0.621371*N633*[1]Transportation!$M$40)</f>
        <v>4678857.8645409616</v>
      </c>
      <c r="Q633" s="5">
        <f>IF(L633="","",IF([1]Inputs_Outputs!$B$5="Herbaceous",(LCA!$E$29*'[1]LOCH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3" s="5">
        <f>IF(M633="","",$E$2*1000*'[1]LOCH Calc COE Calc'!$C$44)</f>
        <v>4896457.3202133691</v>
      </c>
      <c r="S633" s="6">
        <f>IF(N633="","",SUM(O633:R633)/('[1]LOCH Calc COE Calc'!$C$28))</f>
        <v>65.292480705387263</v>
      </c>
      <c r="T633">
        <f>IF(L633="","",O633/'[1]LOCH Calc COE Calc'!$C$28)</f>
        <v>61.669576034744161</v>
      </c>
      <c r="U633">
        <f>IF(L633="","",P633/'[1]LOCH Calc COE Calc'!$C$28)</f>
        <v>0.20176069698677992</v>
      </c>
      <c r="V633">
        <f>IF(L633="","",Q633/'[1]LOCH Calc COE Calc'!$C$28)</f>
        <v>3.2100000000000004</v>
      </c>
      <c r="W633">
        <f>IF(L633="","",R633/'[1]LOCH Calc COE Calc'!$C$28)</f>
        <v>0.21114397365631307</v>
      </c>
    </row>
    <row r="634" spans="12:23" x14ac:dyDescent="0.25">
      <c r="L634" s="4">
        <f>IF('[1]All Data '!BE639="","",'[1]All Data '!BE639)</f>
        <v>5.5000000000000007E-2</v>
      </c>
      <c r="M634">
        <f>IF('[1]All Data '!BF639="","",'[1]All Data '!BF639)</f>
        <v>4767.5627999999997</v>
      </c>
      <c r="N634" s="5">
        <f>IF('[1]All Data '!BB639="","",'[1]All Data '!BC639/'[1]All Data '!BH639)</f>
        <v>299655</v>
      </c>
      <c r="O634" s="5">
        <f t="shared" si="11"/>
        <v>1428624030.8339999</v>
      </c>
      <c r="P634" s="5">
        <f>IF(M634="","",$C$2*(1-L634)*907.2/0.621371*N634*[1]Transportation!$M$40)</f>
        <v>4673944.572453985</v>
      </c>
      <c r="Q634" s="5">
        <f>IF(L634="","",IF([1]Inputs_Outputs!$B$5="Herbaceous",(LCA!$E$29*'[1]LOCH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4" s="5">
        <f>IF(M634="","",$E$2*1000*'[1]LOCH Calc COE Calc'!$C$44)</f>
        <v>4896457.3202133691</v>
      </c>
      <c r="S634" s="6">
        <f>IF(N634="","",SUM(O634:R634)/('[1]LOCH Calc COE Calc'!$C$28))</f>
        <v>65.227509304678861</v>
      </c>
      <c r="T634">
        <f>IF(L634="","",O634/'[1]LOCH Calc COE Calc'!$C$28)</f>
        <v>61.604816503954595</v>
      </c>
      <c r="U634">
        <f>IF(L634="","",P634/'[1]LOCH Calc COE Calc'!$C$28)</f>
        <v>0.20154882706795194</v>
      </c>
      <c r="V634">
        <f>IF(L634="","",Q634/'[1]LOCH Calc COE Calc'!$C$28)</f>
        <v>3.2100000000000004</v>
      </c>
      <c r="W634">
        <f>IF(L634="","",R634/'[1]LOCH Calc COE Calc'!$C$28)</f>
        <v>0.21114397365631307</v>
      </c>
    </row>
    <row r="635" spans="12:23" x14ac:dyDescent="0.25">
      <c r="L635" s="4">
        <f>IF('[1]All Data '!BE640="","",'[1]All Data '!BE640)</f>
        <v>5.4999999999999993E-2</v>
      </c>
      <c r="M635">
        <f>IF('[1]All Data '!BF640="","",'[1]All Data '!BF640)</f>
        <v>4767.5627999999997</v>
      </c>
      <c r="N635" s="5">
        <f>IF('[1]All Data '!BB640="","",'[1]All Data '!BC640/'[1]All Data '!BH640)</f>
        <v>299621</v>
      </c>
      <c r="O635" s="5">
        <f t="shared" si="11"/>
        <v>1428461933.6987998</v>
      </c>
      <c r="P635" s="5">
        <f>IF(M635="","",$C$2*(1-L635)*907.2/0.621371*N635*[1]Transportation!$M$40)</f>
        <v>4673414.2488636449</v>
      </c>
      <c r="Q635" s="5">
        <f>IF(L635="","",IF([1]Inputs_Outputs!$B$5="Herbaceous",(LCA!$E$29*'[1]LOCH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5" s="5">
        <f>IF(M635="","",$E$2*1000*'[1]LOCH Calc COE Calc'!$C$44)</f>
        <v>4896457.3202133691</v>
      </c>
      <c r="S635" s="6">
        <f>IF(N635="","",SUM(O635:R635)/('[1]LOCH Calc COE Calc'!$C$28))</f>
        <v>65.220496518570656</v>
      </c>
      <c r="T635">
        <f>IF(L635="","",O635/'[1]LOCH Calc COE Calc'!$C$28)</f>
        <v>61.597826586345562</v>
      </c>
      <c r="U635">
        <f>IF(L635="","",P635/'[1]LOCH Calc COE Calc'!$C$28)</f>
        <v>0.20152595856877684</v>
      </c>
      <c r="V635">
        <f>IF(L635="","",Q635/'[1]LOCH Calc COE Calc'!$C$28)</f>
        <v>3.2100000000000004</v>
      </c>
      <c r="W635">
        <f>IF(L635="","",R635/'[1]LOCH Calc COE Calc'!$C$28)</f>
        <v>0.21114397365631307</v>
      </c>
    </row>
    <row r="636" spans="12:23" x14ac:dyDescent="0.25">
      <c r="L636" s="4">
        <f>IF('[1]All Data '!BE641="","",'[1]All Data '!BE641)</f>
        <v>5.5E-2</v>
      </c>
      <c r="M636">
        <f>IF('[1]All Data '!BF641="","",'[1]All Data '!BF641)</f>
        <v>4767.5627999999997</v>
      </c>
      <c r="N636" s="5">
        <f>IF('[1]All Data '!BB641="","",'[1]All Data '!BC641/'[1]All Data '!BH641)</f>
        <v>299375</v>
      </c>
      <c r="O636" s="5">
        <f t="shared" si="11"/>
        <v>1427289113.25</v>
      </c>
      <c r="P636" s="5">
        <f>IF(M636="","",$C$2*(1-L636)*907.2/0.621371*N636*[1]Transportation!$M$40)</f>
        <v>4669577.2017100053</v>
      </c>
      <c r="Q636" s="5">
        <f>IF(L636="","",IF([1]Inputs_Outputs!$B$5="Herbaceous",(LCA!$E$29*'[1]LOCH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6" s="5">
        <f>IF(M636="","",$E$2*1000*'[1]LOCH Calc COE Calc'!$C$44)</f>
        <v>4896457.3202133691</v>
      </c>
      <c r="S636" s="6">
        <f>IF(N636="","",SUM(O636:R636)/('[1]LOCH Calc COE Calc'!$C$28))</f>
        <v>65.169756948493628</v>
      </c>
      <c r="T636">
        <f>IF(L636="","",O636/'[1]LOCH Calc COE Calc'!$C$28)</f>
        <v>61.547252476586102</v>
      </c>
      <c r="U636">
        <f>IF(L636="","",P636/'[1]LOCH Calc COE Calc'!$C$28)</f>
        <v>0.20136049825121591</v>
      </c>
      <c r="V636">
        <f>IF(L636="","",Q636/'[1]LOCH Calc COE Calc'!$C$28)</f>
        <v>3.2100000000000004</v>
      </c>
      <c r="W636">
        <f>IF(L636="","",R636/'[1]LOCH Calc COE Calc'!$C$28)</f>
        <v>0.21114397365631307</v>
      </c>
    </row>
    <row r="637" spans="12:23" x14ac:dyDescent="0.25">
      <c r="L637" s="4">
        <f>IF('[1]All Data '!BE642="","",'[1]All Data '!BE642)</f>
        <v>5.5000000000000007E-2</v>
      </c>
      <c r="M637">
        <f>IF('[1]All Data '!BF642="","",'[1]All Data '!BF642)</f>
        <v>4767.5627999999997</v>
      </c>
      <c r="N637" s="5">
        <f>IF('[1]All Data '!BB642="","",'[1]All Data '!BC642/'[1]All Data '!BH642)</f>
        <v>299042</v>
      </c>
      <c r="O637" s="5">
        <f t="shared" si="11"/>
        <v>1425701514.8376</v>
      </c>
      <c r="P637" s="5">
        <f>IF(M637="","",$C$2*(1-L637)*907.2/0.621371*N637*[1]Transportation!$M$40)</f>
        <v>4664383.1500752019</v>
      </c>
      <c r="Q637" s="5">
        <f>IF(L637="","",IF([1]Inputs_Outputs!$B$5="Herbaceous",(LCA!$E$29*'[1]LOCH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7" s="5">
        <f>IF(M637="","",$E$2*1000*'[1]LOCH Calc COE Calc'!$C$44)</f>
        <v>4896457.3202133691</v>
      </c>
      <c r="S637" s="6">
        <f>IF(N637="","",SUM(O637:R637)/('[1]LOCH Calc COE Calc'!$C$28))</f>
        <v>65.101072896316197</v>
      </c>
      <c r="T637">
        <f>IF(L637="","",O637/'[1]LOCH Calc COE Calc'!$C$28)</f>
        <v>61.478792401179994</v>
      </c>
      <c r="U637">
        <f>IF(L637="","",P637/'[1]LOCH Calc COE Calc'!$C$28)</f>
        <v>0.20113652147988348</v>
      </c>
      <c r="V637">
        <f>IF(L637="","",Q637/'[1]LOCH Calc COE Calc'!$C$28)</f>
        <v>3.2100000000000004</v>
      </c>
      <c r="W637">
        <f>IF(L637="","",R637/'[1]LOCH Calc COE Calc'!$C$28)</f>
        <v>0.21114397365631307</v>
      </c>
    </row>
    <row r="638" spans="12:23" x14ac:dyDescent="0.25">
      <c r="L638" s="4">
        <f>IF('[1]All Data '!BE643="","",'[1]All Data '!BE643)</f>
        <v>5.5E-2</v>
      </c>
      <c r="M638">
        <f>IF('[1]All Data '!BF643="","",'[1]All Data '!BF643)</f>
        <v>4767.5627999999997</v>
      </c>
      <c r="N638" s="5">
        <f>IF('[1]All Data '!BB643="","",'[1]All Data '!BC643/'[1]All Data '!BH643)</f>
        <v>298965</v>
      </c>
      <c r="O638" s="5">
        <f t="shared" si="11"/>
        <v>1425334412.5019999</v>
      </c>
      <c r="P638" s="5">
        <f>IF(M638="","",$C$2*(1-L638)*907.2/0.621371*N638*[1]Transportation!$M$40)</f>
        <v>4663182.1231206069</v>
      </c>
      <c r="Q638" s="5">
        <f>IF(L638="","",IF([1]Inputs_Outputs!$B$5="Herbaceous",(LCA!$E$29*'[1]LOCH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8" s="5">
        <f>IF(M638="","",$E$2*1000*'[1]LOCH Calc COE Calc'!$C$44)</f>
        <v>4896457.3202133691</v>
      </c>
      <c r="S638" s="6">
        <f>IF(N638="","",SUM(O638:R638)/('[1]LOCH Calc COE Calc'!$C$28))</f>
        <v>65.085190998365249</v>
      </c>
      <c r="T638">
        <f>IF(L638="","",O638/'[1]LOCH Calc COE Calc'!$C$28)</f>
        <v>61.462962293653653</v>
      </c>
      <c r="U638">
        <f>IF(L638="","",P638/'[1]LOCH Calc COE Calc'!$C$28)</f>
        <v>0.20108473105528105</v>
      </c>
      <c r="V638">
        <f>IF(L638="","",Q638/'[1]LOCH Calc COE Calc'!$C$28)</f>
        <v>3.2100000000000004</v>
      </c>
      <c r="W638">
        <f>IF(L638="","",R638/'[1]LOCH Calc COE Calc'!$C$28)</f>
        <v>0.21114397365631307</v>
      </c>
    </row>
    <row r="639" spans="12:23" x14ac:dyDescent="0.25">
      <c r="L639" s="4">
        <f>IF('[1]All Data '!BE644="","",'[1]All Data '!BE644)</f>
        <v>5.5E-2</v>
      </c>
      <c r="M639">
        <f>IF('[1]All Data '!BF644="","",'[1]All Data '!BF644)</f>
        <v>4767.5627999999997</v>
      </c>
      <c r="N639" s="5">
        <f>IF('[1]All Data '!BB644="","",'[1]All Data '!BC644/'[1]All Data '!BH644)</f>
        <v>298374</v>
      </c>
      <c r="O639" s="5">
        <f t="shared" si="11"/>
        <v>1422516782.8871999</v>
      </c>
      <c r="P639" s="5">
        <f>IF(M639="","",$C$2*(1-L639)*907.2/0.621371*N639*[1]Transportation!$M$40)</f>
        <v>4653963.8513002796</v>
      </c>
      <c r="Q639" s="5">
        <f>IF(L639="","",IF([1]Inputs_Outputs!$B$5="Herbaceous",(LCA!$E$29*'[1]LOCH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39" s="5">
        <f>IF(M639="","",$E$2*1000*'[1]LOCH Calc COE Calc'!$C$44)</f>
        <v>4896457.3202133691</v>
      </c>
      <c r="S639" s="6">
        <f>IF(N639="","",SUM(O639:R639)/('[1]LOCH Calc COE Calc'!$C$28))</f>
        <v>64.963292275131408</v>
      </c>
      <c r="T639">
        <f>IF(L639="","",O639/'[1]LOCH Calc COE Calc'!$C$28)</f>
        <v>61.341461078743713</v>
      </c>
      <c r="U639">
        <f>IF(L639="","",P639/'[1]LOCH Calc COE Calc'!$C$28)</f>
        <v>0.2006872227313847</v>
      </c>
      <c r="V639">
        <f>IF(L639="","",Q639/'[1]LOCH Calc COE Calc'!$C$28)</f>
        <v>3.2100000000000004</v>
      </c>
      <c r="W639">
        <f>IF(L639="","",R639/'[1]LOCH Calc COE Calc'!$C$28)</f>
        <v>0.21114397365631307</v>
      </c>
    </row>
    <row r="640" spans="12:23" x14ac:dyDescent="0.25">
      <c r="L640" s="4">
        <f>IF('[1]All Data '!BE645="","",'[1]All Data '!BE645)</f>
        <v>5.5E-2</v>
      </c>
      <c r="M640">
        <f>IF('[1]All Data '!BF645="","",'[1]All Data '!BF645)</f>
        <v>4767.5627999999997</v>
      </c>
      <c r="N640" s="5">
        <f>IF('[1]All Data '!BB645="","",'[1]All Data '!BC645/'[1]All Data '!BH645)</f>
        <v>296283</v>
      </c>
      <c r="O640" s="5">
        <f t="shared" si="11"/>
        <v>1412547809.0723999</v>
      </c>
      <c r="P640" s="5">
        <f>IF(M640="","",$C$2*(1-L640)*907.2/0.621371*N640*[1]Transportation!$M$40)</f>
        <v>4621348.9504943481</v>
      </c>
      <c r="Q640" s="5">
        <f>IF(L640="","",IF([1]Inputs_Outputs!$B$5="Herbaceous",(LCA!$E$29*'[1]LOCH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0" s="5">
        <f>IF(M640="","",$E$2*1000*'[1]LOCH Calc COE Calc'!$C$44)</f>
        <v>4896457.3202133691</v>
      </c>
      <c r="S640" s="6">
        <f>IF(N640="","",SUM(O640:R640)/('[1]LOCH Calc COE Calc'!$C$28))</f>
        <v>64.532005929476682</v>
      </c>
      <c r="T640">
        <f>IF(L640="","",O640/'[1]LOCH Calc COE Calc'!$C$28)</f>
        <v>60.911581145788254</v>
      </c>
      <c r="U640">
        <f>IF(L640="","",P640/'[1]LOCH Calc COE Calc'!$C$28)</f>
        <v>0.1992808100321169</v>
      </c>
      <c r="V640">
        <f>IF(L640="","",Q640/'[1]LOCH Calc COE Calc'!$C$28)</f>
        <v>3.2100000000000004</v>
      </c>
      <c r="W640">
        <f>IF(L640="","",R640/'[1]LOCH Calc COE Calc'!$C$28)</f>
        <v>0.21114397365631307</v>
      </c>
    </row>
    <row r="641" spans="12:23" x14ac:dyDescent="0.25">
      <c r="L641" s="4">
        <f>IF('[1]All Data '!BE646="","",'[1]All Data '!BE646)</f>
        <v>5.5E-2</v>
      </c>
      <c r="M641">
        <f>IF('[1]All Data '!BF646="","",'[1]All Data '!BF646)</f>
        <v>4767.5627999999997</v>
      </c>
      <c r="N641" s="5">
        <f>IF('[1]All Data '!BB646="","",'[1]All Data '!BC646/'[1]All Data '!BH646)</f>
        <v>295905</v>
      </c>
      <c r="O641" s="5">
        <f t="shared" si="11"/>
        <v>1410745670.3339999</v>
      </c>
      <c r="P641" s="5">
        <f>IF(M641="","",$C$2*(1-L641)*907.2/0.621371*N641*[1]Transportation!$M$40)</f>
        <v>4615452.9999899762</v>
      </c>
      <c r="Q641" s="5">
        <f>IF(L641="","",IF([1]Inputs_Outputs!$B$5="Herbaceous",(LCA!$E$29*'[1]LOCH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1" s="5">
        <f>IF(M641="","",$E$2*1000*'[1]LOCH Calc COE Calc'!$C$44)</f>
        <v>4896457.3202133691</v>
      </c>
      <c r="S641" s="6">
        <f>IF(N641="","",SUM(O641:R641)/('[1]LOCH Calc COE Calc'!$C$28))</f>
        <v>64.454040248626626</v>
      </c>
      <c r="T641">
        <f>IF(L641="","",O641/'[1]LOCH Calc COE Calc'!$C$28)</f>
        <v>60.83386970884078</v>
      </c>
      <c r="U641">
        <f>IF(L641="","",P641/'[1]LOCH Calc COE Calc'!$C$28)</f>
        <v>0.19902656612952332</v>
      </c>
      <c r="V641">
        <f>IF(L641="","",Q641/'[1]LOCH Calc COE Calc'!$C$28)</f>
        <v>3.2100000000000004</v>
      </c>
      <c r="W641">
        <f>IF(L641="","",R641/'[1]LOCH Calc COE Calc'!$C$28)</f>
        <v>0.21114397365631307</v>
      </c>
    </row>
    <row r="642" spans="12:23" x14ac:dyDescent="0.25">
      <c r="L642" s="4">
        <f>IF('[1]All Data '!BE647="","",'[1]All Data '!BE647)</f>
        <v>5.5E-2</v>
      </c>
      <c r="M642">
        <f>IF('[1]All Data '!BF647="","",'[1]All Data '!BF647)</f>
        <v>4767.5627999999997</v>
      </c>
      <c r="N642" s="5">
        <f>IF('[1]All Data '!BB647="","",'[1]All Data '!BC647/'[1]All Data '!BH647)</f>
        <v>291936</v>
      </c>
      <c r="O642" s="5">
        <f t="shared" si="11"/>
        <v>1391823213.5807998</v>
      </c>
      <c r="P642" s="5">
        <f>IF(M642="","",$C$2*(1-L642)*907.2/0.621371*N642*[1]Transportation!$M$40)</f>
        <v>4553545.5196940703</v>
      </c>
      <c r="Q642" s="5">
        <f>IF(L642="","",IF([1]Inputs_Outputs!$B$5="Herbaceous",(LCA!$E$29*'[1]LOCH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2" s="5">
        <f>IF(M642="","",$E$2*1000*'[1]LOCH Calc COE Calc'!$C$44)</f>
        <v>4896457.3202133691</v>
      </c>
      <c r="S642" s="6">
        <f>IF(N642="","",SUM(O642:R642)/('[1]LOCH Calc COE Calc'!$C$28))</f>
        <v>63.635400599700922</v>
      </c>
      <c r="T642">
        <f>IF(L642="","",O642/'[1]LOCH Calc COE Calc'!$C$28)</f>
        <v>60.017899620892315</v>
      </c>
      <c r="U642">
        <f>IF(L642="","",P642/'[1]LOCH Calc COE Calc'!$C$28)</f>
        <v>0.19635700515229051</v>
      </c>
      <c r="V642">
        <f>IF(L642="","",Q642/'[1]LOCH Calc COE Calc'!$C$28)</f>
        <v>3.2100000000000004</v>
      </c>
      <c r="W642">
        <f>IF(L642="","",R642/'[1]LOCH Calc COE Calc'!$C$28)</f>
        <v>0.21114397365631307</v>
      </c>
    </row>
    <row r="643" spans="12:23" x14ac:dyDescent="0.25">
      <c r="L643" s="4">
        <f>IF('[1]All Data '!BE648="","",'[1]All Data '!BE648)</f>
        <v>5.5E-2</v>
      </c>
      <c r="M643">
        <f>IF('[1]All Data '!BF648="","",'[1]All Data '!BF648)</f>
        <v>4767.5627999999997</v>
      </c>
      <c r="N643" s="5">
        <f>IF('[1]All Data '!BB648="","",'[1]All Data '!BC648/'[1]All Data '!BH648)</f>
        <v>291088</v>
      </c>
      <c r="O643" s="5">
        <f t="shared" si="11"/>
        <v>1387780320.3263998</v>
      </c>
      <c r="P643" s="5">
        <f>IF(M643="","",$C$2*(1-L643)*907.2/0.621371*N643*[1]Transportation!$M$40)</f>
        <v>4540318.625440876</v>
      </c>
      <c r="Q643" s="5">
        <f>IF(L643="","",IF([1]Inputs_Outputs!$B$5="Herbaceous",(LCA!$E$29*'[1]LOCH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3" s="5">
        <f>IF(M643="","",$E$2*1000*'[1]LOCH Calc COE Calc'!$C$44)</f>
        <v>4896457.3202133691</v>
      </c>
      <c r="S643" s="6">
        <f>IF(N643="","",SUM(O643:R643)/('[1]LOCH Calc COE Calc'!$C$28))</f>
        <v>63.460493463825642</v>
      </c>
      <c r="T643">
        <f>IF(L643="","",O643/'[1]LOCH Calc COE Calc'!$C$28)</f>
        <v>59.843562852290582</v>
      </c>
      <c r="U643">
        <f>IF(L643="","",P643/'[1]LOCH Calc COE Calc'!$C$28)</f>
        <v>0.1957866378787472</v>
      </c>
      <c r="V643">
        <f>IF(L643="","",Q643/'[1]LOCH Calc COE Calc'!$C$28)</f>
        <v>3.2100000000000004</v>
      </c>
      <c r="W643">
        <f>IF(L643="","",R643/'[1]LOCH Calc COE Calc'!$C$28)</f>
        <v>0.21114397365631307</v>
      </c>
    </row>
    <row r="644" spans="12:23" x14ac:dyDescent="0.25">
      <c r="L644" s="4">
        <f>IF('[1]All Data '!BE649="","",'[1]All Data '!BE649)</f>
        <v>5.5E-2</v>
      </c>
      <c r="M644">
        <f>IF('[1]All Data '!BF649="","",'[1]All Data '!BF649)</f>
        <v>4767.5627999999997</v>
      </c>
      <c r="N644" s="5">
        <f>IF('[1]All Data '!BB649="","",'[1]All Data '!BC649/'[1]All Data '!BH649)</f>
        <v>291088</v>
      </c>
      <c r="O644" s="5">
        <f t="shared" ref="O644:O707" si="12">IF(N644="","",M644*N644)</f>
        <v>1387780320.3263998</v>
      </c>
      <c r="P644" s="5">
        <f>IF(M644="","",$C$2*(1-L644)*907.2/0.621371*N644*[1]Transportation!$M$40)</f>
        <v>4540318.625440876</v>
      </c>
      <c r="Q644" s="5">
        <f>IF(L644="","",IF([1]Inputs_Outputs!$B$5="Herbaceous",(LCA!$E$29*'[1]LOCH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4" s="5">
        <f>IF(M644="","",$E$2*1000*'[1]LOCH Calc COE Calc'!$C$44)</f>
        <v>4896457.3202133691</v>
      </c>
      <c r="S644" s="6">
        <f>IF(N644="","",SUM(O644:R644)/('[1]LOCH Calc COE Calc'!$C$28))</f>
        <v>63.460493463825642</v>
      </c>
      <c r="T644">
        <f>IF(L644="","",O644/'[1]LOCH Calc COE Calc'!$C$28)</f>
        <v>59.843562852290582</v>
      </c>
      <c r="U644">
        <f>IF(L644="","",P644/'[1]LOCH Calc COE Calc'!$C$28)</f>
        <v>0.1957866378787472</v>
      </c>
      <c r="V644">
        <f>IF(L644="","",Q644/'[1]LOCH Calc COE Calc'!$C$28)</f>
        <v>3.2100000000000004</v>
      </c>
      <c r="W644">
        <f>IF(L644="","",R644/'[1]LOCH Calc COE Calc'!$C$28)</f>
        <v>0.21114397365631307</v>
      </c>
    </row>
    <row r="645" spans="12:23" x14ac:dyDescent="0.25">
      <c r="L645" s="4">
        <f>IF('[1]All Data '!BE650="","",'[1]All Data '!BE650)</f>
        <v>5.5E-2</v>
      </c>
      <c r="M645">
        <f>IF('[1]All Data '!BF650="","",'[1]All Data '!BF650)</f>
        <v>4767.5627999999997</v>
      </c>
      <c r="N645" s="5">
        <f>IF('[1]All Data '!BB650="","",'[1]All Data '!BC650/'[1]All Data '!BH650)</f>
        <v>290996</v>
      </c>
      <c r="O645" s="5">
        <f t="shared" si="12"/>
        <v>1387341704.5488</v>
      </c>
      <c r="P645" s="5">
        <f>IF(M645="","",$C$2*(1-L645)*907.2/0.621371*N645*[1]Transportation!$M$40)</f>
        <v>4538883.6321964255</v>
      </c>
      <c r="Q645" s="5">
        <f>IF(L645="","",IF([1]Inputs_Outputs!$B$5="Herbaceous",(LCA!$E$29*'[1]LOCH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5" s="5">
        <f>IF(M645="","",$E$2*1000*'[1]LOCH Calc COE Calc'!$C$44)</f>
        <v>4896457.3202133691</v>
      </c>
      <c r="S645" s="6">
        <f>IF(N645="","",SUM(O645:R645)/('[1]LOCH Calc COE Calc'!$C$28))</f>
        <v>63.441517689650503</v>
      </c>
      <c r="T645">
        <f>IF(L645="","",O645/'[1]LOCH Calc COE Calc'!$C$28)</f>
        <v>59.824648957583797</v>
      </c>
      <c r="U645">
        <f>IF(L645="","",P645/'[1]LOCH Calc COE Calc'!$C$28)</f>
        <v>0.19572475841039108</v>
      </c>
      <c r="V645">
        <f>IF(L645="","",Q645/'[1]LOCH Calc COE Calc'!$C$28)</f>
        <v>3.2100000000000004</v>
      </c>
      <c r="W645">
        <f>IF(L645="","",R645/'[1]LOCH Calc COE Calc'!$C$28)</f>
        <v>0.21114397365631307</v>
      </c>
    </row>
    <row r="646" spans="12:23" x14ac:dyDescent="0.25">
      <c r="L646" s="4">
        <f>IF('[1]All Data '!BE651="","",'[1]All Data '!BE651)</f>
        <v>5.5E-2</v>
      </c>
      <c r="M646">
        <f>IF('[1]All Data '!BF651="","",'[1]All Data '!BF651)</f>
        <v>4767.5627999999997</v>
      </c>
      <c r="N646" s="5">
        <f>IF('[1]All Data '!BB651="","",'[1]All Data '!BC651/'[1]All Data '!BH651)</f>
        <v>290925</v>
      </c>
      <c r="O646" s="5">
        <f t="shared" si="12"/>
        <v>1387003207.5899999</v>
      </c>
      <c r="P646" s="5">
        <f>IF(M646="","",$C$2*(1-L646)*907.2/0.621371*N646*[1]Transportation!$M$40)</f>
        <v>4537776.191757774</v>
      </c>
      <c r="Q646" s="5">
        <f>IF(L646="","",IF([1]Inputs_Outputs!$B$5="Herbaceous",(LCA!$E$29*'[1]LOCH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6" s="5">
        <f>IF(M646="","",$E$2*1000*'[1]LOCH Calc COE Calc'!$C$44)</f>
        <v>4896457.3202133691</v>
      </c>
      <c r="S646" s="6">
        <f>IF(N646="","",SUM(O646:R646)/('[1]LOCH Calc COE Calc'!$C$28))</f>
        <v>63.426873342189239</v>
      </c>
      <c r="T646">
        <f>IF(L646="","",O646/'[1]LOCH Calc COE Calc'!$C$28)</f>
        <v>59.810052364929639</v>
      </c>
      <c r="U646">
        <f>IF(L646="","",P646/'[1]LOCH Calc COE Calc'!$C$28)</f>
        <v>0.19567700360329018</v>
      </c>
      <c r="V646">
        <f>IF(L646="","",Q646/'[1]LOCH Calc COE Calc'!$C$28)</f>
        <v>3.2100000000000004</v>
      </c>
      <c r="W646">
        <f>IF(L646="","",R646/'[1]LOCH Calc COE Calc'!$C$28)</f>
        <v>0.21114397365631307</v>
      </c>
    </row>
    <row r="647" spans="12:23" x14ac:dyDescent="0.25">
      <c r="L647" s="4">
        <f>IF('[1]All Data '!BE652="","",'[1]All Data '!BE652)</f>
        <v>5.5E-2</v>
      </c>
      <c r="M647">
        <f>IF('[1]All Data '!BF652="","",'[1]All Data '!BF652)</f>
        <v>4767.5627999999997</v>
      </c>
      <c r="N647" s="5">
        <f>IF('[1]All Data '!BB652="","",'[1]All Data '!BC652/'[1]All Data '!BH652)</f>
        <v>289711</v>
      </c>
      <c r="O647" s="5">
        <f t="shared" si="12"/>
        <v>1381215386.3507998</v>
      </c>
      <c r="P647" s="5">
        <f>IF(M647="","",$C$2*(1-L647)*907.2/0.621371*N647*[1]Transportation!$M$40)</f>
        <v>4518840.5200320911</v>
      </c>
      <c r="Q647" s="5">
        <f>IF(L647="","",IF([1]Inputs_Outputs!$B$5="Herbaceous",(LCA!$E$29*'[1]LOCH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7" s="5">
        <f>IF(M647="","",$E$2*1000*'[1]LOCH Calc COE Calc'!$C$44)</f>
        <v>4896457.3202133691</v>
      </c>
      <c r="S647" s="6">
        <f>IF(N647="","",SUM(O647:R647)/('[1]LOCH Calc COE Calc'!$C$28))</f>
        <v>63.176475626443263</v>
      </c>
      <c r="T647">
        <f>IF(L647="","",O647/'[1]LOCH Calc COE Calc'!$C$28)</f>
        <v>59.56047118912479</v>
      </c>
      <c r="U647">
        <f>IF(L647="","",P647/'[1]LOCH Calc COE Calc'!$C$28)</f>
        <v>0.19486046366215617</v>
      </c>
      <c r="V647">
        <f>IF(L647="","",Q647/'[1]LOCH Calc COE Calc'!$C$28)</f>
        <v>3.2100000000000004</v>
      </c>
      <c r="W647">
        <f>IF(L647="","",R647/'[1]LOCH Calc COE Calc'!$C$28)</f>
        <v>0.21114397365631307</v>
      </c>
    </row>
    <row r="648" spans="12:23" x14ac:dyDescent="0.25">
      <c r="L648" s="4">
        <f>IF('[1]All Data '!BE653="","",'[1]All Data '!BE653)</f>
        <v>5.5E-2</v>
      </c>
      <c r="M648">
        <f>IF('[1]All Data '!BF653="","",'[1]All Data '!BF653)</f>
        <v>4767.5627999999997</v>
      </c>
      <c r="N648" s="5">
        <f>IF('[1]All Data '!BB653="","",'[1]All Data '!BC653/'[1]All Data '!BH653)</f>
        <v>288594</v>
      </c>
      <c r="O648" s="5">
        <f t="shared" si="12"/>
        <v>1375890018.7031999</v>
      </c>
      <c r="P648" s="5">
        <f>IF(M648="","",$C$2*(1-L648)*907.2/0.621371*N648*[1]Transportation!$M$40)</f>
        <v>4501417.8303141454</v>
      </c>
      <c r="Q648" s="5">
        <f>IF(L648="","",IF([1]Inputs_Outputs!$B$5="Herbaceous",(LCA!$E$29*'[1]LOCH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8" s="5">
        <f>IF(M648="","",$E$2*1000*'[1]LOCH Calc COE Calc'!$C$44)</f>
        <v>4896457.3202133691</v>
      </c>
      <c r="S648" s="6">
        <f>IF(N648="","",SUM(O648:R648)/('[1]LOCH Calc COE Calc'!$C$28))</f>
        <v>62.946084976947169</v>
      </c>
      <c r="T648">
        <f>IF(L648="","",O648/'[1]LOCH Calc COE Calc'!$C$28)</f>
        <v>59.33083183708689</v>
      </c>
      <c r="U648">
        <f>IF(L648="","",P648/'[1]LOCH Calc COE Calc'!$C$28)</f>
        <v>0.19410916620396293</v>
      </c>
      <c r="V648">
        <f>IF(L648="","",Q648/'[1]LOCH Calc COE Calc'!$C$28)</f>
        <v>3.2100000000000004</v>
      </c>
      <c r="W648">
        <f>IF(L648="","",R648/'[1]LOCH Calc COE Calc'!$C$28)</f>
        <v>0.21114397365631307</v>
      </c>
    </row>
    <row r="649" spans="12:23" x14ac:dyDescent="0.25">
      <c r="L649" s="4">
        <f>IF('[1]All Data '!BE654="","",'[1]All Data '!BE654)</f>
        <v>5.5E-2</v>
      </c>
      <c r="M649">
        <f>IF('[1]All Data '!BF654="","",'[1]All Data '!BF654)</f>
        <v>4767.5627999999997</v>
      </c>
      <c r="N649" s="5">
        <f>IF('[1]All Data '!BB654="","",'[1]All Data '!BC654/'[1]All Data '!BH654)</f>
        <v>288569</v>
      </c>
      <c r="O649" s="5">
        <f t="shared" si="12"/>
        <v>1375770829.6331999</v>
      </c>
      <c r="P649" s="5">
        <f>IF(M649="","",$C$2*(1-L649)*907.2/0.621371*N649*[1]Transportation!$M$40)</f>
        <v>4501027.8864977192</v>
      </c>
      <c r="Q649" s="5">
        <f>IF(L649="","",IF([1]Inputs_Outputs!$B$5="Herbaceous",(LCA!$E$29*'[1]LOCH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49" s="5">
        <f>IF(M649="","",$E$2*1000*'[1]LOCH Calc COE Calc'!$C$44)</f>
        <v>4896457.3202133691</v>
      </c>
      <c r="S649" s="6">
        <f>IF(N649="","",SUM(O649:R649)/('[1]LOCH Calc COE Calc'!$C$28))</f>
        <v>62.940928516573493</v>
      </c>
      <c r="T649">
        <f>IF(L649="","",O649/'[1]LOCH Calc COE Calc'!$C$28)</f>
        <v>59.325692191786132</v>
      </c>
      <c r="U649">
        <f>IF(L649="","",P649/'[1]LOCH Calc COE Calc'!$C$28)</f>
        <v>0.19409235113104009</v>
      </c>
      <c r="V649">
        <f>IF(L649="","",Q649/'[1]LOCH Calc COE Calc'!$C$28)</f>
        <v>3.2100000000000004</v>
      </c>
      <c r="W649">
        <f>IF(L649="","",R649/'[1]LOCH Calc COE Calc'!$C$28)</f>
        <v>0.21114397365631307</v>
      </c>
    </row>
    <row r="650" spans="12:23" x14ac:dyDescent="0.25">
      <c r="L650" s="4">
        <f>IF('[1]All Data '!BE655="","",'[1]All Data '!BE655)</f>
        <v>5.5E-2</v>
      </c>
      <c r="M650">
        <f>IF('[1]All Data '!BF655="","",'[1]All Data '!BF655)</f>
        <v>4767.5627999999997</v>
      </c>
      <c r="N650" s="5">
        <f>IF('[1]All Data '!BB655="","",'[1]All Data '!BC655/'[1]All Data '!BH655)</f>
        <v>288020</v>
      </c>
      <c r="O650" s="5">
        <f t="shared" si="12"/>
        <v>1373153437.6559999</v>
      </c>
      <c r="P650" s="5">
        <f>IF(M650="","",$C$2*(1-L650)*907.2/0.621371*N650*[1]Transportation!$M$40)</f>
        <v>4492464.7202889882</v>
      </c>
      <c r="Q650" s="5">
        <f>IF(L650="","",IF([1]Inputs_Outputs!$B$5="Herbaceous",(LCA!$E$29*'[1]LOCH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0" s="5">
        <f>IF(M650="","",$E$2*1000*'[1]LOCH Calc COE Calc'!$C$44)</f>
        <v>4896457.3202133691</v>
      </c>
      <c r="S650" s="6">
        <f>IF(N650="","",SUM(O650:R650)/('[1]LOCH Calc COE Calc'!$C$28))</f>
        <v>62.827692646767439</v>
      </c>
      <c r="T650">
        <f>IF(L650="","",O650/'[1]LOCH Calc COE Calc'!$C$28)</f>
        <v>59.212825580981473</v>
      </c>
      <c r="U650">
        <f>IF(L650="","",P650/'[1]LOCH Calc COE Calc'!$C$28)</f>
        <v>0.19372309212965413</v>
      </c>
      <c r="V650">
        <f>IF(L650="","",Q650/'[1]LOCH Calc COE Calc'!$C$28)</f>
        <v>3.2100000000000004</v>
      </c>
      <c r="W650">
        <f>IF(L650="","",R650/'[1]LOCH Calc COE Calc'!$C$28)</f>
        <v>0.21114397365631307</v>
      </c>
    </row>
    <row r="651" spans="12:23" x14ac:dyDescent="0.25">
      <c r="L651" s="4">
        <f>IF('[1]All Data '!BE656="","",'[1]All Data '!BE656)</f>
        <v>5.5E-2</v>
      </c>
      <c r="M651">
        <f>IF('[1]All Data '!BF656="","",'[1]All Data '!BF656)</f>
        <v>4767.5627999999997</v>
      </c>
      <c r="N651" s="5">
        <f>IF('[1]All Data '!BB656="","",'[1]All Data '!BC656/'[1]All Data '!BH656)</f>
        <v>287948</v>
      </c>
      <c r="O651" s="5">
        <f t="shared" si="12"/>
        <v>1372810173.1343999</v>
      </c>
      <c r="P651" s="5">
        <f>IF(M651="","",$C$2*(1-L651)*907.2/0.621371*N651*[1]Transportation!$M$40)</f>
        <v>4491341.682097679</v>
      </c>
      <c r="Q651" s="5">
        <f>IF(L651="","",IF([1]Inputs_Outputs!$B$5="Herbaceous",(LCA!$E$29*'[1]LOCH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1" s="5">
        <f>IF(M651="","",$E$2*1000*'[1]LOCH Calc COE Calc'!$C$44)</f>
        <v>4896457.3202133691</v>
      </c>
      <c r="S651" s="6">
        <f>IF(N651="","",SUM(O651:R651)/('[1]LOCH Calc COE Calc'!$C$28))</f>
        <v>62.812842040891233</v>
      </c>
      <c r="T651">
        <f>IF(L651="","",O651/'[1]LOCH Calc COE Calc'!$C$28)</f>
        <v>59.198023402515282</v>
      </c>
      <c r="U651">
        <f>IF(L651="","",P651/'[1]LOCH Calc COE Calc'!$C$28)</f>
        <v>0.19367466471963629</v>
      </c>
      <c r="V651">
        <f>IF(L651="","",Q651/'[1]LOCH Calc COE Calc'!$C$28)</f>
        <v>3.2100000000000004</v>
      </c>
      <c r="W651">
        <f>IF(L651="","",R651/'[1]LOCH Calc COE Calc'!$C$28)</f>
        <v>0.21114397365631307</v>
      </c>
    </row>
    <row r="652" spans="12:23" x14ac:dyDescent="0.25">
      <c r="L652" s="4">
        <f>IF('[1]All Data '!BE657="","",'[1]All Data '!BE657)</f>
        <v>5.5E-2</v>
      </c>
      <c r="M652">
        <f>IF('[1]All Data '!BF657="","",'[1]All Data '!BF657)</f>
        <v>4767.5627999999997</v>
      </c>
      <c r="N652" s="5">
        <f>IF('[1]All Data '!BB657="","",'[1]All Data '!BC657/'[1]All Data '!BH657)</f>
        <v>287351</v>
      </c>
      <c r="O652" s="5">
        <f t="shared" si="12"/>
        <v>1369963938.1427999</v>
      </c>
      <c r="P652" s="5">
        <f>IF(M652="","",$C$2*(1-L652)*907.2/0.621371*N652*[1]Transportation!$M$40)</f>
        <v>4482029.8237614091</v>
      </c>
      <c r="Q652" s="5">
        <f>IF(L652="","",IF([1]Inputs_Outputs!$B$5="Herbaceous",(LCA!$E$29*'[1]LOCH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2" s="5">
        <f>IF(M652="","",$E$2*1000*'[1]LOCH Calc COE Calc'!$C$44)</f>
        <v>4896457.3202133691</v>
      </c>
      <c r="S652" s="6">
        <f>IF(N652="","",SUM(O652:R652)/('[1]LOCH Calc COE Calc'!$C$28))</f>
        <v>62.689705767167723</v>
      </c>
      <c r="T652">
        <f>IF(L652="","",O652/'[1]LOCH Calc COE Calc'!$C$28)</f>
        <v>59.075288672733166</v>
      </c>
      <c r="U652">
        <f>IF(L652="","",P652/'[1]LOCH Calc COE Calc'!$C$28)</f>
        <v>0.19327312077823849</v>
      </c>
      <c r="V652">
        <f>IF(L652="","",Q652/'[1]LOCH Calc COE Calc'!$C$28)</f>
        <v>3.2100000000000004</v>
      </c>
      <c r="W652">
        <f>IF(L652="","",R652/'[1]LOCH Calc COE Calc'!$C$28)</f>
        <v>0.21114397365631307</v>
      </c>
    </row>
    <row r="653" spans="12:23" x14ac:dyDescent="0.25">
      <c r="L653" s="4">
        <f>IF('[1]All Data '!BE658="","",'[1]All Data '!BE658)</f>
        <v>5.5E-2</v>
      </c>
      <c r="M653">
        <f>IF('[1]All Data '!BF658="","",'[1]All Data '!BF658)</f>
        <v>4767.5627999999997</v>
      </c>
      <c r="N653" s="5">
        <f>IF('[1]All Data '!BB658="","",'[1]All Data '!BC658/'[1]All Data '!BH658)</f>
        <v>286392</v>
      </c>
      <c r="O653" s="5">
        <f t="shared" si="12"/>
        <v>1365391845.4175999</v>
      </c>
      <c r="P653" s="5">
        <f>IF(M653="","",$C$2*(1-L653)*907.2/0.621371*N653*[1]Transportation!$M$40)</f>
        <v>4467071.5789632797</v>
      </c>
      <c r="Q653" s="5">
        <f>IF(L653="","",IF([1]Inputs_Outputs!$B$5="Herbaceous",(LCA!$E$29*'[1]LOCH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3" s="5">
        <f>IF(M653="","",$E$2*1000*'[1]LOCH Calc COE Calc'!$C$44)</f>
        <v>4896457.3202133691</v>
      </c>
      <c r="S653" s="6">
        <f>IF(N653="","",SUM(O653:R653)/('[1]LOCH Calc COE Calc'!$C$28))</f>
        <v>62.491903947233297</v>
      </c>
      <c r="T653">
        <f>IF(L653="","",O653/'[1]LOCH Calc COE Calc'!$C$28)</f>
        <v>58.878131878996058</v>
      </c>
      <c r="U653">
        <f>IF(L653="","",P653/'[1]LOCH Calc COE Calc'!$C$28)</f>
        <v>0.19262809458091767</v>
      </c>
      <c r="V653">
        <f>IF(L653="","",Q653/'[1]LOCH Calc COE Calc'!$C$28)</f>
        <v>3.2100000000000004</v>
      </c>
      <c r="W653">
        <f>IF(L653="","",R653/'[1]LOCH Calc COE Calc'!$C$28)</f>
        <v>0.21114397365631307</v>
      </c>
    </row>
    <row r="654" spans="12:23" x14ac:dyDescent="0.25">
      <c r="L654" s="4">
        <f>IF('[1]All Data '!BE659="","",'[1]All Data '!BE659)</f>
        <v>5.5E-2</v>
      </c>
      <c r="M654">
        <f>IF('[1]All Data '!BF659="","",'[1]All Data '!BF659)</f>
        <v>4767.5627999999997</v>
      </c>
      <c r="N654" s="5">
        <f>IF('[1]All Data '!BB659="","",'[1]All Data '!BC659/'[1]All Data '!BH659)</f>
        <v>285923</v>
      </c>
      <c r="O654" s="5">
        <f t="shared" si="12"/>
        <v>1363155858.4643998</v>
      </c>
      <c r="P654" s="5">
        <f>IF(M654="","",$C$2*(1-L654)*907.2/0.621371*N654*[1]Transportation!$M$40)</f>
        <v>4459756.2329671141</v>
      </c>
      <c r="Q654" s="5">
        <f>IF(L654="","",IF([1]Inputs_Outputs!$B$5="Herbaceous",(LCA!$E$29*'[1]LOCH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4" s="5">
        <f>IF(M654="","",$E$2*1000*'[1]LOCH Calc COE Calc'!$C$44)</f>
        <v>4896457.3202133691</v>
      </c>
      <c r="S654" s="6">
        <f>IF(N654="","",SUM(O654:R654)/('[1]LOCH Calc COE Calc'!$C$28))</f>
        <v>62.395168750623021</v>
      </c>
      <c r="T654">
        <f>IF(L654="","",O654/'[1]LOCH Calc COE Calc'!$C$28)</f>
        <v>58.781712133153825</v>
      </c>
      <c r="U654">
        <f>IF(L654="","",P654/'[1]LOCH Calc COE Calc'!$C$28)</f>
        <v>0.19231264381288485</v>
      </c>
      <c r="V654">
        <f>IF(L654="","",Q654/'[1]LOCH Calc COE Calc'!$C$28)</f>
        <v>3.2100000000000004</v>
      </c>
      <c r="W654">
        <f>IF(L654="","",R654/'[1]LOCH Calc COE Calc'!$C$28)</f>
        <v>0.21114397365631307</v>
      </c>
    </row>
    <row r="655" spans="12:23" x14ac:dyDescent="0.25">
      <c r="L655" s="4">
        <f>IF('[1]All Data '!BE660="","",'[1]All Data '!BE660)</f>
        <v>5.5E-2</v>
      </c>
      <c r="M655">
        <f>IF('[1]All Data '!BF660="","",'[1]All Data '!BF660)</f>
        <v>4767.5627999999997</v>
      </c>
      <c r="N655" s="5">
        <f>IF('[1]All Data '!BB660="","",'[1]All Data '!BC660/'[1]All Data '!BH660)</f>
        <v>285923</v>
      </c>
      <c r="O655" s="5">
        <f t="shared" si="12"/>
        <v>1363155858.4643998</v>
      </c>
      <c r="P655" s="5">
        <f>IF(M655="","",$C$2*(1-L655)*907.2/0.621371*N655*[1]Transportation!$M$40)</f>
        <v>4459756.2329671141</v>
      </c>
      <c r="Q655" s="5">
        <f>IF(L655="","",IF([1]Inputs_Outputs!$B$5="Herbaceous",(LCA!$E$29*'[1]LOCH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5" s="5">
        <f>IF(M655="","",$E$2*1000*'[1]LOCH Calc COE Calc'!$C$44)</f>
        <v>4896457.3202133691</v>
      </c>
      <c r="S655" s="6">
        <f>IF(N655="","",SUM(O655:R655)/('[1]LOCH Calc COE Calc'!$C$28))</f>
        <v>62.395168750623021</v>
      </c>
      <c r="T655">
        <f>IF(L655="","",O655/'[1]LOCH Calc COE Calc'!$C$28)</f>
        <v>58.781712133153825</v>
      </c>
      <c r="U655">
        <f>IF(L655="","",P655/'[1]LOCH Calc COE Calc'!$C$28)</f>
        <v>0.19231264381288485</v>
      </c>
      <c r="V655">
        <f>IF(L655="","",Q655/'[1]LOCH Calc COE Calc'!$C$28)</f>
        <v>3.2100000000000004</v>
      </c>
      <c r="W655">
        <f>IF(L655="","",R655/'[1]LOCH Calc COE Calc'!$C$28)</f>
        <v>0.21114397365631307</v>
      </c>
    </row>
    <row r="656" spans="12:23" x14ac:dyDescent="0.25">
      <c r="L656" s="4">
        <f>IF('[1]All Data '!BE661="","",'[1]All Data '!BE661)</f>
        <v>5.5E-2</v>
      </c>
      <c r="M656">
        <f>IF('[1]All Data '!BF661="","",'[1]All Data '!BF661)</f>
        <v>4767.5627999999997</v>
      </c>
      <c r="N656" s="5">
        <f>IF('[1]All Data '!BB661="","",'[1]All Data '!BC661/'[1]All Data '!BH661)</f>
        <v>285049</v>
      </c>
      <c r="O656" s="5">
        <f t="shared" si="12"/>
        <v>1358989008.5771999</v>
      </c>
      <c r="P656" s="5">
        <f>IF(M656="","",$C$2*(1-L656)*907.2/0.621371*N656*[1]Transportation!$M$40)</f>
        <v>4446123.7971448367</v>
      </c>
      <c r="Q656" s="5">
        <f>IF(L656="","",IF([1]Inputs_Outputs!$B$5="Herbaceous",(LCA!$E$29*'[1]LOCH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6" s="5">
        <f>IF(M656="","",$E$2*1000*'[1]LOCH Calc COE Calc'!$C$44)</f>
        <v>4896457.3202133691</v>
      </c>
      <c r="S656" s="6">
        <f>IF(N656="","",SUM(O656:R656)/('[1]LOCH Calc COE Calc'!$C$28))</f>
        <v>62.214898895959124</v>
      </c>
      <c r="T656">
        <f>IF(L656="","",O656/'[1]LOCH Calc COE Calc'!$C$28)</f>
        <v>58.6020301334393</v>
      </c>
      <c r="U656">
        <f>IF(L656="","",P656/'[1]LOCH Calc COE Calc'!$C$28)</f>
        <v>0.1917247888635018</v>
      </c>
      <c r="V656">
        <f>IF(L656="","",Q656/'[1]LOCH Calc COE Calc'!$C$28)</f>
        <v>3.2100000000000004</v>
      </c>
      <c r="W656">
        <f>IF(L656="","",R656/'[1]LOCH Calc COE Calc'!$C$28)</f>
        <v>0.21114397365631307</v>
      </c>
    </row>
    <row r="657" spans="12:23" x14ac:dyDescent="0.25">
      <c r="L657" s="4">
        <f>IF('[1]All Data '!BE662="","",'[1]All Data '!BE662)</f>
        <v>5.5E-2</v>
      </c>
      <c r="M657">
        <f>IF('[1]All Data '!BF662="","",'[1]All Data '!BF662)</f>
        <v>4767.5627999999997</v>
      </c>
      <c r="N657" s="5">
        <f>IF('[1]All Data '!BB662="","",'[1]All Data '!BC662/'[1]All Data '!BH662)</f>
        <v>284903</v>
      </c>
      <c r="O657" s="5">
        <f t="shared" si="12"/>
        <v>1358292944.4083998</v>
      </c>
      <c r="P657" s="5">
        <f>IF(M657="","",$C$2*(1-L657)*907.2/0.621371*N657*[1]Transportation!$M$40)</f>
        <v>4443846.5252569038</v>
      </c>
      <c r="Q657" s="5">
        <f>IF(L657="","",IF([1]Inputs_Outputs!$B$5="Herbaceous",(LCA!$E$29*'[1]LOCH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7" s="5">
        <f>IF(M657="","",$E$2*1000*'[1]LOCH Calc COE Calc'!$C$44)</f>
        <v>4896457.3202133691</v>
      </c>
      <c r="S657" s="6">
        <f>IF(N657="","",SUM(O657:R657)/('[1]LOCH Calc COE Calc'!$C$28))</f>
        <v>62.184785167376809</v>
      </c>
      <c r="T657">
        <f>IF(L657="","",O657/'[1]LOCH Calc COE Calc'!$C$28)</f>
        <v>58.572014604882867</v>
      </c>
      <c r="U657">
        <f>IF(L657="","",P657/'[1]LOCH Calc COE Calc'!$C$28)</f>
        <v>0.19162658883763228</v>
      </c>
      <c r="V657">
        <f>IF(L657="","",Q657/'[1]LOCH Calc COE Calc'!$C$28)</f>
        <v>3.2100000000000004</v>
      </c>
      <c r="W657">
        <f>IF(L657="","",R657/'[1]LOCH Calc COE Calc'!$C$28)</f>
        <v>0.21114397365631307</v>
      </c>
    </row>
    <row r="658" spans="12:23" x14ac:dyDescent="0.25">
      <c r="L658" s="4">
        <f>IF('[1]All Data '!BE663="","",'[1]All Data '!BE663)</f>
        <v>5.5E-2</v>
      </c>
      <c r="M658">
        <f>IF('[1]All Data '!BF663="","",'[1]All Data '!BF663)</f>
        <v>4767.5627999999997</v>
      </c>
      <c r="N658" s="5">
        <f>IF('[1]All Data '!BB663="","",'[1]All Data '!BC663/'[1]All Data '!BH663)</f>
        <v>284393</v>
      </c>
      <c r="O658" s="5">
        <f t="shared" si="12"/>
        <v>1355861487.3803999</v>
      </c>
      <c r="P658" s="5">
        <f>IF(M658="","",$C$2*(1-L658)*907.2/0.621371*N658*[1]Transportation!$M$40)</f>
        <v>4435891.6714017987</v>
      </c>
      <c r="Q658" s="5">
        <f>IF(L658="","",IF([1]Inputs_Outputs!$B$5="Herbaceous",(LCA!$E$29*'[1]LOCH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8" s="5">
        <f>IF(M658="","",$E$2*1000*'[1]LOCH Calc COE Calc'!$C$44)</f>
        <v>4896457.3202133691</v>
      </c>
      <c r="S658" s="6">
        <f>IF(N658="","",SUM(O658:R658)/('[1]LOCH Calc COE Calc'!$C$28))</f>
        <v>62.07959337575371</v>
      </c>
      <c r="T658">
        <f>IF(L658="","",O658/'[1]LOCH Calc COE Calc'!$C$28)</f>
        <v>58.467165840747391</v>
      </c>
      <c r="U658">
        <f>IF(L658="","",P658/'[1]LOCH Calc COE Calc'!$C$28)</f>
        <v>0.19128356135000599</v>
      </c>
      <c r="V658">
        <f>IF(L658="","",Q658/'[1]LOCH Calc COE Calc'!$C$28)</f>
        <v>3.2100000000000004</v>
      </c>
      <c r="W658">
        <f>IF(L658="","",R658/'[1]LOCH Calc COE Calc'!$C$28)</f>
        <v>0.21114397365631307</v>
      </c>
    </row>
    <row r="659" spans="12:23" x14ac:dyDescent="0.25">
      <c r="L659" s="4">
        <f>IF('[1]All Data '!BE664="","",'[1]All Data '!BE664)</f>
        <v>5.5E-2</v>
      </c>
      <c r="M659">
        <f>IF('[1]All Data '!BF664="","",'[1]All Data '!BF664)</f>
        <v>4767.5627999999997</v>
      </c>
      <c r="N659" s="5">
        <f>IF('[1]All Data '!BB664="","",'[1]All Data '!BC664/'[1]All Data '!BH664)</f>
        <v>284308</v>
      </c>
      <c r="O659" s="5">
        <f t="shared" si="12"/>
        <v>1355456244.5423999</v>
      </c>
      <c r="P659" s="5">
        <f>IF(M659="","",$C$2*(1-L659)*907.2/0.621371*N659*[1]Transportation!$M$40)</f>
        <v>4434565.8624259476</v>
      </c>
      <c r="Q659" s="5">
        <f>IF(L659="","",IF([1]Inputs_Outputs!$B$5="Herbaceous",(LCA!$E$29*'[1]LOCH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59" s="5">
        <f>IF(M659="","",$E$2*1000*'[1]LOCH Calc COE Calc'!$C$44)</f>
        <v>4896457.3202133691</v>
      </c>
      <c r="S659" s="6">
        <f>IF(N659="","",SUM(O659:R659)/('[1]LOCH Calc COE Calc'!$C$28))</f>
        <v>62.062061410483196</v>
      </c>
      <c r="T659">
        <f>IF(L659="","",O659/'[1]LOCH Calc COE Calc'!$C$28)</f>
        <v>58.449691046724809</v>
      </c>
      <c r="U659">
        <f>IF(L659="","",P659/'[1]LOCH Calc COE Calc'!$C$28)</f>
        <v>0.19122639010206827</v>
      </c>
      <c r="V659">
        <f>IF(L659="","",Q659/'[1]LOCH Calc COE Calc'!$C$28)</f>
        <v>3.2100000000000004</v>
      </c>
      <c r="W659">
        <f>IF(L659="","",R659/'[1]LOCH Calc COE Calc'!$C$28)</f>
        <v>0.21114397365631307</v>
      </c>
    </row>
    <row r="660" spans="12:23" x14ac:dyDescent="0.25">
      <c r="L660" s="4">
        <f>IF('[1]All Data '!BE665="","",'[1]All Data '!BE665)</f>
        <v>5.5E-2</v>
      </c>
      <c r="M660">
        <f>IF('[1]All Data '!BF665="","",'[1]All Data '!BF665)</f>
        <v>4767.5627999999997</v>
      </c>
      <c r="N660" s="5">
        <f>IF('[1]All Data '!BB665="","",'[1]All Data '!BC665/'[1]All Data '!BH665)</f>
        <v>284103</v>
      </c>
      <c r="O660" s="5">
        <f t="shared" si="12"/>
        <v>1354478894.1683998</v>
      </c>
      <c r="P660" s="5">
        <f>IF(M660="","",$C$2*(1-L660)*907.2/0.621371*N660*[1]Transportation!$M$40)</f>
        <v>4431368.3231312484</v>
      </c>
      <c r="Q660" s="5">
        <f>IF(L660="","",IF([1]Inputs_Outputs!$B$5="Herbaceous",(LCA!$E$29*'[1]LOCH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0" s="5">
        <f>IF(M660="","",$E$2*1000*'[1]LOCH Calc COE Calc'!$C$44)</f>
        <v>4896457.3202133691</v>
      </c>
      <c r="S660" s="6">
        <f>IF(N660="","",SUM(O660:R660)/('[1]LOCH Calc COE Calc'!$C$28))</f>
        <v>62.019778435419006</v>
      </c>
      <c r="T660">
        <f>IF(L660="","",O660/'[1]LOCH Calc COE Calc'!$C$28)</f>
        <v>58.407545955258584</v>
      </c>
      <c r="U660">
        <f>IF(L660="","",P660/'[1]LOCH Calc COE Calc'!$C$28)</f>
        <v>0.19108850650410084</v>
      </c>
      <c r="V660">
        <f>IF(L660="","",Q660/'[1]LOCH Calc COE Calc'!$C$28)</f>
        <v>3.2100000000000004</v>
      </c>
      <c r="W660">
        <f>IF(L660="","",R660/'[1]LOCH Calc COE Calc'!$C$28)</f>
        <v>0.21114397365631307</v>
      </c>
    </row>
    <row r="661" spans="12:23" x14ac:dyDescent="0.25">
      <c r="L661" s="4">
        <f>IF('[1]All Data '!BE666="","",'[1]All Data '!BE666)</f>
        <v>5.5E-2</v>
      </c>
      <c r="M661">
        <f>IF('[1]All Data '!BF666="","",'[1]All Data '!BF666)</f>
        <v>4767.5627999999997</v>
      </c>
      <c r="N661" s="5">
        <f>IF('[1]All Data '!BB666="","",'[1]All Data '!BC666/'[1]All Data '!BH666)</f>
        <v>283975</v>
      </c>
      <c r="O661" s="5">
        <f t="shared" si="12"/>
        <v>1353868646.1299999</v>
      </c>
      <c r="P661" s="5">
        <f>IF(M661="","",$C$2*(1-L661)*907.2/0.621371*N661*[1]Transportation!$M$40)</f>
        <v>4429371.8107911441</v>
      </c>
      <c r="Q661" s="5">
        <f>IF(L661="","",IF([1]Inputs_Outputs!$B$5="Herbaceous",(LCA!$E$29*'[1]LOCH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1" s="5">
        <f>IF(M661="","",$E$2*1000*'[1]LOCH Calc COE Calc'!$C$44)</f>
        <v>4896457.3202133691</v>
      </c>
      <c r="S661" s="6">
        <f>IF(N661="","",SUM(O661:R661)/('[1]LOCH Calc COE Calc'!$C$28))</f>
        <v>61.993377358305757</v>
      </c>
      <c r="T661">
        <f>IF(L661="","",O661/'[1]LOCH Calc COE Calc'!$C$28)</f>
        <v>58.381230971318701</v>
      </c>
      <c r="U661">
        <f>IF(L661="","",P661/'[1]LOCH Calc COE Calc'!$C$28)</f>
        <v>0.19100241333073581</v>
      </c>
      <c r="V661">
        <f>IF(L661="","",Q661/'[1]LOCH Calc COE Calc'!$C$28)</f>
        <v>3.2100000000000004</v>
      </c>
      <c r="W661">
        <f>IF(L661="","",R661/'[1]LOCH Calc COE Calc'!$C$28)</f>
        <v>0.21114397365631307</v>
      </c>
    </row>
    <row r="662" spans="12:23" x14ac:dyDescent="0.25">
      <c r="L662" s="4">
        <f>IF('[1]All Data '!BE667="","",'[1]All Data '!BE667)</f>
        <v>5.5E-2</v>
      </c>
      <c r="M662">
        <f>IF('[1]All Data '!BF667="","",'[1]All Data '!BF667)</f>
        <v>4767.5627999999997</v>
      </c>
      <c r="N662" s="5">
        <f>IF('[1]All Data '!BB667="","",'[1]All Data '!BC667/'[1]All Data '!BH667)</f>
        <v>283849</v>
      </c>
      <c r="O662" s="5">
        <f t="shared" si="12"/>
        <v>1353267933.2171998</v>
      </c>
      <c r="P662" s="5">
        <f>IF(M662="","",$C$2*(1-L662)*907.2/0.621371*N662*[1]Transportation!$M$40)</f>
        <v>4427406.4939563535</v>
      </c>
      <c r="Q662" s="5">
        <f>IF(L662="","",IF([1]Inputs_Outputs!$B$5="Herbaceous",(LCA!$E$29*'[1]LOCH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2" s="5">
        <f>IF(M662="","",$E$2*1000*'[1]LOCH Calc COE Calc'!$C$44)</f>
        <v>4896457.3202133691</v>
      </c>
      <c r="S662" s="6">
        <f>IF(N662="","",SUM(O662:R662)/('[1]LOCH Calc COE Calc'!$C$28))</f>
        <v>61.967388798022391</v>
      </c>
      <c r="T662">
        <f>IF(L662="","",O662/'[1]LOCH Calc COE Calc'!$C$28)</f>
        <v>58.355327159002876</v>
      </c>
      <c r="U662">
        <f>IF(L662="","",P662/'[1]LOCH Calc COE Calc'!$C$28)</f>
        <v>0.19091766536320462</v>
      </c>
      <c r="V662">
        <f>IF(L662="","",Q662/'[1]LOCH Calc COE Calc'!$C$28)</f>
        <v>3.2100000000000004</v>
      </c>
      <c r="W662">
        <f>IF(L662="","",R662/'[1]LOCH Calc COE Calc'!$C$28)</f>
        <v>0.21114397365631307</v>
      </c>
    </row>
    <row r="663" spans="12:23" x14ac:dyDescent="0.25">
      <c r="L663" s="4">
        <f>IF('[1]All Data '!BE668="","",'[1]All Data '!BE668)</f>
        <v>5.5E-2</v>
      </c>
      <c r="M663">
        <f>IF('[1]All Data '!BF668="","",'[1]All Data '!BF668)</f>
        <v>4767.5627999999997</v>
      </c>
      <c r="N663" s="5">
        <f>IF('[1]All Data '!BB668="","",'[1]All Data '!BC668/'[1]All Data '!BH668)</f>
        <v>283478</v>
      </c>
      <c r="O663" s="5">
        <f t="shared" si="12"/>
        <v>1351499167.4183998</v>
      </c>
      <c r="P663" s="5">
        <f>IF(M663="","",$C$2*(1-L663)*907.2/0.621371*N663*[1]Transportation!$M$40)</f>
        <v>4421619.727720581</v>
      </c>
      <c r="Q663" s="5">
        <f>IF(L663="","",IF([1]Inputs_Outputs!$B$5="Herbaceous",(LCA!$E$29*'[1]LOCH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3" s="5">
        <f>IF(M663="","",$E$2*1000*'[1]LOCH Calc COE Calc'!$C$44)</f>
        <v>4896457.3202133691</v>
      </c>
      <c r="S663" s="6">
        <f>IF(N663="","",SUM(O663:R663)/('[1]LOCH Calc COE Calc'!$C$28))</f>
        <v>61.89086692607696</v>
      </c>
      <c r="T663">
        <f>IF(L663="","",O663/'[1]LOCH Calc COE Calc'!$C$28)</f>
        <v>58.279054822739617</v>
      </c>
      <c r="U663">
        <f>IF(L663="","",P663/'[1]LOCH Calc COE Calc'!$C$28)</f>
        <v>0.19066812968102942</v>
      </c>
      <c r="V663">
        <f>IF(L663="","",Q663/'[1]LOCH Calc COE Calc'!$C$28)</f>
        <v>3.2100000000000004</v>
      </c>
      <c r="W663">
        <f>IF(L663="","",R663/'[1]LOCH Calc COE Calc'!$C$28)</f>
        <v>0.21114397365631307</v>
      </c>
    </row>
    <row r="664" spans="12:23" x14ac:dyDescent="0.25">
      <c r="L664" s="4">
        <f>IF('[1]All Data '!BE669="","",'[1]All Data '!BE669)</f>
        <v>5.5E-2</v>
      </c>
      <c r="M664">
        <f>IF('[1]All Data '!BF669="","",'[1]All Data '!BF669)</f>
        <v>4767.5627999999997</v>
      </c>
      <c r="N664" s="5">
        <f>IF('[1]All Data '!BB669="","",'[1]All Data '!BC669/'[1]All Data '!BH669)</f>
        <v>283026</v>
      </c>
      <c r="O664" s="5">
        <f t="shared" si="12"/>
        <v>1349344229.0328</v>
      </c>
      <c r="P664" s="5">
        <f>IF(M664="","",$C$2*(1-L664)*907.2/0.621371*N664*[1]Transportation!$M$40)</f>
        <v>4414569.5435195863</v>
      </c>
      <c r="Q664" s="5">
        <f>IF(L664="","",IF([1]Inputs_Outputs!$B$5="Herbaceous",(LCA!$E$29*'[1]LOCH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4" s="5">
        <f>IF(M664="","",$E$2*1000*'[1]LOCH Calc COE Calc'!$C$44)</f>
        <v>4896457.3202133691</v>
      </c>
      <c r="S664" s="6">
        <f>IF(N664="","",SUM(O664:R664)/('[1]LOCH Calc COE Calc'!$C$28))</f>
        <v>61.797638122520802</v>
      </c>
      <c r="T664">
        <f>IF(L664="","",O664/'[1]LOCH Calc COE Calc'!$C$28)</f>
        <v>58.1861300357019</v>
      </c>
      <c r="U664">
        <f>IF(L664="","",P664/'[1]LOCH Calc COE Calc'!$C$28)</f>
        <v>0.1903641131625842</v>
      </c>
      <c r="V664">
        <f>IF(L664="","",Q664/'[1]LOCH Calc COE Calc'!$C$28)</f>
        <v>3.2100000000000004</v>
      </c>
      <c r="W664">
        <f>IF(L664="","",R664/'[1]LOCH Calc COE Calc'!$C$28)</f>
        <v>0.21114397365631307</v>
      </c>
    </row>
    <row r="665" spans="12:23" x14ac:dyDescent="0.25">
      <c r="L665" s="4">
        <f>IF('[1]All Data '!BE670="","",'[1]All Data '!BE670)</f>
        <v>5.5E-2</v>
      </c>
      <c r="M665">
        <f>IF('[1]All Data '!BF670="","",'[1]All Data '!BF670)</f>
        <v>4767.5627999999997</v>
      </c>
      <c r="N665" s="5">
        <f>IF('[1]All Data '!BB670="","",'[1]All Data '!BC670/'[1]All Data '!BH670)</f>
        <v>282018</v>
      </c>
      <c r="O665" s="5">
        <f t="shared" si="12"/>
        <v>1344538525.7303998</v>
      </c>
      <c r="P665" s="5">
        <f>IF(M665="","",$C$2*(1-L665)*907.2/0.621371*N665*[1]Transportation!$M$40)</f>
        <v>4398847.0088412603</v>
      </c>
      <c r="Q665" s="5">
        <f>IF(L665="","",IF([1]Inputs_Outputs!$B$5="Herbaceous",(LCA!$E$29*'[1]LOCH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5" s="5">
        <f>IF(M665="","",$E$2*1000*'[1]LOCH Calc COE Calc'!$C$44)</f>
        <v>4896457.3202133691</v>
      </c>
      <c r="S665" s="6">
        <f>IF(N665="","",SUM(O665:R665)/('[1]LOCH Calc COE Calc'!$C$28))</f>
        <v>61.589729640253957</v>
      </c>
      <c r="T665">
        <f>IF(L665="","",O665/'[1]LOCH Calc COE Calc'!$C$28)</f>
        <v>57.978899537175309</v>
      </c>
      <c r="U665">
        <f>IF(L665="","",P665/'[1]LOCH Calc COE Calc'!$C$28)</f>
        <v>0.18968612942233457</v>
      </c>
      <c r="V665">
        <f>IF(L665="","",Q665/'[1]LOCH Calc COE Calc'!$C$28)</f>
        <v>3.2100000000000004</v>
      </c>
      <c r="W665">
        <f>IF(L665="","",R665/'[1]LOCH Calc COE Calc'!$C$28)</f>
        <v>0.21114397365631307</v>
      </c>
    </row>
    <row r="666" spans="12:23" x14ac:dyDescent="0.25">
      <c r="L666" s="4">
        <f>IF('[1]All Data '!BE671="","",'[1]All Data '!BE671)</f>
        <v>5.5E-2</v>
      </c>
      <c r="M666">
        <f>IF('[1]All Data '!BF671="","",'[1]All Data '!BF671)</f>
        <v>4767.5627999999997</v>
      </c>
      <c r="N666" s="5">
        <f>IF('[1]All Data '!BB671="","",'[1]All Data '!BC671/'[1]All Data '!BH671)</f>
        <v>282018</v>
      </c>
      <c r="O666" s="5">
        <f t="shared" si="12"/>
        <v>1344538525.7303998</v>
      </c>
      <c r="P666" s="5">
        <f>IF(M666="","",$C$2*(1-L666)*907.2/0.621371*N666*[1]Transportation!$M$40)</f>
        <v>4398847.0088412603</v>
      </c>
      <c r="Q666" s="5">
        <f>IF(L666="","",IF([1]Inputs_Outputs!$B$5="Herbaceous",(LCA!$E$29*'[1]LOCH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6" s="5">
        <f>IF(M666="","",$E$2*1000*'[1]LOCH Calc COE Calc'!$C$44)</f>
        <v>4896457.3202133691</v>
      </c>
      <c r="S666" s="6">
        <f>IF(N666="","",SUM(O666:R666)/('[1]LOCH Calc COE Calc'!$C$28))</f>
        <v>61.589729640253957</v>
      </c>
      <c r="T666">
        <f>IF(L666="","",O666/'[1]LOCH Calc COE Calc'!$C$28)</f>
        <v>57.978899537175309</v>
      </c>
      <c r="U666">
        <f>IF(L666="","",P666/'[1]LOCH Calc COE Calc'!$C$28)</f>
        <v>0.18968612942233457</v>
      </c>
      <c r="V666">
        <f>IF(L666="","",Q666/'[1]LOCH Calc COE Calc'!$C$28)</f>
        <v>3.2100000000000004</v>
      </c>
      <c r="W666">
        <f>IF(L666="","",R666/'[1]LOCH Calc COE Calc'!$C$28)</f>
        <v>0.21114397365631307</v>
      </c>
    </row>
    <row r="667" spans="12:23" x14ac:dyDescent="0.25">
      <c r="L667" s="4">
        <f>IF('[1]All Data '!BE672="","",'[1]All Data '!BE672)</f>
        <v>5.5E-2</v>
      </c>
      <c r="M667">
        <f>IF('[1]All Data '!BF672="","",'[1]All Data '!BF672)</f>
        <v>4767.5627999999997</v>
      </c>
      <c r="N667" s="5">
        <f>IF('[1]All Data '!BB672="","",'[1]All Data '!BC672/'[1]All Data '!BH672)</f>
        <v>281383</v>
      </c>
      <c r="O667" s="5">
        <f t="shared" si="12"/>
        <v>1341511123.3523998</v>
      </c>
      <c r="P667" s="5">
        <f>IF(M667="","",$C$2*(1-L667)*907.2/0.621371*N667*[1]Transportation!$M$40)</f>
        <v>4388942.4359040214</v>
      </c>
      <c r="Q667" s="5">
        <f>IF(L667="","",IF([1]Inputs_Outputs!$B$5="Herbaceous",(LCA!$E$29*'[1]LOCH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7" s="5">
        <f>IF(M667="","",$E$2*1000*'[1]LOCH Calc COE Calc'!$C$44)</f>
        <v>4896457.3202133691</v>
      </c>
      <c r="S667" s="6">
        <f>IF(N667="","",SUM(O667:R667)/('[1]LOCH Calc COE Calc'!$C$28))</f>
        <v>61.45875554676244</v>
      </c>
      <c r="T667">
        <f>IF(L667="","",O667/'[1]LOCH Calc COE Calc'!$C$28)</f>
        <v>57.848352546536034</v>
      </c>
      <c r="U667">
        <f>IF(L667="","",P667/'[1]LOCH Calc COE Calc'!$C$28)</f>
        <v>0.18925902657009397</v>
      </c>
      <c r="V667">
        <f>IF(L667="","",Q667/'[1]LOCH Calc COE Calc'!$C$28)</f>
        <v>3.2100000000000004</v>
      </c>
      <c r="W667">
        <f>IF(L667="","",R667/'[1]LOCH Calc COE Calc'!$C$28)</f>
        <v>0.21114397365631307</v>
      </c>
    </row>
    <row r="668" spans="12:23" x14ac:dyDescent="0.25">
      <c r="L668" s="4">
        <f>IF('[1]All Data '!BE673="","",'[1]All Data '!BE673)</f>
        <v>5.5E-2</v>
      </c>
      <c r="M668">
        <f>IF('[1]All Data '!BF673="","",'[1]All Data '!BF673)</f>
        <v>4767.5627999999997</v>
      </c>
      <c r="N668" s="5">
        <f>IF('[1]All Data '!BB673="","",'[1]All Data '!BC673/'[1]All Data '!BH673)</f>
        <v>281367</v>
      </c>
      <c r="O668" s="5">
        <f t="shared" si="12"/>
        <v>1341434842.3476</v>
      </c>
      <c r="P668" s="5">
        <f>IF(M668="","",$C$2*(1-L668)*907.2/0.621371*N668*[1]Transportation!$M$40)</f>
        <v>4388692.871861509</v>
      </c>
      <c r="Q668" s="5">
        <f>IF(L668="","",IF([1]Inputs_Outputs!$B$5="Herbaceous",(LCA!$E$29*'[1]LOCH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8" s="5">
        <f>IF(M668="","",$E$2*1000*'[1]LOCH Calc COE Calc'!$C$44)</f>
        <v>4896457.3202133691</v>
      </c>
      <c r="S668" s="6">
        <f>IF(N668="","",SUM(O668:R668)/('[1]LOCH Calc COE Calc'!$C$28))</f>
        <v>61.455455412123293</v>
      </c>
      <c r="T668">
        <f>IF(L668="","",O668/'[1]LOCH Calc COE Calc'!$C$28)</f>
        <v>57.845063173543551</v>
      </c>
      <c r="U668">
        <f>IF(L668="","",P668/'[1]LOCH Calc COE Calc'!$C$28)</f>
        <v>0.18924826492342339</v>
      </c>
      <c r="V668">
        <f>IF(L668="","",Q668/'[1]LOCH Calc COE Calc'!$C$28)</f>
        <v>3.2100000000000004</v>
      </c>
      <c r="W668">
        <f>IF(L668="","",R668/'[1]LOCH Calc COE Calc'!$C$28)</f>
        <v>0.21114397365631307</v>
      </c>
    </row>
    <row r="669" spans="12:23" x14ac:dyDescent="0.25">
      <c r="L669" s="4">
        <f>IF('[1]All Data '!BE674="","",'[1]All Data '!BE674)</f>
        <v>5.5E-2</v>
      </c>
      <c r="M669">
        <f>IF('[1]All Data '!BF674="","",'[1]All Data '!BF674)</f>
        <v>4767.5627999999997</v>
      </c>
      <c r="N669" s="5">
        <f>IF('[1]All Data '!BB674="","",'[1]All Data '!BC674/'[1]All Data '!BH674)</f>
        <v>281022</v>
      </c>
      <c r="O669" s="5">
        <f t="shared" si="12"/>
        <v>1339790033.1815999</v>
      </c>
      <c r="P669" s="5">
        <f>IF(M669="","",$C$2*(1-L669)*907.2/0.621371*N669*[1]Transportation!$M$40)</f>
        <v>4383311.6471948195</v>
      </c>
      <c r="Q669" s="5">
        <f>IF(L669="","",IF([1]Inputs_Outputs!$B$5="Herbaceous",(LCA!$E$29*'[1]LOCH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69" s="5">
        <f>IF(M669="","",$E$2*1000*'[1]LOCH Calc COE Calc'!$C$44)</f>
        <v>4896457.3202133691</v>
      </c>
      <c r="S669" s="6">
        <f>IF(N669="","",SUM(O669:R669)/('[1]LOCH Calc COE Calc'!$C$28))</f>
        <v>61.384296258966479</v>
      </c>
      <c r="T669">
        <f>IF(L669="","",O669/'[1]LOCH Calc COE Calc'!$C$28)</f>
        <v>57.774136068393076</v>
      </c>
      <c r="U669">
        <f>IF(L669="","",P669/'[1]LOCH Calc COE Calc'!$C$28)</f>
        <v>0.18901621691708792</v>
      </c>
      <c r="V669">
        <f>IF(L669="","",Q669/'[1]LOCH Calc COE Calc'!$C$28)</f>
        <v>3.2100000000000004</v>
      </c>
      <c r="W669">
        <f>IF(L669="","",R669/'[1]LOCH Calc COE Calc'!$C$28)</f>
        <v>0.21114397365631307</v>
      </c>
    </row>
    <row r="670" spans="12:23" x14ac:dyDescent="0.25">
      <c r="L670" s="4">
        <f>IF('[1]All Data '!BE675="","",'[1]All Data '!BE675)</f>
        <v>5.5E-2</v>
      </c>
      <c r="M670">
        <f>IF('[1]All Data '!BF675="","",'[1]All Data '!BF675)</f>
        <v>4767.5627999999997</v>
      </c>
      <c r="N670" s="5">
        <f>IF('[1]All Data '!BB675="","",'[1]All Data '!BC675/'[1]All Data '!BH675)</f>
        <v>280109</v>
      </c>
      <c r="O670" s="5">
        <f t="shared" si="12"/>
        <v>1335437248.3451998</v>
      </c>
      <c r="P670" s="5">
        <f>IF(M670="","",$C$2*(1-L670)*907.2/0.621371*N670*[1]Transportation!$M$40)</f>
        <v>4369070.8990189163</v>
      </c>
      <c r="Q670" s="5">
        <f>IF(L670="","",IF([1]Inputs_Outputs!$B$5="Herbaceous",(LCA!$E$29*'[1]LOCH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0" s="5">
        <f>IF(M670="","",$E$2*1000*'[1]LOCH Calc COE Calc'!$C$44)</f>
        <v>4896457.3202133691</v>
      </c>
      <c r="S670" s="6">
        <f>IF(N670="","",SUM(O670:R670)/('[1]LOCH Calc COE Calc'!$C$28))</f>
        <v>61.195982326119633</v>
      </c>
      <c r="T670">
        <f>IF(L670="","",O670/'[1]LOCH Calc COE Calc'!$C$28)</f>
        <v>57.586436222009368</v>
      </c>
      <c r="U670">
        <f>IF(L670="","",P670/'[1]LOCH Calc COE Calc'!$C$28)</f>
        <v>0.18840213045394519</v>
      </c>
      <c r="V670">
        <f>IF(L670="","",Q670/'[1]LOCH Calc COE Calc'!$C$28)</f>
        <v>3.2100000000000004</v>
      </c>
      <c r="W670">
        <f>IF(L670="","",R670/'[1]LOCH Calc COE Calc'!$C$28)</f>
        <v>0.21114397365631307</v>
      </c>
    </row>
    <row r="671" spans="12:23" x14ac:dyDescent="0.25">
      <c r="L671" s="4">
        <f>IF('[1]All Data '!BE676="","",'[1]All Data '!BE676)</f>
        <v>5.5E-2</v>
      </c>
      <c r="M671">
        <f>IF('[1]All Data '!BF676="","",'[1]All Data '!BF676)</f>
        <v>4767.5627999999997</v>
      </c>
      <c r="N671" s="5">
        <f>IF('[1]All Data '!BB676="","",'[1]All Data '!BC676/'[1]All Data '!BH676)</f>
        <v>279787</v>
      </c>
      <c r="O671" s="5">
        <f t="shared" si="12"/>
        <v>1333902093.1236</v>
      </c>
      <c r="P671" s="5">
        <f>IF(M671="","",$C$2*(1-L671)*907.2/0.621371*N671*[1]Transportation!$M$40)</f>
        <v>4364048.4226633403</v>
      </c>
      <c r="Q671" s="5">
        <f>IF(L671="","",IF([1]Inputs_Outputs!$B$5="Herbaceous",(LCA!$E$29*'[1]LOCH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1" s="5">
        <f>IF(M671="","",$E$2*1000*'[1]LOCH Calc COE Calc'!$C$44)</f>
        <v>4896457.3202133691</v>
      </c>
      <c r="S671" s="6">
        <f>IF(N671="","",SUM(O671:R671)/('[1]LOCH Calc COE Calc'!$C$28))</f>
        <v>61.129567116506621</v>
      </c>
      <c r="T671">
        <f>IF(L671="","",O671/'[1]LOCH Calc COE Calc'!$C$28)</f>
        <v>57.520237590535601</v>
      </c>
      <c r="U671">
        <f>IF(L671="","",P671/'[1]LOCH Calc COE Calc'!$C$28)</f>
        <v>0.1881855523146988</v>
      </c>
      <c r="V671">
        <f>IF(L671="","",Q671/'[1]LOCH Calc COE Calc'!$C$28)</f>
        <v>3.2100000000000004</v>
      </c>
      <c r="W671">
        <f>IF(L671="","",R671/'[1]LOCH Calc COE Calc'!$C$28)</f>
        <v>0.21114397365631307</v>
      </c>
    </row>
    <row r="672" spans="12:23" x14ac:dyDescent="0.25">
      <c r="L672" s="4">
        <f>IF('[1]All Data '!BE677="","",'[1]All Data '!BE677)</f>
        <v>5.5E-2</v>
      </c>
      <c r="M672">
        <f>IF('[1]All Data '!BF677="","",'[1]All Data '!BF677)</f>
        <v>4767.5627999999997</v>
      </c>
      <c r="N672" s="5">
        <f>IF('[1]All Data '!BB677="","",'[1]All Data '!BC677/'[1]All Data '!BH677)</f>
        <v>279057</v>
      </c>
      <c r="O672" s="5">
        <f t="shared" si="12"/>
        <v>1330421772.2795999</v>
      </c>
      <c r="P672" s="5">
        <f>IF(M672="","",$C$2*(1-L672)*907.2/0.621371*N672*[1]Transportation!$M$40)</f>
        <v>4352662.0632236786</v>
      </c>
      <c r="Q672" s="5">
        <f>IF(L672="","",IF([1]Inputs_Outputs!$B$5="Herbaceous",(LCA!$E$29*'[1]LOCH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2" s="5">
        <f>IF(M672="","",$E$2*1000*'[1]LOCH Calc COE Calc'!$C$44)</f>
        <v>4896457.3202133691</v>
      </c>
      <c r="S672" s="6">
        <f>IF(N672="","",SUM(O672:R672)/('[1]LOCH Calc COE Calc'!$C$28))</f>
        <v>60.978998473595105</v>
      </c>
      <c r="T672">
        <f>IF(L672="","",O672/'[1]LOCH Calc COE Calc'!$C$28)</f>
        <v>57.370159947753443</v>
      </c>
      <c r="U672">
        <f>IF(L672="","",P672/'[1]LOCH Calc COE Calc'!$C$28)</f>
        <v>0.1876945521853513</v>
      </c>
      <c r="V672">
        <f>IF(L672="","",Q672/'[1]LOCH Calc COE Calc'!$C$28)</f>
        <v>3.2100000000000004</v>
      </c>
      <c r="W672">
        <f>IF(L672="","",R672/'[1]LOCH Calc COE Calc'!$C$28)</f>
        <v>0.21114397365631307</v>
      </c>
    </row>
    <row r="673" spans="12:23" x14ac:dyDescent="0.25">
      <c r="L673" s="4">
        <f>IF('[1]All Data '!BE678="","",'[1]All Data '!BE678)</f>
        <v>5.5E-2</v>
      </c>
      <c r="M673">
        <f>IF('[1]All Data '!BF678="","",'[1]All Data '!BF678)</f>
        <v>4767.5627999999997</v>
      </c>
      <c r="N673" s="5">
        <f>IF('[1]All Data '!BB678="","",'[1]All Data '!BC678/'[1]All Data '!BH678)</f>
        <v>278425</v>
      </c>
      <c r="O673" s="5">
        <f t="shared" si="12"/>
        <v>1327408672.5899999</v>
      </c>
      <c r="P673" s="5">
        <f>IF(M673="","",$C$2*(1-L673)*907.2/0.621371*N673*[1]Transportation!$M$40)</f>
        <v>4342804.2835444119</v>
      </c>
      <c r="Q673" s="5">
        <f>IF(L673="","",IF([1]Inputs_Outputs!$B$5="Herbaceous",(LCA!$E$29*'[1]LOCH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3" s="5">
        <f>IF(M673="","",$E$2*1000*'[1]LOCH Calc COE Calc'!$C$44)</f>
        <v>4896457.3202133691</v>
      </c>
      <c r="S673" s="6">
        <f>IF(N673="","",SUM(O673:R673)/('[1]LOCH Calc COE Calc'!$C$28))</f>
        <v>60.848643155348434</v>
      </c>
      <c r="T673">
        <f>IF(L673="","",O673/'[1]LOCH Calc COE Calc'!$C$28)</f>
        <v>57.24022971455026</v>
      </c>
      <c r="U673">
        <f>IF(L673="","",P673/'[1]LOCH Calc COE Calc'!$C$28)</f>
        <v>0.18726946714186152</v>
      </c>
      <c r="V673">
        <f>IF(L673="","",Q673/'[1]LOCH Calc COE Calc'!$C$28)</f>
        <v>3.2100000000000004</v>
      </c>
      <c r="W673">
        <f>IF(L673="","",R673/'[1]LOCH Calc COE Calc'!$C$28)</f>
        <v>0.21114397365631307</v>
      </c>
    </row>
    <row r="674" spans="12:23" x14ac:dyDescent="0.25">
      <c r="L674" s="4">
        <f>IF('[1]All Data '!BE679="","",'[1]All Data '!BE679)</f>
        <v>5.5E-2</v>
      </c>
      <c r="M674">
        <f>IF('[1]All Data '!BF679="","",'[1]All Data '!BF679)</f>
        <v>4767.5627999999997</v>
      </c>
      <c r="N674" s="5">
        <f>IF('[1]All Data '!BB679="","",'[1]All Data '!BC679/'[1]All Data '!BH679)</f>
        <v>277883</v>
      </c>
      <c r="O674" s="5">
        <f t="shared" si="12"/>
        <v>1324824653.5523999</v>
      </c>
      <c r="P674" s="5">
        <f>IF(M674="","",$C$2*(1-L674)*907.2/0.621371*N674*[1]Transportation!$M$40)</f>
        <v>4334350.3016042802</v>
      </c>
      <c r="Q674" s="5">
        <f>IF(L674="","",IF([1]Inputs_Outputs!$B$5="Herbaceous",(LCA!$E$29*'[1]LOCH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4" s="5">
        <f>IF(M674="","",$E$2*1000*'[1]LOCH Calc COE Calc'!$C$44)</f>
        <v>4896457.3202133691</v>
      </c>
      <c r="S674" s="6">
        <f>IF(N674="","",SUM(O674:R674)/('[1]LOCH Calc COE Calc'!$C$28))</f>
        <v>60.736851094447019</v>
      </c>
      <c r="T674">
        <f>IF(L674="","",O674/'[1]LOCH Calc COE Calc'!$C$28)</f>
        <v>57.12880220442981</v>
      </c>
      <c r="U674">
        <f>IF(L674="","",P674/'[1]LOCH Calc COE Calc'!$C$28)</f>
        <v>0.18690491636089396</v>
      </c>
      <c r="V674">
        <f>IF(L674="","",Q674/'[1]LOCH Calc COE Calc'!$C$28)</f>
        <v>3.2100000000000004</v>
      </c>
      <c r="W674">
        <f>IF(L674="","",R674/'[1]LOCH Calc COE Calc'!$C$28)</f>
        <v>0.21114397365631307</v>
      </c>
    </row>
    <row r="675" spans="12:23" x14ac:dyDescent="0.25">
      <c r="L675" s="4">
        <f>IF('[1]All Data '!BE680="","",'[1]All Data '!BE680)</f>
        <v>5.5E-2</v>
      </c>
      <c r="M675">
        <f>IF('[1]All Data '!BF680="","",'[1]All Data '!BF680)</f>
        <v>4767.5627999999997</v>
      </c>
      <c r="N675" s="5">
        <f>IF('[1]All Data '!BB680="","",'[1]All Data '!BC680/'[1]All Data '!BH680)</f>
        <v>277569</v>
      </c>
      <c r="O675" s="5">
        <f t="shared" si="12"/>
        <v>1323327638.8332</v>
      </c>
      <c r="P675" s="5">
        <f>IF(M675="","",$C$2*(1-L675)*907.2/0.621371*N675*[1]Transportation!$M$40)</f>
        <v>4329452.6072699605</v>
      </c>
      <c r="Q675" s="5">
        <f>IF(L675="","",IF([1]Inputs_Outputs!$B$5="Herbaceous",(LCA!$E$29*'[1]LOCH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5" s="5">
        <f>IF(M675="","",$E$2*1000*'[1]LOCH Calc COE Calc'!$C$44)</f>
        <v>4896457.3202133691</v>
      </c>
      <c r="S675" s="6">
        <f>IF(N675="","",SUM(O675:R675)/('[1]LOCH Calc COE Calc'!$C$28))</f>
        <v>60.67208595215358</v>
      </c>
      <c r="T675">
        <f>IF(L675="","",O675/'[1]LOCH Calc COE Calc'!$C$28)</f>
        <v>57.064248259452285</v>
      </c>
      <c r="U675">
        <f>IF(L675="","",P675/'[1]LOCH Calc COE Calc'!$C$28)</f>
        <v>0.18669371904498286</v>
      </c>
      <c r="V675">
        <f>IF(L675="","",Q675/'[1]LOCH Calc COE Calc'!$C$28)</f>
        <v>3.2100000000000004</v>
      </c>
      <c r="W675">
        <f>IF(L675="","",R675/'[1]LOCH Calc COE Calc'!$C$28)</f>
        <v>0.21114397365631307</v>
      </c>
    </row>
    <row r="676" spans="12:23" x14ac:dyDescent="0.25">
      <c r="L676" s="4">
        <f>IF('[1]All Data '!BE681="","",'[1]All Data '!BE681)</f>
        <v>5.5E-2</v>
      </c>
      <c r="M676">
        <f>IF('[1]All Data '!BF681="","",'[1]All Data '!BF681)</f>
        <v>4767.5627999999997</v>
      </c>
      <c r="N676" s="5">
        <f>IF('[1]All Data '!BB681="","",'[1]All Data '!BC681/'[1]All Data '!BH681)</f>
        <v>276603</v>
      </c>
      <c r="O676" s="5">
        <f t="shared" si="12"/>
        <v>1318722173.1683998</v>
      </c>
      <c r="P676" s="5">
        <f>IF(M676="","",$C$2*(1-L676)*907.2/0.621371*N676*[1]Transportation!$M$40)</f>
        <v>4314385.1782032326</v>
      </c>
      <c r="Q676" s="5">
        <f>IF(L676="","",IF([1]Inputs_Outputs!$B$5="Herbaceous",(LCA!$E$29*'[1]LOCH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6" s="5">
        <f>IF(M676="","",$E$2*1000*'[1]LOCH Calc COE Calc'!$C$44)</f>
        <v>4896457.3202133691</v>
      </c>
      <c r="S676" s="6">
        <f>IF(N676="","",SUM(O676:R676)/('[1]LOCH Calc COE Calc'!$C$28))</f>
        <v>60.472840323314522</v>
      </c>
      <c r="T676">
        <f>IF(L676="","",O676/'[1]LOCH Calc COE Calc'!$C$28)</f>
        <v>56.865652365030961</v>
      </c>
      <c r="U676">
        <f>IF(L676="","",P676/'[1]LOCH Calc COE Calc'!$C$28)</f>
        <v>0.1860439846272437</v>
      </c>
      <c r="V676">
        <f>IF(L676="","",Q676/'[1]LOCH Calc COE Calc'!$C$28)</f>
        <v>3.2100000000000004</v>
      </c>
      <c r="W676">
        <f>IF(L676="","",R676/'[1]LOCH Calc COE Calc'!$C$28)</f>
        <v>0.21114397365631307</v>
      </c>
    </row>
    <row r="677" spans="12:23" x14ac:dyDescent="0.25">
      <c r="L677" s="4">
        <f>IF('[1]All Data '!BE682="","",'[1]All Data '!BE682)</f>
        <v>5.5E-2</v>
      </c>
      <c r="M677">
        <f>IF('[1]All Data '!BF682="","",'[1]All Data '!BF682)</f>
        <v>4767.5627999999997</v>
      </c>
      <c r="N677" s="5">
        <f>IF('[1]All Data '!BB682="","",'[1]All Data '!BC682/'[1]All Data '!BH682)</f>
        <v>276519</v>
      </c>
      <c r="O677" s="5">
        <f t="shared" si="12"/>
        <v>1318321697.8931999</v>
      </c>
      <c r="P677" s="5">
        <f>IF(M677="","",$C$2*(1-L677)*907.2/0.621371*N677*[1]Transportation!$M$40)</f>
        <v>4313074.9669800382</v>
      </c>
      <c r="Q677" s="5">
        <f>IF(L677="","",IF([1]Inputs_Outputs!$B$5="Herbaceous",(LCA!$E$29*'[1]LOCH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7" s="5">
        <f>IF(M677="","",$E$2*1000*'[1]LOCH Calc COE Calc'!$C$44)</f>
        <v>4896457.3202133691</v>
      </c>
      <c r="S677" s="6">
        <f>IF(N677="","",SUM(O677:R677)/('[1]LOCH Calc COE Calc'!$C$28))</f>
        <v>60.455514616458949</v>
      </c>
      <c r="T677">
        <f>IF(L677="","",O677/'[1]LOCH Calc COE Calc'!$C$28)</f>
        <v>56.848383156820411</v>
      </c>
      <c r="U677">
        <f>IF(L677="","",P677/'[1]LOCH Calc COE Calc'!$C$28)</f>
        <v>0.18598748598222287</v>
      </c>
      <c r="V677">
        <f>IF(L677="","",Q677/'[1]LOCH Calc COE Calc'!$C$28)</f>
        <v>3.2100000000000004</v>
      </c>
      <c r="W677">
        <f>IF(L677="","",R677/'[1]LOCH Calc COE Calc'!$C$28)</f>
        <v>0.21114397365631307</v>
      </c>
    </row>
    <row r="678" spans="12:23" x14ac:dyDescent="0.25">
      <c r="L678" s="4">
        <f>IF('[1]All Data '!BE683="","",'[1]All Data '!BE683)</f>
        <v>5.5E-2</v>
      </c>
      <c r="M678">
        <f>IF('[1]All Data '!BF683="","",'[1]All Data '!BF683)</f>
        <v>4767.5627999999997</v>
      </c>
      <c r="N678" s="5">
        <f>IF('[1]All Data '!BB683="","",'[1]All Data '!BC683/'[1]All Data '!BH683)</f>
        <v>276431</v>
      </c>
      <c r="O678" s="5">
        <f t="shared" si="12"/>
        <v>1317902152.3667998</v>
      </c>
      <c r="P678" s="5">
        <f>IF(M678="","",$C$2*(1-L678)*907.2/0.621371*N678*[1]Transportation!$M$40)</f>
        <v>4311702.3647462167</v>
      </c>
      <c r="Q678" s="5">
        <f>IF(L678="","",IF([1]Inputs_Outputs!$B$5="Herbaceous",(LCA!$E$29*'[1]LOCH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8" s="5">
        <f>IF(M678="","",$E$2*1000*'[1]LOCH Calc COE Calc'!$C$44)</f>
        <v>4896457.3202133691</v>
      </c>
      <c r="S678" s="6">
        <f>IF(N678="","",SUM(O678:R678)/('[1]LOCH Calc COE Calc'!$C$28))</f>
        <v>60.437363875943596</v>
      </c>
      <c r="T678">
        <f>IF(L678="","",O678/'[1]LOCH Calc COE Calc'!$C$28)</f>
        <v>56.830291605361737</v>
      </c>
      <c r="U678">
        <f>IF(L678="","",P678/'[1]LOCH Calc COE Calc'!$C$28)</f>
        <v>0.18592829692553442</v>
      </c>
      <c r="V678">
        <f>IF(L678="","",Q678/'[1]LOCH Calc COE Calc'!$C$28)</f>
        <v>3.2100000000000004</v>
      </c>
      <c r="W678">
        <f>IF(L678="","",R678/'[1]LOCH Calc COE Calc'!$C$28)</f>
        <v>0.21114397365631307</v>
      </c>
    </row>
    <row r="679" spans="12:23" x14ac:dyDescent="0.25">
      <c r="L679" s="4">
        <f>IF('[1]All Data '!BE684="","",'[1]All Data '!BE684)</f>
        <v>5.5E-2</v>
      </c>
      <c r="M679">
        <f>IF('[1]All Data '!BF684="","",'[1]All Data '!BF684)</f>
        <v>4767.5627999999997</v>
      </c>
      <c r="N679" s="5">
        <f>IF('[1]All Data '!BB684="","",'[1]All Data '!BC684/'[1]All Data '!BH684)</f>
        <v>276408</v>
      </c>
      <c r="O679" s="5">
        <f t="shared" si="12"/>
        <v>1317792498.4224</v>
      </c>
      <c r="P679" s="5">
        <f>IF(M679="","",$C$2*(1-L679)*907.2/0.621371*N679*[1]Transportation!$M$40)</f>
        <v>4311343.616435104</v>
      </c>
      <c r="Q679" s="5">
        <f>IF(L679="","",IF([1]Inputs_Outputs!$B$5="Herbaceous",(LCA!$E$29*'[1]LOCH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79" s="5">
        <f>IF(M679="","",$E$2*1000*'[1]LOCH Calc COE Calc'!$C$44)</f>
        <v>4896457.3202133691</v>
      </c>
      <c r="S679" s="6">
        <f>IF(N679="","",SUM(O679:R679)/('[1]LOCH Calc COE Calc'!$C$28))</f>
        <v>60.432619932399803</v>
      </c>
      <c r="T679">
        <f>IF(L679="","",O679/'[1]LOCH Calc COE Calc'!$C$28)</f>
        <v>56.825563131685051</v>
      </c>
      <c r="U679">
        <f>IF(L679="","",P679/'[1]LOCH Calc COE Calc'!$C$28)</f>
        <v>0.18591282705844539</v>
      </c>
      <c r="V679">
        <f>IF(L679="","",Q679/'[1]LOCH Calc COE Calc'!$C$28)</f>
        <v>3.2100000000000004</v>
      </c>
      <c r="W679">
        <f>IF(L679="","",R679/'[1]LOCH Calc COE Calc'!$C$28)</f>
        <v>0.21114397365631307</v>
      </c>
    </row>
    <row r="680" spans="12:23" x14ac:dyDescent="0.25">
      <c r="L680" s="4">
        <f>IF('[1]All Data '!BE685="","",'[1]All Data '!BE685)</f>
        <v>5.5E-2</v>
      </c>
      <c r="M680">
        <f>IF('[1]All Data '!BF685="","",'[1]All Data '!BF685)</f>
        <v>4767.5627999999997</v>
      </c>
      <c r="N680" s="5">
        <f>IF('[1]All Data '!BB685="","",'[1]All Data '!BC685/'[1]All Data '!BH685)</f>
        <v>275164</v>
      </c>
      <c r="O680" s="5">
        <f t="shared" si="12"/>
        <v>1311861650.2991998</v>
      </c>
      <c r="P680" s="5">
        <f>IF(M680="","",$C$2*(1-L680)*907.2/0.621371*N680*[1]Transportation!$M$40)</f>
        <v>4291940.0121297101</v>
      </c>
      <c r="Q680" s="5">
        <f>IF(L680="","",IF([1]Inputs_Outputs!$B$5="Herbaceous",(LCA!$E$29*'[1]LOCH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0" s="5">
        <f>IF(M680="","",$E$2*1000*'[1]LOCH Calc COE Calc'!$C$44)</f>
        <v>4896457.3202133691</v>
      </c>
      <c r="S680" s="6">
        <f>IF(N680="","",SUM(O680:R680)/('[1]LOCH Calc COE Calc'!$C$28))</f>
        <v>60.176034464205408</v>
      </c>
      <c r="T680">
        <f>IF(L680="","",O680/'[1]LOCH Calc COE Calc'!$C$28)</f>
        <v>56.569814381519286</v>
      </c>
      <c r="U680">
        <f>IF(L680="","",P680/'[1]LOCH Calc COE Calc'!$C$28)</f>
        <v>0.18507610902980401</v>
      </c>
      <c r="V680">
        <f>IF(L680="","",Q680/'[1]LOCH Calc COE Calc'!$C$28)</f>
        <v>3.2100000000000004</v>
      </c>
      <c r="W680">
        <f>IF(L680="","",R680/'[1]LOCH Calc COE Calc'!$C$28)</f>
        <v>0.21114397365631307</v>
      </c>
    </row>
    <row r="681" spans="12:23" x14ac:dyDescent="0.25">
      <c r="L681" s="4">
        <f>IF('[1]All Data '!BE686="","",'[1]All Data '!BE686)</f>
        <v>5.5E-2</v>
      </c>
      <c r="M681">
        <f>IF('[1]All Data '!BF686="","",'[1]All Data '!BF686)</f>
        <v>4767.5627999999997</v>
      </c>
      <c r="N681" s="5">
        <f>IF('[1]All Data '!BB686="","",'[1]All Data '!BC686/'[1]All Data '!BH686)</f>
        <v>274718</v>
      </c>
      <c r="O681" s="5">
        <f t="shared" si="12"/>
        <v>1309735317.2904</v>
      </c>
      <c r="P681" s="5">
        <f>IF(M681="","",$C$2*(1-L681)*907.2/0.621371*N681*[1]Transportation!$M$40)</f>
        <v>4284983.414444657</v>
      </c>
      <c r="Q681" s="5">
        <f>IF(L681="","",IF([1]Inputs_Outputs!$B$5="Herbaceous",(LCA!$E$29*'[1]LOCH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1" s="5">
        <f>IF(M681="","",$E$2*1000*'[1]LOCH Calc COE Calc'!$C$44)</f>
        <v>4896457.3202133691</v>
      </c>
      <c r="S681" s="6">
        <f>IF(N681="","",SUM(O681:R681)/('[1]LOCH Calc COE Calc'!$C$28))</f>
        <v>60.084043211138933</v>
      </c>
      <c r="T681">
        <f>IF(L681="","",O681/'[1]LOCH Calc COE Calc'!$C$28)</f>
        <v>56.47812310935376</v>
      </c>
      <c r="U681">
        <f>IF(L681="","",P681/'[1]LOCH Calc COE Calc'!$C$28)</f>
        <v>0.18477612812886021</v>
      </c>
      <c r="V681">
        <f>IF(L681="","",Q681/'[1]LOCH Calc COE Calc'!$C$28)</f>
        <v>3.2100000000000004</v>
      </c>
      <c r="W681">
        <f>IF(L681="","",R681/'[1]LOCH Calc COE Calc'!$C$28)</f>
        <v>0.21114397365631307</v>
      </c>
    </row>
    <row r="682" spans="12:23" x14ac:dyDescent="0.25">
      <c r="L682" s="4">
        <f>IF('[1]All Data '!BE687="","",'[1]All Data '!BE687)</f>
        <v>5.5E-2</v>
      </c>
      <c r="M682">
        <f>IF('[1]All Data '!BF687="","",'[1]All Data '!BF687)</f>
        <v>4767.5627999999997</v>
      </c>
      <c r="N682" s="5">
        <f>IF('[1]All Data '!BB687="","",'[1]All Data '!BC687/'[1]All Data '!BH687)</f>
        <v>274436</v>
      </c>
      <c r="O682" s="5">
        <f t="shared" si="12"/>
        <v>1308390864.5807998</v>
      </c>
      <c r="P682" s="5">
        <f>IF(M682="","",$C$2*(1-L682)*907.2/0.621371*N682*[1]Transportation!$M$40)</f>
        <v>4280584.8481953638</v>
      </c>
      <c r="Q682" s="5">
        <f>IF(L682="","",IF([1]Inputs_Outputs!$B$5="Herbaceous",(LCA!$E$29*'[1]LOCH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2" s="5">
        <f>IF(M682="","",$E$2*1000*'[1]LOCH Calc COE Calc'!$C$44)</f>
        <v>4896457.3202133691</v>
      </c>
      <c r="S682" s="6">
        <f>IF(N682="","",SUM(O682:R682)/('[1]LOCH Calc COE Calc'!$C$28))</f>
        <v>60.025878338123789</v>
      </c>
      <c r="T682">
        <f>IF(L682="","",O682/'[1]LOCH Calc COE Calc'!$C$28)</f>
        <v>56.420147910361187</v>
      </c>
      <c r="U682">
        <f>IF(L682="","",P682/'[1]LOCH Calc COE Calc'!$C$28)</f>
        <v>0.1845864541062904</v>
      </c>
      <c r="V682">
        <f>IF(L682="","",Q682/'[1]LOCH Calc COE Calc'!$C$28)</f>
        <v>3.2100000000000004</v>
      </c>
      <c r="W682">
        <f>IF(L682="","",R682/'[1]LOCH Calc COE Calc'!$C$28)</f>
        <v>0.21114397365631307</v>
      </c>
    </row>
    <row r="683" spans="12:23" x14ac:dyDescent="0.25">
      <c r="L683" s="4">
        <f>IF('[1]All Data '!BE688="","",'[1]All Data '!BE688)</f>
        <v>5.5E-2</v>
      </c>
      <c r="M683">
        <f>IF('[1]All Data '!BF688="","",'[1]All Data '!BF688)</f>
        <v>4767.5627999999997</v>
      </c>
      <c r="N683" s="5">
        <f>IF('[1]All Data '!BB688="","",'[1]All Data '!BC688/'[1]All Data '!BH688)</f>
        <v>274136</v>
      </c>
      <c r="O683" s="5">
        <f t="shared" si="12"/>
        <v>1306960595.7407999</v>
      </c>
      <c r="P683" s="5">
        <f>IF(M683="","",$C$2*(1-L683)*907.2/0.621371*N683*[1]Transportation!$M$40)</f>
        <v>4275905.5223982427</v>
      </c>
      <c r="Q683" s="5">
        <f>IF(L683="","",IF([1]Inputs_Outputs!$B$5="Herbaceous",(LCA!$E$29*'[1]LOCH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3" s="5">
        <f>IF(M683="","",$E$2*1000*'[1]LOCH Calc COE Calc'!$C$44)</f>
        <v>4896457.3202133691</v>
      </c>
      <c r="S683" s="6">
        <f>IF(N683="","",SUM(O683:R683)/('[1]LOCH Calc COE Calc'!$C$28))</f>
        <v>59.964000813639622</v>
      </c>
      <c r="T683">
        <f>IF(L683="","",O683/'[1]LOCH Calc COE Calc'!$C$28)</f>
        <v>56.358472166752087</v>
      </c>
      <c r="U683">
        <f>IF(L683="","",P683/'[1]LOCH Calc COE Calc'!$C$28)</f>
        <v>0.1843846732312161</v>
      </c>
      <c r="V683">
        <f>IF(L683="","",Q683/'[1]LOCH Calc COE Calc'!$C$28)</f>
        <v>3.2100000000000004</v>
      </c>
      <c r="W683">
        <f>IF(L683="","",R683/'[1]LOCH Calc COE Calc'!$C$28)</f>
        <v>0.21114397365631307</v>
      </c>
    </row>
    <row r="684" spans="12:23" x14ac:dyDescent="0.25">
      <c r="L684" s="4">
        <f>IF('[1]All Data '!BE689="","",'[1]All Data '!BE689)</f>
        <v>5.5E-2</v>
      </c>
      <c r="M684">
        <f>IF('[1]All Data '!BF689="","",'[1]All Data '!BF689)</f>
        <v>4767.5627999999997</v>
      </c>
      <c r="N684" s="5">
        <f>IF('[1]All Data '!BB689="","",'[1]All Data '!BC689/'[1]All Data '!BH689)</f>
        <v>273923</v>
      </c>
      <c r="O684" s="5">
        <f t="shared" si="12"/>
        <v>1305945104.8643999</v>
      </c>
      <c r="P684" s="5">
        <f>IF(M684="","",$C$2*(1-L684)*907.2/0.621371*N684*[1]Transportation!$M$40)</f>
        <v>4272583.2010822874</v>
      </c>
      <c r="Q684" s="5">
        <f>IF(L684="","",IF([1]Inputs_Outputs!$B$5="Herbaceous",(LCA!$E$29*'[1]LOCH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4" s="5">
        <f>IF(M684="","",$E$2*1000*'[1]LOCH Calc COE Calc'!$C$44)</f>
        <v>4896457.3202133691</v>
      </c>
      <c r="S684" s="6">
        <f>IF(N684="","",SUM(O684:R684)/('[1]LOCH Calc COE Calc'!$C$28))</f>
        <v>59.920067771255852</v>
      </c>
      <c r="T684">
        <f>IF(L684="","",O684/'[1]LOCH Calc COE Calc'!$C$28)</f>
        <v>56.31468238878962</v>
      </c>
      <c r="U684">
        <f>IF(L684="","",P684/'[1]LOCH Calc COE Calc'!$C$28)</f>
        <v>0.18424140880991335</v>
      </c>
      <c r="V684">
        <f>IF(L684="","",Q684/'[1]LOCH Calc COE Calc'!$C$28)</f>
        <v>3.2100000000000004</v>
      </c>
      <c r="W684">
        <f>IF(L684="","",R684/'[1]LOCH Calc COE Calc'!$C$28)</f>
        <v>0.21114397365631307</v>
      </c>
    </row>
    <row r="685" spans="12:23" x14ac:dyDescent="0.25">
      <c r="L685" s="4">
        <f>IF('[1]All Data '!BE690="","",'[1]All Data '!BE690)</f>
        <v>5.5E-2</v>
      </c>
      <c r="M685">
        <f>IF('[1]All Data '!BF690="","",'[1]All Data '!BF690)</f>
        <v>4767.5627999999997</v>
      </c>
      <c r="N685" s="5">
        <f>IF('[1]All Data '!BB690="","",'[1]All Data '!BC690/'[1]All Data '!BH690)</f>
        <v>273923</v>
      </c>
      <c r="O685" s="5">
        <f t="shared" si="12"/>
        <v>1305945104.8643999</v>
      </c>
      <c r="P685" s="5">
        <f>IF(M685="","",$C$2*(1-L685)*907.2/0.621371*N685*[1]Transportation!$M$40)</f>
        <v>4272583.2010822874</v>
      </c>
      <c r="Q685" s="5">
        <f>IF(L685="","",IF([1]Inputs_Outputs!$B$5="Herbaceous",(LCA!$E$29*'[1]LOCH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5" s="5">
        <f>IF(M685="","",$E$2*1000*'[1]LOCH Calc COE Calc'!$C$44)</f>
        <v>4896457.3202133691</v>
      </c>
      <c r="S685" s="6">
        <f>IF(N685="","",SUM(O685:R685)/('[1]LOCH Calc COE Calc'!$C$28))</f>
        <v>59.920067771255852</v>
      </c>
      <c r="T685">
        <f>IF(L685="","",O685/'[1]LOCH Calc COE Calc'!$C$28)</f>
        <v>56.31468238878962</v>
      </c>
      <c r="U685">
        <f>IF(L685="","",P685/'[1]LOCH Calc COE Calc'!$C$28)</f>
        <v>0.18424140880991335</v>
      </c>
      <c r="V685">
        <f>IF(L685="","",Q685/'[1]LOCH Calc COE Calc'!$C$28)</f>
        <v>3.2100000000000004</v>
      </c>
      <c r="W685">
        <f>IF(L685="","",R685/'[1]LOCH Calc COE Calc'!$C$28)</f>
        <v>0.21114397365631307</v>
      </c>
    </row>
    <row r="686" spans="12:23" x14ac:dyDescent="0.25">
      <c r="L686" s="4">
        <f>IF('[1]All Data '!BE691="","",'[1]All Data '!BE691)</f>
        <v>5.5E-2</v>
      </c>
      <c r="M686">
        <f>IF('[1]All Data '!BF691="","",'[1]All Data '!BF691)</f>
        <v>4767.5627999999997</v>
      </c>
      <c r="N686" s="5">
        <f>IF('[1]All Data '!BB691="","",'[1]All Data '!BC691/'[1]All Data '!BH691)</f>
        <v>272869</v>
      </c>
      <c r="O686" s="5">
        <f t="shared" si="12"/>
        <v>1300920093.6731999</v>
      </c>
      <c r="P686" s="5">
        <f>IF(M686="","",$C$2*(1-L686)*907.2/0.621371*N686*[1]Transportation!$M$40)</f>
        <v>4256143.169781737</v>
      </c>
      <c r="Q686" s="5">
        <f>IF(L686="","",IF([1]Inputs_Outputs!$B$5="Herbaceous",(LCA!$E$29*'[1]LOCH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6" s="5">
        <f>IF(M686="","",$E$2*1000*'[1]LOCH Calc COE Calc'!$C$44)</f>
        <v>4896457.3202133691</v>
      </c>
      <c r="S686" s="6">
        <f>IF(N686="","",SUM(O686:R686)/('[1]LOCH Calc COE Calc'!$C$28))</f>
        <v>59.702671401901434</v>
      </c>
      <c r="T686">
        <f>IF(L686="","",O686/'[1]LOCH Calc COE Calc'!$C$28)</f>
        <v>56.097994942909637</v>
      </c>
      <c r="U686">
        <f>IF(L686="","",P686/'[1]LOCH Calc COE Calc'!$C$28)</f>
        <v>0.18353248533548572</v>
      </c>
      <c r="V686">
        <f>IF(L686="","",Q686/'[1]LOCH Calc COE Calc'!$C$28)</f>
        <v>3.2100000000000004</v>
      </c>
      <c r="W686">
        <f>IF(L686="","",R686/'[1]LOCH Calc COE Calc'!$C$28)</f>
        <v>0.21114397365631307</v>
      </c>
    </row>
    <row r="687" spans="12:23" x14ac:dyDescent="0.25">
      <c r="L687" s="4">
        <f>IF('[1]All Data '!BE692="","",'[1]All Data '!BE692)</f>
        <v>5.5E-2</v>
      </c>
      <c r="M687">
        <f>IF('[1]All Data '!BF692="","",'[1]All Data '!BF692)</f>
        <v>4767.5627999999997</v>
      </c>
      <c r="N687" s="5">
        <f>IF('[1]All Data '!BB692="","",'[1]All Data '!BC692/'[1]All Data '!BH692)</f>
        <v>272447</v>
      </c>
      <c r="O687" s="5">
        <f t="shared" si="12"/>
        <v>1298908182.1715999</v>
      </c>
      <c r="P687" s="5">
        <f>IF(M687="","",$C$2*(1-L687)*907.2/0.621371*N687*[1]Transportation!$M$40)</f>
        <v>4249560.9181604534</v>
      </c>
      <c r="Q687" s="5">
        <f>IF(L687="","",IF([1]Inputs_Outputs!$B$5="Herbaceous",(LCA!$E$29*'[1]LOCH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7" s="5">
        <f>IF(M687="","",$E$2*1000*'[1]LOCH Calc COE Calc'!$C$44)</f>
        <v>4896457.3202133691</v>
      </c>
      <c r="S687" s="6">
        <f>IF(N687="","",SUM(O687:R687)/('[1]LOCH Calc COE Calc'!$C$28))</f>
        <v>59.615630350793687</v>
      </c>
      <c r="T687">
        <f>IF(L687="","",O687/'[1]LOCH Calc COE Calc'!$C$28)</f>
        <v>56.011237730232821</v>
      </c>
      <c r="U687">
        <f>IF(L687="","",P687/'[1]LOCH Calc COE Calc'!$C$28)</f>
        <v>0.18324864690454787</v>
      </c>
      <c r="V687">
        <f>IF(L687="","",Q687/'[1]LOCH Calc COE Calc'!$C$28)</f>
        <v>3.2100000000000004</v>
      </c>
      <c r="W687">
        <f>IF(L687="","",R687/'[1]LOCH Calc COE Calc'!$C$28)</f>
        <v>0.21114397365631307</v>
      </c>
    </row>
    <row r="688" spans="12:23" x14ac:dyDescent="0.25">
      <c r="L688" s="4">
        <f>IF('[1]All Data '!BE693="","",'[1]All Data '!BE693)</f>
        <v>5.5E-2</v>
      </c>
      <c r="M688">
        <f>IF('[1]All Data '!BF693="","",'[1]All Data '!BF693)</f>
        <v>4767.5627999999997</v>
      </c>
      <c r="N688" s="5">
        <f>IF('[1]All Data '!BB693="","",'[1]All Data '!BC693/'[1]All Data '!BH693)</f>
        <v>272194</v>
      </c>
      <c r="O688" s="5">
        <f t="shared" si="12"/>
        <v>1297701988.7832</v>
      </c>
      <c r="P688" s="5">
        <f>IF(M688="","",$C$2*(1-L688)*907.2/0.621371*N688*[1]Transportation!$M$40)</f>
        <v>4245614.6867382154</v>
      </c>
      <c r="Q688" s="5">
        <f>IF(L688="","",IF([1]Inputs_Outputs!$B$5="Herbaceous",(LCA!$E$29*'[1]LOCH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8" s="5">
        <f>IF(M688="","",$E$2*1000*'[1]LOCH Calc COE Calc'!$C$44)</f>
        <v>4896457.3202133691</v>
      </c>
      <c r="S688" s="6">
        <f>IF(N688="","",SUM(O688:R688)/('[1]LOCH Calc COE Calc'!$C$28))</f>
        <v>59.563446971812041</v>
      </c>
      <c r="T688">
        <f>IF(L688="","",O688/'[1]LOCH Calc COE Calc'!$C$28)</f>
        <v>55.959224519789153</v>
      </c>
      <c r="U688">
        <f>IF(L688="","",P688/'[1]LOCH Calc COE Calc'!$C$28)</f>
        <v>0.18307847836656857</v>
      </c>
      <c r="V688">
        <f>IF(L688="","",Q688/'[1]LOCH Calc COE Calc'!$C$28)</f>
        <v>3.2100000000000004</v>
      </c>
      <c r="W688">
        <f>IF(L688="","",R688/'[1]LOCH Calc COE Calc'!$C$28)</f>
        <v>0.21114397365631307</v>
      </c>
    </row>
    <row r="689" spans="12:23" x14ac:dyDescent="0.25">
      <c r="L689" s="4">
        <f>IF('[1]All Data '!BE694="","",'[1]All Data '!BE694)</f>
        <v>5.5E-2</v>
      </c>
      <c r="M689">
        <f>IF('[1]All Data '!BF694="","",'[1]All Data '!BF694)</f>
        <v>4767.5627999999997</v>
      </c>
      <c r="N689" s="5">
        <f>IF('[1]All Data '!BB694="","",'[1]All Data '!BC694/'[1]All Data '!BH694)</f>
        <v>272000</v>
      </c>
      <c r="O689" s="5">
        <f t="shared" si="12"/>
        <v>1296777081.5999999</v>
      </c>
      <c r="P689" s="5">
        <f>IF(M689="","",$C$2*(1-L689)*907.2/0.621371*N689*[1]Transportation!$M$40)</f>
        <v>4242588.7227227436</v>
      </c>
      <c r="Q689" s="5">
        <f>IF(L689="","",IF([1]Inputs_Outputs!$B$5="Herbaceous",(LCA!$E$29*'[1]LOCH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89" s="5">
        <f>IF(M689="","",$E$2*1000*'[1]LOCH Calc COE Calc'!$C$44)</f>
        <v>4896457.3202133691</v>
      </c>
      <c r="S689" s="6">
        <f>IF(N689="","",SUM(O689:R689)/('[1]LOCH Calc COE Calc'!$C$28))</f>
        <v>59.523432839312264</v>
      </c>
      <c r="T689">
        <f>IF(L689="","",O689/'[1]LOCH Calc COE Calc'!$C$28)</f>
        <v>55.919340872255262</v>
      </c>
      <c r="U689">
        <f>IF(L689="","",P689/'[1]LOCH Calc COE Calc'!$C$28)</f>
        <v>0.18294799340068718</v>
      </c>
      <c r="V689">
        <f>IF(L689="","",Q689/'[1]LOCH Calc COE Calc'!$C$28)</f>
        <v>3.2100000000000004</v>
      </c>
      <c r="W689">
        <f>IF(L689="","",R689/'[1]LOCH Calc COE Calc'!$C$28)</f>
        <v>0.21114397365631307</v>
      </c>
    </row>
    <row r="690" spans="12:23" x14ac:dyDescent="0.25">
      <c r="L690" s="4">
        <f>IF('[1]All Data '!BE695="","",'[1]All Data '!BE695)</f>
        <v>5.5E-2</v>
      </c>
      <c r="M690">
        <f>IF('[1]All Data '!BF695="","",'[1]All Data '!BF695)</f>
        <v>4767.5627999999997</v>
      </c>
      <c r="N690" s="5">
        <f>IF('[1]All Data '!BB695="","",'[1]All Data '!BC695/'[1]All Data '!BH695)</f>
        <v>271625</v>
      </c>
      <c r="O690" s="5">
        <f t="shared" si="12"/>
        <v>1294989245.55</v>
      </c>
      <c r="P690" s="5">
        <f>IF(M690="","",$C$2*(1-L690)*907.2/0.621371*N690*[1]Transportation!$M$40)</f>
        <v>4236739.565476343</v>
      </c>
      <c r="Q690" s="5">
        <f>IF(L690="","",IF([1]Inputs_Outputs!$B$5="Herbaceous",(LCA!$E$29*'[1]LOCH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0" s="5">
        <f>IF(M690="","",$E$2*1000*'[1]LOCH Calc COE Calc'!$C$44)</f>
        <v>4896457.3202133691</v>
      </c>
      <c r="S690" s="6">
        <f>IF(N690="","",SUM(O690:R690)/('[1]LOCH Calc COE Calc'!$C$28))</f>
        <v>59.446085933707046</v>
      </c>
      <c r="T690">
        <f>IF(L690="","",O690/'[1]LOCH Calc COE Calc'!$C$28)</f>
        <v>55.842246192743879</v>
      </c>
      <c r="U690">
        <f>IF(L690="","",P690/'[1]LOCH Calc COE Calc'!$C$28)</f>
        <v>0.18269576730684434</v>
      </c>
      <c r="V690">
        <f>IF(L690="","",Q690/'[1]LOCH Calc COE Calc'!$C$28)</f>
        <v>3.2100000000000004</v>
      </c>
      <c r="W690">
        <f>IF(L690="","",R690/'[1]LOCH Calc COE Calc'!$C$28)</f>
        <v>0.21114397365631307</v>
      </c>
    </row>
    <row r="691" spans="12:23" x14ac:dyDescent="0.25">
      <c r="L691" s="4">
        <f>IF('[1]All Data '!BE696="","",'[1]All Data '!BE696)</f>
        <v>5.5E-2</v>
      </c>
      <c r="M691">
        <f>IF('[1]All Data '!BF696="","",'[1]All Data '!BF696)</f>
        <v>4767.5627999999997</v>
      </c>
      <c r="N691" s="5">
        <f>IF('[1]All Data '!BB696="","",'[1]All Data '!BC696/'[1]All Data '!BH696)</f>
        <v>270837</v>
      </c>
      <c r="O691" s="5">
        <f t="shared" si="12"/>
        <v>1291232406.0635998</v>
      </c>
      <c r="P691" s="5">
        <f>IF(M691="","",$C$2*(1-L691)*907.2/0.621371*N691*[1]Transportation!$M$40)</f>
        <v>4224448.5363825727</v>
      </c>
      <c r="Q691" s="5">
        <f>IF(L691="","",IF([1]Inputs_Outputs!$B$5="Herbaceous",(LCA!$E$29*'[1]LOCH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1" s="5">
        <f>IF(M691="","",$E$2*1000*'[1]LOCH Calc COE Calc'!$C$44)</f>
        <v>4896457.3202133691</v>
      </c>
      <c r="S691" s="6">
        <f>IF(N691="","",SUM(O691:R691)/('[1]LOCH Calc COE Calc'!$C$28))</f>
        <v>59.283554302728596</v>
      </c>
      <c r="T691">
        <f>IF(L691="","",O691/'[1]LOCH Calc COE Calc'!$C$28)</f>
        <v>55.680244572863963</v>
      </c>
      <c r="U691">
        <f>IF(L691="","",P691/'[1]LOCH Calc COE Calc'!$C$28)</f>
        <v>0.18216575620831588</v>
      </c>
      <c r="V691">
        <f>IF(L691="","",Q691/'[1]LOCH Calc COE Calc'!$C$28)</f>
        <v>3.2100000000000004</v>
      </c>
      <c r="W691">
        <f>IF(L691="","",R691/'[1]LOCH Calc COE Calc'!$C$28)</f>
        <v>0.21114397365631307</v>
      </c>
    </row>
    <row r="692" spans="12:23" x14ac:dyDescent="0.25">
      <c r="L692" s="4">
        <f>IF('[1]All Data '!BE697="","",'[1]All Data '!BE697)</f>
        <v>5.5E-2</v>
      </c>
      <c r="M692">
        <f>IF('[1]All Data '!BF697="","",'[1]All Data '!BF697)</f>
        <v>4767.5627999999997</v>
      </c>
      <c r="N692" s="5">
        <f>IF('[1]All Data '!BB697="","",'[1]All Data '!BC697/'[1]All Data '!BH697)</f>
        <v>270831</v>
      </c>
      <c r="O692" s="5">
        <f t="shared" si="12"/>
        <v>1291203800.6868</v>
      </c>
      <c r="P692" s="5">
        <f>IF(M692="","",$C$2*(1-L692)*907.2/0.621371*N692*[1]Transportation!$M$40)</f>
        <v>4224354.9498666301</v>
      </c>
      <c r="Q692" s="5">
        <f>IF(L692="","",IF([1]Inputs_Outputs!$B$5="Herbaceous",(LCA!$E$29*'[1]LOCH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2" s="5">
        <f>IF(M692="","",$E$2*1000*'[1]LOCH Calc COE Calc'!$C$44)</f>
        <v>4896457.3202133691</v>
      </c>
      <c r="S692" s="6">
        <f>IF(N692="","",SUM(O692:R692)/('[1]LOCH Calc COE Calc'!$C$28))</f>
        <v>59.282316752238913</v>
      </c>
      <c r="T692">
        <f>IF(L692="","",O692/'[1]LOCH Calc COE Calc'!$C$28)</f>
        <v>55.679011057991787</v>
      </c>
      <c r="U692">
        <f>IF(L692="","",P692/'[1]LOCH Calc COE Calc'!$C$28)</f>
        <v>0.18216172059081437</v>
      </c>
      <c r="V692">
        <f>IF(L692="","",Q692/'[1]LOCH Calc COE Calc'!$C$28)</f>
        <v>3.2100000000000004</v>
      </c>
      <c r="W692">
        <f>IF(L692="","",R692/'[1]LOCH Calc COE Calc'!$C$28)</f>
        <v>0.21114397365631307</v>
      </c>
    </row>
    <row r="693" spans="12:23" x14ac:dyDescent="0.25">
      <c r="L693" s="4">
        <f>IF('[1]All Data '!BE698="","",'[1]All Data '!BE698)</f>
        <v>5.5E-2</v>
      </c>
      <c r="M693">
        <f>IF('[1]All Data '!BF698="","",'[1]All Data '!BF698)</f>
        <v>4767.5627999999997</v>
      </c>
      <c r="N693" s="5">
        <f>IF('[1]All Data '!BB698="","",'[1]All Data '!BC698/'[1]All Data '!BH698)</f>
        <v>270449</v>
      </c>
      <c r="O693" s="5">
        <f t="shared" si="12"/>
        <v>1289382591.6971998</v>
      </c>
      <c r="P693" s="5">
        <f>IF(M693="","",$C$2*(1-L693)*907.2/0.621371*N693*[1]Transportation!$M$40)</f>
        <v>4218396.6083516302</v>
      </c>
      <c r="Q693" s="5">
        <f>IF(L693="","",IF([1]Inputs_Outputs!$B$5="Herbaceous",(LCA!$E$29*'[1]LOCH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3" s="5">
        <f>IF(M693="","",$E$2*1000*'[1]LOCH Calc COE Calc'!$C$44)</f>
        <v>4896457.3202133691</v>
      </c>
      <c r="S693" s="6">
        <f>IF(N693="","",SUM(O693:R693)/('[1]LOCH Calc COE Calc'!$C$28))</f>
        <v>59.203526037729056</v>
      </c>
      <c r="T693">
        <f>IF(L693="","",O693/'[1]LOCH Calc COE Calc'!$C$28)</f>
        <v>55.60047727779618</v>
      </c>
      <c r="U693">
        <f>IF(L693="","",P693/'[1]LOCH Calc COE Calc'!$C$28)</f>
        <v>0.18190478627655313</v>
      </c>
      <c r="V693">
        <f>IF(L693="","",Q693/'[1]LOCH Calc COE Calc'!$C$28)</f>
        <v>3.2100000000000004</v>
      </c>
      <c r="W693">
        <f>IF(L693="","",R693/'[1]LOCH Calc COE Calc'!$C$28)</f>
        <v>0.21114397365631307</v>
      </c>
    </row>
    <row r="694" spans="12:23" x14ac:dyDescent="0.25">
      <c r="L694" s="4">
        <f>IF('[1]All Data '!BE699="","",'[1]All Data '!BE699)</f>
        <v>5.5E-2</v>
      </c>
      <c r="M694">
        <f>IF('[1]All Data '!BF699="","",'[1]All Data '!BF699)</f>
        <v>4767.5627999999997</v>
      </c>
      <c r="N694" s="5">
        <f>IF('[1]All Data '!BB699="","",'[1]All Data '!BC699/'[1]All Data '!BH699)</f>
        <v>270135</v>
      </c>
      <c r="O694" s="5">
        <f t="shared" si="12"/>
        <v>1287885576.9779999</v>
      </c>
      <c r="P694" s="5">
        <f>IF(M694="","",$C$2*(1-L694)*907.2/0.621371*N694*[1]Transportation!$M$40)</f>
        <v>4213498.9140173104</v>
      </c>
      <c r="Q694" s="5">
        <f>IF(L694="","",IF([1]Inputs_Outputs!$B$5="Herbaceous",(LCA!$E$29*'[1]LOCH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4" s="5">
        <f>IF(M694="","",$E$2*1000*'[1]LOCH Calc COE Calc'!$C$44)</f>
        <v>4896457.3202133691</v>
      </c>
      <c r="S694" s="6">
        <f>IF(N694="","",SUM(O694:R694)/('[1]LOCH Calc COE Calc'!$C$28))</f>
        <v>59.13876089543561</v>
      </c>
      <c r="T694">
        <f>IF(L694="","",O694/'[1]LOCH Calc COE Calc'!$C$28)</f>
        <v>55.535923332818655</v>
      </c>
      <c r="U694">
        <f>IF(L694="","",P694/'[1]LOCH Calc COE Calc'!$C$28)</f>
        <v>0.18169358896064203</v>
      </c>
      <c r="V694">
        <f>IF(L694="","",Q694/'[1]LOCH Calc COE Calc'!$C$28)</f>
        <v>3.2100000000000004</v>
      </c>
      <c r="W694">
        <f>IF(L694="","",R694/'[1]LOCH Calc COE Calc'!$C$28)</f>
        <v>0.21114397365631307</v>
      </c>
    </row>
    <row r="695" spans="12:23" x14ac:dyDescent="0.25">
      <c r="L695" s="4">
        <f>IF('[1]All Data '!BE700="","",'[1]All Data '!BE700)</f>
        <v>5.5E-2</v>
      </c>
      <c r="M695">
        <f>IF('[1]All Data '!BF700="","",'[1]All Data '!BF700)</f>
        <v>4767.5627999999997</v>
      </c>
      <c r="N695" s="5">
        <f>IF('[1]All Data '!BB700="","",'[1]All Data '!BC700/'[1]All Data '!BH700)</f>
        <v>269989</v>
      </c>
      <c r="O695" s="5">
        <f t="shared" si="12"/>
        <v>1287189512.8091998</v>
      </c>
      <c r="P695" s="5">
        <f>IF(M695="","",$C$2*(1-L695)*907.2/0.621371*N695*[1]Transportation!$M$40)</f>
        <v>4211221.6421293784</v>
      </c>
      <c r="Q695" s="5">
        <f>IF(L695="","",IF([1]Inputs_Outputs!$B$5="Herbaceous",(LCA!$E$29*'[1]LOCH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5" s="5">
        <f>IF(M695="","",$E$2*1000*'[1]LOCH Calc COE Calc'!$C$44)</f>
        <v>4896457.3202133691</v>
      </c>
      <c r="S695" s="6">
        <f>IF(N695="","",SUM(O695:R695)/('[1]LOCH Calc COE Calc'!$C$28))</f>
        <v>59.108647166853309</v>
      </c>
      <c r="T695">
        <f>IF(L695="","",O695/'[1]LOCH Calc COE Calc'!$C$28)</f>
        <v>55.505907804262222</v>
      </c>
      <c r="U695">
        <f>IF(L695="","",P695/'[1]LOCH Calc COE Calc'!$C$28)</f>
        <v>0.18159538893477256</v>
      </c>
      <c r="V695">
        <f>IF(L695="","",Q695/'[1]LOCH Calc COE Calc'!$C$28)</f>
        <v>3.2100000000000004</v>
      </c>
      <c r="W695">
        <f>IF(L695="","",R695/'[1]LOCH Calc COE Calc'!$C$28)</f>
        <v>0.21114397365631307</v>
      </c>
    </row>
    <row r="696" spans="12:23" x14ac:dyDescent="0.25">
      <c r="L696" s="4">
        <f>IF('[1]All Data '!BE701="","",'[1]All Data '!BE701)</f>
        <v>5.5E-2</v>
      </c>
      <c r="M696">
        <f>IF('[1]All Data '!BF701="","",'[1]All Data '!BF701)</f>
        <v>4767.5627999999997</v>
      </c>
      <c r="N696" s="5">
        <f>IF('[1]All Data '!BB701="","",'[1]All Data '!BC701/'[1]All Data '!BH701)</f>
        <v>269874</v>
      </c>
      <c r="O696" s="5">
        <f t="shared" si="12"/>
        <v>1286641243.0871999</v>
      </c>
      <c r="P696" s="5">
        <f>IF(M696="","",$C$2*(1-L696)*907.2/0.621371*N696*[1]Transportation!$M$40)</f>
        <v>4209427.9005738152</v>
      </c>
      <c r="Q696" s="5">
        <f>IF(L696="","",IF([1]Inputs_Outputs!$B$5="Herbaceous",(LCA!$E$29*'[1]LOCH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6" s="5">
        <f>IF(M696="","",$E$2*1000*'[1]LOCH Calc COE Calc'!$C$44)</f>
        <v>4896457.3202133691</v>
      </c>
      <c r="S696" s="6">
        <f>IF(N696="","",SUM(O696:R696)/('[1]LOCH Calc COE Calc'!$C$28))</f>
        <v>59.084927449134376</v>
      </c>
      <c r="T696">
        <f>IF(L696="","",O696/'[1]LOCH Calc COE Calc'!$C$28)</f>
        <v>55.482265435878737</v>
      </c>
      <c r="U696">
        <f>IF(L696="","",P696/'[1]LOCH Calc COE Calc'!$C$28)</f>
        <v>0.18151803959932739</v>
      </c>
      <c r="V696">
        <f>IF(L696="","",Q696/'[1]LOCH Calc COE Calc'!$C$28)</f>
        <v>3.2100000000000004</v>
      </c>
      <c r="W696">
        <f>IF(L696="","",R696/'[1]LOCH Calc COE Calc'!$C$28)</f>
        <v>0.21114397365631307</v>
      </c>
    </row>
    <row r="697" spans="12:23" x14ac:dyDescent="0.25">
      <c r="L697" s="4">
        <f>IF('[1]All Data '!BE702="","",'[1]All Data '!BE702)</f>
        <v>5.5E-2</v>
      </c>
      <c r="M697">
        <f>IF('[1]All Data '!BF702="","",'[1]All Data '!BF702)</f>
        <v>4767.5627999999997</v>
      </c>
      <c r="N697" s="5">
        <f>IF('[1]All Data '!BB702="","",'[1]All Data '!BC702/'[1]All Data '!BH702)</f>
        <v>269636</v>
      </c>
      <c r="O697" s="5">
        <f t="shared" si="12"/>
        <v>1285506563.1408</v>
      </c>
      <c r="P697" s="5">
        <f>IF(M697="","",$C$2*(1-L697)*907.2/0.621371*N697*[1]Transportation!$M$40)</f>
        <v>4205715.6354414327</v>
      </c>
      <c r="Q697" s="5">
        <f>IF(L697="","",IF([1]Inputs_Outputs!$B$5="Herbaceous",(LCA!$E$29*'[1]LOCH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7" s="5">
        <f>IF(M697="","",$E$2*1000*'[1]LOCH Calc COE Calc'!$C$44)</f>
        <v>4896457.3202133691</v>
      </c>
      <c r="S697" s="6">
        <f>IF(N697="","",SUM(O697:R697)/('[1]LOCH Calc COE Calc'!$C$28))</f>
        <v>59.035837946376937</v>
      </c>
      <c r="T697">
        <f>IF(L697="","",O697/'[1]LOCH Calc COE Calc'!$C$28)</f>
        <v>55.433336012615513</v>
      </c>
      <c r="U697">
        <f>IF(L697="","",P697/'[1]LOCH Calc COE Calc'!$C$28)</f>
        <v>0.1813579601051018</v>
      </c>
      <c r="V697">
        <f>IF(L697="","",Q697/'[1]LOCH Calc COE Calc'!$C$28)</f>
        <v>3.2100000000000004</v>
      </c>
      <c r="W697">
        <f>IF(L697="","",R697/'[1]LOCH Calc COE Calc'!$C$28)</f>
        <v>0.21114397365631307</v>
      </c>
    </row>
    <row r="698" spans="12:23" x14ac:dyDescent="0.25">
      <c r="L698" s="4">
        <f>IF('[1]All Data '!BE703="","",'[1]All Data '!BE703)</f>
        <v>5.5E-2</v>
      </c>
      <c r="M698">
        <f>IF('[1]All Data '!BF703="","",'[1]All Data '!BF703)</f>
        <v>4767.5627999999997</v>
      </c>
      <c r="N698" s="5">
        <f>IF('[1]All Data '!BB703="","",'[1]All Data '!BC703/'[1]All Data '!BH703)</f>
        <v>269598</v>
      </c>
      <c r="O698" s="5">
        <f t="shared" si="12"/>
        <v>1285325395.7544</v>
      </c>
      <c r="P698" s="5">
        <f>IF(M698="","",$C$2*(1-L698)*907.2/0.621371*N698*[1]Transportation!$M$40)</f>
        <v>4205122.9208404645</v>
      </c>
      <c r="Q698" s="5">
        <f>IF(L698="","",IF([1]Inputs_Outputs!$B$5="Herbaceous",(LCA!$E$29*'[1]LOCH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8" s="5">
        <f>IF(M698="","",$E$2*1000*'[1]LOCH Calc COE Calc'!$C$44)</f>
        <v>4896457.3202133691</v>
      </c>
      <c r="S698" s="6">
        <f>IF(N698="","",SUM(O698:R698)/('[1]LOCH Calc COE Calc'!$C$28))</f>
        <v>59.028000126608937</v>
      </c>
      <c r="T698">
        <f>IF(L698="","",O698/'[1]LOCH Calc COE Calc'!$C$28)</f>
        <v>55.425523751758362</v>
      </c>
      <c r="U698">
        <f>IF(L698="","",P698/'[1]LOCH Calc COE Calc'!$C$28)</f>
        <v>0.18133240119425906</v>
      </c>
      <c r="V698">
        <f>IF(L698="","",Q698/'[1]LOCH Calc COE Calc'!$C$28)</f>
        <v>3.2100000000000004</v>
      </c>
      <c r="W698">
        <f>IF(L698="","",R698/'[1]LOCH Calc COE Calc'!$C$28)</f>
        <v>0.21114397365631307</v>
      </c>
    </row>
    <row r="699" spans="12:23" x14ac:dyDescent="0.25">
      <c r="L699" s="4">
        <f>IF('[1]All Data '!BE704="","",'[1]All Data '!BE704)</f>
        <v>5.5E-2</v>
      </c>
      <c r="M699">
        <f>IF('[1]All Data '!BF704="","",'[1]All Data '!BF704)</f>
        <v>4767.5627999999997</v>
      </c>
      <c r="N699" s="5">
        <f>IF('[1]All Data '!BB704="","",'[1]All Data '!BC704/'[1]All Data '!BH704)</f>
        <v>269193</v>
      </c>
      <c r="O699" s="5">
        <f t="shared" si="12"/>
        <v>1283394532.8204</v>
      </c>
      <c r="P699" s="5">
        <f>IF(M699="","",$C$2*(1-L699)*907.2/0.621371*N699*[1]Transportation!$M$40)</f>
        <v>4198805.8310143519</v>
      </c>
      <c r="Q699" s="5">
        <f>IF(L699="","",IF([1]Inputs_Outputs!$B$5="Herbaceous",(LCA!$E$29*'[1]LOCH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699" s="5">
        <f>IF(M699="","",$E$2*1000*'[1]LOCH Calc COE Calc'!$C$44)</f>
        <v>4896457.3202133691</v>
      </c>
      <c r="S699" s="6">
        <f>IF(N699="","",SUM(O699:R699)/('[1]LOCH Calc COE Calc'!$C$28))</f>
        <v>58.944465468555293</v>
      </c>
      <c r="T699">
        <f>IF(L699="","",O699/'[1]LOCH Calc COE Calc'!$C$28)</f>
        <v>55.342261497886071</v>
      </c>
      <c r="U699">
        <f>IF(L699="","",P699/'[1]LOCH Calc COE Calc'!$C$28)</f>
        <v>0.18105999701290879</v>
      </c>
      <c r="V699">
        <f>IF(L699="","",Q699/'[1]LOCH Calc COE Calc'!$C$28)</f>
        <v>3.2100000000000004</v>
      </c>
      <c r="W699">
        <f>IF(L699="","",R699/'[1]LOCH Calc COE Calc'!$C$28)</f>
        <v>0.21114397365631307</v>
      </c>
    </row>
    <row r="700" spans="12:23" x14ac:dyDescent="0.25">
      <c r="L700" s="4">
        <f>IF('[1]All Data '!BE705="","",'[1]All Data '!BE705)</f>
        <v>5.5E-2</v>
      </c>
      <c r="M700">
        <f>IF('[1]All Data '!BF705="","",'[1]All Data '!BF705)</f>
        <v>4767.5627999999997</v>
      </c>
      <c r="N700" s="5">
        <f>IF('[1]All Data '!BB705="","",'[1]All Data '!BC705/'[1]All Data '!BH705)</f>
        <v>269039</v>
      </c>
      <c r="O700" s="5">
        <f t="shared" si="12"/>
        <v>1282660328.1492</v>
      </c>
      <c r="P700" s="5">
        <f>IF(M700="","",$C$2*(1-L700)*907.2/0.621371*N700*[1]Transportation!$M$40)</f>
        <v>4196403.7771051629</v>
      </c>
      <c r="Q700" s="5">
        <f>IF(L700="","",IF([1]Inputs_Outputs!$B$5="Herbaceous",(LCA!$E$29*'[1]LOCH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00" s="5">
        <f>IF(M700="","",$E$2*1000*'[1]LOCH Calc COE Calc'!$C$44)</f>
        <v>4896457.3202133691</v>
      </c>
      <c r="S700" s="6">
        <f>IF(N700="","",SUM(O700:R700)/('[1]LOCH Calc COE Calc'!$C$28))</f>
        <v>58.912701672653412</v>
      </c>
      <c r="T700">
        <f>IF(L700="","",O700/'[1]LOCH Calc COE Calc'!$C$28)</f>
        <v>55.310601282833396</v>
      </c>
      <c r="U700">
        <f>IF(L700="","",P700/'[1]LOCH Calc COE Calc'!$C$28)</f>
        <v>0.18095641616370398</v>
      </c>
      <c r="V700">
        <f>IF(L700="","",Q700/'[1]LOCH Calc COE Calc'!$C$28)</f>
        <v>3.2100000000000004</v>
      </c>
      <c r="W700">
        <f>IF(L700="","",R700/'[1]LOCH Calc COE Calc'!$C$28)</f>
        <v>0.21114397365631307</v>
      </c>
    </row>
    <row r="701" spans="12:23" x14ac:dyDescent="0.25">
      <c r="L701" s="4">
        <f>IF('[1]All Data '!BE706="","",'[1]All Data '!BE706)</f>
        <v>5.5E-2</v>
      </c>
      <c r="M701">
        <f>IF('[1]All Data '!BF706="","",'[1]All Data '!BF706)</f>
        <v>4767.5627999999997</v>
      </c>
      <c r="N701" s="5">
        <f>IF('[1]All Data '!BB706="","",'[1]All Data '!BC706/'[1]All Data '!BH706)</f>
        <v>268883</v>
      </c>
      <c r="O701" s="5">
        <f t="shared" si="12"/>
        <v>1281916588.3523998</v>
      </c>
      <c r="P701" s="5">
        <f>IF(M701="","",$C$2*(1-L701)*907.2/0.621371*N701*[1]Transportation!$M$40)</f>
        <v>4193970.5276906602</v>
      </c>
      <c r="Q701" s="5">
        <f>IF(L701="","",IF([1]Inputs_Outputs!$B$5="Herbaceous",(LCA!$E$29*'[1]LOCH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>74440334.363835961</v>
      </c>
      <c r="R701" s="5">
        <f>IF(M701="","",$E$2*1000*'[1]LOCH Calc COE Calc'!$C$44)</f>
        <v>4896457.3202133691</v>
      </c>
      <c r="S701" s="6">
        <f>IF(N701="","",SUM(O701:R701)/('[1]LOCH Calc COE Calc'!$C$28))</f>
        <v>58.880525359921634</v>
      </c>
      <c r="T701">
        <f>IF(L701="","",O701/'[1]LOCH Calc COE Calc'!$C$28)</f>
        <v>55.278529896156655</v>
      </c>
      <c r="U701">
        <f>IF(L701="","",P701/'[1]LOCH Calc COE Calc'!$C$28)</f>
        <v>0.18085149010866536</v>
      </c>
      <c r="V701">
        <f>IF(L701="","",Q701/'[1]LOCH Calc COE Calc'!$C$28)</f>
        <v>3.2100000000000004</v>
      </c>
      <c r="W701">
        <f>IF(L701="","",R701/'[1]LOCH Calc COE Calc'!$C$28)</f>
        <v>0.21114397365631307</v>
      </c>
    </row>
    <row r="702" spans="12:23" x14ac:dyDescent="0.25">
      <c r="L702" s="4" t="str">
        <f>IF('[1]All Data '!BE707="","",'[1]All Data '!BE707)</f>
        <v/>
      </c>
      <c r="M702" t="str">
        <f>IF('[1]All Data '!BF707="","",'[1]All Data '!BF707)</f>
        <v/>
      </c>
      <c r="N702" s="5" t="str">
        <f>IF('[1]All Data '!BB707="","",'[1]All Data '!BC707/'[1]All Data '!BH707)</f>
        <v/>
      </c>
      <c r="O702" s="5" t="str">
        <f t="shared" si="12"/>
        <v/>
      </c>
      <c r="P702" s="5" t="str">
        <f>IF(M702="","",$C$2*(1-L702)*907.2/0.621371*N702*[1]Transportation!$M$40)</f>
        <v/>
      </c>
      <c r="Q702" s="5" t="str">
        <f>IF(L702="","",IF([1]Inputs_Outputs!$B$5="Herbaceous",(LCA!$E$29*'[1]LOCH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2" s="5" t="str">
        <f>IF(M702="","",$E$2*1000*'[1]LOCH Calc COE Calc'!$C$44)</f>
        <v/>
      </c>
      <c r="S702" s="6" t="str">
        <f>IF(N702="","",SUM(O702:R702)/('[1]LOCH Calc COE Calc'!$C$28))</f>
        <v/>
      </c>
      <c r="T702" t="str">
        <f>IF(L702="","",O702/'[1]LOCH Calc COE Calc'!$C$28)</f>
        <v/>
      </c>
      <c r="U702" t="str">
        <f>IF(L702="","",P702/'[1]LOCH Calc COE Calc'!$C$28)</f>
        <v/>
      </c>
      <c r="V702" t="str">
        <f>IF(L702="","",Q702/'[1]LOCH Calc COE Calc'!$C$28)</f>
        <v/>
      </c>
      <c r="W702" t="str">
        <f>IF(L702="","",R702/'[1]LOCH Calc COE Calc'!$C$28)</f>
        <v/>
      </c>
    </row>
    <row r="703" spans="12:23" x14ac:dyDescent="0.25">
      <c r="L703" s="4" t="str">
        <f>IF('[1]All Data '!BE708="","",'[1]All Data '!BE708)</f>
        <v/>
      </c>
      <c r="M703" t="str">
        <f>IF('[1]All Data '!BF708="","",'[1]All Data '!BF708)</f>
        <v/>
      </c>
      <c r="N703" s="5" t="str">
        <f>IF('[1]All Data '!BB708="","",'[1]All Data '!BC708/'[1]All Data '!BH708)</f>
        <v/>
      </c>
      <c r="O703" s="5" t="str">
        <f t="shared" si="12"/>
        <v/>
      </c>
      <c r="P703" s="5" t="str">
        <f>IF(M703="","",$C$2*(1-L703)*907.2/0.621371*N703*[1]Transportation!$M$40)</f>
        <v/>
      </c>
      <c r="Q703" s="5" t="str">
        <f>IF(L703="","",IF([1]Inputs_Outputs!$B$5="Herbaceous",(LCA!$E$29*'[1]LOCH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3" s="5" t="str">
        <f>IF(M703="","",$E$2*1000*'[1]LOCH Calc COE Calc'!$C$44)</f>
        <v/>
      </c>
      <c r="S703" s="6" t="str">
        <f>IF(N703="","",SUM(O703:R703)/('[1]LOCH Calc COE Calc'!$C$28))</f>
        <v/>
      </c>
      <c r="T703" t="str">
        <f>IF(L703="","",O703/'[1]LOCH Calc COE Calc'!$C$28)</f>
        <v/>
      </c>
      <c r="U703" t="str">
        <f>IF(L703="","",P703/'[1]LOCH Calc COE Calc'!$C$28)</f>
        <v/>
      </c>
      <c r="V703" t="str">
        <f>IF(L703="","",Q703/'[1]LOCH Calc COE Calc'!$C$28)</f>
        <v/>
      </c>
      <c r="W703" t="str">
        <f>IF(L703="","",R703/'[1]LOCH Calc COE Calc'!$C$28)</f>
        <v/>
      </c>
    </row>
    <row r="704" spans="12:23" x14ac:dyDescent="0.25">
      <c r="L704" s="4" t="str">
        <f>IF('[1]All Data '!BE709="","",'[1]All Data '!BE709)</f>
        <v/>
      </c>
      <c r="M704" t="str">
        <f>IF('[1]All Data '!BF709="","",'[1]All Data '!BF709)</f>
        <v/>
      </c>
      <c r="N704" s="5" t="str">
        <f>IF('[1]All Data '!BB709="","",'[1]All Data '!BC709/'[1]All Data '!BH709)</f>
        <v/>
      </c>
      <c r="O704" s="5" t="str">
        <f t="shared" si="12"/>
        <v/>
      </c>
      <c r="P704" s="5" t="str">
        <f>IF(M704="","",$C$2*(1-L704)*907.2/0.621371*N704*[1]Transportation!$M$40)</f>
        <v/>
      </c>
      <c r="Q704" s="5" t="str">
        <f>IF(L704="","",IF([1]Inputs_Outputs!$B$5="Herbaceous",(LCA!$E$29*'[1]LOCH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4" s="5" t="str">
        <f>IF(M704="","",$E$2*1000*'[1]LOCH Calc COE Calc'!$C$44)</f>
        <v/>
      </c>
      <c r="S704" s="6" t="str">
        <f>IF(N704="","",SUM(O704:R704)/('[1]LOCH Calc COE Calc'!$C$28))</f>
        <v/>
      </c>
      <c r="T704" t="str">
        <f>IF(L704="","",O704/'[1]LOCH Calc COE Calc'!$C$28)</f>
        <v/>
      </c>
      <c r="U704" t="str">
        <f>IF(L704="","",P704/'[1]LOCH Calc COE Calc'!$C$28)</f>
        <v/>
      </c>
      <c r="V704" t="str">
        <f>IF(L704="","",Q704/'[1]LOCH Calc COE Calc'!$C$28)</f>
        <v/>
      </c>
      <c r="W704" t="str">
        <f>IF(L704="","",R704/'[1]LOCH Calc COE Calc'!$C$28)</f>
        <v/>
      </c>
    </row>
    <row r="705" spans="12:23" x14ac:dyDescent="0.25">
      <c r="L705" s="4" t="str">
        <f>IF('[1]All Data '!BE710="","",'[1]All Data '!BE710)</f>
        <v/>
      </c>
      <c r="M705" t="str">
        <f>IF('[1]All Data '!BF710="","",'[1]All Data '!BF710)</f>
        <v/>
      </c>
      <c r="N705" s="5" t="str">
        <f>IF('[1]All Data '!BB710="","",'[1]All Data '!BC710/'[1]All Data '!BH710)</f>
        <v/>
      </c>
      <c r="O705" s="5" t="str">
        <f t="shared" si="12"/>
        <v/>
      </c>
      <c r="P705" s="5" t="str">
        <f>IF(M705="","",$C$2*(1-L705)*907.2/0.621371*N705*[1]Transportation!$M$40)</f>
        <v/>
      </c>
      <c r="Q705" s="5" t="str">
        <f>IF(L705="","",IF([1]Inputs_Outputs!$B$5="Herbaceous",(LCA!$E$29*'[1]LOCH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5" s="5" t="str">
        <f>IF(M705="","",$E$2*1000*'[1]LOCH Calc COE Calc'!$C$44)</f>
        <v/>
      </c>
      <c r="S705" s="6" t="str">
        <f>IF(N705="","",SUM(O705:R705)/('[1]LOCH Calc COE Calc'!$C$28))</f>
        <v/>
      </c>
      <c r="T705" t="str">
        <f>IF(L705="","",O705/'[1]LOCH Calc COE Calc'!$C$28)</f>
        <v/>
      </c>
      <c r="U705" t="str">
        <f>IF(L705="","",P705/'[1]LOCH Calc COE Calc'!$C$28)</f>
        <v/>
      </c>
      <c r="V705" t="str">
        <f>IF(L705="","",Q705/'[1]LOCH Calc COE Calc'!$C$28)</f>
        <v/>
      </c>
      <c r="W705" t="str">
        <f>IF(L705="","",R705/'[1]LOCH Calc COE Calc'!$C$28)</f>
        <v/>
      </c>
    </row>
    <row r="706" spans="12:23" x14ac:dyDescent="0.25">
      <c r="L706" s="4" t="str">
        <f>IF('[1]All Data '!BE711="","",'[1]All Data '!BE711)</f>
        <v/>
      </c>
      <c r="M706" t="str">
        <f>IF('[1]All Data '!BF711="","",'[1]All Data '!BF711)</f>
        <v/>
      </c>
      <c r="N706" s="5" t="str">
        <f>IF('[1]All Data '!BB711="","",'[1]All Data '!BC711/'[1]All Data '!BH711)</f>
        <v/>
      </c>
      <c r="O706" s="5" t="str">
        <f t="shared" si="12"/>
        <v/>
      </c>
      <c r="P706" s="5" t="str">
        <f>IF(M706="","",$C$2*(1-L706)*907.2/0.621371*N706*[1]Transportation!$M$40)</f>
        <v/>
      </c>
      <c r="Q706" s="5" t="str">
        <f>IF(L706="","",IF([1]Inputs_Outputs!$B$5="Herbaceous",(LCA!$E$29*'[1]LOCH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6" s="5" t="str">
        <f>IF(M706="","",$E$2*1000*'[1]LOCH Calc COE Calc'!$C$44)</f>
        <v/>
      </c>
      <c r="S706" s="6" t="str">
        <f>IF(N706="","",SUM(O706:R706)/('[1]LOCH Calc COE Calc'!$C$28))</f>
        <v/>
      </c>
      <c r="T706" t="str">
        <f>IF(L706="","",O706/'[1]LOCH Calc COE Calc'!$C$28)</f>
        <v/>
      </c>
      <c r="U706" t="str">
        <f>IF(L706="","",P706/'[1]LOCH Calc COE Calc'!$C$28)</f>
        <v/>
      </c>
      <c r="V706" t="str">
        <f>IF(L706="","",Q706/'[1]LOCH Calc COE Calc'!$C$28)</f>
        <v/>
      </c>
      <c r="W706" t="str">
        <f>IF(L706="","",R706/'[1]LOCH Calc COE Calc'!$C$28)</f>
        <v/>
      </c>
    </row>
    <row r="707" spans="12:23" x14ac:dyDescent="0.25">
      <c r="L707" s="4" t="str">
        <f>IF('[1]All Data '!BE712="","",'[1]All Data '!BE712)</f>
        <v/>
      </c>
      <c r="M707" t="str">
        <f>IF('[1]All Data '!BF712="","",'[1]All Data '!BF712)</f>
        <v/>
      </c>
      <c r="N707" s="5" t="str">
        <f>IF('[1]All Data '!BB712="","",'[1]All Data '!BC712/'[1]All Data '!BH712)</f>
        <v/>
      </c>
      <c r="O707" s="5" t="str">
        <f t="shared" si="12"/>
        <v/>
      </c>
      <c r="P707" s="5" t="str">
        <f>IF(M707="","",$C$2*(1-L707)*907.2/0.621371*N707*[1]Transportation!$M$40)</f>
        <v/>
      </c>
      <c r="Q707" s="5" t="str">
        <f>IF(L707="","",IF([1]Inputs_Outputs!$B$5="Herbaceous",(LCA!$E$29*'[1]LOCH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7" s="5" t="str">
        <f>IF(M707="","",$E$2*1000*'[1]LOCH Calc COE Calc'!$C$44)</f>
        <v/>
      </c>
      <c r="S707" s="6" t="str">
        <f>IF(N707="","",SUM(O707:R707)/('[1]LOCH Calc COE Calc'!$C$28))</f>
        <v/>
      </c>
      <c r="T707" t="str">
        <f>IF(L707="","",O707/'[1]LOCH Calc COE Calc'!$C$28)</f>
        <v/>
      </c>
      <c r="U707" t="str">
        <f>IF(L707="","",P707/'[1]LOCH Calc COE Calc'!$C$28)</f>
        <v/>
      </c>
      <c r="V707" t="str">
        <f>IF(L707="","",Q707/'[1]LOCH Calc COE Calc'!$C$28)</f>
        <v/>
      </c>
      <c r="W707" t="str">
        <f>IF(L707="","",R707/'[1]LOCH Calc COE Calc'!$C$28)</f>
        <v/>
      </c>
    </row>
    <row r="708" spans="12:23" x14ac:dyDescent="0.25">
      <c r="L708" s="4" t="str">
        <f>IF('[1]All Data '!BE713="","",'[1]All Data '!BE713)</f>
        <v/>
      </c>
      <c r="M708" t="str">
        <f>IF('[1]All Data '!BF713="","",'[1]All Data '!BF713)</f>
        <v/>
      </c>
      <c r="N708" s="5" t="str">
        <f>IF('[1]All Data '!BB713="","",'[1]All Data '!BC713/'[1]All Data '!BH713)</f>
        <v/>
      </c>
      <c r="O708" s="5" t="str">
        <f t="shared" ref="O708:O771" si="13">IF(N708="","",M708*N708)</f>
        <v/>
      </c>
      <c r="P708" s="5" t="str">
        <f>IF(M708="","",$C$2*(1-L708)*907.2/0.621371*N708*[1]Transportation!$M$40)</f>
        <v/>
      </c>
      <c r="Q708" s="5" t="str">
        <f>IF(L708="","",IF([1]Inputs_Outputs!$B$5="Herbaceous",(LCA!$E$29*'[1]LOCH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8" s="5" t="str">
        <f>IF(M708="","",$E$2*1000*'[1]LOCH Calc COE Calc'!$C$44)</f>
        <v/>
      </c>
      <c r="S708" s="6" t="str">
        <f>IF(N708="","",SUM(O708:R708)/('[1]LOCH Calc COE Calc'!$C$28))</f>
        <v/>
      </c>
      <c r="T708" t="str">
        <f>IF(L708="","",O708/'[1]LOCH Calc COE Calc'!$C$28)</f>
        <v/>
      </c>
      <c r="U708" t="str">
        <f>IF(L708="","",P708/'[1]LOCH Calc COE Calc'!$C$28)</f>
        <v/>
      </c>
      <c r="V708" t="str">
        <f>IF(L708="","",Q708/'[1]LOCH Calc COE Calc'!$C$28)</f>
        <v/>
      </c>
      <c r="W708" t="str">
        <f>IF(L708="","",R708/'[1]LOCH Calc COE Calc'!$C$28)</f>
        <v/>
      </c>
    </row>
    <row r="709" spans="12:23" x14ac:dyDescent="0.25">
      <c r="L709" s="4" t="str">
        <f>IF('[1]All Data '!BE714="","",'[1]All Data '!BE714)</f>
        <v/>
      </c>
      <c r="M709" t="str">
        <f>IF('[1]All Data '!BF714="","",'[1]All Data '!BF714)</f>
        <v/>
      </c>
      <c r="N709" s="5" t="str">
        <f>IF('[1]All Data '!BB714="","",'[1]All Data '!BC714/'[1]All Data '!BH714)</f>
        <v/>
      </c>
      <c r="O709" s="5" t="str">
        <f t="shared" si="13"/>
        <v/>
      </c>
      <c r="P709" s="5" t="str">
        <f>IF(M709="","",$C$2*(1-L709)*907.2/0.621371*N709*[1]Transportation!$M$40)</f>
        <v/>
      </c>
      <c r="Q709" s="5" t="str">
        <f>IF(L709="","",IF([1]Inputs_Outputs!$B$5="Herbaceous",(LCA!$E$29*'[1]LOCH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09" s="5" t="str">
        <f>IF(M709="","",$E$2*1000*'[1]LOCH Calc COE Calc'!$C$44)</f>
        <v/>
      </c>
      <c r="S709" s="6" t="str">
        <f>IF(N709="","",SUM(O709:R709)/('[1]LOCH Calc COE Calc'!$C$28))</f>
        <v/>
      </c>
      <c r="T709" t="str">
        <f>IF(L709="","",O709/'[1]LOCH Calc COE Calc'!$C$28)</f>
        <v/>
      </c>
      <c r="U709" t="str">
        <f>IF(L709="","",P709/'[1]LOCH Calc COE Calc'!$C$28)</f>
        <v/>
      </c>
      <c r="V709" t="str">
        <f>IF(L709="","",Q709/'[1]LOCH Calc COE Calc'!$C$28)</f>
        <v/>
      </c>
      <c r="W709" t="str">
        <f>IF(L709="","",R709/'[1]LOCH Calc COE Calc'!$C$28)</f>
        <v/>
      </c>
    </row>
    <row r="710" spans="12:23" x14ac:dyDescent="0.25">
      <c r="L710" s="4" t="str">
        <f>IF('[1]All Data '!BE715="","",'[1]All Data '!BE715)</f>
        <v/>
      </c>
      <c r="M710" t="str">
        <f>IF('[1]All Data '!BF715="","",'[1]All Data '!BF715)</f>
        <v/>
      </c>
      <c r="N710" s="5" t="str">
        <f>IF('[1]All Data '!BB715="","",'[1]All Data '!BC715/'[1]All Data '!BH715)</f>
        <v/>
      </c>
      <c r="O710" s="5" t="str">
        <f t="shared" si="13"/>
        <v/>
      </c>
      <c r="P710" s="5" t="str">
        <f>IF(M710="","",$C$2*(1-L710)*907.2/0.621371*N710*[1]Transportation!$M$40)</f>
        <v/>
      </c>
      <c r="Q710" s="5" t="str">
        <f>IF(L710="","",IF([1]Inputs_Outputs!$B$5="Herbaceous",(LCA!$E$29*'[1]LOCH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0" s="5" t="str">
        <f>IF(M710="","",$E$2*1000*'[1]LOCH Calc COE Calc'!$C$44)</f>
        <v/>
      </c>
      <c r="S710" s="6" t="str">
        <f>IF(N710="","",SUM(O710:R710)/('[1]LOCH Calc COE Calc'!$C$28))</f>
        <v/>
      </c>
      <c r="T710" t="str">
        <f>IF(L710="","",O710/'[1]LOCH Calc COE Calc'!$C$28)</f>
        <v/>
      </c>
      <c r="U710" t="str">
        <f>IF(L710="","",P710/'[1]LOCH Calc COE Calc'!$C$28)</f>
        <v/>
      </c>
      <c r="V710" t="str">
        <f>IF(L710="","",Q710/'[1]LOCH Calc COE Calc'!$C$28)</f>
        <v/>
      </c>
      <c r="W710" t="str">
        <f>IF(L710="","",R710/'[1]LOCH Calc COE Calc'!$C$28)</f>
        <v/>
      </c>
    </row>
    <row r="711" spans="12:23" x14ac:dyDescent="0.25">
      <c r="L711" s="4" t="str">
        <f>IF('[1]All Data '!BE716="","",'[1]All Data '!BE716)</f>
        <v/>
      </c>
      <c r="M711" t="str">
        <f>IF('[1]All Data '!BF716="","",'[1]All Data '!BF716)</f>
        <v/>
      </c>
      <c r="N711" s="5" t="str">
        <f>IF('[1]All Data '!BB716="","",'[1]All Data '!BC716/'[1]All Data '!BH716)</f>
        <v/>
      </c>
      <c r="O711" s="5" t="str">
        <f t="shared" si="13"/>
        <v/>
      </c>
      <c r="P711" s="5" t="str">
        <f>IF(M711="","",$C$2*(1-L711)*907.2/0.621371*N711*[1]Transportation!$M$40)</f>
        <v/>
      </c>
      <c r="Q711" s="5" t="str">
        <f>IF(L711="","",IF([1]Inputs_Outputs!$B$5="Herbaceous",(LCA!$E$29*'[1]LOCH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1" s="5" t="str">
        <f>IF(M711="","",$E$2*1000*'[1]LOCH Calc COE Calc'!$C$44)</f>
        <v/>
      </c>
      <c r="S711" s="6" t="str">
        <f>IF(N711="","",SUM(O711:R711)/('[1]LOCH Calc COE Calc'!$C$28))</f>
        <v/>
      </c>
      <c r="T711" t="str">
        <f>IF(L711="","",O711/'[1]LOCH Calc COE Calc'!$C$28)</f>
        <v/>
      </c>
      <c r="U711" t="str">
        <f>IF(L711="","",P711/'[1]LOCH Calc COE Calc'!$C$28)</f>
        <v/>
      </c>
      <c r="V711" t="str">
        <f>IF(L711="","",Q711/'[1]LOCH Calc COE Calc'!$C$28)</f>
        <v/>
      </c>
      <c r="W711" t="str">
        <f>IF(L711="","",R711/'[1]LOCH Calc COE Calc'!$C$28)</f>
        <v/>
      </c>
    </row>
    <row r="712" spans="12:23" x14ac:dyDescent="0.25">
      <c r="L712" s="4" t="str">
        <f>IF('[1]All Data '!BE717="","",'[1]All Data '!BE717)</f>
        <v/>
      </c>
      <c r="M712" t="str">
        <f>IF('[1]All Data '!BF717="","",'[1]All Data '!BF717)</f>
        <v/>
      </c>
      <c r="N712" s="5" t="str">
        <f>IF('[1]All Data '!BB717="","",'[1]All Data '!BC717/'[1]All Data '!BH717)</f>
        <v/>
      </c>
      <c r="O712" s="5" t="str">
        <f t="shared" si="13"/>
        <v/>
      </c>
      <c r="P712" s="5" t="str">
        <f>IF(M712="","",$C$2*(1-L712)*907.2/0.621371*N712*[1]Transportation!$M$40)</f>
        <v/>
      </c>
      <c r="Q712" s="5" t="str">
        <f>IF(L712="","",IF([1]Inputs_Outputs!$B$5="Herbaceous",(LCA!$E$29*'[1]LOCH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2" s="5" t="str">
        <f>IF(M712="","",$E$2*1000*'[1]LOCH Calc COE Calc'!$C$44)</f>
        <v/>
      </c>
      <c r="S712" s="6" t="str">
        <f>IF(N712="","",SUM(O712:R712)/('[1]LOCH Calc COE Calc'!$C$28))</f>
        <v/>
      </c>
      <c r="T712" t="str">
        <f>IF(L712="","",O712/'[1]LOCH Calc COE Calc'!$C$28)</f>
        <v/>
      </c>
      <c r="U712" t="str">
        <f>IF(L712="","",P712/'[1]LOCH Calc COE Calc'!$C$28)</f>
        <v/>
      </c>
      <c r="V712" t="str">
        <f>IF(L712="","",Q712/'[1]LOCH Calc COE Calc'!$C$28)</f>
        <v/>
      </c>
      <c r="W712" t="str">
        <f>IF(L712="","",R712/'[1]LOCH Calc COE Calc'!$C$28)</f>
        <v/>
      </c>
    </row>
    <row r="713" spans="12:23" x14ac:dyDescent="0.25">
      <c r="L713" s="4" t="str">
        <f>IF('[1]All Data '!BE718="","",'[1]All Data '!BE718)</f>
        <v/>
      </c>
      <c r="M713" t="str">
        <f>IF('[1]All Data '!BF718="","",'[1]All Data '!BF718)</f>
        <v/>
      </c>
      <c r="N713" s="5" t="str">
        <f>IF('[1]All Data '!BB718="","",'[1]All Data '!BC718/'[1]All Data '!BH718)</f>
        <v/>
      </c>
      <c r="O713" s="5" t="str">
        <f t="shared" si="13"/>
        <v/>
      </c>
      <c r="P713" s="5" t="str">
        <f>IF(M713="","",$C$2*(1-L713)*907.2/0.621371*N713*[1]Transportation!$M$40)</f>
        <v/>
      </c>
      <c r="Q713" s="5" t="str">
        <f>IF(L713="","",IF([1]Inputs_Outputs!$B$5="Herbaceous",(LCA!$E$29*'[1]LOCH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3" s="5" t="str">
        <f>IF(M713="","",$E$2*1000*'[1]LOCH Calc COE Calc'!$C$44)</f>
        <v/>
      </c>
      <c r="S713" s="6" t="str">
        <f>IF(N713="","",SUM(O713:R713)/('[1]LOCH Calc COE Calc'!$C$28))</f>
        <v/>
      </c>
      <c r="T713" t="str">
        <f>IF(L713="","",O713/'[1]LOCH Calc COE Calc'!$C$28)</f>
        <v/>
      </c>
      <c r="U713" t="str">
        <f>IF(L713="","",P713/'[1]LOCH Calc COE Calc'!$C$28)</f>
        <v/>
      </c>
      <c r="V713" t="str">
        <f>IF(L713="","",Q713/'[1]LOCH Calc COE Calc'!$C$28)</f>
        <v/>
      </c>
      <c r="W713" t="str">
        <f>IF(L713="","",R713/'[1]LOCH Calc COE Calc'!$C$28)</f>
        <v/>
      </c>
    </row>
    <row r="714" spans="12:23" x14ac:dyDescent="0.25">
      <c r="L714" s="4" t="str">
        <f>IF('[1]All Data '!BE719="","",'[1]All Data '!BE719)</f>
        <v/>
      </c>
      <c r="M714" t="str">
        <f>IF('[1]All Data '!BF719="","",'[1]All Data '!BF719)</f>
        <v/>
      </c>
      <c r="N714" s="5" t="str">
        <f>IF('[1]All Data '!BB719="","",'[1]All Data '!BC719/'[1]All Data '!BH719)</f>
        <v/>
      </c>
      <c r="O714" s="5" t="str">
        <f t="shared" si="13"/>
        <v/>
      </c>
      <c r="P714" s="5" t="str">
        <f>IF(M714="","",$C$2*(1-L714)*907.2/0.621371*N714*[1]Transportation!$M$40)</f>
        <v/>
      </c>
      <c r="Q714" s="5" t="str">
        <f>IF(L714="","",IF([1]Inputs_Outputs!$B$5="Herbaceous",(LCA!$E$29*'[1]LOCH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4" s="5" t="str">
        <f>IF(M714="","",$E$2*1000*'[1]LOCH Calc COE Calc'!$C$44)</f>
        <v/>
      </c>
      <c r="S714" s="6" t="str">
        <f>IF(N714="","",SUM(O714:R714)/('[1]LOCH Calc COE Calc'!$C$28))</f>
        <v/>
      </c>
      <c r="T714" t="str">
        <f>IF(L714="","",O714/'[1]LOCH Calc COE Calc'!$C$28)</f>
        <v/>
      </c>
      <c r="U714" t="str">
        <f>IF(L714="","",P714/'[1]LOCH Calc COE Calc'!$C$28)</f>
        <v/>
      </c>
      <c r="V714" t="str">
        <f>IF(L714="","",Q714/'[1]LOCH Calc COE Calc'!$C$28)</f>
        <v/>
      </c>
      <c r="W714" t="str">
        <f>IF(L714="","",R714/'[1]LOCH Calc COE Calc'!$C$28)</f>
        <v/>
      </c>
    </row>
    <row r="715" spans="12:23" x14ac:dyDescent="0.25">
      <c r="L715" s="4" t="str">
        <f>IF('[1]All Data '!BE720="","",'[1]All Data '!BE720)</f>
        <v/>
      </c>
      <c r="M715" t="str">
        <f>IF('[1]All Data '!BF720="","",'[1]All Data '!BF720)</f>
        <v/>
      </c>
      <c r="N715" s="5" t="str">
        <f>IF('[1]All Data '!BB720="","",'[1]All Data '!BC720/'[1]All Data '!BH720)</f>
        <v/>
      </c>
      <c r="O715" s="5" t="str">
        <f t="shared" si="13"/>
        <v/>
      </c>
      <c r="P715" s="5" t="str">
        <f>IF(M715="","",$C$2*(1-L715)*907.2/0.621371*N715*[1]Transportation!$M$40)</f>
        <v/>
      </c>
      <c r="Q715" s="5" t="str">
        <f>IF(L715="","",IF([1]Inputs_Outputs!$B$5="Herbaceous",(LCA!$E$29*'[1]LOCH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5" s="5" t="str">
        <f>IF(M715="","",$E$2*1000*'[1]LOCH Calc COE Calc'!$C$44)</f>
        <v/>
      </c>
      <c r="S715" s="6" t="str">
        <f>IF(N715="","",SUM(O715:R715)/('[1]LOCH Calc COE Calc'!$C$28))</f>
        <v/>
      </c>
      <c r="T715" t="str">
        <f>IF(L715="","",O715/'[1]LOCH Calc COE Calc'!$C$28)</f>
        <v/>
      </c>
      <c r="U715" t="str">
        <f>IF(L715="","",P715/'[1]LOCH Calc COE Calc'!$C$28)</f>
        <v/>
      </c>
      <c r="V715" t="str">
        <f>IF(L715="","",Q715/'[1]LOCH Calc COE Calc'!$C$28)</f>
        <v/>
      </c>
      <c r="W715" t="str">
        <f>IF(L715="","",R715/'[1]LOCH Calc COE Calc'!$C$28)</f>
        <v/>
      </c>
    </row>
    <row r="716" spans="12:23" x14ac:dyDescent="0.25">
      <c r="L716" s="4" t="str">
        <f>IF('[1]All Data '!BE721="","",'[1]All Data '!BE721)</f>
        <v/>
      </c>
      <c r="M716" t="str">
        <f>IF('[1]All Data '!BF721="","",'[1]All Data '!BF721)</f>
        <v/>
      </c>
      <c r="N716" s="5" t="str">
        <f>IF('[1]All Data '!BB721="","",'[1]All Data '!BC721/'[1]All Data '!BH721)</f>
        <v/>
      </c>
      <c r="O716" s="5" t="str">
        <f t="shared" si="13"/>
        <v/>
      </c>
      <c r="P716" s="5" t="str">
        <f>IF(M716="","",$C$2*(1-L716)*907.2/0.621371*N716*[1]Transportation!$M$40)</f>
        <v/>
      </c>
      <c r="Q716" s="5" t="str">
        <f>IF(L716="","",IF([1]Inputs_Outputs!$B$5="Herbaceous",(LCA!$E$29*'[1]LOCH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6" s="5" t="str">
        <f>IF(M716="","",$E$2*1000*'[1]LOCH Calc COE Calc'!$C$44)</f>
        <v/>
      </c>
      <c r="S716" s="6" t="str">
        <f>IF(N716="","",SUM(O716:R716)/('[1]LOCH Calc COE Calc'!$C$28))</f>
        <v/>
      </c>
      <c r="T716" t="str">
        <f>IF(L716="","",O716/'[1]LOCH Calc COE Calc'!$C$28)</f>
        <v/>
      </c>
      <c r="U716" t="str">
        <f>IF(L716="","",P716/'[1]LOCH Calc COE Calc'!$C$28)</f>
        <v/>
      </c>
      <c r="V716" t="str">
        <f>IF(L716="","",Q716/'[1]LOCH Calc COE Calc'!$C$28)</f>
        <v/>
      </c>
      <c r="W716" t="str">
        <f>IF(L716="","",R716/'[1]LOCH Calc COE Calc'!$C$28)</f>
        <v/>
      </c>
    </row>
    <row r="717" spans="12:23" x14ac:dyDescent="0.25">
      <c r="L717" s="4" t="str">
        <f>IF('[1]All Data '!BE722="","",'[1]All Data '!BE722)</f>
        <v/>
      </c>
      <c r="M717" t="str">
        <f>IF('[1]All Data '!BF722="","",'[1]All Data '!BF722)</f>
        <v/>
      </c>
      <c r="N717" s="5" t="str">
        <f>IF('[1]All Data '!BB722="","",'[1]All Data '!BC722/'[1]All Data '!BH722)</f>
        <v/>
      </c>
      <c r="O717" s="5" t="str">
        <f t="shared" si="13"/>
        <v/>
      </c>
      <c r="P717" s="5" t="str">
        <f>IF(M717="","",$C$2*(1-L717)*907.2/0.621371*N717*[1]Transportation!$M$40)</f>
        <v/>
      </c>
      <c r="Q717" s="5" t="str">
        <f>IF(L717="","",IF([1]Inputs_Outputs!$B$5="Herbaceous",(LCA!$E$29*'[1]LOCH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7" s="5" t="str">
        <f>IF(M717="","",$E$2*1000*'[1]LOCH Calc COE Calc'!$C$44)</f>
        <v/>
      </c>
      <c r="S717" s="6" t="str">
        <f>IF(N717="","",SUM(O717:R717)/('[1]LOCH Calc COE Calc'!$C$28))</f>
        <v/>
      </c>
      <c r="T717" t="str">
        <f>IF(L717="","",O717/'[1]LOCH Calc COE Calc'!$C$28)</f>
        <v/>
      </c>
      <c r="U717" t="str">
        <f>IF(L717="","",P717/'[1]LOCH Calc COE Calc'!$C$28)</f>
        <v/>
      </c>
      <c r="V717" t="str">
        <f>IF(L717="","",Q717/'[1]LOCH Calc COE Calc'!$C$28)</f>
        <v/>
      </c>
      <c r="W717" t="str">
        <f>IF(L717="","",R717/'[1]LOCH Calc COE Calc'!$C$28)</f>
        <v/>
      </c>
    </row>
    <row r="718" spans="12:23" x14ac:dyDescent="0.25">
      <c r="L718" s="4" t="str">
        <f>IF('[1]All Data '!BE723="","",'[1]All Data '!BE723)</f>
        <v/>
      </c>
      <c r="M718" t="str">
        <f>IF('[1]All Data '!BF723="","",'[1]All Data '!BF723)</f>
        <v/>
      </c>
      <c r="N718" s="5" t="str">
        <f>IF('[1]All Data '!BB723="","",'[1]All Data '!BC723/'[1]All Data '!BH723)</f>
        <v/>
      </c>
      <c r="O718" s="5" t="str">
        <f t="shared" si="13"/>
        <v/>
      </c>
      <c r="P718" s="5" t="str">
        <f>IF(M718="","",$C$2*(1-L718)*907.2/0.621371*N718*[1]Transportation!$M$40)</f>
        <v/>
      </c>
      <c r="Q718" s="5" t="str">
        <f>IF(L718="","",IF([1]Inputs_Outputs!$B$5="Herbaceous",(LCA!$E$29*'[1]LOCH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8" s="5" t="str">
        <f>IF(M718="","",$E$2*1000*'[1]LOCH Calc COE Calc'!$C$44)</f>
        <v/>
      </c>
      <c r="S718" s="6" t="str">
        <f>IF(N718="","",SUM(O718:R718)/('[1]LOCH Calc COE Calc'!$C$28))</f>
        <v/>
      </c>
      <c r="T718" t="str">
        <f>IF(L718="","",O718/'[1]LOCH Calc COE Calc'!$C$28)</f>
        <v/>
      </c>
      <c r="U718" t="str">
        <f>IF(L718="","",P718/'[1]LOCH Calc COE Calc'!$C$28)</f>
        <v/>
      </c>
      <c r="V718" t="str">
        <f>IF(L718="","",Q718/'[1]LOCH Calc COE Calc'!$C$28)</f>
        <v/>
      </c>
      <c r="W718" t="str">
        <f>IF(L718="","",R718/'[1]LOCH Calc COE Calc'!$C$28)</f>
        <v/>
      </c>
    </row>
    <row r="719" spans="12:23" x14ac:dyDescent="0.25">
      <c r="L719" s="4" t="str">
        <f>IF('[1]All Data '!BE724="","",'[1]All Data '!BE724)</f>
        <v/>
      </c>
      <c r="M719" t="str">
        <f>IF('[1]All Data '!BF724="","",'[1]All Data '!BF724)</f>
        <v/>
      </c>
      <c r="N719" s="5" t="str">
        <f>IF('[1]All Data '!BB724="","",'[1]All Data '!BC724/'[1]All Data '!BH724)</f>
        <v/>
      </c>
      <c r="O719" s="5" t="str">
        <f t="shared" si="13"/>
        <v/>
      </c>
      <c r="P719" s="5" t="str">
        <f>IF(M719="","",$C$2*(1-L719)*907.2/0.621371*N719*[1]Transportation!$M$40)</f>
        <v/>
      </c>
      <c r="Q719" s="5" t="str">
        <f>IF(L719="","",IF([1]Inputs_Outputs!$B$5="Herbaceous",(LCA!$E$29*'[1]LOCH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19" s="5" t="str">
        <f>IF(M719="","",$E$2*1000*'[1]LOCH Calc COE Calc'!$C$44)</f>
        <v/>
      </c>
      <c r="S719" s="6" t="str">
        <f>IF(N719="","",SUM(O719:R719)/('[1]LOCH Calc COE Calc'!$C$28))</f>
        <v/>
      </c>
      <c r="T719" t="str">
        <f>IF(L719="","",O719/'[1]LOCH Calc COE Calc'!$C$28)</f>
        <v/>
      </c>
      <c r="U719" t="str">
        <f>IF(L719="","",P719/'[1]LOCH Calc COE Calc'!$C$28)</f>
        <v/>
      </c>
      <c r="V719" t="str">
        <f>IF(L719="","",Q719/'[1]LOCH Calc COE Calc'!$C$28)</f>
        <v/>
      </c>
      <c r="W719" t="str">
        <f>IF(L719="","",R719/'[1]LOCH Calc COE Calc'!$C$28)</f>
        <v/>
      </c>
    </row>
    <row r="720" spans="12:23" x14ac:dyDescent="0.25">
      <c r="L720" s="4" t="str">
        <f>IF('[1]All Data '!BE725="","",'[1]All Data '!BE725)</f>
        <v/>
      </c>
      <c r="M720" t="str">
        <f>IF('[1]All Data '!BF725="","",'[1]All Data '!BF725)</f>
        <v/>
      </c>
      <c r="N720" s="5" t="str">
        <f>IF('[1]All Data '!BB725="","",'[1]All Data '!BC725/'[1]All Data '!BH725)</f>
        <v/>
      </c>
      <c r="O720" s="5" t="str">
        <f t="shared" si="13"/>
        <v/>
      </c>
      <c r="P720" s="5" t="str">
        <f>IF(M720="","",$C$2*(1-L720)*907.2/0.621371*N720*[1]Transportation!$M$40)</f>
        <v/>
      </c>
      <c r="Q720" s="5" t="str">
        <f>IF(L720="","",IF([1]Inputs_Outputs!$B$5="Herbaceous",(LCA!$E$29*'[1]LOCH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0" s="5" t="str">
        <f>IF(M720="","",$E$2*1000*'[1]LOCH Calc COE Calc'!$C$44)</f>
        <v/>
      </c>
      <c r="S720" s="6" t="str">
        <f>IF(N720="","",SUM(O720:R720)/('[1]LOCH Calc COE Calc'!$C$28))</f>
        <v/>
      </c>
      <c r="T720" t="str">
        <f>IF(L720="","",O720/'[1]LOCH Calc COE Calc'!$C$28)</f>
        <v/>
      </c>
      <c r="U720" t="str">
        <f>IF(L720="","",P720/'[1]LOCH Calc COE Calc'!$C$28)</f>
        <v/>
      </c>
      <c r="V720" t="str">
        <f>IF(L720="","",Q720/'[1]LOCH Calc COE Calc'!$C$28)</f>
        <v/>
      </c>
      <c r="W720" t="str">
        <f>IF(L720="","",R720/'[1]LOCH Calc COE Calc'!$C$28)</f>
        <v/>
      </c>
    </row>
    <row r="721" spans="12:23" x14ac:dyDescent="0.25">
      <c r="L721" s="4" t="str">
        <f>IF('[1]All Data '!BE726="","",'[1]All Data '!BE726)</f>
        <v/>
      </c>
      <c r="M721" t="str">
        <f>IF('[1]All Data '!BF726="","",'[1]All Data '!BF726)</f>
        <v/>
      </c>
      <c r="N721" s="5" t="str">
        <f>IF('[1]All Data '!BB726="","",'[1]All Data '!BC726/'[1]All Data '!BH726)</f>
        <v/>
      </c>
      <c r="O721" s="5" t="str">
        <f t="shared" si="13"/>
        <v/>
      </c>
      <c r="P721" s="5" t="str">
        <f>IF(M721="","",$C$2*(1-L721)*907.2/0.621371*N721*[1]Transportation!$M$40)</f>
        <v/>
      </c>
      <c r="Q721" s="5" t="str">
        <f>IF(L721="","",IF([1]Inputs_Outputs!$B$5="Herbaceous",(LCA!$E$29*'[1]LOCH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1" s="5" t="str">
        <f>IF(M721="","",$E$2*1000*'[1]LOCH Calc COE Calc'!$C$44)</f>
        <v/>
      </c>
      <c r="S721" s="6" t="str">
        <f>IF(N721="","",SUM(O721:R721)/('[1]LOCH Calc COE Calc'!$C$28))</f>
        <v/>
      </c>
      <c r="T721" t="str">
        <f>IF(L721="","",O721/'[1]LOCH Calc COE Calc'!$C$28)</f>
        <v/>
      </c>
      <c r="U721" t="str">
        <f>IF(L721="","",P721/'[1]LOCH Calc COE Calc'!$C$28)</f>
        <v/>
      </c>
      <c r="V721" t="str">
        <f>IF(L721="","",Q721/'[1]LOCH Calc COE Calc'!$C$28)</f>
        <v/>
      </c>
      <c r="W721" t="str">
        <f>IF(L721="","",R721/'[1]LOCH Calc COE Calc'!$C$28)</f>
        <v/>
      </c>
    </row>
    <row r="722" spans="12:23" x14ac:dyDescent="0.25">
      <c r="L722" s="4" t="str">
        <f>IF('[1]All Data '!BE727="","",'[1]All Data '!BE727)</f>
        <v/>
      </c>
      <c r="M722" t="str">
        <f>IF('[1]All Data '!BF727="","",'[1]All Data '!BF727)</f>
        <v/>
      </c>
      <c r="N722" s="5" t="str">
        <f>IF('[1]All Data '!BB727="","",'[1]All Data '!BC727/'[1]All Data '!BH727)</f>
        <v/>
      </c>
      <c r="O722" s="5" t="str">
        <f t="shared" si="13"/>
        <v/>
      </c>
      <c r="P722" s="5" t="str">
        <f>IF(M722="","",$C$2*(1-L722)*907.2/0.621371*N722*[1]Transportation!$M$40)</f>
        <v/>
      </c>
      <c r="Q722" s="5" t="str">
        <f>IF(L722="","",IF([1]Inputs_Outputs!$B$5="Herbaceous",(LCA!$E$29*'[1]LOCH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2" s="5" t="str">
        <f>IF(M722="","",$E$2*1000*'[1]LOCH Calc COE Calc'!$C$44)</f>
        <v/>
      </c>
      <c r="S722" s="6" t="str">
        <f>IF(N722="","",SUM(O722:R722)/('[1]LOCH Calc COE Calc'!$C$28))</f>
        <v/>
      </c>
      <c r="T722" t="str">
        <f>IF(L722="","",O722/'[1]LOCH Calc COE Calc'!$C$28)</f>
        <v/>
      </c>
      <c r="U722" t="str">
        <f>IF(L722="","",P722/'[1]LOCH Calc COE Calc'!$C$28)</f>
        <v/>
      </c>
      <c r="V722" t="str">
        <f>IF(L722="","",Q722/'[1]LOCH Calc COE Calc'!$C$28)</f>
        <v/>
      </c>
      <c r="W722" t="str">
        <f>IF(L722="","",R722/'[1]LOCH Calc COE Calc'!$C$28)</f>
        <v/>
      </c>
    </row>
    <row r="723" spans="12:23" x14ac:dyDescent="0.25">
      <c r="L723" s="4" t="str">
        <f>IF('[1]All Data '!BE728="","",'[1]All Data '!BE728)</f>
        <v/>
      </c>
      <c r="M723" t="str">
        <f>IF('[1]All Data '!BF728="","",'[1]All Data '!BF728)</f>
        <v/>
      </c>
      <c r="N723" s="5" t="str">
        <f>IF('[1]All Data '!BB728="","",'[1]All Data '!BC728/'[1]All Data '!BH728)</f>
        <v/>
      </c>
      <c r="O723" s="5" t="str">
        <f t="shared" si="13"/>
        <v/>
      </c>
      <c r="P723" s="5" t="str">
        <f>IF(M723="","",$C$2*(1-L723)*907.2/0.621371*N723*[1]Transportation!$M$40)</f>
        <v/>
      </c>
      <c r="Q723" s="5" t="str">
        <f>IF(L723="","",IF([1]Inputs_Outputs!$B$5="Herbaceous",(LCA!$E$29*'[1]LOCH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3" s="5" t="str">
        <f>IF(M723="","",$E$2*1000*'[1]LOCH Calc COE Calc'!$C$44)</f>
        <v/>
      </c>
      <c r="S723" s="6" t="str">
        <f>IF(N723="","",SUM(O723:R723)/('[1]LOCH Calc COE Calc'!$C$28))</f>
        <v/>
      </c>
      <c r="T723" t="str">
        <f>IF(L723="","",O723/'[1]LOCH Calc COE Calc'!$C$28)</f>
        <v/>
      </c>
      <c r="U723" t="str">
        <f>IF(L723="","",P723/'[1]LOCH Calc COE Calc'!$C$28)</f>
        <v/>
      </c>
      <c r="V723" t="str">
        <f>IF(L723="","",Q723/'[1]LOCH Calc COE Calc'!$C$28)</f>
        <v/>
      </c>
      <c r="W723" t="str">
        <f>IF(L723="","",R723/'[1]LOCH Calc COE Calc'!$C$28)</f>
        <v/>
      </c>
    </row>
    <row r="724" spans="12:23" x14ac:dyDescent="0.25">
      <c r="L724" s="4" t="str">
        <f>IF('[1]All Data '!BE729="","",'[1]All Data '!BE729)</f>
        <v/>
      </c>
      <c r="M724" t="str">
        <f>IF('[1]All Data '!BF729="","",'[1]All Data '!BF729)</f>
        <v/>
      </c>
      <c r="N724" s="5" t="str">
        <f>IF('[1]All Data '!BB729="","",'[1]All Data '!BC729/'[1]All Data '!BH729)</f>
        <v/>
      </c>
      <c r="O724" s="5" t="str">
        <f t="shared" si="13"/>
        <v/>
      </c>
      <c r="P724" s="5" t="str">
        <f>IF(M724="","",$C$2*(1-L724)*907.2/0.621371*N724*[1]Transportation!$M$40)</f>
        <v/>
      </c>
      <c r="Q724" s="5" t="str">
        <f>IF(L724="","",IF([1]Inputs_Outputs!$B$5="Herbaceous",(LCA!$E$29*'[1]LOCH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4" s="5" t="str">
        <f>IF(M724="","",$E$2*1000*'[1]LOCH Calc COE Calc'!$C$44)</f>
        <v/>
      </c>
      <c r="S724" s="6" t="str">
        <f>IF(N724="","",SUM(O724:R724)/('[1]LOCH Calc COE Calc'!$C$28))</f>
        <v/>
      </c>
      <c r="T724" t="str">
        <f>IF(L724="","",O724/'[1]LOCH Calc COE Calc'!$C$28)</f>
        <v/>
      </c>
      <c r="U724" t="str">
        <f>IF(L724="","",P724/'[1]LOCH Calc COE Calc'!$C$28)</f>
        <v/>
      </c>
      <c r="V724" t="str">
        <f>IF(L724="","",Q724/'[1]LOCH Calc COE Calc'!$C$28)</f>
        <v/>
      </c>
      <c r="W724" t="str">
        <f>IF(L724="","",R724/'[1]LOCH Calc COE Calc'!$C$28)</f>
        <v/>
      </c>
    </row>
    <row r="725" spans="12:23" x14ac:dyDescent="0.25">
      <c r="L725" s="4" t="str">
        <f>IF('[1]All Data '!BE730="","",'[1]All Data '!BE730)</f>
        <v/>
      </c>
      <c r="M725" t="str">
        <f>IF('[1]All Data '!BF730="","",'[1]All Data '!BF730)</f>
        <v/>
      </c>
      <c r="N725" s="5" t="str">
        <f>IF('[1]All Data '!BB730="","",'[1]All Data '!BC730/'[1]All Data '!BH730)</f>
        <v/>
      </c>
      <c r="O725" s="5" t="str">
        <f t="shared" si="13"/>
        <v/>
      </c>
      <c r="P725" s="5" t="str">
        <f>IF(M725="","",$C$2*(1-L725)*907.2/0.621371*N725*[1]Transportation!$M$40)</f>
        <v/>
      </c>
      <c r="Q725" s="5" t="str">
        <f>IF(L725="","",IF([1]Inputs_Outputs!$B$5="Herbaceous",(LCA!$E$29*'[1]LOCH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5" s="5" t="str">
        <f>IF(M725="","",$E$2*1000*'[1]LOCH Calc COE Calc'!$C$44)</f>
        <v/>
      </c>
      <c r="S725" s="6" t="str">
        <f>IF(N725="","",SUM(O725:R725)/('[1]LOCH Calc COE Calc'!$C$28))</f>
        <v/>
      </c>
      <c r="T725" t="str">
        <f>IF(L725="","",O725/'[1]LOCH Calc COE Calc'!$C$28)</f>
        <v/>
      </c>
      <c r="U725" t="str">
        <f>IF(L725="","",P725/'[1]LOCH Calc COE Calc'!$C$28)</f>
        <v/>
      </c>
      <c r="V725" t="str">
        <f>IF(L725="","",Q725/'[1]LOCH Calc COE Calc'!$C$28)</f>
        <v/>
      </c>
      <c r="W725" t="str">
        <f>IF(L725="","",R725/'[1]LOCH Calc COE Calc'!$C$28)</f>
        <v/>
      </c>
    </row>
    <row r="726" spans="12:23" x14ac:dyDescent="0.25">
      <c r="L726" s="4" t="str">
        <f>IF('[1]All Data '!BE731="","",'[1]All Data '!BE731)</f>
        <v/>
      </c>
      <c r="M726" t="str">
        <f>IF('[1]All Data '!BF731="","",'[1]All Data '!BF731)</f>
        <v/>
      </c>
      <c r="N726" s="5" t="str">
        <f>IF('[1]All Data '!BB731="","",'[1]All Data '!BC731/'[1]All Data '!BH731)</f>
        <v/>
      </c>
      <c r="O726" s="5" t="str">
        <f t="shared" si="13"/>
        <v/>
      </c>
      <c r="P726" s="5" t="str">
        <f>IF(M726="","",$C$2*(1-L726)*907.2/0.621371*N726*[1]Transportation!$M$40)</f>
        <v/>
      </c>
      <c r="Q726" s="5" t="str">
        <f>IF(L726="","",IF([1]Inputs_Outputs!$B$5="Herbaceous",(LCA!$E$29*'[1]LOCH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6" s="5" t="str">
        <f>IF(M726="","",$E$2*1000*'[1]LOCH Calc COE Calc'!$C$44)</f>
        <v/>
      </c>
      <c r="S726" s="6" t="str">
        <f>IF(N726="","",SUM(O726:R726)/('[1]LOCH Calc COE Calc'!$C$28))</f>
        <v/>
      </c>
      <c r="T726" t="str">
        <f>IF(L726="","",O726/'[1]LOCH Calc COE Calc'!$C$28)</f>
        <v/>
      </c>
      <c r="U726" t="str">
        <f>IF(L726="","",P726/'[1]LOCH Calc COE Calc'!$C$28)</f>
        <v/>
      </c>
      <c r="V726" t="str">
        <f>IF(L726="","",Q726/'[1]LOCH Calc COE Calc'!$C$28)</f>
        <v/>
      </c>
      <c r="W726" t="str">
        <f>IF(L726="","",R726/'[1]LOCH Calc COE Calc'!$C$28)</f>
        <v/>
      </c>
    </row>
    <row r="727" spans="12:23" x14ac:dyDescent="0.25">
      <c r="L727" s="4" t="str">
        <f>IF('[1]All Data '!BE732="","",'[1]All Data '!BE732)</f>
        <v/>
      </c>
      <c r="M727" t="str">
        <f>IF('[1]All Data '!BF732="","",'[1]All Data '!BF732)</f>
        <v/>
      </c>
      <c r="N727" s="5" t="str">
        <f>IF('[1]All Data '!BB732="","",'[1]All Data '!BC732/'[1]All Data '!BH732)</f>
        <v/>
      </c>
      <c r="O727" s="5" t="str">
        <f t="shared" si="13"/>
        <v/>
      </c>
      <c r="P727" s="5" t="str">
        <f>IF(M727="","",$C$2*(1-L727)*907.2/0.621371*N727*[1]Transportation!$M$40)</f>
        <v/>
      </c>
      <c r="Q727" s="5" t="str">
        <f>IF(L727="","",IF([1]Inputs_Outputs!$B$5="Herbaceous",(LCA!$E$29*'[1]LOCH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7" s="5" t="str">
        <f>IF(M727="","",$E$2*1000*'[1]LOCH Calc COE Calc'!$C$44)</f>
        <v/>
      </c>
      <c r="S727" s="6" t="str">
        <f>IF(N727="","",SUM(O727:R727)/('[1]LOCH Calc COE Calc'!$C$28))</f>
        <v/>
      </c>
      <c r="T727" t="str">
        <f>IF(L727="","",O727/'[1]LOCH Calc COE Calc'!$C$28)</f>
        <v/>
      </c>
      <c r="U727" t="str">
        <f>IF(L727="","",P727/'[1]LOCH Calc COE Calc'!$C$28)</f>
        <v/>
      </c>
      <c r="V727" t="str">
        <f>IF(L727="","",Q727/'[1]LOCH Calc COE Calc'!$C$28)</f>
        <v/>
      </c>
      <c r="W727" t="str">
        <f>IF(L727="","",R727/'[1]LOCH Calc COE Calc'!$C$28)</f>
        <v/>
      </c>
    </row>
    <row r="728" spans="12:23" x14ac:dyDescent="0.25">
      <c r="L728" s="4" t="str">
        <f>IF('[1]All Data '!BE733="","",'[1]All Data '!BE733)</f>
        <v/>
      </c>
      <c r="M728" t="str">
        <f>IF('[1]All Data '!BF733="","",'[1]All Data '!BF733)</f>
        <v/>
      </c>
      <c r="N728" s="5" t="str">
        <f>IF('[1]All Data '!BB733="","",'[1]All Data '!BC733/'[1]All Data '!BH733)</f>
        <v/>
      </c>
      <c r="O728" s="5" t="str">
        <f t="shared" si="13"/>
        <v/>
      </c>
      <c r="P728" s="5" t="str">
        <f>IF(M728="","",$C$2*(1-L728)*907.2/0.621371*N728*[1]Transportation!$M$40)</f>
        <v/>
      </c>
      <c r="Q728" s="5" t="str">
        <f>IF(L728="","",IF([1]Inputs_Outputs!$B$5="Herbaceous",(LCA!$E$29*'[1]LOCH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8" s="5" t="str">
        <f>IF(M728="","",$E$2*1000*'[1]LOCH Calc COE Calc'!$C$44)</f>
        <v/>
      </c>
      <c r="S728" s="6" t="str">
        <f>IF(N728="","",SUM(O728:R728)/('[1]LOCH Calc COE Calc'!$C$28))</f>
        <v/>
      </c>
      <c r="T728" t="str">
        <f>IF(L728="","",O728/'[1]LOCH Calc COE Calc'!$C$28)</f>
        <v/>
      </c>
      <c r="U728" t="str">
        <f>IF(L728="","",P728/'[1]LOCH Calc COE Calc'!$C$28)</f>
        <v/>
      </c>
      <c r="V728" t="str">
        <f>IF(L728="","",Q728/'[1]LOCH Calc COE Calc'!$C$28)</f>
        <v/>
      </c>
      <c r="W728" t="str">
        <f>IF(L728="","",R728/'[1]LOCH Calc COE Calc'!$C$28)</f>
        <v/>
      </c>
    </row>
    <row r="729" spans="12:23" x14ac:dyDescent="0.25">
      <c r="L729" s="4" t="str">
        <f>IF('[1]All Data '!BE734="","",'[1]All Data '!BE734)</f>
        <v/>
      </c>
      <c r="M729" t="str">
        <f>IF('[1]All Data '!BF734="","",'[1]All Data '!BF734)</f>
        <v/>
      </c>
      <c r="N729" s="5" t="str">
        <f>IF('[1]All Data '!BB734="","",'[1]All Data '!BC734/'[1]All Data '!BH734)</f>
        <v/>
      </c>
      <c r="O729" s="5" t="str">
        <f t="shared" si="13"/>
        <v/>
      </c>
      <c r="P729" s="5" t="str">
        <f>IF(M729="","",$C$2*(1-L729)*907.2/0.621371*N729*[1]Transportation!$M$40)</f>
        <v/>
      </c>
      <c r="Q729" s="5" t="str">
        <f>IF(L729="","",IF([1]Inputs_Outputs!$B$5="Herbaceous",(LCA!$E$29*'[1]LOCH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29" s="5" t="str">
        <f>IF(M729="","",$E$2*1000*'[1]LOCH Calc COE Calc'!$C$44)</f>
        <v/>
      </c>
      <c r="S729" s="6" t="str">
        <f>IF(N729="","",SUM(O729:R729)/('[1]LOCH Calc COE Calc'!$C$28))</f>
        <v/>
      </c>
      <c r="T729" t="str">
        <f>IF(L729="","",O729/'[1]LOCH Calc COE Calc'!$C$28)</f>
        <v/>
      </c>
      <c r="U729" t="str">
        <f>IF(L729="","",P729/'[1]LOCH Calc COE Calc'!$C$28)</f>
        <v/>
      </c>
      <c r="V729" t="str">
        <f>IF(L729="","",Q729/'[1]LOCH Calc COE Calc'!$C$28)</f>
        <v/>
      </c>
      <c r="W729" t="str">
        <f>IF(L729="","",R729/'[1]LOCH Calc COE Calc'!$C$28)</f>
        <v/>
      </c>
    </row>
    <row r="730" spans="12:23" x14ac:dyDescent="0.25">
      <c r="L730" s="4" t="str">
        <f>IF('[1]All Data '!BE735="","",'[1]All Data '!BE735)</f>
        <v/>
      </c>
      <c r="M730" t="str">
        <f>IF('[1]All Data '!BF735="","",'[1]All Data '!BF735)</f>
        <v/>
      </c>
      <c r="N730" s="5" t="str">
        <f>IF('[1]All Data '!BB735="","",'[1]All Data '!BC735/'[1]All Data '!BH735)</f>
        <v/>
      </c>
      <c r="O730" s="5" t="str">
        <f t="shared" si="13"/>
        <v/>
      </c>
      <c r="P730" s="5" t="str">
        <f>IF(M730="","",$C$2*(1-L730)*907.2/0.621371*N730*[1]Transportation!$M$40)</f>
        <v/>
      </c>
      <c r="Q730" s="5" t="str">
        <f>IF(L730="","",IF([1]Inputs_Outputs!$B$5="Herbaceous",(LCA!$E$29*'[1]LOCH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0" s="5" t="str">
        <f>IF(M730="","",$E$2*1000*'[1]LOCH Calc COE Calc'!$C$44)</f>
        <v/>
      </c>
      <c r="S730" s="6" t="str">
        <f>IF(N730="","",SUM(O730:R730)/('[1]LOCH Calc COE Calc'!$C$28))</f>
        <v/>
      </c>
      <c r="T730" t="str">
        <f>IF(L730="","",O730/'[1]LOCH Calc COE Calc'!$C$28)</f>
        <v/>
      </c>
      <c r="U730" t="str">
        <f>IF(L730="","",P730/'[1]LOCH Calc COE Calc'!$C$28)</f>
        <v/>
      </c>
      <c r="V730" t="str">
        <f>IF(L730="","",Q730/'[1]LOCH Calc COE Calc'!$C$28)</f>
        <v/>
      </c>
      <c r="W730" t="str">
        <f>IF(L730="","",R730/'[1]LOCH Calc COE Calc'!$C$28)</f>
        <v/>
      </c>
    </row>
    <row r="731" spans="12:23" x14ac:dyDescent="0.25">
      <c r="L731" s="4" t="str">
        <f>IF('[1]All Data '!BE736="","",'[1]All Data '!BE736)</f>
        <v/>
      </c>
      <c r="M731" t="str">
        <f>IF('[1]All Data '!BF736="","",'[1]All Data '!BF736)</f>
        <v/>
      </c>
      <c r="N731" s="5" t="str">
        <f>IF('[1]All Data '!BB736="","",'[1]All Data '!BC736/'[1]All Data '!BH736)</f>
        <v/>
      </c>
      <c r="O731" s="5" t="str">
        <f t="shared" si="13"/>
        <v/>
      </c>
      <c r="P731" s="5" t="str">
        <f>IF(M731="","",$C$2*(1-L731)*907.2/0.621371*N731*[1]Transportation!$M$40)</f>
        <v/>
      </c>
      <c r="Q731" s="5" t="str">
        <f>IF(L731="","",IF([1]Inputs_Outputs!$B$5="Herbaceous",(LCA!$E$29*'[1]LOCH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1" s="5" t="str">
        <f>IF(M731="","",$E$2*1000*'[1]LOCH Calc COE Calc'!$C$44)</f>
        <v/>
      </c>
      <c r="S731" s="6" t="str">
        <f>IF(N731="","",SUM(O731:R731)/('[1]LOCH Calc COE Calc'!$C$28))</f>
        <v/>
      </c>
      <c r="T731" t="str">
        <f>IF(L731="","",O731/'[1]LOCH Calc COE Calc'!$C$28)</f>
        <v/>
      </c>
      <c r="U731" t="str">
        <f>IF(L731="","",P731/'[1]LOCH Calc COE Calc'!$C$28)</f>
        <v/>
      </c>
      <c r="V731" t="str">
        <f>IF(L731="","",Q731/'[1]LOCH Calc COE Calc'!$C$28)</f>
        <v/>
      </c>
      <c r="W731" t="str">
        <f>IF(L731="","",R731/'[1]LOCH Calc COE Calc'!$C$28)</f>
        <v/>
      </c>
    </row>
    <row r="732" spans="12:23" x14ac:dyDescent="0.25">
      <c r="L732" s="4" t="str">
        <f>IF('[1]All Data '!BE737="","",'[1]All Data '!BE737)</f>
        <v/>
      </c>
      <c r="M732" t="str">
        <f>IF('[1]All Data '!BF737="","",'[1]All Data '!BF737)</f>
        <v/>
      </c>
      <c r="N732" s="5" t="str">
        <f>IF('[1]All Data '!BB737="","",'[1]All Data '!BC737/'[1]All Data '!BH737)</f>
        <v/>
      </c>
      <c r="O732" s="5" t="str">
        <f t="shared" si="13"/>
        <v/>
      </c>
      <c r="P732" s="5" t="str">
        <f>IF(M732="","",$C$2*(1-L732)*907.2/0.621371*N732*[1]Transportation!$M$40)</f>
        <v/>
      </c>
      <c r="Q732" s="5" t="str">
        <f>IF(L732="","",IF([1]Inputs_Outputs!$B$5="Herbaceous",(LCA!$E$29*'[1]LOCH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2" s="5" t="str">
        <f>IF(M732="","",$E$2*1000*'[1]LOCH Calc COE Calc'!$C$44)</f>
        <v/>
      </c>
      <c r="S732" s="6" t="str">
        <f>IF(N732="","",SUM(O732:R732)/('[1]LOCH Calc COE Calc'!$C$28))</f>
        <v/>
      </c>
      <c r="T732" t="str">
        <f>IF(L732="","",O732/'[1]LOCH Calc COE Calc'!$C$28)</f>
        <v/>
      </c>
      <c r="U732" t="str">
        <f>IF(L732="","",P732/'[1]LOCH Calc COE Calc'!$C$28)</f>
        <v/>
      </c>
      <c r="V732" t="str">
        <f>IF(L732="","",Q732/'[1]LOCH Calc COE Calc'!$C$28)</f>
        <v/>
      </c>
      <c r="W732" t="str">
        <f>IF(L732="","",R732/'[1]LOCH Calc COE Calc'!$C$28)</f>
        <v/>
      </c>
    </row>
    <row r="733" spans="12:23" x14ac:dyDescent="0.25">
      <c r="L733" s="4" t="str">
        <f>IF('[1]All Data '!BE738="","",'[1]All Data '!BE738)</f>
        <v/>
      </c>
      <c r="M733" t="str">
        <f>IF('[1]All Data '!BF738="","",'[1]All Data '!BF738)</f>
        <v/>
      </c>
      <c r="N733" s="5" t="str">
        <f>IF('[1]All Data '!BB738="","",'[1]All Data '!BC738/'[1]All Data '!BH738)</f>
        <v/>
      </c>
      <c r="O733" s="5" t="str">
        <f t="shared" si="13"/>
        <v/>
      </c>
      <c r="P733" s="5" t="str">
        <f>IF(M733="","",$C$2*(1-L733)*907.2/0.621371*N733*[1]Transportation!$M$40)</f>
        <v/>
      </c>
      <c r="Q733" s="5" t="str">
        <f>IF(L733="","",IF([1]Inputs_Outputs!$B$5="Herbaceous",(LCA!$E$29*'[1]LOCH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3" s="5" t="str">
        <f>IF(M733="","",$E$2*1000*'[1]LOCH Calc COE Calc'!$C$44)</f>
        <v/>
      </c>
      <c r="S733" s="6" t="str">
        <f>IF(N733="","",SUM(O733:R733)/('[1]LOCH Calc COE Calc'!$C$28))</f>
        <v/>
      </c>
      <c r="T733" t="str">
        <f>IF(L733="","",O733/'[1]LOCH Calc COE Calc'!$C$28)</f>
        <v/>
      </c>
      <c r="U733" t="str">
        <f>IF(L733="","",P733/'[1]LOCH Calc COE Calc'!$C$28)</f>
        <v/>
      </c>
      <c r="V733" t="str">
        <f>IF(L733="","",Q733/'[1]LOCH Calc COE Calc'!$C$28)</f>
        <v/>
      </c>
      <c r="W733" t="str">
        <f>IF(L733="","",R733/'[1]LOCH Calc COE Calc'!$C$28)</f>
        <v/>
      </c>
    </row>
    <row r="734" spans="12:23" x14ac:dyDescent="0.25">
      <c r="L734" s="4" t="str">
        <f>IF('[1]All Data '!BE739="","",'[1]All Data '!BE739)</f>
        <v/>
      </c>
      <c r="M734" t="str">
        <f>IF('[1]All Data '!BF739="","",'[1]All Data '!BF739)</f>
        <v/>
      </c>
      <c r="N734" s="5" t="str">
        <f>IF('[1]All Data '!BB739="","",'[1]All Data '!BC739/'[1]All Data '!BH739)</f>
        <v/>
      </c>
      <c r="O734" s="5" t="str">
        <f t="shared" si="13"/>
        <v/>
      </c>
      <c r="P734" s="5" t="str">
        <f>IF(M734="","",$C$2*(1-L734)*907.2/0.621371*N734*[1]Transportation!$M$40)</f>
        <v/>
      </c>
      <c r="Q734" s="5" t="str">
        <f>IF(L734="","",IF([1]Inputs_Outputs!$B$5="Herbaceous",(LCA!$E$29*'[1]LOCH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4" s="5" t="str">
        <f>IF(M734="","",$E$2*1000*'[1]LOCH Calc COE Calc'!$C$44)</f>
        <v/>
      </c>
      <c r="S734" s="6" t="str">
        <f>IF(N734="","",SUM(O734:R734)/('[1]LOCH Calc COE Calc'!$C$28))</f>
        <v/>
      </c>
      <c r="T734" t="str">
        <f>IF(L734="","",O734/'[1]LOCH Calc COE Calc'!$C$28)</f>
        <v/>
      </c>
      <c r="U734" t="str">
        <f>IF(L734="","",P734/'[1]LOCH Calc COE Calc'!$C$28)</f>
        <v/>
      </c>
      <c r="V734" t="str">
        <f>IF(L734="","",Q734/'[1]LOCH Calc COE Calc'!$C$28)</f>
        <v/>
      </c>
      <c r="W734" t="str">
        <f>IF(L734="","",R734/'[1]LOCH Calc COE Calc'!$C$28)</f>
        <v/>
      </c>
    </row>
    <row r="735" spans="12:23" x14ac:dyDescent="0.25">
      <c r="L735" s="4" t="str">
        <f>IF('[1]All Data '!BE740="","",'[1]All Data '!BE740)</f>
        <v/>
      </c>
      <c r="M735" t="str">
        <f>IF('[1]All Data '!BF740="","",'[1]All Data '!BF740)</f>
        <v/>
      </c>
      <c r="N735" s="5" t="str">
        <f>IF('[1]All Data '!BB740="","",'[1]All Data '!BC740/'[1]All Data '!BH740)</f>
        <v/>
      </c>
      <c r="O735" s="5" t="str">
        <f t="shared" si="13"/>
        <v/>
      </c>
      <c r="P735" s="5" t="str">
        <f>IF(M735="","",$C$2*(1-L735)*907.2/0.621371*N735*[1]Transportation!$M$40)</f>
        <v/>
      </c>
      <c r="Q735" s="5" t="str">
        <f>IF(L735="","",IF([1]Inputs_Outputs!$B$5="Herbaceous",(LCA!$E$29*'[1]LOCH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5" s="5" t="str">
        <f>IF(M735="","",$E$2*1000*'[1]LOCH Calc COE Calc'!$C$44)</f>
        <v/>
      </c>
      <c r="S735" s="6" t="str">
        <f>IF(N735="","",SUM(O735:R735)/('[1]LOCH Calc COE Calc'!$C$28))</f>
        <v/>
      </c>
      <c r="T735" t="str">
        <f>IF(L735="","",O735/'[1]LOCH Calc COE Calc'!$C$28)</f>
        <v/>
      </c>
      <c r="U735" t="str">
        <f>IF(L735="","",P735/'[1]LOCH Calc COE Calc'!$C$28)</f>
        <v/>
      </c>
      <c r="V735" t="str">
        <f>IF(L735="","",Q735/'[1]LOCH Calc COE Calc'!$C$28)</f>
        <v/>
      </c>
      <c r="W735" t="str">
        <f>IF(L735="","",R735/'[1]LOCH Calc COE Calc'!$C$28)</f>
        <v/>
      </c>
    </row>
    <row r="736" spans="12:23" x14ac:dyDescent="0.25">
      <c r="L736" s="4" t="str">
        <f>IF('[1]All Data '!BE741="","",'[1]All Data '!BE741)</f>
        <v/>
      </c>
      <c r="M736" t="str">
        <f>IF('[1]All Data '!BF741="","",'[1]All Data '!BF741)</f>
        <v/>
      </c>
      <c r="N736" s="5" t="str">
        <f>IF('[1]All Data '!BB741="","",'[1]All Data '!BC741/'[1]All Data '!BH741)</f>
        <v/>
      </c>
      <c r="O736" s="5" t="str">
        <f t="shared" si="13"/>
        <v/>
      </c>
      <c r="P736" s="5" t="str">
        <f>IF(M736="","",$C$2*(1-L736)*907.2/0.621371*N736*[1]Transportation!$M$40)</f>
        <v/>
      </c>
      <c r="Q736" s="5" t="str">
        <f>IF(L736="","",IF([1]Inputs_Outputs!$B$5="Herbaceous",(LCA!$E$29*'[1]LOCH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6" s="5" t="str">
        <f>IF(M736="","",$E$2*1000*'[1]LOCH Calc COE Calc'!$C$44)</f>
        <v/>
      </c>
      <c r="S736" s="6" t="str">
        <f>IF(N736="","",SUM(O736:R736)/('[1]LOCH Calc COE Calc'!$C$28))</f>
        <v/>
      </c>
      <c r="T736" t="str">
        <f>IF(L736="","",O736/'[1]LOCH Calc COE Calc'!$C$28)</f>
        <v/>
      </c>
      <c r="U736" t="str">
        <f>IF(L736="","",P736/'[1]LOCH Calc COE Calc'!$C$28)</f>
        <v/>
      </c>
      <c r="V736" t="str">
        <f>IF(L736="","",Q736/'[1]LOCH Calc COE Calc'!$C$28)</f>
        <v/>
      </c>
      <c r="W736" t="str">
        <f>IF(L736="","",R736/'[1]LOCH Calc COE Calc'!$C$28)</f>
        <v/>
      </c>
    </row>
    <row r="737" spans="12:23" x14ac:dyDescent="0.25">
      <c r="L737" s="4" t="str">
        <f>IF('[1]All Data '!BE742="","",'[1]All Data '!BE742)</f>
        <v/>
      </c>
      <c r="M737" t="str">
        <f>IF('[1]All Data '!BF742="","",'[1]All Data '!BF742)</f>
        <v/>
      </c>
      <c r="N737" s="5" t="str">
        <f>IF('[1]All Data '!BB742="","",'[1]All Data '!BC742/'[1]All Data '!BH742)</f>
        <v/>
      </c>
      <c r="O737" s="5" t="str">
        <f t="shared" si="13"/>
        <v/>
      </c>
      <c r="P737" s="5" t="str">
        <f>IF(M737="","",$C$2*(1-L737)*907.2/0.621371*N737*[1]Transportation!$M$40)</f>
        <v/>
      </c>
      <c r="Q737" s="5" t="str">
        <f>IF(L737="","",IF([1]Inputs_Outputs!$B$5="Herbaceous",(LCA!$E$29*'[1]LOCH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7" s="5" t="str">
        <f>IF(M737="","",$E$2*1000*'[1]LOCH Calc COE Calc'!$C$44)</f>
        <v/>
      </c>
      <c r="S737" s="6" t="str">
        <f>IF(N737="","",SUM(O737:R737)/('[1]LOCH Calc COE Calc'!$C$28))</f>
        <v/>
      </c>
      <c r="T737" t="str">
        <f>IF(L737="","",O737/'[1]LOCH Calc COE Calc'!$C$28)</f>
        <v/>
      </c>
      <c r="U737" t="str">
        <f>IF(L737="","",P737/'[1]LOCH Calc COE Calc'!$C$28)</f>
        <v/>
      </c>
      <c r="V737" t="str">
        <f>IF(L737="","",Q737/'[1]LOCH Calc COE Calc'!$C$28)</f>
        <v/>
      </c>
      <c r="W737" t="str">
        <f>IF(L737="","",R737/'[1]LOCH Calc COE Calc'!$C$28)</f>
        <v/>
      </c>
    </row>
    <row r="738" spans="12:23" x14ac:dyDescent="0.25">
      <c r="L738" s="4" t="str">
        <f>IF('[1]All Data '!BE743="","",'[1]All Data '!BE743)</f>
        <v/>
      </c>
      <c r="M738" t="str">
        <f>IF('[1]All Data '!BF743="","",'[1]All Data '!BF743)</f>
        <v/>
      </c>
      <c r="N738" s="5" t="str">
        <f>IF('[1]All Data '!BB743="","",'[1]All Data '!BC743/'[1]All Data '!BH743)</f>
        <v/>
      </c>
      <c r="O738" s="5" t="str">
        <f t="shared" si="13"/>
        <v/>
      </c>
      <c r="P738" s="5" t="str">
        <f>IF(M738="","",$C$2*(1-L738)*907.2/0.621371*N738*[1]Transportation!$M$40)</f>
        <v/>
      </c>
      <c r="Q738" s="5" t="str">
        <f>IF(L738="","",IF([1]Inputs_Outputs!$B$5="Herbaceous",(LCA!$E$29*'[1]LOCH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8" s="5" t="str">
        <f>IF(M738="","",$E$2*1000*'[1]LOCH Calc COE Calc'!$C$44)</f>
        <v/>
      </c>
      <c r="S738" s="6" t="str">
        <f>IF(N738="","",SUM(O738:R738)/('[1]LOCH Calc COE Calc'!$C$28))</f>
        <v/>
      </c>
      <c r="T738" t="str">
        <f>IF(L738="","",O738/'[1]LOCH Calc COE Calc'!$C$28)</f>
        <v/>
      </c>
      <c r="U738" t="str">
        <f>IF(L738="","",P738/'[1]LOCH Calc COE Calc'!$C$28)</f>
        <v/>
      </c>
      <c r="V738" t="str">
        <f>IF(L738="","",Q738/'[1]LOCH Calc COE Calc'!$C$28)</f>
        <v/>
      </c>
      <c r="W738" t="str">
        <f>IF(L738="","",R738/'[1]LOCH Calc COE Calc'!$C$28)</f>
        <v/>
      </c>
    </row>
    <row r="739" spans="12:23" x14ac:dyDescent="0.25">
      <c r="L739" s="4" t="str">
        <f>IF('[1]All Data '!BE744="","",'[1]All Data '!BE744)</f>
        <v/>
      </c>
      <c r="M739" t="str">
        <f>IF('[1]All Data '!BF744="","",'[1]All Data '!BF744)</f>
        <v/>
      </c>
      <c r="N739" s="5" t="str">
        <f>IF('[1]All Data '!BB744="","",'[1]All Data '!BC744/'[1]All Data '!BH744)</f>
        <v/>
      </c>
      <c r="O739" s="5" t="str">
        <f t="shared" si="13"/>
        <v/>
      </c>
      <c r="P739" s="5" t="str">
        <f>IF(M739="","",$C$2*(1-L739)*907.2/0.621371*N739*[1]Transportation!$M$40)</f>
        <v/>
      </c>
      <c r="Q739" s="5" t="str">
        <f>IF(L739="","",IF([1]Inputs_Outputs!$B$5="Herbaceous",(LCA!$E$29*'[1]LOCH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39" s="5" t="str">
        <f>IF(M739="","",$E$2*1000*'[1]LOCH Calc COE Calc'!$C$44)</f>
        <v/>
      </c>
      <c r="S739" s="6" t="str">
        <f>IF(N739="","",SUM(O739:R739)/('[1]LOCH Calc COE Calc'!$C$28))</f>
        <v/>
      </c>
      <c r="T739" t="str">
        <f>IF(L739="","",O739/'[1]LOCH Calc COE Calc'!$C$28)</f>
        <v/>
      </c>
      <c r="U739" t="str">
        <f>IF(L739="","",P739/'[1]LOCH Calc COE Calc'!$C$28)</f>
        <v/>
      </c>
      <c r="V739" t="str">
        <f>IF(L739="","",Q739/'[1]LOCH Calc COE Calc'!$C$28)</f>
        <v/>
      </c>
      <c r="W739" t="str">
        <f>IF(L739="","",R739/'[1]LOCH Calc COE Calc'!$C$28)</f>
        <v/>
      </c>
    </row>
    <row r="740" spans="12:23" x14ac:dyDescent="0.25">
      <c r="L740" s="4" t="str">
        <f>IF('[1]All Data '!BE745="","",'[1]All Data '!BE745)</f>
        <v/>
      </c>
      <c r="M740" t="str">
        <f>IF('[1]All Data '!BF745="","",'[1]All Data '!BF745)</f>
        <v/>
      </c>
      <c r="N740" s="5" t="str">
        <f>IF('[1]All Data '!BB745="","",'[1]All Data '!BC745/'[1]All Data '!BH745)</f>
        <v/>
      </c>
      <c r="O740" s="5" t="str">
        <f t="shared" si="13"/>
        <v/>
      </c>
      <c r="P740" s="5" t="str">
        <f>IF(M740="","",$C$2*(1-L740)*907.2/0.621371*N740*[1]Transportation!$M$40)</f>
        <v/>
      </c>
      <c r="Q740" s="5" t="str">
        <f>IF(L740="","",IF([1]Inputs_Outputs!$B$5="Herbaceous",(LCA!$E$29*'[1]LOCH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0" s="5" t="str">
        <f>IF(M740="","",$E$2*1000*'[1]LOCH Calc COE Calc'!$C$44)</f>
        <v/>
      </c>
      <c r="S740" s="6" t="str">
        <f>IF(N740="","",SUM(O740:R740)/('[1]LOCH Calc COE Calc'!$C$28))</f>
        <v/>
      </c>
      <c r="T740" t="str">
        <f>IF(L740="","",O740/'[1]LOCH Calc COE Calc'!$C$28)</f>
        <v/>
      </c>
      <c r="U740" t="str">
        <f>IF(L740="","",P740/'[1]LOCH Calc COE Calc'!$C$28)</f>
        <v/>
      </c>
      <c r="V740" t="str">
        <f>IF(L740="","",Q740/'[1]LOCH Calc COE Calc'!$C$28)</f>
        <v/>
      </c>
      <c r="W740" t="str">
        <f>IF(L740="","",R740/'[1]LOCH Calc COE Calc'!$C$28)</f>
        <v/>
      </c>
    </row>
    <row r="741" spans="12:23" x14ac:dyDescent="0.25">
      <c r="L741" s="4" t="str">
        <f>IF('[1]All Data '!BE746="","",'[1]All Data '!BE746)</f>
        <v/>
      </c>
      <c r="M741" t="str">
        <f>IF('[1]All Data '!BF746="","",'[1]All Data '!BF746)</f>
        <v/>
      </c>
      <c r="N741" s="5" t="str">
        <f>IF('[1]All Data '!BB746="","",'[1]All Data '!BC746/'[1]All Data '!BH746)</f>
        <v/>
      </c>
      <c r="O741" s="5" t="str">
        <f t="shared" si="13"/>
        <v/>
      </c>
      <c r="P741" s="5" t="str">
        <f>IF(M741="","",$C$2*(1-L741)*907.2/0.621371*N741*[1]Transportation!$M$40)</f>
        <v/>
      </c>
      <c r="Q741" s="5" t="str">
        <f>IF(L741="","",IF([1]Inputs_Outputs!$B$5="Herbaceous",(LCA!$E$29*'[1]LOCH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1" s="5" t="str">
        <f>IF(M741="","",$E$2*1000*'[1]LOCH Calc COE Calc'!$C$44)</f>
        <v/>
      </c>
      <c r="S741" s="6" t="str">
        <f>IF(N741="","",SUM(O741:R741)/('[1]LOCH Calc COE Calc'!$C$28))</f>
        <v/>
      </c>
      <c r="T741" t="str">
        <f>IF(L741="","",O741/'[1]LOCH Calc COE Calc'!$C$28)</f>
        <v/>
      </c>
      <c r="U741" t="str">
        <f>IF(L741="","",P741/'[1]LOCH Calc COE Calc'!$C$28)</f>
        <v/>
      </c>
      <c r="V741" t="str">
        <f>IF(L741="","",Q741/'[1]LOCH Calc COE Calc'!$C$28)</f>
        <v/>
      </c>
      <c r="W741" t="str">
        <f>IF(L741="","",R741/'[1]LOCH Calc COE Calc'!$C$28)</f>
        <v/>
      </c>
    </row>
    <row r="742" spans="12:23" x14ac:dyDescent="0.25">
      <c r="L742" s="4" t="str">
        <f>IF('[1]All Data '!BE747="","",'[1]All Data '!BE747)</f>
        <v/>
      </c>
      <c r="M742" t="str">
        <f>IF('[1]All Data '!BF747="","",'[1]All Data '!BF747)</f>
        <v/>
      </c>
      <c r="N742" s="5" t="str">
        <f>IF('[1]All Data '!BB747="","",'[1]All Data '!BC747/'[1]All Data '!BH747)</f>
        <v/>
      </c>
      <c r="O742" s="5" t="str">
        <f t="shared" si="13"/>
        <v/>
      </c>
      <c r="P742" s="5" t="str">
        <f>IF(M742="","",$C$2*(1-L742)*907.2/0.621371*N742*[1]Transportation!$M$40)</f>
        <v/>
      </c>
      <c r="Q742" s="5" t="str">
        <f>IF(L742="","",IF([1]Inputs_Outputs!$B$5="Herbaceous",(LCA!$E$29*'[1]LOCH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2" s="5" t="str">
        <f>IF(M742="","",$E$2*1000*'[1]LOCH Calc COE Calc'!$C$44)</f>
        <v/>
      </c>
      <c r="S742" s="6" t="str">
        <f>IF(N742="","",SUM(O742:R742)/('[1]LOCH Calc COE Calc'!$C$28))</f>
        <v/>
      </c>
      <c r="T742" t="str">
        <f>IF(L742="","",O742/'[1]LOCH Calc COE Calc'!$C$28)</f>
        <v/>
      </c>
      <c r="U742" t="str">
        <f>IF(L742="","",P742/'[1]LOCH Calc COE Calc'!$C$28)</f>
        <v/>
      </c>
      <c r="V742" t="str">
        <f>IF(L742="","",Q742/'[1]LOCH Calc COE Calc'!$C$28)</f>
        <v/>
      </c>
      <c r="W742" t="str">
        <f>IF(L742="","",R742/'[1]LOCH Calc COE Calc'!$C$28)</f>
        <v/>
      </c>
    </row>
    <row r="743" spans="12:23" x14ac:dyDescent="0.25">
      <c r="L743" s="4" t="str">
        <f>IF('[1]All Data '!BE748="","",'[1]All Data '!BE748)</f>
        <v/>
      </c>
      <c r="M743" t="str">
        <f>IF('[1]All Data '!BF748="","",'[1]All Data '!BF748)</f>
        <v/>
      </c>
      <c r="N743" s="5" t="str">
        <f>IF('[1]All Data '!BB748="","",'[1]All Data '!BC748/'[1]All Data '!BH748)</f>
        <v/>
      </c>
      <c r="O743" s="5" t="str">
        <f t="shared" si="13"/>
        <v/>
      </c>
      <c r="P743" s="5" t="str">
        <f>IF(M743="","",$C$2*(1-L743)*907.2/0.621371*N743*[1]Transportation!$M$40)</f>
        <v/>
      </c>
      <c r="Q743" s="5" t="str">
        <f>IF(L743="","",IF([1]Inputs_Outputs!$B$5="Herbaceous",(LCA!$E$29*'[1]LOCH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3" s="5" t="str">
        <f>IF(M743="","",$E$2*1000*'[1]LOCH Calc COE Calc'!$C$44)</f>
        <v/>
      </c>
      <c r="S743" s="6" t="str">
        <f>IF(N743="","",SUM(O743:R743)/('[1]LOCH Calc COE Calc'!$C$28))</f>
        <v/>
      </c>
      <c r="T743" t="str">
        <f>IF(L743="","",O743/'[1]LOCH Calc COE Calc'!$C$28)</f>
        <v/>
      </c>
      <c r="U743" t="str">
        <f>IF(L743="","",P743/'[1]LOCH Calc COE Calc'!$C$28)</f>
        <v/>
      </c>
      <c r="V743" t="str">
        <f>IF(L743="","",Q743/'[1]LOCH Calc COE Calc'!$C$28)</f>
        <v/>
      </c>
      <c r="W743" t="str">
        <f>IF(L743="","",R743/'[1]LOCH Calc COE Calc'!$C$28)</f>
        <v/>
      </c>
    </row>
    <row r="744" spans="12:23" x14ac:dyDescent="0.25">
      <c r="L744" s="4" t="str">
        <f>IF('[1]All Data '!BE749="","",'[1]All Data '!BE749)</f>
        <v/>
      </c>
      <c r="M744" t="str">
        <f>IF('[1]All Data '!BF749="","",'[1]All Data '!BF749)</f>
        <v/>
      </c>
      <c r="N744" s="5" t="str">
        <f>IF('[1]All Data '!BB749="","",'[1]All Data '!BC749/'[1]All Data '!BH749)</f>
        <v/>
      </c>
      <c r="O744" s="5" t="str">
        <f t="shared" si="13"/>
        <v/>
      </c>
      <c r="P744" s="5" t="str">
        <f>IF(M744="","",$C$2*(1-L744)*907.2/0.621371*N744*[1]Transportation!$M$40)</f>
        <v/>
      </c>
      <c r="Q744" s="5" t="str">
        <f>IF(L744="","",IF([1]Inputs_Outputs!$B$5="Herbaceous",(LCA!$E$29*'[1]LOCH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4" s="5" t="str">
        <f>IF(M744="","",$E$2*1000*'[1]LOCH Calc COE Calc'!$C$44)</f>
        <v/>
      </c>
      <c r="S744" s="6" t="str">
        <f>IF(N744="","",SUM(O744:R744)/('[1]LOCH Calc COE Calc'!$C$28))</f>
        <v/>
      </c>
      <c r="T744" t="str">
        <f>IF(L744="","",O744/'[1]LOCH Calc COE Calc'!$C$28)</f>
        <v/>
      </c>
      <c r="U744" t="str">
        <f>IF(L744="","",P744/'[1]LOCH Calc COE Calc'!$C$28)</f>
        <v/>
      </c>
      <c r="V744" t="str">
        <f>IF(L744="","",Q744/'[1]LOCH Calc COE Calc'!$C$28)</f>
        <v/>
      </c>
      <c r="W744" t="str">
        <f>IF(L744="","",R744/'[1]LOCH Calc COE Calc'!$C$28)</f>
        <v/>
      </c>
    </row>
    <row r="745" spans="12:23" x14ac:dyDescent="0.25">
      <c r="L745" s="4" t="str">
        <f>IF('[1]All Data '!BE750="","",'[1]All Data '!BE750)</f>
        <v/>
      </c>
      <c r="M745" t="str">
        <f>IF('[1]All Data '!BF750="","",'[1]All Data '!BF750)</f>
        <v/>
      </c>
      <c r="N745" s="5" t="str">
        <f>IF('[1]All Data '!BB750="","",'[1]All Data '!BC750/'[1]All Data '!BH750)</f>
        <v/>
      </c>
      <c r="O745" s="5" t="str">
        <f t="shared" si="13"/>
        <v/>
      </c>
      <c r="P745" s="5" t="str">
        <f>IF(M745="","",$C$2*(1-L745)*907.2/0.621371*N745*[1]Transportation!$M$40)</f>
        <v/>
      </c>
      <c r="Q745" s="5" t="str">
        <f>IF(L745="","",IF([1]Inputs_Outputs!$B$5="Herbaceous",(LCA!$E$29*'[1]LOCH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5" s="5" t="str">
        <f>IF(M745="","",$E$2*1000*'[1]LOCH Calc COE Calc'!$C$44)</f>
        <v/>
      </c>
      <c r="S745" s="6" t="str">
        <f>IF(N745="","",SUM(O745:R745)/('[1]LOCH Calc COE Calc'!$C$28))</f>
        <v/>
      </c>
      <c r="T745" t="str">
        <f>IF(L745="","",O745/'[1]LOCH Calc COE Calc'!$C$28)</f>
        <v/>
      </c>
      <c r="U745" t="str">
        <f>IF(L745="","",P745/'[1]LOCH Calc COE Calc'!$C$28)</f>
        <v/>
      </c>
      <c r="V745" t="str">
        <f>IF(L745="","",Q745/'[1]LOCH Calc COE Calc'!$C$28)</f>
        <v/>
      </c>
      <c r="W745" t="str">
        <f>IF(L745="","",R745/'[1]LOCH Calc COE Calc'!$C$28)</f>
        <v/>
      </c>
    </row>
    <row r="746" spans="12:23" x14ac:dyDescent="0.25">
      <c r="L746" s="4" t="str">
        <f>IF('[1]All Data '!BE751="","",'[1]All Data '!BE751)</f>
        <v/>
      </c>
      <c r="M746" t="str">
        <f>IF('[1]All Data '!BF751="","",'[1]All Data '!BF751)</f>
        <v/>
      </c>
      <c r="N746" s="5" t="str">
        <f>IF('[1]All Data '!BB751="","",'[1]All Data '!BC751/'[1]All Data '!BH751)</f>
        <v/>
      </c>
      <c r="O746" s="5" t="str">
        <f t="shared" si="13"/>
        <v/>
      </c>
      <c r="P746" s="5" t="str">
        <f>IF(M746="","",$C$2*(1-L746)*907.2/0.621371*N746*[1]Transportation!$M$40)</f>
        <v/>
      </c>
      <c r="Q746" s="5" t="str">
        <f>IF(L746="","",IF([1]Inputs_Outputs!$B$5="Herbaceous",(LCA!$E$29*'[1]LOCH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6" s="5" t="str">
        <f>IF(M746="","",$E$2*1000*'[1]LOCH Calc COE Calc'!$C$44)</f>
        <v/>
      </c>
      <c r="S746" s="6" t="str">
        <f>IF(N746="","",SUM(O746:R746)/('[1]LOCH Calc COE Calc'!$C$28))</f>
        <v/>
      </c>
      <c r="T746" t="str">
        <f>IF(L746="","",O746/'[1]LOCH Calc COE Calc'!$C$28)</f>
        <v/>
      </c>
      <c r="U746" t="str">
        <f>IF(L746="","",P746/'[1]LOCH Calc COE Calc'!$C$28)</f>
        <v/>
      </c>
      <c r="V746" t="str">
        <f>IF(L746="","",Q746/'[1]LOCH Calc COE Calc'!$C$28)</f>
        <v/>
      </c>
      <c r="W746" t="str">
        <f>IF(L746="","",R746/'[1]LOCH Calc COE Calc'!$C$28)</f>
        <v/>
      </c>
    </row>
    <row r="747" spans="12:23" x14ac:dyDescent="0.25">
      <c r="L747" s="4" t="str">
        <f>IF('[1]All Data '!BE752="","",'[1]All Data '!BE752)</f>
        <v/>
      </c>
      <c r="M747" t="str">
        <f>IF('[1]All Data '!BF752="","",'[1]All Data '!BF752)</f>
        <v/>
      </c>
      <c r="N747" s="5" t="str">
        <f>IF('[1]All Data '!BB752="","",'[1]All Data '!BC752/'[1]All Data '!BH752)</f>
        <v/>
      </c>
      <c r="O747" s="5" t="str">
        <f t="shared" si="13"/>
        <v/>
      </c>
      <c r="P747" s="5" t="str">
        <f>IF(M747="","",$C$2*(1-L747)*907.2/0.621371*N747*[1]Transportation!$M$40)</f>
        <v/>
      </c>
      <c r="Q747" s="5" t="str">
        <f>IF(L747="","",IF([1]Inputs_Outputs!$B$5="Herbaceous",(LCA!$E$29*'[1]LOCH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7" s="5" t="str">
        <f>IF(M747="","",$E$2*1000*'[1]LOCH Calc COE Calc'!$C$44)</f>
        <v/>
      </c>
      <c r="S747" s="6" t="str">
        <f>IF(N747="","",SUM(O747:R747)/('[1]LOCH Calc COE Calc'!$C$28))</f>
        <v/>
      </c>
      <c r="T747" t="str">
        <f>IF(L747="","",O747/'[1]LOCH Calc COE Calc'!$C$28)</f>
        <v/>
      </c>
      <c r="U747" t="str">
        <f>IF(L747="","",P747/'[1]LOCH Calc COE Calc'!$C$28)</f>
        <v/>
      </c>
      <c r="V747" t="str">
        <f>IF(L747="","",Q747/'[1]LOCH Calc COE Calc'!$C$28)</f>
        <v/>
      </c>
      <c r="W747" t="str">
        <f>IF(L747="","",R747/'[1]LOCH Calc COE Calc'!$C$28)</f>
        <v/>
      </c>
    </row>
    <row r="748" spans="12:23" x14ac:dyDescent="0.25">
      <c r="L748" s="4" t="str">
        <f>IF('[1]All Data '!BE753="","",'[1]All Data '!BE753)</f>
        <v/>
      </c>
      <c r="M748" t="str">
        <f>IF('[1]All Data '!BF753="","",'[1]All Data '!BF753)</f>
        <v/>
      </c>
      <c r="N748" s="5" t="str">
        <f>IF('[1]All Data '!BB753="","",'[1]All Data '!BC753/'[1]All Data '!BH753)</f>
        <v/>
      </c>
      <c r="O748" s="5" t="str">
        <f t="shared" si="13"/>
        <v/>
      </c>
      <c r="P748" s="5" t="str">
        <f>IF(M748="","",$C$2*(1-L748)*907.2/0.621371*N748*[1]Transportation!$M$40)</f>
        <v/>
      </c>
      <c r="Q748" s="5" t="str">
        <f>IF(L748="","",IF([1]Inputs_Outputs!$B$5="Herbaceous",(LCA!$E$29*'[1]LOCH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8" s="5" t="str">
        <f>IF(M748="","",$E$2*1000*'[1]LOCH Calc COE Calc'!$C$44)</f>
        <v/>
      </c>
      <c r="S748" s="6" t="str">
        <f>IF(N748="","",SUM(O748:R748)/('[1]LOCH Calc COE Calc'!$C$28))</f>
        <v/>
      </c>
      <c r="T748" t="str">
        <f>IF(L748="","",O748/'[1]LOCH Calc COE Calc'!$C$28)</f>
        <v/>
      </c>
      <c r="U748" t="str">
        <f>IF(L748="","",P748/'[1]LOCH Calc COE Calc'!$C$28)</f>
        <v/>
      </c>
      <c r="V748" t="str">
        <f>IF(L748="","",Q748/'[1]LOCH Calc COE Calc'!$C$28)</f>
        <v/>
      </c>
      <c r="W748" t="str">
        <f>IF(L748="","",R748/'[1]LOCH Calc COE Calc'!$C$28)</f>
        <v/>
      </c>
    </row>
    <row r="749" spans="12:23" x14ac:dyDescent="0.25">
      <c r="L749" s="4" t="str">
        <f>IF('[1]All Data '!BE754="","",'[1]All Data '!BE754)</f>
        <v/>
      </c>
      <c r="M749" t="str">
        <f>IF('[1]All Data '!BF754="","",'[1]All Data '!BF754)</f>
        <v/>
      </c>
      <c r="N749" s="5" t="str">
        <f>IF('[1]All Data '!BB754="","",'[1]All Data '!BC754/'[1]All Data '!BH754)</f>
        <v/>
      </c>
      <c r="O749" s="5" t="str">
        <f t="shared" si="13"/>
        <v/>
      </c>
      <c r="P749" s="5" t="str">
        <f>IF(M749="","",$C$2*(1-L749)*907.2/0.621371*N749*[1]Transportation!$M$40)</f>
        <v/>
      </c>
      <c r="Q749" s="5" t="str">
        <f>IF(L749="","",IF([1]Inputs_Outputs!$B$5="Herbaceous",(LCA!$E$29*'[1]LOCH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49" s="5" t="str">
        <f>IF(M749="","",$E$2*1000*'[1]LOCH Calc COE Calc'!$C$44)</f>
        <v/>
      </c>
      <c r="S749" s="6" t="str">
        <f>IF(N749="","",SUM(O749:R749)/('[1]LOCH Calc COE Calc'!$C$28))</f>
        <v/>
      </c>
      <c r="T749" t="str">
        <f>IF(L749="","",O749/'[1]LOCH Calc COE Calc'!$C$28)</f>
        <v/>
      </c>
      <c r="U749" t="str">
        <f>IF(L749="","",P749/'[1]LOCH Calc COE Calc'!$C$28)</f>
        <v/>
      </c>
      <c r="V749" t="str">
        <f>IF(L749="","",Q749/'[1]LOCH Calc COE Calc'!$C$28)</f>
        <v/>
      </c>
      <c r="W749" t="str">
        <f>IF(L749="","",R749/'[1]LOCH Calc COE Calc'!$C$28)</f>
        <v/>
      </c>
    </row>
    <row r="750" spans="12:23" x14ac:dyDescent="0.25">
      <c r="L750" s="4" t="str">
        <f>IF('[1]All Data '!BE755="","",'[1]All Data '!BE755)</f>
        <v/>
      </c>
      <c r="M750" t="str">
        <f>IF('[1]All Data '!BF755="","",'[1]All Data '!BF755)</f>
        <v/>
      </c>
      <c r="N750" s="5" t="str">
        <f>IF('[1]All Data '!BB755="","",'[1]All Data '!BC755/'[1]All Data '!BH755)</f>
        <v/>
      </c>
      <c r="O750" s="5" t="str">
        <f t="shared" si="13"/>
        <v/>
      </c>
      <c r="P750" s="5" t="str">
        <f>IF(M750="","",$C$2*(1-L750)*907.2/0.621371*N750*[1]Transportation!$M$40)</f>
        <v/>
      </c>
      <c r="Q750" s="5" t="str">
        <f>IF(L750="","",IF([1]Inputs_Outputs!$B$5="Herbaceous",(LCA!$E$29*'[1]LOCH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0" s="5" t="str">
        <f>IF(M750="","",$E$2*1000*'[1]LOCH Calc COE Calc'!$C$44)</f>
        <v/>
      </c>
      <c r="S750" s="6" t="str">
        <f>IF(N750="","",SUM(O750:R750)/('[1]LOCH Calc COE Calc'!$C$28))</f>
        <v/>
      </c>
      <c r="T750" t="str">
        <f>IF(L750="","",O750/'[1]LOCH Calc COE Calc'!$C$28)</f>
        <v/>
      </c>
      <c r="U750" t="str">
        <f>IF(L750="","",P750/'[1]LOCH Calc COE Calc'!$C$28)</f>
        <v/>
      </c>
      <c r="V750" t="str">
        <f>IF(L750="","",Q750/'[1]LOCH Calc COE Calc'!$C$28)</f>
        <v/>
      </c>
      <c r="W750" t="str">
        <f>IF(L750="","",R750/'[1]LOCH Calc COE Calc'!$C$28)</f>
        <v/>
      </c>
    </row>
    <row r="751" spans="12:23" x14ac:dyDescent="0.25">
      <c r="L751" s="4" t="str">
        <f>IF('[1]All Data '!BE756="","",'[1]All Data '!BE756)</f>
        <v/>
      </c>
      <c r="M751" t="str">
        <f>IF('[1]All Data '!BF756="","",'[1]All Data '!BF756)</f>
        <v/>
      </c>
      <c r="N751" s="5" t="str">
        <f>IF('[1]All Data '!BB756="","",'[1]All Data '!BC756/'[1]All Data '!BH756)</f>
        <v/>
      </c>
      <c r="O751" s="5" t="str">
        <f t="shared" si="13"/>
        <v/>
      </c>
      <c r="P751" s="5" t="str">
        <f>IF(M751="","",$C$2*(1-L751)*907.2/0.621371*N751*[1]Transportation!$M$40)</f>
        <v/>
      </c>
      <c r="Q751" s="5" t="str">
        <f>IF(L751="","",IF([1]Inputs_Outputs!$B$5="Herbaceous",(LCA!$E$29*'[1]LOCH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1" s="5" t="str">
        <f>IF(M751="","",$E$2*1000*'[1]LOCH Calc COE Calc'!$C$44)</f>
        <v/>
      </c>
      <c r="S751" s="6" t="str">
        <f>IF(N751="","",SUM(O751:R751)/('[1]LOCH Calc COE Calc'!$C$28))</f>
        <v/>
      </c>
      <c r="T751" t="str">
        <f>IF(L751="","",O751/'[1]LOCH Calc COE Calc'!$C$28)</f>
        <v/>
      </c>
      <c r="U751" t="str">
        <f>IF(L751="","",P751/'[1]LOCH Calc COE Calc'!$C$28)</f>
        <v/>
      </c>
      <c r="V751" t="str">
        <f>IF(L751="","",Q751/'[1]LOCH Calc COE Calc'!$C$28)</f>
        <v/>
      </c>
      <c r="W751" t="str">
        <f>IF(L751="","",R751/'[1]LOCH Calc COE Calc'!$C$28)</f>
        <v/>
      </c>
    </row>
    <row r="752" spans="12:23" x14ac:dyDescent="0.25">
      <c r="L752" s="4" t="str">
        <f>IF('[1]All Data '!BE757="","",'[1]All Data '!BE757)</f>
        <v/>
      </c>
      <c r="M752" t="str">
        <f>IF('[1]All Data '!BF757="","",'[1]All Data '!BF757)</f>
        <v/>
      </c>
      <c r="N752" s="5" t="str">
        <f>IF('[1]All Data '!BB757="","",'[1]All Data '!BC757/'[1]All Data '!BH757)</f>
        <v/>
      </c>
      <c r="O752" s="5" t="str">
        <f t="shared" si="13"/>
        <v/>
      </c>
      <c r="P752" s="5" t="str">
        <f>IF(M752="","",$C$2*(1-L752)*907.2/0.621371*N752*[1]Transportation!$M$40)</f>
        <v/>
      </c>
      <c r="Q752" s="5" t="str">
        <f>IF(L752="","",IF([1]Inputs_Outputs!$B$5="Herbaceous",(LCA!$E$29*'[1]LOCH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2" s="5" t="str">
        <f>IF(M752="","",$E$2*1000*'[1]LOCH Calc COE Calc'!$C$44)</f>
        <v/>
      </c>
      <c r="S752" s="6" t="str">
        <f>IF(N752="","",SUM(O752:R752)/('[1]LOCH Calc COE Calc'!$C$28))</f>
        <v/>
      </c>
      <c r="T752" t="str">
        <f>IF(L752="","",O752/'[1]LOCH Calc COE Calc'!$C$28)</f>
        <v/>
      </c>
      <c r="U752" t="str">
        <f>IF(L752="","",P752/'[1]LOCH Calc COE Calc'!$C$28)</f>
        <v/>
      </c>
      <c r="V752" t="str">
        <f>IF(L752="","",Q752/'[1]LOCH Calc COE Calc'!$C$28)</f>
        <v/>
      </c>
      <c r="W752" t="str">
        <f>IF(L752="","",R752/'[1]LOCH Calc COE Calc'!$C$28)</f>
        <v/>
      </c>
    </row>
    <row r="753" spans="12:23" x14ac:dyDescent="0.25">
      <c r="L753" s="4" t="str">
        <f>IF('[1]All Data '!BE758="","",'[1]All Data '!BE758)</f>
        <v/>
      </c>
      <c r="M753" t="str">
        <f>IF('[1]All Data '!BF758="","",'[1]All Data '!BF758)</f>
        <v/>
      </c>
      <c r="N753" s="5" t="str">
        <f>IF('[1]All Data '!BB758="","",'[1]All Data '!BC758/'[1]All Data '!BH758)</f>
        <v/>
      </c>
      <c r="O753" s="5" t="str">
        <f t="shared" si="13"/>
        <v/>
      </c>
      <c r="P753" s="5" t="str">
        <f>IF(M753="","",$C$2*(1-L753)*907.2/0.621371*N753*[1]Transportation!$M$40)</f>
        <v/>
      </c>
      <c r="Q753" s="5" t="str">
        <f>IF(L753="","",IF([1]Inputs_Outputs!$B$5="Herbaceous",(LCA!$E$29*'[1]LOCH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3" s="5" t="str">
        <f>IF(M753="","",$E$2*1000*'[1]LOCH Calc COE Calc'!$C$44)</f>
        <v/>
      </c>
      <c r="S753" s="6" t="str">
        <f>IF(N753="","",SUM(O753:R753)/('[1]LOCH Calc COE Calc'!$C$28))</f>
        <v/>
      </c>
      <c r="T753" t="str">
        <f>IF(L753="","",O753/'[1]LOCH Calc COE Calc'!$C$28)</f>
        <v/>
      </c>
      <c r="U753" t="str">
        <f>IF(L753="","",P753/'[1]LOCH Calc COE Calc'!$C$28)</f>
        <v/>
      </c>
      <c r="V753" t="str">
        <f>IF(L753="","",Q753/'[1]LOCH Calc COE Calc'!$C$28)</f>
        <v/>
      </c>
      <c r="W753" t="str">
        <f>IF(L753="","",R753/'[1]LOCH Calc COE Calc'!$C$28)</f>
        <v/>
      </c>
    </row>
    <row r="754" spans="12:23" x14ac:dyDescent="0.25">
      <c r="L754" s="4" t="str">
        <f>IF('[1]All Data '!BE759="","",'[1]All Data '!BE759)</f>
        <v/>
      </c>
      <c r="M754" t="str">
        <f>IF('[1]All Data '!BF759="","",'[1]All Data '!BF759)</f>
        <v/>
      </c>
      <c r="N754" s="5" t="str">
        <f>IF('[1]All Data '!BB759="","",'[1]All Data '!BC759/'[1]All Data '!BH759)</f>
        <v/>
      </c>
      <c r="O754" s="5" t="str">
        <f t="shared" si="13"/>
        <v/>
      </c>
      <c r="P754" s="5" t="str">
        <f>IF(M754="","",$C$2*(1-L754)*907.2/0.621371*N754*[1]Transportation!$M$40)</f>
        <v/>
      </c>
      <c r="Q754" s="5" t="str">
        <f>IF(L754="","",IF([1]Inputs_Outputs!$B$5="Herbaceous",(LCA!$E$29*'[1]LOCH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4" s="5" t="str">
        <f>IF(M754="","",$E$2*1000*'[1]LOCH Calc COE Calc'!$C$44)</f>
        <v/>
      </c>
      <c r="S754" s="6" t="str">
        <f>IF(N754="","",SUM(O754:R754)/('[1]LOCH Calc COE Calc'!$C$28))</f>
        <v/>
      </c>
      <c r="T754" t="str">
        <f>IF(L754="","",O754/'[1]LOCH Calc COE Calc'!$C$28)</f>
        <v/>
      </c>
      <c r="U754" t="str">
        <f>IF(L754="","",P754/'[1]LOCH Calc COE Calc'!$C$28)</f>
        <v/>
      </c>
      <c r="V754" t="str">
        <f>IF(L754="","",Q754/'[1]LOCH Calc COE Calc'!$C$28)</f>
        <v/>
      </c>
      <c r="W754" t="str">
        <f>IF(L754="","",R754/'[1]LOCH Calc COE Calc'!$C$28)</f>
        <v/>
      </c>
    </row>
    <row r="755" spans="12:23" x14ac:dyDescent="0.25">
      <c r="L755" s="4" t="str">
        <f>IF('[1]All Data '!BE760="","",'[1]All Data '!BE760)</f>
        <v/>
      </c>
      <c r="M755" t="str">
        <f>IF('[1]All Data '!BF760="","",'[1]All Data '!BF760)</f>
        <v/>
      </c>
      <c r="N755" s="5" t="str">
        <f>IF('[1]All Data '!BB760="","",'[1]All Data '!BC760/'[1]All Data '!BH760)</f>
        <v/>
      </c>
      <c r="O755" s="5" t="str">
        <f t="shared" si="13"/>
        <v/>
      </c>
      <c r="P755" s="5" t="str">
        <f>IF(M755="","",$C$2*(1-L755)*907.2/0.621371*N755*[1]Transportation!$M$40)</f>
        <v/>
      </c>
      <c r="Q755" s="5" t="str">
        <f>IF(L755="","",IF([1]Inputs_Outputs!$B$5="Herbaceous",(LCA!$E$29*'[1]LOCH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5" s="5" t="str">
        <f>IF(M755="","",$E$2*1000*'[1]LOCH Calc COE Calc'!$C$44)</f>
        <v/>
      </c>
      <c r="S755" s="6" t="str">
        <f>IF(N755="","",SUM(O755:R755)/('[1]LOCH Calc COE Calc'!$C$28))</f>
        <v/>
      </c>
      <c r="T755" t="str">
        <f>IF(L755="","",O755/'[1]LOCH Calc COE Calc'!$C$28)</f>
        <v/>
      </c>
      <c r="U755" t="str">
        <f>IF(L755="","",P755/'[1]LOCH Calc COE Calc'!$C$28)</f>
        <v/>
      </c>
      <c r="V755" t="str">
        <f>IF(L755="","",Q755/'[1]LOCH Calc COE Calc'!$C$28)</f>
        <v/>
      </c>
      <c r="W755" t="str">
        <f>IF(L755="","",R755/'[1]LOCH Calc COE Calc'!$C$28)</f>
        <v/>
      </c>
    </row>
    <row r="756" spans="12:23" x14ac:dyDescent="0.25">
      <c r="L756" s="4" t="str">
        <f>IF('[1]All Data '!BE761="","",'[1]All Data '!BE761)</f>
        <v/>
      </c>
      <c r="M756" t="str">
        <f>IF('[1]All Data '!BF761="","",'[1]All Data '!BF761)</f>
        <v/>
      </c>
      <c r="N756" s="5" t="str">
        <f>IF('[1]All Data '!BB761="","",'[1]All Data '!BC761/'[1]All Data '!BH761)</f>
        <v/>
      </c>
      <c r="O756" s="5" t="str">
        <f t="shared" si="13"/>
        <v/>
      </c>
      <c r="P756" s="5" t="str">
        <f>IF(M756="","",$C$2*(1-L756)*907.2/0.621371*N756*[1]Transportation!$M$40)</f>
        <v/>
      </c>
      <c r="Q756" s="5" t="str">
        <f>IF(L756="","",IF([1]Inputs_Outputs!$B$5="Herbaceous",(LCA!$E$29*'[1]LOCH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6" s="5" t="str">
        <f>IF(M756="","",$E$2*1000*'[1]LOCH Calc COE Calc'!$C$44)</f>
        <v/>
      </c>
      <c r="S756" s="6" t="str">
        <f>IF(N756="","",SUM(O756:R756)/('[1]LOCH Calc COE Calc'!$C$28))</f>
        <v/>
      </c>
      <c r="T756" t="str">
        <f>IF(L756="","",O756/'[1]LOCH Calc COE Calc'!$C$28)</f>
        <v/>
      </c>
      <c r="U756" t="str">
        <f>IF(L756="","",P756/'[1]LOCH Calc COE Calc'!$C$28)</f>
        <v/>
      </c>
      <c r="V756" t="str">
        <f>IF(L756="","",Q756/'[1]LOCH Calc COE Calc'!$C$28)</f>
        <v/>
      </c>
      <c r="W756" t="str">
        <f>IF(L756="","",R756/'[1]LOCH Calc COE Calc'!$C$28)</f>
        <v/>
      </c>
    </row>
    <row r="757" spans="12:23" x14ac:dyDescent="0.25">
      <c r="L757" s="4" t="str">
        <f>IF('[1]All Data '!BE762="","",'[1]All Data '!BE762)</f>
        <v/>
      </c>
      <c r="M757" t="str">
        <f>IF('[1]All Data '!BF762="","",'[1]All Data '!BF762)</f>
        <v/>
      </c>
      <c r="N757" s="5" t="str">
        <f>IF('[1]All Data '!BB762="","",'[1]All Data '!BC762/'[1]All Data '!BH762)</f>
        <v/>
      </c>
      <c r="O757" s="5" t="str">
        <f t="shared" si="13"/>
        <v/>
      </c>
      <c r="P757" s="5" t="str">
        <f>IF(M757="","",$C$2*(1-L757)*907.2/0.621371*N757*[1]Transportation!$M$40)</f>
        <v/>
      </c>
      <c r="Q757" s="5" t="str">
        <f>IF(L757="","",IF([1]Inputs_Outputs!$B$5="Herbaceous",(LCA!$E$29*'[1]LOCH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7" s="5" t="str">
        <f>IF(M757="","",$E$2*1000*'[1]LOCH Calc COE Calc'!$C$44)</f>
        <v/>
      </c>
      <c r="S757" s="6" t="str">
        <f>IF(N757="","",SUM(O757:R757)/('[1]LOCH Calc COE Calc'!$C$28))</f>
        <v/>
      </c>
      <c r="T757" t="str">
        <f>IF(L757="","",O757/'[1]LOCH Calc COE Calc'!$C$28)</f>
        <v/>
      </c>
      <c r="U757" t="str">
        <f>IF(L757="","",P757/'[1]LOCH Calc COE Calc'!$C$28)</f>
        <v/>
      </c>
      <c r="V757" t="str">
        <f>IF(L757="","",Q757/'[1]LOCH Calc COE Calc'!$C$28)</f>
        <v/>
      </c>
      <c r="W757" t="str">
        <f>IF(L757="","",R757/'[1]LOCH Calc COE Calc'!$C$28)</f>
        <v/>
      </c>
    </row>
    <row r="758" spans="12:23" x14ac:dyDescent="0.25">
      <c r="L758" s="4" t="str">
        <f>IF('[1]All Data '!BE763="","",'[1]All Data '!BE763)</f>
        <v/>
      </c>
      <c r="M758" t="str">
        <f>IF('[1]All Data '!BF763="","",'[1]All Data '!BF763)</f>
        <v/>
      </c>
      <c r="N758" s="5" t="str">
        <f>IF('[1]All Data '!BB763="","",'[1]All Data '!BC763/'[1]All Data '!BH763)</f>
        <v/>
      </c>
      <c r="O758" s="5" t="str">
        <f t="shared" si="13"/>
        <v/>
      </c>
      <c r="P758" s="5" t="str">
        <f>IF(M758="","",$C$2*(1-L758)*907.2/0.621371*N758*[1]Transportation!$M$40)</f>
        <v/>
      </c>
      <c r="Q758" s="5" t="str">
        <f>IF(L758="","",IF([1]Inputs_Outputs!$B$5="Herbaceous",(LCA!$E$29*'[1]LOCH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8" s="5" t="str">
        <f>IF(M758="","",$E$2*1000*'[1]LOCH Calc COE Calc'!$C$44)</f>
        <v/>
      </c>
      <c r="S758" s="6" t="str">
        <f>IF(N758="","",SUM(O758:R758)/('[1]LOCH Calc COE Calc'!$C$28))</f>
        <v/>
      </c>
      <c r="T758" t="str">
        <f>IF(L758="","",O758/'[1]LOCH Calc COE Calc'!$C$28)</f>
        <v/>
      </c>
      <c r="U758" t="str">
        <f>IF(L758="","",P758/'[1]LOCH Calc COE Calc'!$C$28)</f>
        <v/>
      </c>
      <c r="V758" t="str">
        <f>IF(L758="","",Q758/'[1]LOCH Calc COE Calc'!$C$28)</f>
        <v/>
      </c>
      <c r="W758" t="str">
        <f>IF(L758="","",R758/'[1]LOCH Calc COE Calc'!$C$28)</f>
        <v/>
      </c>
    </row>
    <row r="759" spans="12:23" x14ac:dyDescent="0.25">
      <c r="L759" s="4" t="str">
        <f>IF('[1]All Data '!BE764="","",'[1]All Data '!BE764)</f>
        <v/>
      </c>
      <c r="M759" t="str">
        <f>IF('[1]All Data '!BF764="","",'[1]All Data '!BF764)</f>
        <v/>
      </c>
      <c r="N759" s="5" t="str">
        <f>IF('[1]All Data '!BB764="","",'[1]All Data '!BC764/'[1]All Data '!BH764)</f>
        <v/>
      </c>
      <c r="O759" s="5" t="str">
        <f t="shared" si="13"/>
        <v/>
      </c>
      <c r="P759" s="5" t="str">
        <f>IF(M759="","",$C$2*(1-L759)*907.2/0.621371*N759*[1]Transportation!$M$40)</f>
        <v/>
      </c>
      <c r="Q759" s="5" t="str">
        <f>IF(L759="","",IF([1]Inputs_Outputs!$B$5="Herbaceous",(LCA!$E$29*'[1]LOCH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59" s="5" t="str">
        <f>IF(M759="","",$E$2*1000*'[1]LOCH Calc COE Calc'!$C$44)</f>
        <v/>
      </c>
      <c r="S759" s="6" t="str">
        <f>IF(N759="","",SUM(O759:R759)/('[1]LOCH Calc COE Calc'!$C$28))</f>
        <v/>
      </c>
      <c r="T759" t="str">
        <f>IF(L759="","",O759/'[1]LOCH Calc COE Calc'!$C$28)</f>
        <v/>
      </c>
      <c r="U759" t="str">
        <f>IF(L759="","",P759/'[1]LOCH Calc COE Calc'!$C$28)</f>
        <v/>
      </c>
      <c r="V759" t="str">
        <f>IF(L759="","",Q759/'[1]LOCH Calc COE Calc'!$C$28)</f>
        <v/>
      </c>
      <c r="W759" t="str">
        <f>IF(L759="","",R759/'[1]LOCH Calc COE Calc'!$C$28)</f>
        <v/>
      </c>
    </row>
    <row r="760" spans="12:23" x14ac:dyDescent="0.25">
      <c r="L760" s="4" t="str">
        <f>IF('[1]All Data '!BE765="","",'[1]All Data '!BE765)</f>
        <v/>
      </c>
      <c r="M760" t="str">
        <f>IF('[1]All Data '!BF765="","",'[1]All Data '!BF765)</f>
        <v/>
      </c>
      <c r="N760" s="5" t="str">
        <f>IF('[1]All Data '!BB765="","",'[1]All Data '!BC765/'[1]All Data '!BH765)</f>
        <v/>
      </c>
      <c r="O760" s="5" t="str">
        <f t="shared" si="13"/>
        <v/>
      </c>
      <c r="P760" s="5" t="str">
        <f>IF(M760="","",$C$2*(1-L760)*907.2/0.621371*N760*[1]Transportation!$M$40)</f>
        <v/>
      </c>
      <c r="Q760" s="5" t="str">
        <f>IF(L760="","",IF([1]Inputs_Outputs!$B$5="Herbaceous",(LCA!$E$29*'[1]LOCH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0" s="5" t="str">
        <f>IF(M760="","",$E$2*1000*'[1]LOCH Calc COE Calc'!$C$44)</f>
        <v/>
      </c>
      <c r="S760" s="6" t="str">
        <f>IF(N760="","",SUM(O760:R760)/('[1]LOCH Calc COE Calc'!$C$28))</f>
        <v/>
      </c>
      <c r="T760" t="str">
        <f>IF(L760="","",O760/'[1]LOCH Calc COE Calc'!$C$28)</f>
        <v/>
      </c>
      <c r="U760" t="str">
        <f>IF(L760="","",P760/'[1]LOCH Calc COE Calc'!$C$28)</f>
        <v/>
      </c>
      <c r="V760" t="str">
        <f>IF(L760="","",Q760/'[1]LOCH Calc COE Calc'!$C$28)</f>
        <v/>
      </c>
      <c r="W760" t="str">
        <f>IF(L760="","",R760/'[1]LOCH Calc COE Calc'!$C$28)</f>
        <v/>
      </c>
    </row>
    <row r="761" spans="12:23" x14ac:dyDescent="0.25">
      <c r="L761" s="4" t="str">
        <f>IF('[1]All Data '!BE766="","",'[1]All Data '!BE766)</f>
        <v/>
      </c>
      <c r="M761" t="str">
        <f>IF('[1]All Data '!BF766="","",'[1]All Data '!BF766)</f>
        <v/>
      </c>
      <c r="N761" s="5" t="str">
        <f>IF('[1]All Data '!BB766="","",'[1]All Data '!BC766/'[1]All Data '!BH766)</f>
        <v/>
      </c>
      <c r="O761" s="5" t="str">
        <f t="shared" si="13"/>
        <v/>
      </c>
      <c r="P761" s="5" t="str">
        <f>IF(M761="","",$C$2*(1-L761)*907.2/0.621371*N761*[1]Transportation!$M$40)</f>
        <v/>
      </c>
      <c r="Q761" s="5" t="str">
        <f>IF(L761="","",IF([1]Inputs_Outputs!$B$5="Herbaceous",(LCA!$E$29*'[1]LOCH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1" s="5" t="str">
        <f>IF(M761="","",$E$2*1000*'[1]LOCH Calc COE Calc'!$C$44)</f>
        <v/>
      </c>
      <c r="S761" s="6" t="str">
        <f>IF(N761="","",SUM(O761:R761)/('[1]LOCH Calc COE Calc'!$C$28))</f>
        <v/>
      </c>
      <c r="T761" t="str">
        <f>IF(L761="","",O761/'[1]LOCH Calc COE Calc'!$C$28)</f>
        <v/>
      </c>
      <c r="U761" t="str">
        <f>IF(L761="","",P761/'[1]LOCH Calc COE Calc'!$C$28)</f>
        <v/>
      </c>
      <c r="V761" t="str">
        <f>IF(L761="","",Q761/'[1]LOCH Calc COE Calc'!$C$28)</f>
        <v/>
      </c>
      <c r="W761" t="str">
        <f>IF(L761="","",R761/'[1]LOCH Calc COE Calc'!$C$28)</f>
        <v/>
      </c>
    </row>
    <row r="762" spans="12:23" x14ac:dyDescent="0.25">
      <c r="L762" s="4" t="str">
        <f>IF('[1]All Data '!BE767="","",'[1]All Data '!BE767)</f>
        <v/>
      </c>
      <c r="M762" t="str">
        <f>IF('[1]All Data '!BF767="","",'[1]All Data '!BF767)</f>
        <v/>
      </c>
      <c r="N762" s="5" t="str">
        <f>IF('[1]All Data '!BB767="","",'[1]All Data '!BC767/'[1]All Data '!BH767)</f>
        <v/>
      </c>
      <c r="O762" s="5" t="str">
        <f t="shared" si="13"/>
        <v/>
      </c>
      <c r="P762" s="5" t="str">
        <f>IF(M762="","",$C$2*(1-L762)*907.2/0.621371*N762*[1]Transportation!$M$40)</f>
        <v/>
      </c>
      <c r="Q762" s="5" t="str">
        <f>IF(L762="","",IF([1]Inputs_Outputs!$B$5="Herbaceous",(LCA!$E$29*'[1]LOCH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2" s="5" t="str">
        <f>IF(M762="","",$E$2*1000*'[1]LOCH Calc COE Calc'!$C$44)</f>
        <v/>
      </c>
      <c r="S762" s="6" t="str">
        <f>IF(N762="","",SUM(O762:R762)/('[1]LOCH Calc COE Calc'!$C$28))</f>
        <v/>
      </c>
      <c r="T762" t="str">
        <f>IF(L762="","",O762/'[1]LOCH Calc COE Calc'!$C$28)</f>
        <v/>
      </c>
      <c r="U762" t="str">
        <f>IF(L762="","",P762/'[1]LOCH Calc COE Calc'!$C$28)</f>
        <v/>
      </c>
      <c r="V762" t="str">
        <f>IF(L762="","",Q762/'[1]LOCH Calc COE Calc'!$C$28)</f>
        <v/>
      </c>
      <c r="W762" t="str">
        <f>IF(L762="","",R762/'[1]LOCH Calc COE Calc'!$C$28)</f>
        <v/>
      </c>
    </row>
    <row r="763" spans="12:23" x14ac:dyDescent="0.25">
      <c r="L763" s="4" t="str">
        <f>IF('[1]All Data '!BE768="","",'[1]All Data '!BE768)</f>
        <v/>
      </c>
      <c r="M763" t="str">
        <f>IF('[1]All Data '!BF768="","",'[1]All Data '!BF768)</f>
        <v/>
      </c>
      <c r="N763" s="5" t="str">
        <f>IF('[1]All Data '!BB768="","",'[1]All Data '!BC768/'[1]All Data '!BH768)</f>
        <v/>
      </c>
      <c r="O763" s="5" t="str">
        <f t="shared" si="13"/>
        <v/>
      </c>
      <c r="P763" s="5" t="str">
        <f>IF(M763="","",$C$2*(1-L763)*907.2/0.621371*N763*[1]Transportation!$M$40)</f>
        <v/>
      </c>
      <c r="Q763" s="5" t="str">
        <f>IF(L763="","",IF([1]Inputs_Outputs!$B$5="Herbaceous",(LCA!$E$29*'[1]LOCH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3" s="5" t="str">
        <f>IF(M763="","",$E$2*1000*'[1]LOCH Calc COE Calc'!$C$44)</f>
        <v/>
      </c>
      <c r="S763" s="6" t="str">
        <f>IF(N763="","",SUM(O763:R763)/('[1]LOCH Calc COE Calc'!$C$28))</f>
        <v/>
      </c>
      <c r="T763" t="str">
        <f>IF(L763="","",O763/'[1]LOCH Calc COE Calc'!$C$28)</f>
        <v/>
      </c>
      <c r="U763" t="str">
        <f>IF(L763="","",P763/'[1]LOCH Calc COE Calc'!$C$28)</f>
        <v/>
      </c>
      <c r="V763" t="str">
        <f>IF(L763="","",Q763/'[1]LOCH Calc COE Calc'!$C$28)</f>
        <v/>
      </c>
      <c r="W763" t="str">
        <f>IF(L763="","",R763/'[1]LOCH Calc COE Calc'!$C$28)</f>
        <v/>
      </c>
    </row>
    <row r="764" spans="12:23" x14ac:dyDescent="0.25">
      <c r="L764" s="4" t="str">
        <f>IF('[1]All Data '!BE769="","",'[1]All Data '!BE769)</f>
        <v/>
      </c>
      <c r="M764" t="str">
        <f>IF('[1]All Data '!BF769="","",'[1]All Data '!BF769)</f>
        <v/>
      </c>
      <c r="N764" s="5" t="str">
        <f>IF('[1]All Data '!BB769="","",'[1]All Data '!BC769/'[1]All Data '!BH769)</f>
        <v/>
      </c>
      <c r="O764" s="5" t="str">
        <f t="shared" si="13"/>
        <v/>
      </c>
      <c r="P764" s="5" t="str">
        <f>IF(M764="","",$C$2*(1-L764)*907.2/0.621371*N764*[1]Transportation!$M$40)</f>
        <v/>
      </c>
      <c r="Q764" s="5" t="str">
        <f>IF(L764="","",IF([1]Inputs_Outputs!$B$5="Herbaceous",(LCA!$E$29*'[1]LOCH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4" s="5" t="str">
        <f>IF(M764="","",$E$2*1000*'[1]LOCH Calc COE Calc'!$C$44)</f>
        <v/>
      </c>
      <c r="S764" s="6" t="str">
        <f>IF(N764="","",SUM(O764:R764)/('[1]LOCH Calc COE Calc'!$C$28))</f>
        <v/>
      </c>
      <c r="T764" t="str">
        <f>IF(L764="","",O764/'[1]LOCH Calc COE Calc'!$C$28)</f>
        <v/>
      </c>
      <c r="U764" t="str">
        <f>IF(L764="","",P764/'[1]LOCH Calc COE Calc'!$C$28)</f>
        <v/>
      </c>
      <c r="V764" t="str">
        <f>IF(L764="","",Q764/'[1]LOCH Calc COE Calc'!$C$28)</f>
        <v/>
      </c>
      <c r="W764" t="str">
        <f>IF(L764="","",R764/'[1]LOCH Calc COE Calc'!$C$28)</f>
        <v/>
      </c>
    </row>
    <row r="765" spans="12:23" x14ac:dyDescent="0.25">
      <c r="L765" s="4" t="str">
        <f>IF('[1]All Data '!BE770="","",'[1]All Data '!BE770)</f>
        <v/>
      </c>
      <c r="M765" t="str">
        <f>IF('[1]All Data '!BF770="","",'[1]All Data '!BF770)</f>
        <v/>
      </c>
      <c r="N765" s="5" t="str">
        <f>IF('[1]All Data '!BB770="","",'[1]All Data '!BC770/'[1]All Data '!BH770)</f>
        <v/>
      </c>
      <c r="O765" s="5" t="str">
        <f t="shared" si="13"/>
        <v/>
      </c>
      <c r="P765" s="5" t="str">
        <f>IF(M765="","",$C$2*(1-L765)*907.2/0.621371*N765*[1]Transportation!$M$40)</f>
        <v/>
      </c>
      <c r="Q765" s="5" t="str">
        <f>IF(L765="","",IF([1]Inputs_Outputs!$B$5="Herbaceous",(LCA!$E$29*'[1]LOCH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5" s="5" t="str">
        <f>IF(M765="","",$E$2*1000*'[1]LOCH Calc COE Calc'!$C$44)</f>
        <v/>
      </c>
      <c r="S765" s="6" t="str">
        <f>IF(N765="","",SUM(O765:R765)/('[1]LOCH Calc COE Calc'!$C$28))</f>
        <v/>
      </c>
      <c r="T765" t="str">
        <f>IF(L765="","",O765/'[1]LOCH Calc COE Calc'!$C$28)</f>
        <v/>
      </c>
      <c r="U765" t="str">
        <f>IF(L765="","",P765/'[1]LOCH Calc COE Calc'!$C$28)</f>
        <v/>
      </c>
      <c r="V765" t="str">
        <f>IF(L765="","",Q765/'[1]LOCH Calc COE Calc'!$C$28)</f>
        <v/>
      </c>
      <c r="W765" t="str">
        <f>IF(L765="","",R765/'[1]LOCH Calc COE Calc'!$C$28)</f>
        <v/>
      </c>
    </row>
    <row r="766" spans="12:23" x14ac:dyDescent="0.25">
      <c r="L766" s="4" t="str">
        <f>IF('[1]All Data '!BE771="","",'[1]All Data '!BE771)</f>
        <v/>
      </c>
      <c r="M766" t="str">
        <f>IF('[1]All Data '!BF771="","",'[1]All Data '!BF771)</f>
        <v/>
      </c>
      <c r="N766" s="5" t="str">
        <f>IF('[1]All Data '!BB771="","",'[1]All Data '!BC771/'[1]All Data '!BH771)</f>
        <v/>
      </c>
      <c r="O766" s="5" t="str">
        <f t="shared" si="13"/>
        <v/>
      </c>
      <c r="P766" s="5" t="str">
        <f>IF(M766="","",$C$2*(1-L766)*907.2/0.621371*N766*[1]Transportation!$M$40)</f>
        <v/>
      </c>
      <c r="Q766" s="5" t="str">
        <f>IF(L766="","",IF([1]Inputs_Outputs!$B$5="Herbaceous",(LCA!$E$29*'[1]LOCH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6" s="5" t="str">
        <f>IF(M766="","",$E$2*1000*'[1]LOCH Calc COE Calc'!$C$44)</f>
        <v/>
      </c>
      <c r="S766" s="6" t="str">
        <f>IF(N766="","",SUM(O766:R766)/('[1]LOCH Calc COE Calc'!$C$28))</f>
        <v/>
      </c>
      <c r="T766" t="str">
        <f>IF(L766="","",O766/'[1]LOCH Calc COE Calc'!$C$28)</f>
        <v/>
      </c>
      <c r="U766" t="str">
        <f>IF(L766="","",P766/'[1]LOCH Calc COE Calc'!$C$28)</f>
        <v/>
      </c>
      <c r="V766" t="str">
        <f>IF(L766="","",Q766/'[1]LOCH Calc COE Calc'!$C$28)</f>
        <v/>
      </c>
      <c r="W766" t="str">
        <f>IF(L766="","",R766/'[1]LOCH Calc COE Calc'!$C$28)</f>
        <v/>
      </c>
    </row>
    <row r="767" spans="12:23" x14ac:dyDescent="0.25">
      <c r="L767" s="4" t="str">
        <f>IF('[1]All Data '!BE772="","",'[1]All Data '!BE772)</f>
        <v/>
      </c>
      <c r="M767" t="str">
        <f>IF('[1]All Data '!BF772="","",'[1]All Data '!BF772)</f>
        <v/>
      </c>
      <c r="N767" s="5" t="str">
        <f>IF('[1]All Data '!BB772="","",'[1]All Data '!BC772/'[1]All Data '!BH772)</f>
        <v/>
      </c>
      <c r="O767" s="5" t="str">
        <f t="shared" si="13"/>
        <v/>
      </c>
      <c r="P767" s="5" t="str">
        <f>IF(M767="","",$C$2*(1-L767)*907.2/0.621371*N767*[1]Transportation!$M$40)</f>
        <v/>
      </c>
      <c r="Q767" s="5" t="str">
        <f>IF(L767="","",IF([1]Inputs_Outputs!$B$5="Herbaceous",(LCA!$E$29*'[1]LOCH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7" s="5" t="str">
        <f>IF(M767="","",$E$2*1000*'[1]LOCH Calc COE Calc'!$C$44)</f>
        <v/>
      </c>
      <c r="S767" s="6" t="str">
        <f>IF(N767="","",SUM(O767:R767)/('[1]LOCH Calc COE Calc'!$C$28))</f>
        <v/>
      </c>
      <c r="T767" t="str">
        <f>IF(L767="","",O767/'[1]LOCH Calc COE Calc'!$C$28)</f>
        <v/>
      </c>
      <c r="U767" t="str">
        <f>IF(L767="","",P767/'[1]LOCH Calc COE Calc'!$C$28)</f>
        <v/>
      </c>
      <c r="V767" t="str">
        <f>IF(L767="","",Q767/'[1]LOCH Calc COE Calc'!$C$28)</f>
        <v/>
      </c>
      <c r="W767" t="str">
        <f>IF(L767="","",R767/'[1]LOCH Calc COE Calc'!$C$28)</f>
        <v/>
      </c>
    </row>
    <row r="768" spans="12:23" x14ac:dyDescent="0.25">
      <c r="L768" s="4" t="str">
        <f>IF('[1]All Data '!BE773="","",'[1]All Data '!BE773)</f>
        <v/>
      </c>
      <c r="M768" t="str">
        <f>IF('[1]All Data '!BF773="","",'[1]All Data '!BF773)</f>
        <v/>
      </c>
      <c r="N768" s="5" t="str">
        <f>IF('[1]All Data '!BB773="","",'[1]All Data '!BC773/'[1]All Data '!BH773)</f>
        <v/>
      </c>
      <c r="O768" s="5" t="str">
        <f t="shared" si="13"/>
        <v/>
      </c>
      <c r="P768" s="5" t="str">
        <f>IF(M768="","",$C$2*(1-L768)*907.2/0.621371*N768*[1]Transportation!$M$40)</f>
        <v/>
      </c>
      <c r="Q768" s="5" t="str">
        <f>IF(L768="","",IF([1]Inputs_Outputs!$B$5="Herbaceous",(LCA!$E$29*'[1]LOCH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8" s="5" t="str">
        <f>IF(M768="","",$E$2*1000*'[1]LOCH Calc COE Calc'!$C$44)</f>
        <v/>
      </c>
      <c r="S768" s="6" t="str">
        <f>IF(N768="","",SUM(O768:R768)/('[1]LOCH Calc COE Calc'!$C$28))</f>
        <v/>
      </c>
      <c r="T768" t="str">
        <f>IF(L768="","",O768/'[1]LOCH Calc COE Calc'!$C$28)</f>
        <v/>
      </c>
      <c r="U768" t="str">
        <f>IF(L768="","",P768/'[1]LOCH Calc COE Calc'!$C$28)</f>
        <v/>
      </c>
      <c r="V768" t="str">
        <f>IF(L768="","",Q768/'[1]LOCH Calc COE Calc'!$C$28)</f>
        <v/>
      </c>
      <c r="W768" t="str">
        <f>IF(L768="","",R768/'[1]LOCH Calc COE Calc'!$C$28)</f>
        <v/>
      </c>
    </row>
    <row r="769" spans="12:23" x14ac:dyDescent="0.25">
      <c r="L769" s="4" t="str">
        <f>IF('[1]All Data '!BE774="","",'[1]All Data '!BE774)</f>
        <v/>
      </c>
      <c r="M769" t="str">
        <f>IF('[1]All Data '!BF774="","",'[1]All Data '!BF774)</f>
        <v/>
      </c>
      <c r="N769" s="5" t="str">
        <f>IF('[1]All Data '!BB774="","",'[1]All Data '!BC774/'[1]All Data '!BH774)</f>
        <v/>
      </c>
      <c r="O769" s="5" t="str">
        <f t="shared" si="13"/>
        <v/>
      </c>
      <c r="P769" s="5" t="str">
        <f>IF(M769="","",$C$2*(1-L769)*907.2/0.621371*N769*[1]Transportation!$M$40)</f>
        <v/>
      </c>
      <c r="Q769" s="5" t="str">
        <f>IF(L769="","",IF([1]Inputs_Outputs!$B$5="Herbaceous",(LCA!$E$29*'[1]LOCH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69" s="5" t="str">
        <f>IF(M769="","",$E$2*1000*'[1]LOCH Calc COE Calc'!$C$44)</f>
        <v/>
      </c>
      <c r="S769" s="6" t="str">
        <f>IF(N769="","",SUM(O769:R769)/('[1]LOCH Calc COE Calc'!$C$28))</f>
        <v/>
      </c>
      <c r="T769" t="str">
        <f>IF(L769="","",O769/'[1]LOCH Calc COE Calc'!$C$28)</f>
        <v/>
      </c>
      <c r="U769" t="str">
        <f>IF(L769="","",P769/'[1]LOCH Calc COE Calc'!$C$28)</f>
        <v/>
      </c>
      <c r="V769" t="str">
        <f>IF(L769="","",Q769/'[1]LOCH Calc COE Calc'!$C$28)</f>
        <v/>
      </c>
      <c r="W769" t="str">
        <f>IF(L769="","",R769/'[1]LOCH Calc COE Calc'!$C$28)</f>
        <v/>
      </c>
    </row>
    <row r="770" spans="12:23" x14ac:dyDescent="0.25">
      <c r="L770" s="4" t="str">
        <f>IF('[1]All Data '!BE775="","",'[1]All Data '!BE775)</f>
        <v/>
      </c>
      <c r="M770" t="str">
        <f>IF('[1]All Data '!BF775="","",'[1]All Data '!BF775)</f>
        <v/>
      </c>
      <c r="N770" s="5" t="str">
        <f>IF('[1]All Data '!BB775="","",'[1]All Data '!BC775/'[1]All Data '!BH775)</f>
        <v/>
      </c>
      <c r="O770" s="5" t="str">
        <f t="shared" si="13"/>
        <v/>
      </c>
      <c r="P770" s="5" t="str">
        <f>IF(M770="","",$C$2*(1-L770)*907.2/0.621371*N770*[1]Transportation!$M$40)</f>
        <v/>
      </c>
      <c r="Q770" s="5" t="str">
        <f>IF(L770="","",IF([1]Inputs_Outputs!$B$5="Herbaceous",(LCA!$E$29*'[1]LOCH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0" s="5" t="str">
        <f>IF(M770="","",$E$2*1000*'[1]LOCH Calc COE Calc'!$C$44)</f>
        <v/>
      </c>
      <c r="S770" s="6" t="str">
        <f>IF(N770="","",SUM(O770:R770)/('[1]LOCH Calc COE Calc'!$C$28))</f>
        <v/>
      </c>
      <c r="T770" t="str">
        <f>IF(L770="","",O770/'[1]LOCH Calc COE Calc'!$C$28)</f>
        <v/>
      </c>
      <c r="U770" t="str">
        <f>IF(L770="","",P770/'[1]LOCH Calc COE Calc'!$C$28)</f>
        <v/>
      </c>
      <c r="V770" t="str">
        <f>IF(L770="","",Q770/'[1]LOCH Calc COE Calc'!$C$28)</f>
        <v/>
      </c>
      <c r="W770" t="str">
        <f>IF(L770="","",R770/'[1]LOCH Calc COE Calc'!$C$28)</f>
        <v/>
      </c>
    </row>
    <row r="771" spans="12:23" x14ac:dyDescent="0.25">
      <c r="L771" s="4" t="str">
        <f>IF('[1]All Data '!BE776="","",'[1]All Data '!BE776)</f>
        <v/>
      </c>
      <c r="M771" t="str">
        <f>IF('[1]All Data '!BF776="","",'[1]All Data '!BF776)</f>
        <v/>
      </c>
      <c r="N771" s="5" t="str">
        <f>IF('[1]All Data '!BB776="","",'[1]All Data '!BC776/'[1]All Data '!BH776)</f>
        <v/>
      </c>
      <c r="O771" s="5" t="str">
        <f t="shared" si="13"/>
        <v/>
      </c>
      <c r="P771" s="5" t="str">
        <f>IF(M771="","",$C$2*(1-L771)*907.2/0.621371*N771*[1]Transportation!$M$40)</f>
        <v/>
      </c>
      <c r="Q771" s="5" t="str">
        <f>IF(L771="","",IF([1]Inputs_Outputs!$B$5="Herbaceous",(LCA!$E$29*'[1]LOCH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1" s="5" t="str">
        <f>IF(M771="","",$E$2*1000*'[1]LOCH Calc COE Calc'!$C$44)</f>
        <v/>
      </c>
      <c r="S771" s="6" t="str">
        <f>IF(N771="","",SUM(O771:R771)/('[1]LOCH Calc COE Calc'!$C$28))</f>
        <v/>
      </c>
      <c r="T771" t="str">
        <f>IF(L771="","",O771/'[1]LOCH Calc COE Calc'!$C$28)</f>
        <v/>
      </c>
      <c r="U771" t="str">
        <f>IF(L771="","",P771/'[1]LOCH Calc COE Calc'!$C$28)</f>
        <v/>
      </c>
      <c r="V771" t="str">
        <f>IF(L771="","",Q771/'[1]LOCH Calc COE Calc'!$C$28)</f>
        <v/>
      </c>
      <c r="W771" t="str">
        <f>IF(L771="","",R771/'[1]LOCH Calc COE Calc'!$C$28)</f>
        <v/>
      </c>
    </row>
    <row r="772" spans="12:23" x14ac:dyDescent="0.25">
      <c r="L772" s="4" t="str">
        <f>IF('[1]All Data '!BE777="","",'[1]All Data '!BE777)</f>
        <v/>
      </c>
      <c r="M772" t="str">
        <f>IF('[1]All Data '!BF777="","",'[1]All Data '!BF777)</f>
        <v/>
      </c>
      <c r="N772" s="5" t="str">
        <f>IF('[1]All Data '!BB777="","",'[1]All Data '!BC777/'[1]All Data '!BH777)</f>
        <v/>
      </c>
      <c r="O772" s="5" t="str">
        <f t="shared" ref="O772:O835" si="14">IF(N772="","",M772*N772)</f>
        <v/>
      </c>
      <c r="P772" s="5" t="str">
        <f>IF(M772="","",$C$2*(1-L772)*907.2/0.621371*N772*[1]Transportation!$M$40)</f>
        <v/>
      </c>
      <c r="Q772" s="5" t="str">
        <f>IF(L772="","",IF([1]Inputs_Outputs!$B$5="Herbaceous",(LCA!$E$29*'[1]LOCH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2" s="5" t="str">
        <f>IF(M772="","",$E$2*1000*'[1]LOCH Calc COE Calc'!$C$44)</f>
        <v/>
      </c>
      <c r="S772" s="6" t="str">
        <f>IF(N772="","",SUM(O772:R772)/('[1]LOCH Calc COE Calc'!$C$28))</f>
        <v/>
      </c>
      <c r="T772" t="str">
        <f>IF(L772="","",O772/'[1]LOCH Calc COE Calc'!$C$28)</f>
        <v/>
      </c>
      <c r="U772" t="str">
        <f>IF(L772="","",P772/'[1]LOCH Calc COE Calc'!$C$28)</f>
        <v/>
      </c>
      <c r="V772" t="str">
        <f>IF(L772="","",Q772/'[1]LOCH Calc COE Calc'!$C$28)</f>
        <v/>
      </c>
      <c r="W772" t="str">
        <f>IF(L772="","",R772/'[1]LOCH Calc COE Calc'!$C$28)</f>
        <v/>
      </c>
    </row>
    <row r="773" spans="12:23" x14ac:dyDescent="0.25">
      <c r="L773" s="4" t="str">
        <f>IF('[1]All Data '!BE778="","",'[1]All Data '!BE778)</f>
        <v/>
      </c>
      <c r="M773" t="str">
        <f>IF('[1]All Data '!BF778="","",'[1]All Data '!BF778)</f>
        <v/>
      </c>
      <c r="N773" s="5" t="str">
        <f>IF('[1]All Data '!BB778="","",'[1]All Data '!BC778/'[1]All Data '!BH778)</f>
        <v/>
      </c>
      <c r="O773" s="5" t="str">
        <f t="shared" si="14"/>
        <v/>
      </c>
      <c r="P773" s="5" t="str">
        <f>IF(M773="","",$C$2*(1-L773)*907.2/0.621371*N773*[1]Transportation!$M$40)</f>
        <v/>
      </c>
      <c r="Q773" s="5" t="str">
        <f>IF(L773="","",IF([1]Inputs_Outputs!$B$5="Herbaceous",(LCA!$E$29*'[1]LOCH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3" s="5" t="str">
        <f>IF(M773="","",$E$2*1000*'[1]LOCH Calc COE Calc'!$C$44)</f>
        <v/>
      </c>
      <c r="S773" s="6" t="str">
        <f>IF(N773="","",SUM(O773:R773)/('[1]LOCH Calc COE Calc'!$C$28))</f>
        <v/>
      </c>
      <c r="T773" t="str">
        <f>IF(L773="","",O773/'[1]LOCH Calc COE Calc'!$C$28)</f>
        <v/>
      </c>
      <c r="U773" t="str">
        <f>IF(L773="","",P773/'[1]LOCH Calc COE Calc'!$C$28)</f>
        <v/>
      </c>
      <c r="V773" t="str">
        <f>IF(L773="","",Q773/'[1]LOCH Calc COE Calc'!$C$28)</f>
        <v/>
      </c>
      <c r="W773" t="str">
        <f>IF(L773="","",R773/'[1]LOCH Calc COE Calc'!$C$28)</f>
        <v/>
      </c>
    </row>
    <row r="774" spans="12:23" x14ac:dyDescent="0.25">
      <c r="L774" s="4" t="str">
        <f>IF('[1]All Data '!BE779="","",'[1]All Data '!BE779)</f>
        <v/>
      </c>
      <c r="M774" t="str">
        <f>IF('[1]All Data '!BF779="","",'[1]All Data '!BF779)</f>
        <v/>
      </c>
      <c r="N774" s="5" t="str">
        <f>IF('[1]All Data '!BB779="","",'[1]All Data '!BC779/'[1]All Data '!BH779)</f>
        <v/>
      </c>
      <c r="O774" s="5" t="str">
        <f t="shared" si="14"/>
        <v/>
      </c>
      <c r="P774" s="5" t="str">
        <f>IF(M774="","",$C$2*(1-L774)*907.2/0.621371*N774*[1]Transportation!$M$40)</f>
        <v/>
      </c>
      <c r="Q774" s="5" t="str">
        <f>IF(L774="","",IF([1]Inputs_Outputs!$B$5="Herbaceous",(LCA!$E$29*'[1]LOCH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4" s="5" t="str">
        <f>IF(M774="","",$E$2*1000*'[1]LOCH Calc COE Calc'!$C$44)</f>
        <v/>
      </c>
      <c r="S774" s="6" t="str">
        <f>IF(N774="","",SUM(O774:R774)/('[1]LOCH Calc COE Calc'!$C$28))</f>
        <v/>
      </c>
      <c r="T774" t="str">
        <f>IF(L774="","",O774/'[1]LOCH Calc COE Calc'!$C$28)</f>
        <v/>
      </c>
      <c r="U774" t="str">
        <f>IF(L774="","",P774/'[1]LOCH Calc COE Calc'!$C$28)</f>
        <v/>
      </c>
      <c r="V774" t="str">
        <f>IF(L774="","",Q774/'[1]LOCH Calc COE Calc'!$C$28)</f>
        <v/>
      </c>
      <c r="W774" t="str">
        <f>IF(L774="","",R774/'[1]LOCH Calc COE Calc'!$C$28)</f>
        <v/>
      </c>
    </row>
    <row r="775" spans="12:23" x14ac:dyDescent="0.25">
      <c r="L775" s="4" t="str">
        <f>IF('[1]All Data '!BE780="","",'[1]All Data '!BE780)</f>
        <v/>
      </c>
      <c r="M775" t="str">
        <f>IF('[1]All Data '!BF780="","",'[1]All Data '!BF780)</f>
        <v/>
      </c>
      <c r="N775" s="5" t="str">
        <f>IF('[1]All Data '!BB780="","",'[1]All Data '!BC780/'[1]All Data '!BH780)</f>
        <v/>
      </c>
      <c r="O775" s="5" t="str">
        <f t="shared" si="14"/>
        <v/>
      </c>
      <c r="P775" s="5" t="str">
        <f>IF(M775="","",$C$2*(1-L775)*907.2/0.621371*N775*[1]Transportation!$M$40)</f>
        <v/>
      </c>
      <c r="Q775" s="5" t="str">
        <f>IF(L775="","",IF([1]Inputs_Outputs!$B$5="Herbaceous",(LCA!$E$29*'[1]LOCH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5" s="5" t="str">
        <f>IF(M775="","",$E$2*1000*'[1]LOCH Calc COE Calc'!$C$44)</f>
        <v/>
      </c>
      <c r="S775" s="6" t="str">
        <f>IF(N775="","",SUM(O775:R775)/('[1]LOCH Calc COE Calc'!$C$28))</f>
        <v/>
      </c>
      <c r="T775" t="str">
        <f>IF(L775="","",O775/'[1]LOCH Calc COE Calc'!$C$28)</f>
        <v/>
      </c>
      <c r="U775" t="str">
        <f>IF(L775="","",P775/'[1]LOCH Calc COE Calc'!$C$28)</f>
        <v/>
      </c>
      <c r="V775" t="str">
        <f>IF(L775="","",Q775/'[1]LOCH Calc COE Calc'!$C$28)</f>
        <v/>
      </c>
      <c r="W775" t="str">
        <f>IF(L775="","",R775/'[1]LOCH Calc COE Calc'!$C$28)</f>
        <v/>
      </c>
    </row>
    <row r="776" spans="12:23" x14ac:dyDescent="0.25">
      <c r="L776" s="4" t="str">
        <f>IF('[1]All Data '!BE781="","",'[1]All Data '!BE781)</f>
        <v/>
      </c>
      <c r="M776" t="str">
        <f>IF('[1]All Data '!BF781="","",'[1]All Data '!BF781)</f>
        <v/>
      </c>
      <c r="N776" s="5" t="str">
        <f>IF('[1]All Data '!BB781="","",'[1]All Data '!BC781/'[1]All Data '!BH781)</f>
        <v/>
      </c>
      <c r="O776" s="5" t="str">
        <f t="shared" si="14"/>
        <v/>
      </c>
      <c r="P776" s="5" t="str">
        <f>IF(M776="","",$C$2*(1-L776)*907.2/0.621371*N776*[1]Transportation!$M$40)</f>
        <v/>
      </c>
      <c r="Q776" s="5" t="str">
        <f>IF(L776="","",IF([1]Inputs_Outputs!$B$5="Herbaceous",(LCA!$E$29*'[1]LOCH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6" s="5" t="str">
        <f>IF(M776="","",$E$2*1000*'[1]LOCH Calc COE Calc'!$C$44)</f>
        <v/>
      </c>
      <c r="S776" s="6" t="str">
        <f>IF(N776="","",SUM(O776:R776)/('[1]LOCH Calc COE Calc'!$C$28))</f>
        <v/>
      </c>
      <c r="T776" t="str">
        <f>IF(L776="","",O776/'[1]LOCH Calc COE Calc'!$C$28)</f>
        <v/>
      </c>
      <c r="U776" t="str">
        <f>IF(L776="","",P776/'[1]LOCH Calc COE Calc'!$C$28)</f>
        <v/>
      </c>
      <c r="V776" t="str">
        <f>IF(L776="","",Q776/'[1]LOCH Calc COE Calc'!$C$28)</f>
        <v/>
      </c>
      <c r="W776" t="str">
        <f>IF(L776="","",R776/'[1]LOCH Calc COE Calc'!$C$28)</f>
        <v/>
      </c>
    </row>
    <row r="777" spans="12:23" x14ac:dyDescent="0.25">
      <c r="L777" s="4" t="str">
        <f>IF('[1]All Data '!BE782="","",'[1]All Data '!BE782)</f>
        <v/>
      </c>
      <c r="M777" t="str">
        <f>IF('[1]All Data '!BF782="","",'[1]All Data '!BF782)</f>
        <v/>
      </c>
      <c r="N777" s="5" t="str">
        <f>IF('[1]All Data '!BB782="","",'[1]All Data '!BC782/'[1]All Data '!BH782)</f>
        <v/>
      </c>
      <c r="O777" s="5" t="str">
        <f t="shared" si="14"/>
        <v/>
      </c>
      <c r="P777" s="5" t="str">
        <f>IF(M777="","",$C$2*(1-L777)*907.2/0.621371*N777*[1]Transportation!$M$40)</f>
        <v/>
      </c>
      <c r="Q777" s="5" t="str">
        <f>IF(L777="","",IF([1]Inputs_Outputs!$B$5="Herbaceous",(LCA!$E$29*'[1]LOCH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7" s="5" t="str">
        <f>IF(M777="","",$E$2*1000*'[1]LOCH Calc COE Calc'!$C$44)</f>
        <v/>
      </c>
      <c r="S777" s="6" t="str">
        <f>IF(N777="","",SUM(O777:R777)/('[1]LOCH Calc COE Calc'!$C$28))</f>
        <v/>
      </c>
      <c r="T777" t="str">
        <f>IF(L777="","",O777/'[1]LOCH Calc COE Calc'!$C$28)</f>
        <v/>
      </c>
      <c r="U777" t="str">
        <f>IF(L777="","",P777/'[1]LOCH Calc COE Calc'!$C$28)</f>
        <v/>
      </c>
      <c r="V777" t="str">
        <f>IF(L777="","",Q777/'[1]LOCH Calc COE Calc'!$C$28)</f>
        <v/>
      </c>
      <c r="W777" t="str">
        <f>IF(L777="","",R777/'[1]LOCH Calc COE Calc'!$C$28)</f>
        <v/>
      </c>
    </row>
    <row r="778" spans="12:23" x14ac:dyDescent="0.25">
      <c r="L778" s="4" t="str">
        <f>IF('[1]All Data '!BE783="","",'[1]All Data '!BE783)</f>
        <v/>
      </c>
      <c r="M778" t="str">
        <f>IF('[1]All Data '!BF783="","",'[1]All Data '!BF783)</f>
        <v/>
      </c>
      <c r="N778" s="5" t="str">
        <f>IF('[1]All Data '!BB783="","",'[1]All Data '!BC783/'[1]All Data '!BH783)</f>
        <v/>
      </c>
      <c r="O778" s="5" t="str">
        <f t="shared" si="14"/>
        <v/>
      </c>
      <c r="P778" s="5" t="str">
        <f>IF(M778="","",$C$2*(1-L778)*907.2/0.621371*N778*[1]Transportation!$M$40)</f>
        <v/>
      </c>
      <c r="Q778" s="5" t="str">
        <f>IF(L778="","",IF([1]Inputs_Outputs!$B$5="Herbaceous",(LCA!$E$29*'[1]LOCH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8" s="5" t="str">
        <f>IF(M778="","",$E$2*1000*'[1]LOCH Calc COE Calc'!$C$44)</f>
        <v/>
      </c>
      <c r="S778" s="6" t="str">
        <f>IF(N778="","",SUM(O778:R778)/('[1]LOCH Calc COE Calc'!$C$28))</f>
        <v/>
      </c>
      <c r="T778" t="str">
        <f>IF(L778="","",O778/'[1]LOCH Calc COE Calc'!$C$28)</f>
        <v/>
      </c>
      <c r="U778" t="str">
        <f>IF(L778="","",P778/'[1]LOCH Calc COE Calc'!$C$28)</f>
        <v/>
      </c>
      <c r="V778" t="str">
        <f>IF(L778="","",Q778/'[1]LOCH Calc COE Calc'!$C$28)</f>
        <v/>
      </c>
      <c r="W778" t="str">
        <f>IF(L778="","",R778/'[1]LOCH Calc COE Calc'!$C$28)</f>
        <v/>
      </c>
    </row>
    <row r="779" spans="12:23" x14ac:dyDescent="0.25">
      <c r="L779" s="4" t="str">
        <f>IF('[1]All Data '!BE784="","",'[1]All Data '!BE784)</f>
        <v/>
      </c>
      <c r="M779" t="str">
        <f>IF('[1]All Data '!BF784="","",'[1]All Data '!BF784)</f>
        <v/>
      </c>
      <c r="N779" s="5" t="str">
        <f>IF('[1]All Data '!BB784="","",'[1]All Data '!BC784/'[1]All Data '!BH784)</f>
        <v/>
      </c>
      <c r="O779" s="5" t="str">
        <f t="shared" si="14"/>
        <v/>
      </c>
      <c r="P779" s="5" t="str">
        <f>IF(M779="","",$C$2*(1-L779)*907.2/0.621371*N779*[1]Transportation!$M$40)</f>
        <v/>
      </c>
      <c r="Q779" s="5" t="str">
        <f>IF(L779="","",IF([1]Inputs_Outputs!$B$5="Herbaceous",(LCA!$E$29*'[1]LOCH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79" s="5" t="str">
        <f>IF(M779="","",$E$2*1000*'[1]LOCH Calc COE Calc'!$C$44)</f>
        <v/>
      </c>
      <c r="S779" s="6" t="str">
        <f>IF(N779="","",SUM(O779:R779)/('[1]LOCH Calc COE Calc'!$C$28))</f>
        <v/>
      </c>
      <c r="T779" t="str">
        <f>IF(L779="","",O779/'[1]LOCH Calc COE Calc'!$C$28)</f>
        <v/>
      </c>
      <c r="U779" t="str">
        <f>IF(L779="","",P779/'[1]LOCH Calc COE Calc'!$C$28)</f>
        <v/>
      </c>
      <c r="V779" t="str">
        <f>IF(L779="","",Q779/'[1]LOCH Calc COE Calc'!$C$28)</f>
        <v/>
      </c>
      <c r="W779" t="str">
        <f>IF(L779="","",R779/'[1]LOCH Calc COE Calc'!$C$28)</f>
        <v/>
      </c>
    </row>
    <row r="780" spans="12:23" x14ac:dyDescent="0.25">
      <c r="L780" s="4" t="str">
        <f>IF('[1]All Data '!BE785="","",'[1]All Data '!BE785)</f>
        <v/>
      </c>
      <c r="M780" t="str">
        <f>IF('[1]All Data '!BF785="","",'[1]All Data '!BF785)</f>
        <v/>
      </c>
      <c r="N780" s="5" t="str">
        <f>IF('[1]All Data '!BB785="","",'[1]All Data '!BC785/'[1]All Data '!BH785)</f>
        <v/>
      </c>
      <c r="O780" s="5" t="str">
        <f t="shared" si="14"/>
        <v/>
      </c>
      <c r="P780" s="5" t="str">
        <f>IF(M780="","",$C$2*(1-L780)*907.2/0.621371*N780*[1]Transportation!$M$40)</f>
        <v/>
      </c>
      <c r="Q780" s="5" t="str">
        <f>IF(L780="","",IF([1]Inputs_Outputs!$B$5="Herbaceous",(LCA!$E$29*'[1]LOCH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0" s="5" t="str">
        <f>IF(M780="","",$E$2*1000*'[1]LOCH Calc COE Calc'!$C$44)</f>
        <v/>
      </c>
      <c r="S780" s="6" t="str">
        <f>IF(N780="","",SUM(O780:R780)/('[1]LOCH Calc COE Calc'!$C$28))</f>
        <v/>
      </c>
      <c r="T780" t="str">
        <f>IF(L780="","",O780/'[1]LOCH Calc COE Calc'!$C$28)</f>
        <v/>
      </c>
      <c r="U780" t="str">
        <f>IF(L780="","",P780/'[1]LOCH Calc COE Calc'!$C$28)</f>
        <v/>
      </c>
      <c r="V780" t="str">
        <f>IF(L780="","",Q780/'[1]LOCH Calc COE Calc'!$C$28)</f>
        <v/>
      </c>
      <c r="W780" t="str">
        <f>IF(L780="","",R780/'[1]LOCH Calc COE Calc'!$C$28)</f>
        <v/>
      </c>
    </row>
    <row r="781" spans="12:23" x14ac:dyDescent="0.25">
      <c r="L781" s="4" t="str">
        <f>IF('[1]All Data '!BE786="","",'[1]All Data '!BE786)</f>
        <v/>
      </c>
      <c r="M781" t="str">
        <f>IF('[1]All Data '!BF786="","",'[1]All Data '!BF786)</f>
        <v/>
      </c>
      <c r="N781" s="5" t="str">
        <f>IF('[1]All Data '!BB786="","",'[1]All Data '!BC786/'[1]All Data '!BH786)</f>
        <v/>
      </c>
      <c r="O781" s="5" t="str">
        <f t="shared" si="14"/>
        <v/>
      </c>
      <c r="P781" s="5" t="str">
        <f>IF(M781="","",$C$2*(1-L781)*907.2/0.621371*N781*[1]Transportation!$M$40)</f>
        <v/>
      </c>
      <c r="Q781" s="5" t="str">
        <f>IF(L781="","",IF([1]Inputs_Outputs!$B$5="Herbaceous",(LCA!$E$29*'[1]LOCH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1" s="5" t="str">
        <f>IF(M781="","",$E$2*1000*'[1]LOCH Calc COE Calc'!$C$44)</f>
        <v/>
      </c>
      <c r="S781" s="6" t="str">
        <f>IF(N781="","",SUM(O781:R781)/('[1]LOCH Calc COE Calc'!$C$28))</f>
        <v/>
      </c>
      <c r="T781" t="str">
        <f>IF(L781="","",O781/'[1]LOCH Calc COE Calc'!$C$28)</f>
        <v/>
      </c>
      <c r="U781" t="str">
        <f>IF(L781="","",P781/'[1]LOCH Calc COE Calc'!$C$28)</f>
        <v/>
      </c>
      <c r="V781" t="str">
        <f>IF(L781="","",Q781/'[1]LOCH Calc COE Calc'!$C$28)</f>
        <v/>
      </c>
      <c r="W781" t="str">
        <f>IF(L781="","",R781/'[1]LOCH Calc COE Calc'!$C$28)</f>
        <v/>
      </c>
    </row>
    <row r="782" spans="12:23" x14ac:dyDescent="0.25">
      <c r="L782" s="4" t="str">
        <f>IF('[1]All Data '!BE787="","",'[1]All Data '!BE787)</f>
        <v/>
      </c>
      <c r="M782" t="str">
        <f>IF('[1]All Data '!BF787="","",'[1]All Data '!BF787)</f>
        <v/>
      </c>
      <c r="N782" s="5" t="str">
        <f>IF('[1]All Data '!BB787="","",'[1]All Data '!BC787/'[1]All Data '!BH787)</f>
        <v/>
      </c>
      <c r="O782" s="5" t="str">
        <f t="shared" si="14"/>
        <v/>
      </c>
      <c r="P782" s="5" t="str">
        <f>IF(M782="","",$C$2*(1-L782)*907.2/0.621371*N782*[1]Transportation!$M$40)</f>
        <v/>
      </c>
      <c r="Q782" s="5" t="str">
        <f>IF(L782="","",IF([1]Inputs_Outputs!$B$5="Herbaceous",(LCA!$E$29*'[1]LOCH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2" s="5" t="str">
        <f>IF(M782="","",$E$2*1000*'[1]LOCH Calc COE Calc'!$C$44)</f>
        <v/>
      </c>
      <c r="S782" s="6" t="str">
        <f>IF(N782="","",SUM(O782:R782)/('[1]LOCH Calc COE Calc'!$C$28))</f>
        <v/>
      </c>
      <c r="T782" t="str">
        <f>IF(L782="","",O782/'[1]LOCH Calc COE Calc'!$C$28)</f>
        <v/>
      </c>
      <c r="U782" t="str">
        <f>IF(L782="","",P782/'[1]LOCH Calc COE Calc'!$C$28)</f>
        <v/>
      </c>
      <c r="V782" t="str">
        <f>IF(L782="","",Q782/'[1]LOCH Calc COE Calc'!$C$28)</f>
        <v/>
      </c>
      <c r="W782" t="str">
        <f>IF(L782="","",R782/'[1]LOCH Calc COE Calc'!$C$28)</f>
        <v/>
      </c>
    </row>
    <row r="783" spans="12:23" x14ac:dyDescent="0.25">
      <c r="L783" s="4" t="str">
        <f>IF('[1]All Data '!BE788="","",'[1]All Data '!BE788)</f>
        <v/>
      </c>
      <c r="M783" t="str">
        <f>IF('[1]All Data '!BF788="","",'[1]All Data '!BF788)</f>
        <v/>
      </c>
      <c r="N783" s="5" t="str">
        <f>IF('[1]All Data '!BB788="","",'[1]All Data '!BC788/'[1]All Data '!BH788)</f>
        <v/>
      </c>
      <c r="O783" s="5" t="str">
        <f t="shared" si="14"/>
        <v/>
      </c>
      <c r="P783" s="5" t="str">
        <f>IF(M783="","",$C$2*(1-L783)*907.2/0.621371*N783*[1]Transportation!$M$40)</f>
        <v/>
      </c>
      <c r="Q783" s="5" t="str">
        <f>IF(L783="","",IF([1]Inputs_Outputs!$B$5="Herbaceous",(LCA!$E$29*'[1]LOCH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3" s="5" t="str">
        <f>IF(M783="","",$E$2*1000*'[1]LOCH Calc COE Calc'!$C$44)</f>
        <v/>
      </c>
      <c r="S783" s="6" t="str">
        <f>IF(N783="","",SUM(O783:R783)/('[1]LOCH Calc COE Calc'!$C$28))</f>
        <v/>
      </c>
      <c r="T783" t="str">
        <f>IF(L783="","",O783/'[1]LOCH Calc COE Calc'!$C$28)</f>
        <v/>
      </c>
      <c r="U783" t="str">
        <f>IF(L783="","",P783/'[1]LOCH Calc COE Calc'!$C$28)</f>
        <v/>
      </c>
      <c r="V783" t="str">
        <f>IF(L783="","",Q783/'[1]LOCH Calc COE Calc'!$C$28)</f>
        <v/>
      </c>
      <c r="W783" t="str">
        <f>IF(L783="","",R783/'[1]LOCH Calc COE Calc'!$C$28)</f>
        <v/>
      </c>
    </row>
    <row r="784" spans="12:23" x14ac:dyDescent="0.25">
      <c r="L784" s="4" t="str">
        <f>IF('[1]All Data '!BE789="","",'[1]All Data '!BE789)</f>
        <v/>
      </c>
      <c r="M784" t="str">
        <f>IF('[1]All Data '!BF789="","",'[1]All Data '!BF789)</f>
        <v/>
      </c>
      <c r="N784" s="5" t="str">
        <f>IF('[1]All Data '!BB789="","",'[1]All Data '!BC789/'[1]All Data '!BH789)</f>
        <v/>
      </c>
      <c r="O784" s="5" t="str">
        <f t="shared" si="14"/>
        <v/>
      </c>
      <c r="P784" s="5" t="str">
        <f>IF(M784="","",$C$2*(1-L784)*907.2/0.621371*N784*[1]Transportation!$M$40)</f>
        <v/>
      </c>
      <c r="Q784" s="5" t="str">
        <f>IF(L784="","",IF([1]Inputs_Outputs!$B$5="Herbaceous",(LCA!$E$29*'[1]LOCH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4" s="5" t="str">
        <f>IF(M784="","",$E$2*1000*'[1]LOCH Calc COE Calc'!$C$44)</f>
        <v/>
      </c>
      <c r="S784" s="6" t="str">
        <f>IF(N784="","",SUM(O784:R784)/('[1]LOCH Calc COE Calc'!$C$28))</f>
        <v/>
      </c>
      <c r="T784" t="str">
        <f>IF(L784="","",O784/'[1]LOCH Calc COE Calc'!$C$28)</f>
        <v/>
      </c>
      <c r="U784" t="str">
        <f>IF(L784="","",P784/'[1]LOCH Calc COE Calc'!$C$28)</f>
        <v/>
      </c>
      <c r="V784" t="str">
        <f>IF(L784="","",Q784/'[1]LOCH Calc COE Calc'!$C$28)</f>
        <v/>
      </c>
      <c r="W784" t="str">
        <f>IF(L784="","",R784/'[1]LOCH Calc COE Calc'!$C$28)</f>
        <v/>
      </c>
    </row>
    <row r="785" spans="12:23" x14ac:dyDescent="0.25">
      <c r="L785" s="4" t="str">
        <f>IF('[1]All Data '!BE790="","",'[1]All Data '!BE790)</f>
        <v/>
      </c>
      <c r="M785" t="str">
        <f>IF('[1]All Data '!BF790="","",'[1]All Data '!BF790)</f>
        <v/>
      </c>
      <c r="N785" s="5" t="str">
        <f>IF('[1]All Data '!BB790="","",'[1]All Data '!BC790/'[1]All Data '!BH790)</f>
        <v/>
      </c>
      <c r="O785" s="5" t="str">
        <f t="shared" si="14"/>
        <v/>
      </c>
      <c r="P785" s="5" t="str">
        <f>IF(M785="","",$C$2*(1-L785)*907.2/0.621371*N785*[1]Transportation!$M$40)</f>
        <v/>
      </c>
      <c r="Q785" s="5" t="str">
        <f>IF(L785="","",IF([1]Inputs_Outputs!$B$5="Herbaceous",(LCA!$E$29*'[1]LOCH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5" s="5" t="str">
        <f>IF(M785="","",$E$2*1000*'[1]LOCH Calc COE Calc'!$C$44)</f>
        <v/>
      </c>
      <c r="S785" s="6" t="str">
        <f>IF(N785="","",SUM(O785:R785)/('[1]LOCH Calc COE Calc'!$C$28))</f>
        <v/>
      </c>
      <c r="T785" t="str">
        <f>IF(L785="","",O785/'[1]LOCH Calc COE Calc'!$C$28)</f>
        <v/>
      </c>
      <c r="U785" t="str">
        <f>IF(L785="","",P785/'[1]LOCH Calc COE Calc'!$C$28)</f>
        <v/>
      </c>
      <c r="V785" t="str">
        <f>IF(L785="","",Q785/'[1]LOCH Calc COE Calc'!$C$28)</f>
        <v/>
      </c>
      <c r="W785" t="str">
        <f>IF(L785="","",R785/'[1]LOCH Calc COE Calc'!$C$28)</f>
        <v/>
      </c>
    </row>
    <row r="786" spans="12:23" x14ac:dyDescent="0.25">
      <c r="L786" s="4" t="str">
        <f>IF('[1]All Data '!BE791="","",'[1]All Data '!BE791)</f>
        <v/>
      </c>
      <c r="M786" t="str">
        <f>IF('[1]All Data '!BF791="","",'[1]All Data '!BF791)</f>
        <v/>
      </c>
      <c r="N786" s="5" t="str">
        <f>IF('[1]All Data '!BB791="","",'[1]All Data '!BC791/'[1]All Data '!BH791)</f>
        <v/>
      </c>
      <c r="O786" s="5" t="str">
        <f t="shared" si="14"/>
        <v/>
      </c>
      <c r="P786" s="5" t="str">
        <f>IF(M786="","",$C$2*(1-L786)*907.2/0.621371*N786*[1]Transportation!$M$40)</f>
        <v/>
      </c>
      <c r="Q786" s="5" t="str">
        <f>IF(L786="","",IF([1]Inputs_Outputs!$B$5="Herbaceous",(LCA!$E$29*'[1]LOCH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6" s="5" t="str">
        <f>IF(M786="","",$E$2*1000*'[1]LOCH Calc COE Calc'!$C$44)</f>
        <v/>
      </c>
      <c r="S786" s="6" t="str">
        <f>IF(N786="","",SUM(O786:R786)/('[1]LOCH Calc COE Calc'!$C$28))</f>
        <v/>
      </c>
      <c r="T786" t="str">
        <f>IF(L786="","",O786/'[1]LOCH Calc COE Calc'!$C$28)</f>
        <v/>
      </c>
      <c r="U786" t="str">
        <f>IF(L786="","",P786/'[1]LOCH Calc COE Calc'!$C$28)</f>
        <v/>
      </c>
      <c r="V786" t="str">
        <f>IF(L786="","",Q786/'[1]LOCH Calc COE Calc'!$C$28)</f>
        <v/>
      </c>
      <c r="W786" t="str">
        <f>IF(L786="","",R786/'[1]LOCH Calc COE Calc'!$C$28)</f>
        <v/>
      </c>
    </row>
    <row r="787" spans="12:23" x14ac:dyDescent="0.25">
      <c r="L787" s="4" t="str">
        <f>IF('[1]All Data '!BE792="","",'[1]All Data '!BE792)</f>
        <v/>
      </c>
      <c r="M787" t="str">
        <f>IF('[1]All Data '!BF792="","",'[1]All Data '!BF792)</f>
        <v/>
      </c>
      <c r="N787" s="5" t="str">
        <f>IF('[1]All Data '!BB792="","",'[1]All Data '!BC792/'[1]All Data '!BH792)</f>
        <v/>
      </c>
      <c r="O787" s="5" t="str">
        <f t="shared" si="14"/>
        <v/>
      </c>
      <c r="P787" s="5" t="str">
        <f>IF(M787="","",$C$2*(1-L787)*907.2/0.621371*N787*[1]Transportation!$M$40)</f>
        <v/>
      </c>
      <c r="Q787" s="5" t="str">
        <f>IF(L787="","",IF([1]Inputs_Outputs!$B$5="Herbaceous",(LCA!$E$29*'[1]LOCH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7" s="5" t="str">
        <f>IF(M787="","",$E$2*1000*'[1]LOCH Calc COE Calc'!$C$44)</f>
        <v/>
      </c>
      <c r="S787" s="6" t="str">
        <f>IF(N787="","",SUM(O787:R787)/('[1]LOCH Calc COE Calc'!$C$28))</f>
        <v/>
      </c>
      <c r="T787" t="str">
        <f>IF(L787="","",O787/'[1]LOCH Calc COE Calc'!$C$28)</f>
        <v/>
      </c>
      <c r="U787" t="str">
        <f>IF(L787="","",P787/'[1]LOCH Calc COE Calc'!$C$28)</f>
        <v/>
      </c>
      <c r="V787" t="str">
        <f>IF(L787="","",Q787/'[1]LOCH Calc COE Calc'!$C$28)</f>
        <v/>
      </c>
      <c r="W787" t="str">
        <f>IF(L787="","",R787/'[1]LOCH Calc COE Calc'!$C$28)</f>
        <v/>
      </c>
    </row>
    <row r="788" spans="12:23" x14ac:dyDescent="0.25">
      <c r="L788" s="4" t="str">
        <f>IF('[1]All Data '!BE793="","",'[1]All Data '!BE793)</f>
        <v/>
      </c>
      <c r="M788" t="str">
        <f>IF('[1]All Data '!BF793="","",'[1]All Data '!BF793)</f>
        <v/>
      </c>
      <c r="N788" s="5" t="str">
        <f>IF('[1]All Data '!BB793="","",'[1]All Data '!BC793/'[1]All Data '!BH793)</f>
        <v/>
      </c>
      <c r="O788" s="5" t="str">
        <f t="shared" si="14"/>
        <v/>
      </c>
      <c r="P788" s="5" t="str">
        <f>IF(M788="","",$C$2*(1-L788)*907.2/0.621371*N788*[1]Transportation!$M$40)</f>
        <v/>
      </c>
      <c r="Q788" s="5" t="str">
        <f>IF(L788="","",IF([1]Inputs_Outputs!$B$5="Herbaceous",(LCA!$E$29*'[1]LOCH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8" s="5" t="str">
        <f>IF(M788="","",$E$2*1000*'[1]LOCH Calc COE Calc'!$C$44)</f>
        <v/>
      </c>
      <c r="S788" s="6" t="str">
        <f>IF(N788="","",SUM(O788:R788)/('[1]LOCH Calc COE Calc'!$C$28))</f>
        <v/>
      </c>
      <c r="T788" t="str">
        <f>IF(L788="","",O788/'[1]LOCH Calc COE Calc'!$C$28)</f>
        <v/>
      </c>
      <c r="U788" t="str">
        <f>IF(L788="","",P788/'[1]LOCH Calc COE Calc'!$C$28)</f>
        <v/>
      </c>
      <c r="V788" t="str">
        <f>IF(L788="","",Q788/'[1]LOCH Calc COE Calc'!$C$28)</f>
        <v/>
      </c>
      <c r="W788" t="str">
        <f>IF(L788="","",R788/'[1]LOCH Calc COE Calc'!$C$28)</f>
        <v/>
      </c>
    </row>
    <row r="789" spans="12:23" x14ac:dyDescent="0.25">
      <c r="L789" s="4" t="str">
        <f>IF('[1]All Data '!BE794="","",'[1]All Data '!BE794)</f>
        <v/>
      </c>
      <c r="M789" t="str">
        <f>IF('[1]All Data '!BF794="","",'[1]All Data '!BF794)</f>
        <v/>
      </c>
      <c r="N789" s="5" t="str">
        <f>IF('[1]All Data '!BB794="","",'[1]All Data '!BC794/'[1]All Data '!BH794)</f>
        <v/>
      </c>
      <c r="O789" s="5" t="str">
        <f t="shared" si="14"/>
        <v/>
      </c>
      <c r="P789" s="5" t="str">
        <f>IF(M789="","",$C$2*(1-L789)*907.2/0.621371*N789*[1]Transportation!$M$40)</f>
        <v/>
      </c>
      <c r="Q789" s="5" t="str">
        <f>IF(L789="","",IF([1]Inputs_Outputs!$B$5="Herbaceous",(LCA!$E$29*'[1]LOCH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89" s="5" t="str">
        <f>IF(M789="","",$E$2*1000*'[1]LOCH Calc COE Calc'!$C$44)</f>
        <v/>
      </c>
      <c r="S789" s="6" t="str">
        <f>IF(N789="","",SUM(O789:R789)/('[1]LOCH Calc COE Calc'!$C$28))</f>
        <v/>
      </c>
      <c r="T789" t="str">
        <f>IF(L789="","",O789/'[1]LOCH Calc COE Calc'!$C$28)</f>
        <v/>
      </c>
      <c r="U789" t="str">
        <f>IF(L789="","",P789/'[1]LOCH Calc COE Calc'!$C$28)</f>
        <v/>
      </c>
      <c r="V789" t="str">
        <f>IF(L789="","",Q789/'[1]LOCH Calc COE Calc'!$C$28)</f>
        <v/>
      </c>
      <c r="W789" t="str">
        <f>IF(L789="","",R789/'[1]LOCH Calc COE Calc'!$C$28)</f>
        <v/>
      </c>
    </row>
    <row r="790" spans="12:23" x14ac:dyDescent="0.25">
      <c r="L790" s="4" t="str">
        <f>IF('[1]All Data '!BE795="","",'[1]All Data '!BE795)</f>
        <v/>
      </c>
      <c r="M790" t="str">
        <f>IF('[1]All Data '!BF795="","",'[1]All Data '!BF795)</f>
        <v/>
      </c>
      <c r="N790" s="5" t="str">
        <f>IF('[1]All Data '!BB795="","",'[1]All Data '!BC795/'[1]All Data '!BH795)</f>
        <v/>
      </c>
      <c r="O790" s="5" t="str">
        <f t="shared" si="14"/>
        <v/>
      </c>
      <c r="P790" s="5" t="str">
        <f>IF(M790="","",$C$2*(1-L790)*907.2/0.621371*N790*[1]Transportation!$M$40)</f>
        <v/>
      </c>
      <c r="Q790" s="5" t="str">
        <f>IF(L790="","",IF([1]Inputs_Outputs!$B$5="Herbaceous",(LCA!$E$29*'[1]LOCH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0" s="5" t="str">
        <f>IF(M790="","",$E$2*1000*'[1]LOCH Calc COE Calc'!$C$44)</f>
        <v/>
      </c>
      <c r="S790" s="6" t="str">
        <f>IF(N790="","",SUM(O790:R790)/('[1]LOCH Calc COE Calc'!$C$28))</f>
        <v/>
      </c>
      <c r="T790" t="str">
        <f>IF(L790="","",O790/'[1]LOCH Calc COE Calc'!$C$28)</f>
        <v/>
      </c>
      <c r="U790" t="str">
        <f>IF(L790="","",P790/'[1]LOCH Calc COE Calc'!$C$28)</f>
        <v/>
      </c>
      <c r="V790" t="str">
        <f>IF(L790="","",Q790/'[1]LOCH Calc COE Calc'!$C$28)</f>
        <v/>
      </c>
      <c r="W790" t="str">
        <f>IF(L790="","",R790/'[1]LOCH Calc COE Calc'!$C$28)</f>
        <v/>
      </c>
    </row>
    <row r="791" spans="12:23" x14ac:dyDescent="0.25">
      <c r="L791" s="4" t="str">
        <f>IF('[1]All Data '!BE796="","",'[1]All Data '!BE796)</f>
        <v/>
      </c>
      <c r="M791" t="str">
        <f>IF('[1]All Data '!BF796="","",'[1]All Data '!BF796)</f>
        <v/>
      </c>
      <c r="N791" s="5" t="str">
        <f>IF('[1]All Data '!BB796="","",'[1]All Data '!BC796/'[1]All Data '!BH796)</f>
        <v/>
      </c>
      <c r="O791" s="5" t="str">
        <f t="shared" si="14"/>
        <v/>
      </c>
      <c r="P791" s="5" t="str">
        <f>IF(M791="","",$C$2*(1-L791)*907.2/0.621371*N791*[1]Transportation!$M$40)</f>
        <v/>
      </c>
      <c r="Q791" s="5" t="str">
        <f>IF(L791="","",IF([1]Inputs_Outputs!$B$5="Herbaceous",(LCA!$E$29*'[1]LOCH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1" s="5" t="str">
        <f>IF(M791="","",$E$2*1000*'[1]LOCH Calc COE Calc'!$C$44)</f>
        <v/>
      </c>
      <c r="S791" s="6" t="str">
        <f>IF(N791="","",SUM(O791:R791)/('[1]LOCH Calc COE Calc'!$C$28))</f>
        <v/>
      </c>
      <c r="T791" t="str">
        <f>IF(L791="","",O791/'[1]LOCH Calc COE Calc'!$C$28)</f>
        <v/>
      </c>
      <c r="U791" t="str">
        <f>IF(L791="","",P791/'[1]LOCH Calc COE Calc'!$C$28)</f>
        <v/>
      </c>
      <c r="V791" t="str">
        <f>IF(L791="","",Q791/'[1]LOCH Calc COE Calc'!$C$28)</f>
        <v/>
      </c>
      <c r="W791" t="str">
        <f>IF(L791="","",R791/'[1]LOCH Calc COE Calc'!$C$28)</f>
        <v/>
      </c>
    </row>
    <row r="792" spans="12:23" x14ac:dyDescent="0.25">
      <c r="L792" s="4" t="str">
        <f>IF('[1]All Data '!BE797="","",'[1]All Data '!BE797)</f>
        <v/>
      </c>
      <c r="M792" t="str">
        <f>IF('[1]All Data '!BF797="","",'[1]All Data '!BF797)</f>
        <v/>
      </c>
      <c r="N792" s="5" t="str">
        <f>IF('[1]All Data '!BB797="","",'[1]All Data '!BC797/'[1]All Data '!BH797)</f>
        <v/>
      </c>
      <c r="O792" s="5" t="str">
        <f t="shared" si="14"/>
        <v/>
      </c>
      <c r="P792" s="5" t="str">
        <f>IF(M792="","",$C$2*(1-L792)*907.2/0.621371*N792*[1]Transportation!$M$40)</f>
        <v/>
      </c>
      <c r="Q792" s="5" t="str">
        <f>IF(L792="","",IF([1]Inputs_Outputs!$B$5="Herbaceous",(LCA!$E$29*'[1]LOCH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2" s="5" t="str">
        <f>IF(M792="","",$E$2*1000*'[1]LOCH Calc COE Calc'!$C$44)</f>
        <v/>
      </c>
      <c r="S792" s="6" t="str">
        <f>IF(N792="","",SUM(O792:R792)/('[1]LOCH Calc COE Calc'!$C$28))</f>
        <v/>
      </c>
      <c r="T792" t="str">
        <f>IF(L792="","",O792/'[1]LOCH Calc COE Calc'!$C$28)</f>
        <v/>
      </c>
      <c r="U792" t="str">
        <f>IF(L792="","",P792/'[1]LOCH Calc COE Calc'!$C$28)</f>
        <v/>
      </c>
      <c r="V792" t="str">
        <f>IF(L792="","",Q792/'[1]LOCH Calc COE Calc'!$C$28)</f>
        <v/>
      </c>
      <c r="W792" t="str">
        <f>IF(L792="","",R792/'[1]LOCH Calc COE Calc'!$C$28)</f>
        <v/>
      </c>
    </row>
    <row r="793" spans="12:23" x14ac:dyDescent="0.25">
      <c r="L793" s="4" t="str">
        <f>IF('[1]All Data '!BE798="","",'[1]All Data '!BE798)</f>
        <v/>
      </c>
      <c r="M793" t="str">
        <f>IF('[1]All Data '!BF798="","",'[1]All Data '!BF798)</f>
        <v/>
      </c>
      <c r="N793" s="5" t="str">
        <f>IF('[1]All Data '!BB798="","",'[1]All Data '!BC798/'[1]All Data '!BH798)</f>
        <v/>
      </c>
      <c r="O793" s="5" t="str">
        <f t="shared" si="14"/>
        <v/>
      </c>
      <c r="P793" s="5" t="str">
        <f>IF(M793="","",$C$2*(1-L793)*907.2/0.621371*N793*[1]Transportation!$M$40)</f>
        <v/>
      </c>
      <c r="Q793" s="5" t="str">
        <f>IF(L793="","",IF([1]Inputs_Outputs!$B$5="Herbaceous",(LCA!$E$29*'[1]LOCH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3" s="5" t="str">
        <f>IF(M793="","",$E$2*1000*'[1]LOCH Calc COE Calc'!$C$44)</f>
        <v/>
      </c>
      <c r="S793" s="6" t="str">
        <f>IF(N793="","",SUM(O793:R793)/('[1]LOCH Calc COE Calc'!$C$28))</f>
        <v/>
      </c>
      <c r="T793" t="str">
        <f>IF(L793="","",O793/'[1]LOCH Calc COE Calc'!$C$28)</f>
        <v/>
      </c>
      <c r="U793" t="str">
        <f>IF(L793="","",P793/'[1]LOCH Calc COE Calc'!$C$28)</f>
        <v/>
      </c>
      <c r="V793" t="str">
        <f>IF(L793="","",Q793/'[1]LOCH Calc COE Calc'!$C$28)</f>
        <v/>
      </c>
      <c r="W793" t="str">
        <f>IF(L793="","",R793/'[1]LOCH Calc COE Calc'!$C$28)</f>
        <v/>
      </c>
    </row>
    <row r="794" spans="12:23" x14ac:dyDescent="0.25">
      <c r="L794" s="4" t="str">
        <f>IF('[1]All Data '!BE799="","",'[1]All Data '!BE799)</f>
        <v/>
      </c>
      <c r="M794" t="str">
        <f>IF('[1]All Data '!BF799="","",'[1]All Data '!BF799)</f>
        <v/>
      </c>
      <c r="N794" s="5" t="str">
        <f>IF('[1]All Data '!BB799="","",'[1]All Data '!BC799/'[1]All Data '!BH799)</f>
        <v/>
      </c>
      <c r="O794" s="5" t="str">
        <f t="shared" si="14"/>
        <v/>
      </c>
      <c r="P794" s="5" t="str">
        <f>IF(M794="","",$C$2*(1-L794)*907.2/0.621371*N794*[1]Transportation!$M$40)</f>
        <v/>
      </c>
      <c r="Q794" s="5" t="str">
        <f>IF(L794="","",IF([1]Inputs_Outputs!$B$5="Herbaceous",(LCA!$E$29*'[1]LOCH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4" s="5" t="str">
        <f>IF(M794="","",$E$2*1000*'[1]LOCH Calc COE Calc'!$C$44)</f>
        <v/>
      </c>
      <c r="S794" s="6" t="str">
        <f>IF(N794="","",SUM(O794:R794)/('[1]LOCH Calc COE Calc'!$C$28))</f>
        <v/>
      </c>
      <c r="T794" t="str">
        <f>IF(L794="","",O794/'[1]LOCH Calc COE Calc'!$C$28)</f>
        <v/>
      </c>
      <c r="U794" t="str">
        <f>IF(L794="","",P794/'[1]LOCH Calc COE Calc'!$C$28)</f>
        <v/>
      </c>
      <c r="V794" t="str">
        <f>IF(L794="","",Q794/'[1]LOCH Calc COE Calc'!$C$28)</f>
        <v/>
      </c>
      <c r="W794" t="str">
        <f>IF(L794="","",R794/'[1]LOCH Calc COE Calc'!$C$28)</f>
        <v/>
      </c>
    </row>
    <row r="795" spans="12:23" x14ac:dyDescent="0.25">
      <c r="L795" s="4" t="str">
        <f>IF('[1]All Data '!BE800="","",'[1]All Data '!BE800)</f>
        <v/>
      </c>
      <c r="M795" t="str">
        <f>IF('[1]All Data '!BF800="","",'[1]All Data '!BF800)</f>
        <v/>
      </c>
      <c r="N795" s="5" t="str">
        <f>IF('[1]All Data '!BB800="","",'[1]All Data '!BC800/'[1]All Data '!BH800)</f>
        <v/>
      </c>
      <c r="O795" s="5" t="str">
        <f t="shared" si="14"/>
        <v/>
      </c>
      <c r="P795" s="5" t="str">
        <f>IF(M795="","",$C$2*(1-L795)*907.2/0.621371*N795*[1]Transportation!$M$40)</f>
        <v/>
      </c>
      <c r="Q795" s="5" t="str">
        <f>IF(L795="","",IF([1]Inputs_Outputs!$B$5="Herbaceous",(LCA!$E$29*'[1]LOCH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5" s="5" t="str">
        <f>IF(M795="","",$E$2*1000*'[1]LOCH Calc COE Calc'!$C$44)</f>
        <v/>
      </c>
      <c r="S795" s="6" t="str">
        <f>IF(N795="","",SUM(O795:R795)/('[1]LOCH Calc COE Calc'!$C$28))</f>
        <v/>
      </c>
      <c r="T795" t="str">
        <f>IF(L795="","",O795/'[1]LOCH Calc COE Calc'!$C$28)</f>
        <v/>
      </c>
      <c r="U795" t="str">
        <f>IF(L795="","",P795/'[1]LOCH Calc COE Calc'!$C$28)</f>
        <v/>
      </c>
      <c r="V795" t="str">
        <f>IF(L795="","",Q795/'[1]LOCH Calc COE Calc'!$C$28)</f>
        <v/>
      </c>
      <c r="W795" t="str">
        <f>IF(L795="","",R795/'[1]LOCH Calc COE Calc'!$C$28)</f>
        <v/>
      </c>
    </row>
    <row r="796" spans="12:23" x14ac:dyDescent="0.25">
      <c r="L796" s="4" t="str">
        <f>IF('[1]All Data '!BE801="","",'[1]All Data '!BE801)</f>
        <v/>
      </c>
      <c r="M796" t="str">
        <f>IF('[1]All Data '!BF801="","",'[1]All Data '!BF801)</f>
        <v/>
      </c>
      <c r="N796" s="5" t="str">
        <f>IF('[1]All Data '!BB801="","",'[1]All Data '!BC801/'[1]All Data '!BH801)</f>
        <v/>
      </c>
      <c r="O796" s="5" t="str">
        <f t="shared" si="14"/>
        <v/>
      </c>
      <c r="P796" s="5" t="str">
        <f>IF(M796="","",$C$2*(1-L796)*907.2/0.621371*N796*[1]Transportation!$M$40)</f>
        <v/>
      </c>
      <c r="Q796" s="5" t="str">
        <f>IF(L796="","",IF([1]Inputs_Outputs!$B$5="Herbaceous",(LCA!$E$29*'[1]LOCH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6" s="5" t="str">
        <f>IF(M796="","",$E$2*1000*'[1]LOCH Calc COE Calc'!$C$44)</f>
        <v/>
      </c>
      <c r="S796" s="6" t="str">
        <f>IF(N796="","",SUM(O796:R796)/('[1]LOCH Calc COE Calc'!$C$28))</f>
        <v/>
      </c>
      <c r="T796" t="str">
        <f>IF(L796="","",O796/'[1]LOCH Calc COE Calc'!$C$28)</f>
        <v/>
      </c>
      <c r="U796" t="str">
        <f>IF(L796="","",P796/'[1]LOCH Calc COE Calc'!$C$28)</f>
        <v/>
      </c>
      <c r="V796" t="str">
        <f>IF(L796="","",Q796/'[1]LOCH Calc COE Calc'!$C$28)</f>
        <v/>
      </c>
      <c r="W796" t="str">
        <f>IF(L796="","",R796/'[1]LOCH Calc COE Calc'!$C$28)</f>
        <v/>
      </c>
    </row>
    <row r="797" spans="12:23" x14ac:dyDescent="0.25">
      <c r="L797" s="4" t="str">
        <f>IF('[1]All Data '!BE802="","",'[1]All Data '!BE802)</f>
        <v/>
      </c>
      <c r="M797" t="str">
        <f>IF('[1]All Data '!BF802="","",'[1]All Data '!BF802)</f>
        <v/>
      </c>
      <c r="N797" s="5" t="str">
        <f>IF('[1]All Data '!BB802="","",'[1]All Data '!BC802/'[1]All Data '!BH802)</f>
        <v/>
      </c>
      <c r="O797" s="5" t="str">
        <f t="shared" si="14"/>
        <v/>
      </c>
      <c r="P797" s="5" t="str">
        <f>IF(M797="","",$C$2*(1-L797)*907.2/0.621371*N797*[1]Transportation!$M$40)</f>
        <v/>
      </c>
      <c r="Q797" s="5" t="str">
        <f>IF(L797="","",IF([1]Inputs_Outputs!$B$5="Herbaceous",(LCA!$E$29*'[1]LOCH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7" s="5" t="str">
        <f>IF(M797="","",$E$2*1000*'[1]LOCH Calc COE Calc'!$C$44)</f>
        <v/>
      </c>
      <c r="S797" s="6" t="str">
        <f>IF(N797="","",SUM(O797:R797)/('[1]LOCH Calc COE Calc'!$C$28))</f>
        <v/>
      </c>
      <c r="T797" t="str">
        <f>IF(L797="","",O797/'[1]LOCH Calc COE Calc'!$C$28)</f>
        <v/>
      </c>
      <c r="U797" t="str">
        <f>IF(L797="","",P797/'[1]LOCH Calc COE Calc'!$C$28)</f>
        <v/>
      </c>
      <c r="V797" t="str">
        <f>IF(L797="","",Q797/'[1]LOCH Calc COE Calc'!$C$28)</f>
        <v/>
      </c>
      <c r="W797" t="str">
        <f>IF(L797="","",R797/'[1]LOCH Calc COE Calc'!$C$28)</f>
        <v/>
      </c>
    </row>
    <row r="798" spans="12:23" x14ac:dyDescent="0.25">
      <c r="L798" s="4" t="str">
        <f>IF('[1]All Data '!BE803="","",'[1]All Data '!BE803)</f>
        <v/>
      </c>
      <c r="M798" t="str">
        <f>IF('[1]All Data '!BF803="","",'[1]All Data '!BF803)</f>
        <v/>
      </c>
      <c r="N798" s="5" t="str">
        <f>IF('[1]All Data '!BB803="","",'[1]All Data '!BC803/'[1]All Data '!BH803)</f>
        <v/>
      </c>
      <c r="O798" s="5" t="str">
        <f t="shared" si="14"/>
        <v/>
      </c>
      <c r="P798" s="5" t="str">
        <f>IF(M798="","",$C$2*(1-L798)*907.2/0.621371*N798*[1]Transportation!$M$40)</f>
        <v/>
      </c>
      <c r="Q798" s="5" t="str">
        <f>IF(L798="","",IF([1]Inputs_Outputs!$B$5="Herbaceous",(LCA!$E$29*'[1]LOCH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8" s="5" t="str">
        <f>IF(M798="","",$E$2*1000*'[1]LOCH Calc COE Calc'!$C$44)</f>
        <v/>
      </c>
      <c r="S798" s="6" t="str">
        <f>IF(N798="","",SUM(O798:R798)/('[1]LOCH Calc COE Calc'!$C$28))</f>
        <v/>
      </c>
      <c r="T798" t="str">
        <f>IF(L798="","",O798/'[1]LOCH Calc COE Calc'!$C$28)</f>
        <v/>
      </c>
      <c r="U798" t="str">
        <f>IF(L798="","",P798/'[1]LOCH Calc COE Calc'!$C$28)</f>
        <v/>
      </c>
      <c r="V798" t="str">
        <f>IF(L798="","",Q798/'[1]LOCH Calc COE Calc'!$C$28)</f>
        <v/>
      </c>
      <c r="W798" t="str">
        <f>IF(L798="","",R798/'[1]LOCH Calc COE Calc'!$C$28)</f>
        <v/>
      </c>
    </row>
    <row r="799" spans="12:23" x14ac:dyDescent="0.25">
      <c r="L799" s="4" t="str">
        <f>IF('[1]All Data '!BE804="","",'[1]All Data '!BE804)</f>
        <v/>
      </c>
      <c r="M799" t="str">
        <f>IF('[1]All Data '!BF804="","",'[1]All Data '!BF804)</f>
        <v/>
      </c>
      <c r="N799" s="5" t="str">
        <f>IF('[1]All Data '!BB804="","",'[1]All Data '!BC804/'[1]All Data '!BH804)</f>
        <v/>
      </c>
      <c r="O799" s="5" t="str">
        <f t="shared" si="14"/>
        <v/>
      </c>
      <c r="P799" s="5" t="str">
        <f>IF(M799="","",$C$2*(1-L799)*907.2/0.621371*N799*[1]Transportation!$M$40)</f>
        <v/>
      </c>
      <c r="Q799" s="5" t="str">
        <f>IF(L799="","",IF([1]Inputs_Outputs!$B$5="Herbaceous",(LCA!$E$29*'[1]LOCH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799" s="5" t="str">
        <f>IF(M799="","",$E$2*1000*'[1]LOCH Calc COE Calc'!$C$44)</f>
        <v/>
      </c>
      <c r="S799" s="6" t="str">
        <f>IF(N799="","",SUM(O799:R799)/('[1]LOCH Calc COE Calc'!$C$28))</f>
        <v/>
      </c>
      <c r="T799" t="str">
        <f>IF(L799="","",O799/'[1]LOCH Calc COE Calc'!$C$28)</f>
        <v/>
      </c>
      <c r="U799" t="str">
        <f>IF(L799="","",P799/'[1]LOCH Calc COE Calc'!$C$28)</f>
        <v/>
      </c>
      <c r="V799" t="str">
        <f>IF(L799="","",Q799/'[1]LOCH Calc COE Calc'!$C$28)</f>
        <v/>
      </c>
      <c r="W799" t="str">
        <f>IF(L799="","",R799/'[1]LOCH Calc COE Calc'!$C$28)</f>
        <v/>
      </c>
    </row>
    <row r="800" spans="12:23" x14ac:dyDescent="0.25">
      <c r="L800" s="4" t="str">
        <f>IF('[1]All Data '!BE805="","",'[1]All Data '!BE805)</f>
        <v/>
      </c>
      <c r="M800" t="str">
        <f>IF('[1]All Data '!BF805="","",'[1]All Data '!BF805)</f>
        <v/>
      </c>
      <c r="N800" s="5" t="str">
        <f>IF('[1]All Data '!BB805="","",'[1]All Data '!BC805/'[1]All Data '!BH805)</f>
        <v/>
      </c>
      <c r="O800" s="5" t="str">
        <f t="shared" si="14"/>
        <v/>
      </c>
      <c r="P800" s="5" t="str">
        <f>IF(M800="","",$C$2*(1-L800)*907.2/0.621371*N800*[1]Transportation!$M$40)</f>
        <v/>
      </c>
      <c r="Q800" s="5" t="str">
        <f>IF(L800="","",IF([1]Inputs_Outputs!$B$5="Herbaceous",(LCA!$E$29*'[1]LOCH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0" s="5" t="str">
        <f>IF(M800="","",$E$2*1000*'[1]LOCH Calc COE Calc'!$C$44)</f>
        <v/>
      </c>
      <c r="S800" s="6" t="str">
        <f>IF(N800="","",SUM(O800:R800)/('[1]LOCH Calc COE Calc'!$C$28))</f>
        <v/>
      </c>
      <c r="T800" t="str">
        <f>IF(L800="","",O800/'[1]LOCH Calc COE Calc'!$C$28)</f>
        <v/>
      </c>
      <c r="U800" t="str">
        <f>IF(L800="","",P800/'[1]LOCH Calc COE Calc'!$C$28)</f>
        <v/>
      </c>
      <c r="V800" t="str">
        <f>IF(L800="","",Q800/'[1]LOCH Calc COE Calc'!$C$28)</f>
        <v/>
      </c>
      <c r="W800" t="str">
        <f>IF(L800="","",R800/'[1]LOCH Calc COE Calc'!$C$28)</f>
        <v/>
      </c>
    </row>
    <row r="801" spans="12:23" x14ac:dyDescent="0.25">
      <c r="L801" s="4" t="str">
        <f>IF('[1]All Data '!BE806="","",'[1]All Data '!BE806)</f>
        <v/>
      </c>
      <c r="M801" t="str">
        <f>IF('[1]All Data '!BF806="","",'[1]All Data '!BF806)</f>
        <v/>
      </c>
      <c r="N801" s="5" t="str">
        <f>IF('[1]All Data '!BB806="","",'[1]All Data '!BC806/'[1]All Data '!BH806)</f>
        <v/>
      </c>
      <c r="O801" s="5" t="str">
        <f t="shared" si="14"/>
        <v/>
      </c>
      <c r="P801" s="5" t="str">
        <f>IF(M801="","",$C$2*(1-L801)*907.2/0.621371*N801*[1]Transportation!$M$40)</f>
        <v/>
      </c>
      <c r="Q801" s="5" t="str">
        <f>IF(L801="","",IF([1]Inputs_Outputs!$B$5="Herbaceous",(LCA!$E$29*'[1]LOCH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1" s="5" t="str">
        <f>IF(M801="","",$E$2*1000*'[1]LOCH Calc COE Calc'!$C$44)</f>
        <v/>
      </c>
      <c r="S801" s="6" t="str">
        <f>IF(N801="","",SUM(O801:R801)/('[1]LOCH Calc COE Calc'!$C$28))</f>
        <v/>
      </c>
      <c r="T801" t="str">
        <f>IF(L801="","",O801/'[1]LOCH Calc COE Calc'!$C$28)</f>
        <v/>
      </c>
      <c r="U801" t="str">
        <f>IF(L801="","",P801/'[1]LOCH Calc COE Calc'!$C$28)</f>
        <v/>
      </c>
      <c r="V801" t="str">
        <f>IF(L801="","",Q801/'[1]LOCH Calc COE Calc'!$C$28)</f>
        <v/>
      </c>
      <c r="W801" t="str">
        <f>IF(L801="","",R801/'[1]LOCH Calc COE Calc'!$C$28)</f>
        <v/>
      </c>
    </row>
    <row r="802" spans="12:23" x14ac:dyDescent="0.25">
      <c r="L802" s="4" t="str">
        <f>IF('[1]All Data '!BE807="","",'[1]All Data '!BE807)</f>
        <v/>
      </c>
      <c r="M802" t="str">
        <f>IF('[1]All Data '!BF807="","",'[1]All Data '!BF807)</f>
        <v/>
      </c>
      <c r="N802" s="5" t="str">
        <f>IF('[1]All Data '!BB807="","",'[1]All Data '!BC807/'[1]All Data '!BH807)</f>
        <v/>
      </c>
      <c r="O802" s="5" t="str">
        <f t="shared" si="14"/>
        <v/>
      </c>
      <c r="P802" s="5" t="str">
        <f>IF(M802="","",$C$2*(1-L802)*907.2/0.621371*N802*[1]Transportation!$M$40)</f>
        <v/>
      </c>
      <c r="Q802" s="5" t="str">
        <f>IF(L802="","",IF([1]Inputs_Outputs!$B$5="Herbaceous",(LCA!$E$29*'[1]LOCH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2" s="5" t="str">
        <f>IF(M802="","",$E$2*1000*'[1]LOCH Calc COE Calc'!$C$44)</f>
        <v/>
      </c>
      <c r="S802" s="6" t="str">
        <f>IF(N802="","",SUM(O802:R802)/('[1]LOCH Calc COE Calc'!$C$28))</f>
        <v/>
      </c>
      <c r="T802" t="str">
        <f>IF(L802="","",O802/'[1]LOCH Calc COE Calc'!$C$28)</f>
        <v/>
      </c>
      <c r="U802" t="str">
        <f>IF(L802="","",P802/'[1]LOCH Calc COE Calc'!$C$28)</f>
        <v/>
      </c>
      <c r="V802" t="str">
        <f>IF(L802="","",Q802/'[1]LOCH Calc COE Calc'!$C$28)</f>
        <v/>
      </c>
      <c r="W802" t="str">
        <f>IF(L802="","",R802/'[1]LOCH Calc COE Calc'!$C$28)</f>
        <v/>
      </c>
    </row>
    <row r="803" spans="12:23" x14ac:dyDescent="0.25">
      <c r="L803" s="4" t="str">
        <f>IF('[1]All Data '!BE808="","",'[1]All Data '!BE808)</f>
        <v/>
      </c>
      <c r="M803" t="str">
        <f>IF('[1]All Data '!BF808="","",'[1]All Data '!BF808)</f>
        <v/>
      </c>
      <c r="N803" s="5" t="str">
        <f>IF('[1]All Data '!BB808="","",'[1]All Data '!BC808/'[1]All Data '!BH808)</f>
        <v/>
      </c>
      <c r="O803" s="5" t="str">
        <f t="shared" si="14"/>
        <v/>
      </c>
      <c r="P803" s="5" t="str">
        <f>IF(M803="","",$C$2*(1-L803)*907.2/0.621371*N803*[1]Transportation!$M$40)</f>
        <v/>
      </c>
      <c r="Q803" s="5" t="str">
        <f>IF(L803="","",IF([1]Inputs_Outputs!$B$5="Herbaceous",(LCA!$E$29*'[1]LOCH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3" s="5" t="str">
        <f>IF(M803="","",$E$2*1000*'[1]LOCH Calc COE Calc'!$C$44)</f>
        <v/>
      </c>
      <c r="S803" s="6" t="str">
        <f>IF(N803="","",SUM(O803:R803)/('[1]LOCH Calc COE Calc'!$C$28))</f>
        <v/>
      </c>
      <c r="T803" t="str">
        <f>IF(L803="","",O803/'[1]LOCH Calc COE Calc'!$C$28)</f>
        <v/>
      </c>
      <c r="U803" t="str">
        <f>IF(L803="","",P803/'[1]LOCH Calc COE Calc'!$C$28)</f>
        <v/>
      </c>
      <c r="V803" t="str">
        <f>IF(L803="","",Q803/'[1]LOCH Calc COE Calc'!$C$28)</f>
        <v/>
      </c>
      <c r="W803" t="str">
        <f>IF(L803="","",R803/'[1]LOCH Calc COE Calc'!$C$28)</f>
        <v/>
      </c>
    </row>
    <row r="804" spans="12:23" x14ac:dyDescent="0.25">
      <c r="L804" s="4" t="str">
        <f>IF('[1]All Data '!BE809="","",'[1]All Data '!BE809)</f>
        <v/>
      </c>
      <c r="M804" t="str">
        <f>IF('[1]All Data '!BF809="","",'[1]All Data '!BF809)</f>
        <v/>
      </c>
      <c r="N804" s="5" t="str">
        <f>IF('[1]All Data '!BB809="","",'[1]All Data '!BC809/'[1]All Data '!BH809)</f>
        <v/>
      </c>
      <c r="O804" s="5" t="str">
        <f t="shared" si="14"/>
        <v/>
      </c>
      <c r="P804" s="5" t="str">
        <f>IF(M804="","",$C$2*(1-L804)*907.2/0.621371*N804*[1]Transportation!$M$40)</f>
        <v/>
      </c>
      <c r="Q804" s="5" t="str">
        <f>IF(L804="","",IF([1]Inputs_Outputs!$B$5="Herbaceous",(LCA!$E$29*'[1]LOCH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4" s="5" t="str">
        <f>IF(M804="","",$E$2*1000*'[1]LOCH Calc COE Calc'!$C$44)</f>
        <v/>
      </c>
      <c r="S804" s="6" t="str">
        <f>IF(N804="","",SUM(O804:R804)/('[1]LOCH Calc COE Calc'!$C$28))</f>
        <v/>
      </c>
      <c r="T804" t="str">
        <f>IF(L804="","",O804/'[1]LOCH Calc COE Calc'!$C$28)</f>
        <v/>
      </c>
      <c r="U804" t="str">
        <f>IF(L804="","",P804/'[1]LOCH Calc COE Calc'!$C$28)</f>
        <v/>
      </c>
      <c r="V804" t="str">
        <f>IF(L804="","",Q804/'[1]LOCH Calc COE Calc'!$C$28)</f>
        <v/>
      </c>
      <c r="W804" t="str">
        <f>IF(L804="","",R804/'[1]LOCH Calc COE Calc'!$C$28)</f>
        <v/>
      </c>
    </row>
    <row r="805" spans="12:23" x14ac:dyDescent="0.25">
      <c r="L805" s="4" t="str">
        <f>IF('[1]All Data '!BE810="","",'[1]All Data '!BE810)</f>
        <v/>
      </c>
      <c r="M805" t="str">
        <f>IF('[1]All Data '!BF810="","",'[1]All Data '!BF810)</f>
        <v/>
      </c>
      <c r="N805" s="5" t="str">
        <f>IF('[1]All Data '!BB810="","",'[1]All Data '!BC810/'[1]All Data '!BH810)</f>
        <v/>
      </c>
      <c r="O805" s="5" t="str">
        <f t="shared" si="14"/>
        <v/>
      </c>
      <c r="P805" s="5" t="str">
        <f>IF(M805="","",$C$2*(1-L805)*907.2/0.621371*N805*[1]Transportation!$M$40)</f>
        <v/>
      </c>
      <c r="Q805" s="5" t="str">
        <f>IF(L805="","",IF([1]Inputs_Outputs!$B$5="Herbaceous",(LCA!$E$29*'[1]LOCH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5" s="5" t="str">
        <f>IF(M805="","",$E$2*1000*'[1]LOCH Calc COE Calc'!$C$44)</f>
        <v/>
      </c>
      <c r="S805" s="6" t="str">
        <f>IF(N805="","",SUM(O805:R805)/('[1]LOCH Calc COE Calc'!$C$28))</f>
        <v/>
      </c>
      <c r="T805" t="str">
        <f>IF(L805="","",O805/'[1]LOCH Calc COE Calc'!$C$28)</f>
        <v/>
      </c>
      <c r="U805" t="str">
        <f>IF(L805="","",P805/'[1]LOCH Calc COE Calc'!$C$28)</f>
        <v/>
      </c>
      <c r="V805" t="str">
        <f>IF(L805="","",Q805/'[1]LOCH Calc COE Calc'!$C$28)</f>
        <v/>
      </c>
      <c r="W805" t="str">
        <f>IF(L805="","",R805/'[1]LOCH Calc COE Calc'!$C$28)</f>
        <v/>
      </c>
    </row>
    <row r="806" spans="12:23" x14ac:dyDescent="0.25">
      <c r="L806" s="4" t="str">
        <f>IF('[1]All Data '!BE811="","",'[1]All Data '!BE811)</f>
        <v/>
      </c>
      <c r="M806" t="str">
        <f>IF('[1]All Data '!BF811="","",'[1]All Data '!BF811)</f>
        <v/>
      </c>
      <c r="N806" s="5" t="str">
        <f>IF('[1]All Data '!BB811="","",'[1]All Data '!BC811/'[1]All Data '!BH811)</f>
        <v/>
      </c>
      <c r="O806" s="5" t="str">
        <f t="shared" si="14"/>
        <v/>
      </c>
      <c r="P806" s="5" t="str">
        <f>IF(M806="","",$C$2*(1-L806)*907.2/0.621371*N806*[1]Transportation!$M$40)</f>
        <v/>
      </c>
      <c r="Q806" s="5" t="str">
        <f>IF(L806="","",IF([1]Inputs_Outputs!$B$5="Herbaceous",(LCA!$E$29*'[1]LOCH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6" s="5" t="str">
        <f>IF(M806="","",$E$2*1000*'[1]LOCH Calc COE Calc'!$C$44)</f>
        <v/>
      </c>
      <c r="S806" s="6" t="str">
        <f>IF(N806="","",SUM(O806:R806)/('[1]LOCH Calc COE Calc'!$C$28))</f>
        <v/>
      </c>
      <c r="T806" t="str">
        <f>IF(L806="","",O806/'[1]LOCH Calc COE Calc'!$C$28)</f>
        <v/>
      </c>
      <c r="U806" t="str">
        <f>IF(L806="","",P806/'[1]LOCH Calc COE Calc'!$C$28)</f>
        <v/>
      </c>
      <c r="V806" t="str">
        <f>IF(L806="","",Q806/'[1]LOCH Calc COE Calc'!$C$28)</f>
        <v/>
      </c>
      <c r="W806" t="str">
        <f>IF(L806="","",R806/'[1]LOCH Calc COE Calc'!$C$28)</f>
        <v/>
      </c>
    </row>
    <row r="807" spans="12:23" x14ac:dyDescent="0.25">
      <c r="L807" s="4" t="str">
        <f>IF('[1]All Data '!BE812="","",'[1]All Data '!BE812)</f>
        <v/>
      </c>
      <c r="M807" t="str">
        <f>IF('[1]All Data '!BF812="","",'[1]All Data '!BF812)</f>
        <v/>
      </c>
      <c r="N807" s="5" t="str">
        <f>IF('[1]All Data '!BB812="","",'[1]All Data '!BC812/'[1]All Data '!BH812)</f>
        <v/>
      </c>
      <c r="O807" s="5" t="str">
        <f t="shared" si="14"/>
        <v/>
      </c>
      <c r="P807" s="5" t="str">
        <f>IF(M807="","",$C$2*(1-L807)*907.2/0.621371*N807*[1]Transportation!$M$40)</f>
        <v/>
      </c>
      <c r="Q807" s="5" t="str">
        <f>IF(L807="","",IF([1]Inputs_Outputs!$B$5="Herbaceous",(LCA!$E$29*'[1]LOCH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7" s="5" t="str">
        <f>IF(M807="","",$E$2*1000*'[1]LOCH Calc COE Calc'!$C$44)</f>
        <v/>
      </c>
      <c r="S807" s="6" t="str">
        <f>IF(N807="","",SUM(O807:R807)/('[1]LOCH Calc COE Calc'!$C$28))</f>
        <v/>
      </c>
      <c r="T807" t="str">
        <f>IF(L807="","",O807/'[1]LOCH Calc COE Calc'!$C$28)</f>
        <v/>
      </c>
      <c r="U807" t="str">
        <f>IF(L807="","",P807/'[1]LOCH Calc COE Calc'!$C$28)</f>
        <v/>
      </c>
      <c r="V807" t="str">
        <f>IF(L807="","",Q807/'[1]LOCH Calc COE Calc'!$C$28)</f>
        <v/>
      </c>
      <c r="W807" t="str">
        <f>IF(L807="","",R807/'[1]LOCH Calc COE Calc'!$C$28)</f>
        <v/>
      </c>
    </row>
    <row r="808" spans="12:23" x14ac:dyDescent="0.25">
      <c r="L808" s="4" t="str">
        <f>IF('[1]All Data '!BE813="","",'[1]All Data '!BE813)</f>
        <v/>
      </c>
      <c r="M808" t="str">
        <f>IF('[1]All Data '!BF813="","",'[1]All Data '!BF813)</f>
        <v/>
      </c>
      <c r="N808" s="5" t="str">
        <f>IF('[1]All Data '!BB813="","",'[1]All Data '!BC813/'[1]All Data '!BH813)</f>
        <v/>
      </c>
      <c r="O808" s="5" t="str">
        <f t="shared" si="14"/>
        <v/>
      </c>
      <c r="P808" s="5" t="str">
        <f>IF(M808="","",$C$2*(1-L808)*907.2/0.621371*N808*[1]Transportation!$M$40)</f>
        <v/>
      </c>
      <c r="Q808" s="5" t="str">
        <f>IF(L808="","",IF([1]Inputs_Outputs!$B$5="Herbaceous",(LCA!$E$29*'[1]LOCH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8" s="5" t="str">
        <f>IF(M808="","",$E$2*1000*'[1]LOCH Calc COE Calc'!$C$44)</f>
        <v/>
      </c>
      <c r="S808" s="6" t="str">
        <f>IF(N808="","",SUM(O808:R808)/('[1]LOCH Calc COE Calc'!$C$28))</f>
        <v/>
      </c>
      <c r="T808" t="str">
        <f>IF(L808="","",O808/'[1]LOCH Calc COE Calc'!$C$28)</f>
        <v/>
      </c>
      <c r="U808" t="str">
        <f>IF(L808="","",P808/'[1]LOCH Calc COE Calc'!$C$28)</f>
        <v/>
      </c>
      <c r="V808" t="str">
        <f>IF(L808="","",Q808/'[1]LOCH Calc COE Calc'!$C$28)</f>
        <v/>
      </c>
      <c r="W808" t="str">
        <f>IF(L808="","",R808/'[1]LOCH Calc COE Calc'!$C$28)</f>
        <v/>
      </c>
    </row>
    <row r="809" spans="12:23" x14ac:dyDescent="0.25">
      <c r="L809" s="4" t="str">
        <f>IF('[1]All Data '!BE814="","",'[1]All Data '!BE814)</f>
        <v/>
      </c>
      <c r="M809" t="str">
        <f>IF('[1]All Data '!BF814="","",'[1]All Data '!BF814)</f>
        <v/>
      </c>
      <c r="N809" s="5" t="str">
        <f>IF('[1]All Data '!BB814="","",'[1]All Data '!BC814/'[1]All Data '!BH814)</f>
        <v/>
      </c>
      <c r="O809" s="5" t="str">
        <f t="shared" si="14"/>
        <v/>
      </c>
      <c r="P809" s="5" t="str">
        <f>IF(M809="","",$C$2*(1-L809)*907.2/0.621371*N809*[1]Transportation!$M$40)</f>
        <v/>
      </c>
      <c r="Q809" s="5" t="str">
        <f>IF(L809="","",IF([1]Inputs_Outputs!$B$5="Herbaceous",(LCA!$E$29*'[1]LOCH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09" s="5" t="str">
        <f>IF(M809="","",$E$2*1000*'[1]LOCH Calc COE Calc'!$C$44)</f>
        <v/>
      </c>
      <c r="S809" s="6" t="str">
        <f>IF(N809="","",SUM(O809:R809)/('[1]LOCH Calc COE Calc'!$C$28))</f>
        <v/>
      </c>
      <c r="T809" t="str">
        <f>IF(L809="","",O809/'[1]LOCH Calc COE Calc'!$C$28)</f>
        <v/>
      </c>
      <c r="U809" t="str">
        <f>IF(L809="","",P809/'[1]LOCH Calc COE Calc'!$C$28)</f>
        <v/>
      </c>
      <c r="V809" t="str">
        <f>IF(L809="","",Q809/'[1]LOCH Calc COE Calc'!$C$28)</f>
        <v/>
      </c>
      <c r="W809" t="str">
        <f>IF(L809="","",R809/'[1]LOCH Calc COE Calc'!$C$28)</f>
        <v/>
      </c>
    </row>
    <row r="810" spans="12:23" x14ac:dyDescent="0.25">
      <c r="L810" s="4" t="str">
        <f>IF('[1]All Data '!BE815="","",'[1]All Data '!BE815)</f>
        <v/>
      </c>
      <c r="M810" t="str">
        <f>IF('[1]All Data '!BF815="","",'[1]All Data '!BF815)</f>
        <v/>
      </c>
      <c r="N810" s="5" t="str">
        <f>IF('[1]All Data '!BB815="","",'[1]All Data '!BC815/'[1]All Data '!BH815)</f>
        <v/>
      </c>
      <c r="O810" s="5" t="str">
        <f t="shared" si="14"/>
        <v/>
      </c>
      <c r="P810" s="5" t="str">
        <f>IF(M810="","",$C$2*(1-L810)*907.2/0.621371*N810*[1]Transportation!$M$40)</f>
        <v/>
      </c>
      <c r="Q810" s="5" t="str">
        <f>IF(L810="","",IF([1]Inputs_Outputs!$B$5="Herbaceous",(LCA!$E$29*'[1]LOCH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0" s="5" t="str">
        <f>IF(M810="","",$E$2*1000*'[1]LOCH Calc COE Calc'!$C$44)</f>
        <v/>
      </c>
      <c r="S810" s="6" t="str">
        <f>IF(N810="","",SUM(O810:R810)/('[1]LOCH Calc COE Calc'!$C$28))</f>
        <v/>
      </c>
      <c r="T810" t="str">
        <f>IF(L810="","",O810/'[1]LOCH Calc COE Calc'!$C$28)</f>
        <v/>
      </c>
      <c r="U810" t="str">
        <f>IF(L810="","",P810/'[1]LOCH Calc COE Calc'!$C$28)</f>
        <v/>
      </c>
      <c r="V810" t="str">
        <f>IF(L810="","",Q810/'[1]LOCH Calc COE Calc'!$C$28)</f>
        <v/>
      </c>
      <c r="W810" t="str">
        <f>IF(L810="","",R810/'[1]LOCH Calc COE Calc'!$C$28)</f>
        <v/>
      </c>
    </row>
    <row r="811" spans="12:23" x14ac:dyDescent="0.25">
      <c r="L811" s="4" t="str">
        <f>IF('[1]All Data '!BE816="","",'[1]All Data '!BE816)</f>
        <v/>
      </c>
      <c r="M811" t="str">
        <f>IF('[1]All Data '!BF816="","",'[1]All Data '!BF816)</f>
        <v/>
      </c>
      <c r="N811" s="5" t="str">
        <f>IF('[1]All Data '!BB816="","",'[1]All Data '!BC816/'[1]All Data '!BH816)</f>
        <v/>
      </c>
      <c r="O811" s="5" t="str">
        <f t="shared" si="14"/>
        <v/>
      </c>
      <c r="P811" s="5" t="str">
        <f>IF(M811="","",$C$2*(1-L811)*907.2/0.621371*N811*[1]Transportation!$M$40)</f>
        <v/>
      </c>
      <c r="Q811" s="5" t="str">
        <f>IF(L811="","",IF([1]Inputs_Outputs!$B$5="Herbaceous",(LCA!$E$29*'[1]LOCH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1" s="5" t="str">
        <f>IF(M811="","",$E$2*1000*'[1]LOCH Calc COE Calc'!$C$44)</f>
        <v/>
      </c>
      <c r="S811" s="6" t="str">
        <f>IF(N811="","",SUM(O811:R811)/('[1]LOCH Calc COE Calc'!$C$28))</f>
        <v/>
      </c>
      <c r="T811" t="str">
        <f>IF(L811="","",O811/'[1]LOCH Calc COE Calc'!$C$28)</f>
        <v/>
      </c>
      <c r="U811" t="str">
        <f>IF(L811="","",P811/'[1]LOCH Calc COE Calc'!$C$28)</f>
        <v/>
      </c>
      <c r="V811" t="str">
        <f>IF(L811="","",Q811/'[1]LOCH Calc COE Calc'!$C$28)</f>
        <v/>
      </c>
      <c r="W811" t="str">
        <f>IF(L811="","",R811/'[1]LOCH Calc COE Calc'!$C$28)</f>
        <v/>
      </c>
    </row>
    <row r="812" spans="12:23" x14ac:dyDescent="0.25">
      <c r="L812" s="4" t="str">
        <f>IF('[1]All Data '!BE817="","",'[1]All Data '!BE817)</f>
        <v/>
      </c>
      <c r="M812" t="str">
        <f>IF('[1]All Data '!BF817="","",'[1]All Data '!BF817)</f>
        <v/>
      </c>
      <c r="N812" s="5" t="str">
        <f>IF('[1]All Data '!BB817="","",'[1]All Data '!BC817/'[1]All Data '!BH817)</f>
        <v/>
      </c>
      <c r="O812" s="5" t="str">
        <f t="shared" si="14"/>
        <v/>
      </c>
      <c r="P812" s="5" t="str">
        <f>IF(M812="","",$C$2*(1-L812)*907.2/0.621371*N812*[1]Transportation!$M$40)</f>
        <v/>
      </c>
      <c r="Q812" s="5" t="str">
        <f>IF(L812="","",IF([1]Inputs_Outputs!$B$5="Herbaceous",(LCA!$E$29*'[1]LOCH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2" s="5" t="str">
        <f>IF(M812="","",$E$2*1000*'[1]LOCH Calc COE Calc'!$C$44)</f>
        <v/>
      </c>
      <c r="S812" s="6" t="str">
        <f>IF(N812="","",SUM(O812:R812)/('[1]LOCH Calc COE Calc'!$C$28))</f>
        <v/>
      </c>
      <c r="T812" t="str">
        <f>IF(L812="","",O812/'[1]LOCH Calc COE Calc'!$C$28)</f>
        <v/>
      </c>
      <c r="U812" t="str">
        <f>IF(L812="","",P812/'[1]LOCH Calc COE Calc'!$C$28)</f>
        <v/>
      </c>
      <c r="V812" t="str">
        <f>IF(L812="","",Q812/'[1]LOCH Calc COE Calc'!$C$28)</f>
        <v/>
      </c>
      <c r="W812" t="str">
        <f>IF(L812="","",R812/'[1]LOCH Calc COE Calc'!$C$28)</f>
        <v/>
      </c>
    </row>
    <row r="813" spans="12:23" x14ac:dyDescent="0.25">
      <c r="L813" s="4" t="str">
        <f>IF('[1]All Data '!BE818="","",'[1]All Data '!BE818)</f>
        <v/>
      </c>
      <c r="M813" t="str">
        <f>IF('[1]All Data '!BF818="","",'[1]All Data '!BF818)</f>
        <v/>
      </c>
      <c r="N813" s="5" t="str">
        <f>IF('[1]All Data '!BB818="","",'[1]All Data '!BC818/'[1]All Data '!BH818)</f>
        <v/>
      </c>
      <c r="O813" s="5" t="str">
        <f t="shared" si="14"/>
        <v/>
      </c>
      <c r="P813" s="5" t="str">
        <f>IF(M813="","",$C$2*(1-L813)*907.2/0.621371*N813*[1]Transportation!$M$40)</f>
        <v/>
      </c>
      <c r="Q813" s="5" t="str">
        <f>IF(L813="","",IF([1]Inputs_Outputs!$B$5="Herbaceous",(LCA!$E$29*'[1]LOCH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3" s="5" t="str">
        <f>IF(M813="","",$E$2*1000*'[1]LOCH Calc COE Calc'!$C$44)</f>
        <v/>
      </c>
      <c r="S813" s="6" t="str">
        <f>IF(N813="","",SUM(O813:R813)/('[1]LOCH Calc COE Calc'!$C$28))</f>
        <v/>
      </c>
      <c r="T813" t="str">
        <f>IF(L813="","",O813/'[1]LOCH Calc COE Calc'!$C$28)</f>
        <v/>
      </c>
      <c r="U813" t="str">
        <f>IF(L813="","",P813/'[1]LOCH Calc COE Calc'!$C$28)</f>
        <v/>
      </c>
      <c r="V813" t="str">
        <f>IF(L813="","",Q813/'[1]LOCH Calc COE Calc'!$C$28)</f>
        <v/>
      </c>
      <c r="W813" t="str">
        <f>IF(L813="","",R813/'[1]LOCH Calc COE Calc'!$C$28)</f>
        <v/>
      </c>
    </row>
    <row r="814" spans="12:23" x14ac:dyDescent="0.25">
      <c r="L814" s="4" t="str">
        <f>IF('[1]All Data '!BE819="","",'[1]All Data '!BE819)</f>
        <v/>
      </c>
      <c r="M814" t="str">
        <f>IF('[1]All Data '!BF819="","",'[1]All Data '!BF819)</f>
        <v/>
      </c>
      <c r="N814" s="5" t="str">
        <f>IF('[1]All Data '!BB819="","",'[1]All Data '!BC819/'[1]All Data '!BH819)</f>
        <v/>
      </c>
      <c r="O814" s="5" t="str">
        <f t="shared" si="14"/>
        <v/>
      </c>
      <c r="P814" s="5" t="str">
        <f>IF(M814="","",$C$2*(1-L814)*907.2/0.621371*N814*[1]Transportation!$M$40)</f>
        <v/>
      </c>
      <c r="Q814" s="5" t="str">
        <f>IF(L814="","",IF([1]Inputs_Outputs!$B$5="Herbaceous",(LCA!$E$29*'[1]LOCH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4" s="5" t="str">
        <f>IF(M814="","",$E$2*1000*'[1]LOCH Calc COE Calc'!$C$44)</f>
        <v/>
      </c>
      <c r="S814" s="6" t="str">
        <f>IF(N814="","",SUM(O814:R814)/('[1]LOCH Calc COE Calc'!$C$28))</f>
        <v/>
      </c>
      <c r="T814" t="str">
        <f>IF(L814="","",O814/'[1]LOCH Calc COE Calc'!$C$28)</f>
        <v/>
      </c>
      <c r="U814" t="str">
        <f>IF(L814="","",P814/'[1]LOCH Calc COE Calc'!$C$28)</f>
        <v/>
      </c>
      <c r="V814" t="str">
        <f>IF(L814="","",Q814/'[1]LOCH Calc COE Calc'!$C$28)</f>
        <v/>
      </c>
      <c r="W814" t="str">
        <f>IF(L814="","",R814/'[1]LOCH Calc COE Calc'!$C$28)</f>
        <v/>
      </c>
    </row>
    <row r="815" spans="12:23" x14ac:dyDescent="0.25">
      <c r="L815" s="4" t="str">
        <f>IF('[1]All Data '!BE820="","",'[1]All Data '!BE820)</f>
        <v/>
      </c>
      <c r="M815" t="str">
        <f>IF('[1]All Data '!BF820="","",'[1]All Data '!BF820)</f>
        <v/>
      </c>
      <c r="N815" s="5" t="str">
        <f>IF('[1]All Data '!BB820="","",'[1]All Data '!BC820/'[1]All Data '!BH820)</f>
        <v/>
      </c>
      <c r="O815" s="5" t="str">
        <f t="shared" si="14"/>
        <v/>
      </c>
      <c r="P815" s="5" t="str">
        <f>IF(M815="","",$C$2*(1-L815)*907.2/0.621371*N815*[1]Transportation!$M$40)</f>
        <v/>
      </c>
      <c r="Q815" s="5" t="str">
        <f>IF(L815="","",IF([1]Inputs_Outputs!$B$5="Herbaceous",(LCA!$E$29*'[1]LOCH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5" s="5" t="str">
        <f>IF(M815="","",$E$2*1000*'[1]LOCH Calc COE Calc'!$C$44)</f>
        <v/>
      </c>
      <c r="S815" s="6" t="str">
        <f>IF(N815="","",SUM(O815:R815)/('[1]LOCH Calc COE Calc'!$C$28))</f>
        <v/>
      </c>
      <c r="T815" t="str">
        <f>IF(L815="","",O815/'[1]LOCH Calc COE Calc'!$C$28)</f>
        <v/>
      </c>
      <c r="U815" t="str">
        <f>IF(L815="","",P815/'[1]LOCH Calc COE Calc'!$C$28)</f>
        <v/>
      </c>
      <c r="V815" t="str">
        <f>IF(L815="","",Q815/'[1]LOCH Calc COE Calc'!$C$28)</f>
        <v/>
      </c>
      <c r="W815" t="str">
        <f>IF(L815="","",R815/'[1]LOCH Calc COE Calc'!$C$28)</f>
        <v/>
      </c>
    </row>
    <row r="816" spans="12:23" x14ac:dyDescent="0.25">
      <c r="L816" s="4" t="str">
        <f>IF('[1]All Data '!BE821="","",'[1]All Data '!BE821)</f>
        <v/>
      </c>
      <c r="M816" t="str">
        <f>IF('[1]All Data '!BF821="","",'[1]All Data '!BF821)</f>
        <v/>
      </c>
      <c r="N816" s="5" t="str">
        <f>IF('[1]All Data '!BB821="","",'[1]All Data '!BC821/'[1]All Data '!BH821)</f>
        <v/>
      </c>
      <c r="O816" s="5" t="str">
        <f t="shared" si="14"/>
        <v/>
      </c>
      <c r="P816" s="5" t="str">
        <f>IF(M816="","",$C$2*(1-L816)*907.2/0.621371*N816*[1]Transportation!$M$40)</f>
        <v/>
      </c>
      <c r="Q816" s="5" t="str">
        <f>IF(L816="","",IF([1]Inputs_Outputs!$B$5="Herbaceous",(LCA!$E$29*'[1]LOCH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6" s="5" t="str">
        <f>IF(M816="","",$E$2*1000*'[1]LOCH Calc COE Calc'!$C$44)</f>
        <v/>
      </c>
      <c r="S816" s="6" t="str">
        <f>IF(N816="","",SUM(O816:R816)/('[1]LOCH Calc COE Calc'!$C$28))</f>
        <v/>
      </c>
      <c r="T816" t="str">
        <f>IF(L816="","",O816/'[1]LOCH Calc COE Calc'!$C$28)</f>
        <v/>
      </c>
      <c r="U816" t="str">
        <f>IF(L816="","",P816/'[1]LOCH Calc COE Calc'!$C$28)</f>
        <v/>
      </c>
      <c r="V816" t="str">
        <f>IF(L816="","",Q816/'[1]LOCH Calc COE Calc'!$C$28)</f>
        <v/>
      </c>
      <c r="W816" t="str">
        <f>IF(L816="","",R816/'[1]LOCH Calc COE Calc'!$C$28)</f>
        <v/>
      </c>
    </row>
    <row r="817" spans="12:23" x14ac:dyDescent="0.25">
      <c r="L817" s="4" t="str">
        <f>IF('[1]All Data '!BE822="","",'[1]All Data '!BE822)</f>
        <v/>
      </c>
      <c r="M817" t="str">
        <f>IF('[1]All Data '!BF822="","",'[1]All Data '!BF822)</f>
        <v/>
      </c>
      <c r="N817" s="5" t="str">
        <f>IF('[1]All Data '!BB822="","",'[1]All Data '!BC822/'[1]All Data '!BH822)</f>
        <v/>
      </c>
      <c r="O817" s="5" t="str">
        <f t="shared" si="14"/>
        <v/>
      </c>
      <c r="P817" s="5" t="str">
        <f>IF(M817="","",$C$2*(1-L817)*907.2/0.621371*N817*[1]Transportation!$M$40)</f>
        <v/>
      </c>
      <c r="Q817" s="5" t="str">
        <f>IF(L817="","",IF([1]Inputs_Outputs!$B$5="Herbaceous",(LCA!$E$29*'[1]LOCH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7" s="5" t="str">
        <f>IF(M817="","",$E$2*1000*'[1]LOCH Calc COE Calc'!$C$44)</f>
        <v/>
      </c>
      <c r="S817" s="6" t="str">
        <f>IF(N817="","",SUM(O817:R817)/('[1]LOCH Calc COE Calc'!$C$28))</f>
        <v/>
      </c>
      <c r="T817" t="str">
        <f>IF(L817="","",O817/'[1]LOCH Calc COE Calc'!$C$28)</f>
        <v/>
      </c>
      <c r="U817" t="str">
        <f>IF(L817="","",P817/'[1]LOCH Calc COE Calc'!$C$28)</f>
        <v/>
      </c>
      <c r="V817" t="str">
        <f>IF(L817="","",Q817/'[1]LOCH Calc COE Calc'!$C$28)</f>
        <v/>
      </c>
      <c r="W817" t="str">
        <f>IF(L817="","",R817/'[1]LOCH Calc COE Calc'!$C$28)</f>
        <v/>
      </c>
    </row>
    <row r="818" spans="12:23" x14ac:dyDescent="0.25">
      <c r="L818" s="4" t="str">
        <f>IF('[1]All Data '!BE823="","",'[1]All Data '!BE823)</f>
        <v/>
      </c>
      <c r="M818" t="str">
        <f>IF('[1]All Data '!BF823="","",'[1]All Data '!BF823)</f>
        <v/>
      </c>
      <c r="N818" s="5" t="str">
        <f>IF('[1]All Data '!BB823="","",'[1]All Data '!BC823/'[1]All Data '!BH823)</f>
        <v/>
      </c>
      <c r="O818" s="5" t="str">
        <f t="shared" si="14"/>
        <v/>
      </c>
      <c r="P818" s="5" t="str">
        <f>IF(M818="","",$C$2*(1-L818)*907.2/0.621371*N818*[1]Transportation!$M$40)</f>
        <v/>
      </c>
      <c r="Q818" s="5" t="str">
        <f>IF(L818="","",IF([1]Inputs_Outputs!$B$5="Herbaceous",(LCA!$E$29*'[1]LOCH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8" s="5" t="str">
        <f>IF(M818="","",$E$2*1000*'[1]LOCH Calc COE Calc'!$C$44)</f>
        <v/>
      </c>
      <c r="S818" s="6" t="str">
        <f>IF(N818="","",SUM(O818:R818)/('[1]LOCH Calc COE Calc'!$C$28))</f>
        <v/>
      </c>
      <c r="T818" t="str">
        <f>IF(L818="","",O818/'[1]LOCH Calc COE Calc'!$C$28)</f>
        <v/>
      </c>
      <c r="U818" t="str">
        <f>IF(L818="","",P818/'[1]LOCH Calc COE Calc'!$C$28)</f>
        <v/>
      </c>
      <c r="V818" t="str">
        <f>IF(L818="","",Q818/'[1]LOCH Calc COE Calc'!$C$28)</f>
        <v/>
      </c>
      <c r="W818" t="str">
        <f>IF(L818="","",R818/'[1]LOCH Calc COE Calc'!$C$28)</f>
        <v/>
      </c>
    </row>
    <row r="819" spans="12:23" x14ac:dyDescent="0.25">
      <c r="L819" s="4" t="str">
        <f>IF('[1]All Data '!BE824="","",'[1]All Data '!BE824)</f>
        <v/>
      </c>
      <c r="M819" t="str">
        <f>IF('[1]All Data '!BF824="","",'[1]All Data '!BF824)</f>
        <v/>
      </c>
      <c r="N819" s="5" t="str">
        <f>IF('[1]All Data '!BB824="","",'[1]All Data '!BC824/'[1]All Data '!BH824)</f>
        <v/>
      </c>
      <c r="O819" s="5" t="str">
        <f t="shared" si="14"/>
        <v/>
      </c>
      <c r="P819" s="5" t="str">
        <f>IF(M819="","",$C$2*(1-L819)*907.2/0.621371*N819*[1]Transportation!$M$40)</f>
        <v/>
      </c>
      <c r="Q819" s="5" t="str">
        <f>IF(L819="","",IF([1]Inputs_Outputs!$B$5="Herbaceous",(LCA!$E$29*'[1]LOCH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19" s="5" t="str">
        <f>IF(M819="","",$E$2*1000*'[1]LOCH Calc COE Calc'!$C$44)</f>
        <v/>
      </c>
      <c r="S819" s="6" t="str">
        <f>IF(N819="","",SUM(O819:R819)/('[1]LOCH Calc COE Calc'!$C$28))</f>
        <v/>
      </c>
      <c r="T819" t="str">
        <f>IF(L819="","",O819/'[1]LOCH Calc COE Calc'!$C$28)</f>
        <v/>
      </c>
      <c r="U819" t="str">
        <f>IF(L819="","",P819/'[1]LOCH Calc COE Calc'!$C$28)</f>
        <v/>
      </c>
      <c r="V819" t="str">
        <f>IF(L819="","",Q819/'[1]LOCH Calc COE Calc'!$C$28)</f>
        <v/>
      </c>
      <c r="W819" t="str">
        <f>IF(L819="","",R819/'[1]LOCH Calc COE Calc'!$C$28)</f>
        <v/>
      </c>
    </row>
    <row r="820" spans="12:23" x14ac:dyDescent="0.25">
      <c r="L820" s="4" t="str">
        <f>IF('[1]All Data '!BE825="","",'[1]All Data '!BE825)</f>
        <v/>
      </c>
      <c r="M820" t="str">
        <f>IF('[1]All Data '!BF825="","",'[1]All Data '!BF825)</f>
        <v/>
      </c>
      <c r="N820" s="5" t="str">
        <f>IF('[1]All Data '!BB825="","",'[1]All Data '!BC825/'[1]All Data '!BH825)</f>
        <v/>
      </c>
      <c r="O820" s="5" t="str">
        <f t="shared" si="14"/>
        <v/>
      </c>
      <c r="P820" s="5" t="str">
        <f>IF(M820="","",$C$2*(1-L820)*907.2/0.621371*N820*[1]Transportation!$M$40)</f>
        <v/>
      </c>
      <c r="Q820" s="5" t="str">
        <f>IF(L820="","",IF([1]Inputs_Outputs!$B$5="Herbaceous",(LCA!$E$29*'[1]LOCH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0" s="5" t="str">
        <f>IF(M820="","",$E$2*1000*'[1]LOCH Calc COE Calc'!$C$44)</f>
        <v/>
      </c>
      <c r="S820" s="6" t="str">
        <f>IF(N820="","",SUM(O820:R820)/('[1]LOCH Calc COE Calc'!$C$28))</f>
        <v/>
      </c>
      <c r="T820" t="str">
        <f>IF(L820="","",O820/'[1]LOCH Calc COE Calc'!$C$28)</f>
        <v/>
      </c>
      <c r="U820" t="str">
        <f>IF(L820="","",P820/'[1]LOCH Calc COE Calc'!$C$28)</f>
        <v/>
      </c>
      <c r="V820" t="str">
        <f>IF(L820="","",Q820/'[1]LOCH Calc COE Calc'!$C$28)</f>
        <v/>
      </c>
      <c r="W820" t="str">
        <f>IF(L820="","",R820/'[1]LOCH Calc COE Calc'!$C$28)</f>
        <v/>
      </c>
    </row>
    <row r="821" spans="12:23" x14ac:dyDescent="0.25">
      <c r="L821" s="4" t="str">
        <f>IF('[1]All Data '!BE826="","",'[1]All Data '!BE826)</f>
        <v/>
      </c>
      <c r="M821" t="str">
        <f>IF('[1]All Data '!BF826="","",'[1]All Data '!BF826)</f>
        <v/>
      </c>
      <c r="N821" s="5" t="str">
        <f>IF('[1]All Data '!BB826="","",'[1]All Data '!BC826/'[1]All Data '!BH826)</f>
        <v/>
      </c>
      <c r="O821" s="5" t="str">
        <f t="shared" si="14"/>
        <v/>
      </c>
      <c r="P821" s="5" t="str">
        <f>IF(M821="","",$C$2*(1-L821)*907.2/0.621371*N821*[1]Transportation!$M$40)</f>
        <v/>
      </c>
      <c r="Q821" s="5" t="str">
        <f>IF(L821="","",IF([1]Inputs_Outputs!$B$5="Herbaceous",(LCA!$E$29*'[1]LOCH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1" s="5" t="str">
        <f>IF(M821="","",$E$2*1000*'[1]LOCH Calc COE Calc'!$C$44)</f>
        <v/>
      </c>
      <c r="S821" s="6" t="str">
        <f>IF(N821="","",SUM(O821:R821)/('[1]LOCH Calc COE Calc'!$C$28))</f>
        <v/>
      </c>
      <c r="T821" t="str">
        <f>IF(L821="","",O821/'[1]LOCH Calc COE Calc'!$C$28)</f>
        <v/>
      </c>
      <c r="U821" t="str">
        <f>IF(L821="","",P821/'[1]LOCH Calc COE Calc'!$C$28)</f>
        <v/>
      </c>
      <c r="V821" t="str">
        <f>IF(L821="","",Q821/'[1]LOCH Calc COE Calc'!$C$28)</f>
        <v/>
      </c>
      <c r="W821" t="str">
        <f>IF(L821="","",R821/'[1]LOCH Calc COE Calc'!$C$28)</f>
        <v/>
      </c>
    </row>
    <row r="822" spans="12:23" x14ac:dyDescent="0.25">
      <c r="L822" s="4" t="str">
        <f>IF('[1]All Data '!BE827="","",'[1]All Data '!BE827)</f>
        <v/>
      </c>
      <c r="M822" t="str">
        <f>IF('[1]All Data '!BF827="","",'[1]All Data '!BF827)</f>
        <v/>
      </c>
      <c r="N822" s="5" t="str">
        <f>IF('[1]All Data '!BB827="","",'[1]All Data '!BC827/'[1]All Data '!BH827)</f>
        <v/>
      </c>
      <c r="O822" s="5" t="str">
        <f t="shared" si="14"/>
        <v/>
      </c>
      <c r="P822" s="5" t="str">
        <f>IF(M822="","",$C$2*(1-L822)*907.2/0.621371*N822*[1]Transportation!$M$40)</f>
        <v/>
      </c>
      <c r="Q822" s="5" t="str">
        <f>IF(L822="","",IF([1]Inputs_Outputs!$B$5="Herbaceous",(LCA!$E$29*'[1]LOCH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2" s="5" t="str">
        <f>IF(M822="","",$E$2*1000*'[1]LOCH Calc COE Calc'!$C$44)</f>
        <v/>
      </c>
      <c r="S822" s="6" t="str">
        <f>IF(N822="","",SUM(O822:R822)/('[1]LOCH Calc COE Calc'!$C$28))</f>
        <v/>
      </c>
      <c r="T822" t="str">
        <f>IF(L822="","",O822/'[1]LOCH Calc COE Calc'!$C$28)</f>
        <v/>
      </c>
      <c r="U822" t="str">
        <f>IF(L822="","",P822/'[1]LOCH Calc COE Calc'!$C$28)</f>
        <v/>
      </c>
      <c r="V822" t="str">
        <f>IF(L822="","",Q822/'[1]LOCH Calc COE Calc'!$C$28)</f>
        <v/>
      </c>
      <c r="W822" t="str">
        <f>IF(L822="","",R822/'[1]LOCH Calc COE Calc'!$C$28)</f>
        <v/>
      </c>
    </row>
    <row r="823" spans="12:23" x14ac:dyDescent="0.25">
      <c r="L823" s="4" t="str">
        <f>IF('[1]All Data '!BE828="","",'[1]All Data '!BE828)</f>
        <v/>
      </c>
      <c r="M823" t="str">
        <f>IF('[1]All Data '!BF828="","",'[1]All Data '!BF828)</f>
        <v/>
      </c>
      <c r="N823" s="5" t="str">
        <f>IF('[1]All Data '!BB828="","",'[1]All Data '!BC828/'[1]All Data '!BH828)</f>
        <v/>
      </c>
      <c r="O823" s="5" t="str">
        <f t="shared" si="14"/>
        <v/>
      </c>
      <c r="P823" s="5" t="str">
        <f>IF(M823="","",$C$2*(1-L823)*907.2/0.621371*N823*[1]Transportation!$M$40)</f>
        <v/>
      </c>
      <c r="Q823" s="5" t="str">
        <f>IF(L823="","",IF([1]Inputs_Outputs!$B$5="Herbaceous",(LCA!$E$29*'[1]LOCH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3" s="5" t="str">
        <f>IF(M823="","",$E$2*1000*'[1]LOCH Calc COE Calc'!$C$44)</f>
        <v/>
      </c>
      <c r="S823" s="6" t="str">
        <f>IF(N823="","",SUM(O823:R823)/('[1]LOCH Calc COE Calc'!$C$28))</f>
        <v/>
      </c>
      <c r="T823" t="str">
        <f>IF(L823="","",O823/'[1]LOCH Calc COE Calc'!$C$28)</f>
        <v/>
      </c>
      <c r="U823" t="str">
        <f>IF(L823="","",P823/'[1]LOCH Calc COE Calc'!$C$28)</f>
        <v/>
      </c>
      <c r="V823" t="str">
        <f>IF(L823="","",Q823/'[1]LOCH Calc COE Calc'!$C$28)</f>
        <v/>
      </c>
      <c r="W823" t="str">
        <f>IF(L823="","",R823/'[1]LOCH Calc COE Calc'!$C$28)</f>
        <v/>
      </c>
    </row>
    <row r="824" spans="12:23" x14ac:dyDescent="0.25">
      <c r="L824" s="4" t="str">
        <f>IF('[1]All Data '!BE829="","",'[1]All Data '!BE829)</f>
        <v/>
      </c>
      <c r="M824" t="str">
        <f>IF('[1]All Data '!BF829="","",'[1]All Data '!BF829)</f>
        <v/>
      </c>
      <c r="N824" s="5" t="str">
        <f>IF('[1]All Data '!BB829="","",'[1]All Data '!BC829/'[1]All Data '!BH829)</f>
        <v/>
      </c>
      <c r="O824" s="5" t="str">
        <f t="shared" si="14"/>
        <v/>
      </c>
      <c r="P824" s="5" t="str">
        <f>IF(M824="","",$C$2*(1-L824)*907.2/0.621371*N824*[1]Transportation!$M$40)</f>
        <v/>
      </c>
      <c r="Q824" s="5" t="str">
        <f>IF(L824="","",IF([1]Inputs_Outputs!$B$5="Herbaceous",(LCA!$E$29*'[1]LOCH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4" s="5" t="str">
        <f>IF(M824="","",$E$2*1000*'[1]LOCH Calc COE Calc'!$C$44)</f>
        <v/>
      </c>
      <c r="S824" s="6" t="str">
        <f>IF(N824="","",SUM(O824:R824)/('[1]LOCH Calc COE Calc'!$C$28))</f>
        <v/>
      </c>
      <c r="T824" t="str">
        <f>IF(L824="","",O824/'[1]LOCH Calc COE Calc'!$C$28)</f>
        <v/>
      </c>
      <c r="U824" t="str">
        <f>IF(L824="","",P824/'[1]LOCH Calc COE Calc'!$C$28)</f>
        <v/>
      </c>
      <c r="V824" t="str">
        <f>IF(L824="","",Q824/'[1]LOCH Calc COE Calc'!$C$28)</f>
        <v/>
      </c>
      <c r="W824" t="str">
        <f>IF(L824="","",R824/'[1]LOCH Calc COE Calc'!$C$28)</f>
        <v/>
      </c>
    </row>
    <row r="825" spans="12:23" x14ac:dyDescent="0.25">
      <c r="L825" s="4" t="str">
        <f>IF('[1]All Data '!BE830="","",'[1]All Data '!BE830)</f>
        <v/>
      </c>
      <c r="M825" t="str">
        <f>IF('[1]All Data '!BF830="","",'[1]All Data '!BF830)</f>
        <v/>
      </c>
      <c r="N825" s="5" t="str">
        <f>IF('[1]All Data '!BB830="","",'[1]All Data '!BC830/'[1]All Data '!BH830)</f>
        <v/>
      </c>
      <c r="O825" s="5" t="str">
        <f t="shared" si="14"/>
        <v/>
      </c>
      <c r="P825" s="5" t="str">
        <f>IF(M825="","",$C$2*(1-L825)*907.2/0.621371*N825*[1]Transportation!$M$40)</f>
        <v/>
      </c>
      <c r="Q825" s="5" t="str">
        <f>IF(L825="","",IF([1]Inputs_Outputs!$B$5="Herbaceous",(LCA!$E$29*'[1]LOCH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5" s="5" t="str">
        <f>IF(M825="","",$E$2*1000*'[1]LOCH Calc COE Calc'!$C$44)</f>
        <v/>
      </c>
      <c r="S825" s="6" t="str">
        <f>IF(N825="","",SUM(O825:R825)/('[1]LOCH Calc COE Calc'!$C$28))</f>
        <v/>
      </c>
      <c r="T825" t="str">
        <f>IF(L825="","",O825/'[1]LOCH Calc COE Calc'!$C$28)</f>
        <v/>
      </c>
      <c r="U825" t="str">
        <f>IF(L825="","",P825/'[1]LOCH Calc COE Calc'!$C$28)</f>
        <v/>
      </c>
      <c r="V825" t="str">
        <f>IF(L825="","",Q825/'[1]LOCH Calc COE Calc'!$C$28)</f>
        <v/>
      </c>
      <c r="W825" t="str">
        <f>IF(L825="","",R825/'[1]LOCH Calc COE Calc'!$C$28)</f>
        <v/>
      </c>
    </row>
    <row r="826" spans="12:23" x14ac:dyDescent="0.25">
      <c r="L826" s="4" t="str">
        <f>IF('[1]All Data '!BE831="","",'[1]All Data '!BE831)</f>
        <v/>
      </c>
      <c r="M826" t="str">
        <f>IF('[1]All Data '!BF831="","",'[1]All Data '!BF831)</f>
        <v/>
      </c>
      <c r="N826" s="5" t="str">
        <f>IF('[1]All Data '!BB831="","",'[1]All Data '!BC831/'[1]All Data '!BH831)</f>
        <v/>
      </c>
      <c r="O826" s="5" t="str">
        <f t="shared" si="14"/>
        <v/>
      </c>
      <c r="P826" s="5" t="str">
        <f>IF(M826="","",$C$2*(1-L826)*907.2/0.621371*N826*[1]Transportation!$M$40)</f>
        <v/>
      </c>
      <c r="Q826" s="5" t="str">
        <f>IF(L826="","",IF([1]Inputs_Outputs!$B$5="Herbaceous",(LCA!$E$29*'[1]LOCH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6" s="5" t="str">
        <f>IF(M826="","",$E$2*1000*'[1]LOCH Calc COE Calc'!$C$44)</f>
        <v/>
      </c>
      <c r="S826" s="6" t="str">
        <f>IF(N826="","",SUM(O826:R826)/('[1]LOCH Calc COE Calc'!$C$28))</f>
        <v/>
      </c>
      <c r="T826" t="str">
        <f>IF(L826="","",O826/'[1]LOCH Calc COE Calc'!$C$28)</f>
        <v/>
      </c>
      <c r="U826" t="str">
        <f>IF(L826="","",P826/'[1]LOCH Calc COE Calc'!$C$28)</f>
        <v/>
      </c>
      <c r="V826" t="str">
        <f>IF(L826="","",Q826/'[1]LOCH Calc COE Calc'!$C$28)</f>
        <v/>
      </c>
      <c r="W826" t="str">
        <f>IF(L826="","",R826/'[1]LOCH Calc COE Calc'!$C$28)</f>
        <v/>
      </c>
    </row>
    <row r="827" spans="12:23" x14ac:dyDescent="0.25">
      <c r="L827" s="4" t="str">
        <f>IF('[1]All Data '!BE832="","",'[1]All Data '!BE832)</f>
        <v/>
      </c>
      <c r="M827" t="str">
        <f>IF('[1]All Data '!BF832="","",'[1]All Data '!BF832)</f>
        <v/>
      </c>
      <c r="N827" s="5" t="str">
        <f>IF('[1]All Data '!BB832="","",'[1]All Data '!BC832/'[1]All Data '!BH832)</f>
        <v/>
      </c>
      <c r="O827" s="5" t="str">
        <f t="shared" si="14"/>
        <v/>
      </c>
      <c r="P827" s="5" t="str">
        <f>IF(M827="","",$C$2*(1-L827)*907.2/0.621371*N827*[1]Transportation!$M$40)</f>
        <v/>
      </c>
      <c r="Q827" s="5" t="str">
        <f>IF(L827="","",IF([1]Inputs_Outputs!$B$5="Herbaceous",(LCA!$E$29*'[1]LOCH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7" s="5" t="str">
        <f>IF(M827="","",$E$2*1000*'[1]LOCH Calc COE Calc'!$C$44)</f>
        <v/>
      </c>
      <c r="S827" s="6" t="str">
        <f>IF(N827="","",SUM(O827:R827)/('[1]LOCH Calc COE Calc'!$C$28))</f>
        <v/>
      </c>
      <c r="T827" t="str">
        <f>IF(L827="","",O827/'[1]LOCH Calc COE Calc'!$C$28)</f>
        <v/>
      </c>
      <c r="U827" t="str">
        <f>IF(L827="","",P827/'[1]LOCH Calc COE Calc'!$C$28)</f>
        <v/>
      </c>
      <c r="V827" t="str">
        <f>IF(L827="","",Q827/'[1]LOCH Calc COE Calc'!$C$28)</f>
        <v/>
      </c>
      <c r="W827" t="str">
        <f>IF(L827="","",R827/'[1]LOCH Calc COE Calc'!$C$28)</f>
        <v/>
      </c>
    </row>
    <row r="828" spans="12:23" x14ac:dyDescent="0.25">
      <c r="L828" s="4" t="str">
        <f>IF('[1]All Data '!BE833="","",'[1]All Data '!BE833)</f>
        <v/>
      </c>
      <c r="M828" t="str">
        <f>IF('[1]All Data '!BF833="","",'[1]All Data '!BF833)</f>
        <v/>
      </c>
      <c r="N828" s="5" t="str">
        <f>IF('[1]All Data '!BB833="","",'[1]All Data '!BC833/'[1]All Data '!BH833)</f>
        <v/>
      </c>
      <c r="O828" s="5" t="str">
        <f t="shared" si="14"/>
        <v/>
      </c>
      <c r="P828" s="5" t="str">
        <f>IF(M828="","",$C$2*(1-L828)*907.2/0.621371*N828*[1]Transportation!$M$40)</f>
        <v/>
      </c>
      <c r="Q828" s="5" t="str">
        <f>IF(L828="","",IF([1]Inputs_Outputs!$B$5="Herbaceous",(LCA!$E$29*'[1]LOCH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8" s="5" t="str">
        <f>IF(M828="","",$E$2*1000*'[1]LOCH Calc COE Calc'!$C$44)</f>
        <v/>
      </c>
      <c r="S828" s="6" t="str">
        <f>IF(N828="","",SUM(O828:R828)/('[1]LOCH Calc COE Calc'!$C$28))</f>
        <v/>
      </c>
      <c r="T828" t="str">
        <f>IF(L828="","",O828/'[1]LOCH Calc COE Calc'!$C$28)</f>
        <v/>
      </c>
      <c r="U828" t="str">
        <f>IF(L828="","",P828/'[1]LOCH Calc COE Calc'!$C$28)</f>
        <v/>
      </c>
      <c r="V828" t="str">
        <f>IF(L828="","",Q828/'[1]LOCH Calc COE Calc'!$C$28)</f>
        <v/>
      </c>
      <c r="W828" t="str">
        <f>IF(L828="","",R828/'[1]LOCH Calc COE Calc'!$C$28)</f>
        <v/>
      </c>
    </row>
    <row r="829" spans="12:23" x14ac:dyDescent="0.25">
      <c r="L829" s="4" t="str">
        <f>IF('[1]All Data '!BE834="","",'[1]All Data '!BE834)</f>
        <v/>
      </c>
      <c r="M829" t="str">
        <f>IF('[1]All Data '!BF834="","",'[1]All Data '!BF834)</f>
        <v/>
      </c>
      <c r="N829" s="5" t="str">
        <f>IF('[1]All Data '!BB834="","",'[1]All Data '!BC834/'[1]All Data '!BH834)</f>
        <v/>
      </c>
      <c r="O829" s="5" t="str">
        <f t="shared" si="14"/>
        <v/>
      </c>
      <c r="P829" s="5" t="str">
        <f>IF(M829="","",$C$2*(1-L829)*907.2/0.621371*N829*[1]Transportation!$M$40)</f>
        <v/>
      </c>
      <c r="Q829" s="5" t="str">
        <f>IF(L829="","",IF([1]Inputs_Outputs!$B$5="Herbaceous",(LCA!$E$29*'[1]LOCH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29" s="5" t="str">
        <f>IF(M829="","",$E$2*1000*'[1]LOCH Calc COE Calc'!$C$44)</f>
        <v/>
      </c>
      <c r="S829" s="6" t="str">
        <f>IF(N829="","",SUM(O829:R829)/('[1]LOCH Calc COE Calc'!$C$28))</f>
        <v/>
      </c>
      <c r="T829" t="str">
        <f>IF(L829="","",O829/'[1]LOCH Calc COE Calc'!$C$28)</f>
        <v/>
      </c>
      <c r="U829" t="str">
        <f>IF(L829="","",P829/'[1]LOCH Calc COE Calc'!$C$28)</f>
        <v/>
      </c>
      <c r="V829" t="str">
        <f>IF(L829="","",Q829/'[1]LOCH Calc COE Calc'!$C$28)</f>
        <v/>
      </c>
      <c r="W829" t="str">
        <f>IF(L829="","",R829/'[1]LOCH Calc COE Calc'!$C$28)</f>
        <v/>
      </c>
    </row>
    <row r="830" spans="12:23" x14ac:dyDescent="0.25">
      <c r="L830" s="4" t="str">
        <f>IF('[1]All Data '!BE835="","",'[1]All Data '!BE835)</f>
        <v/>
      </c>
      <c r="M830" t="str">
        <f>IF('[1]All Data '!BF835="","",'[1]All Data '!BF835)</f>
        <v/>
      </c>
      <c r="N830" s="5" t="str">
        <f>IF('[1]All Data '!BB835="","",'[1]All Data '!BC835/'[1]All Data '!BH835)</f>
        <v/>
      </c>
      <c r="O830" s="5" t="str">
        <f t="shared" si="14"/>
        <v/>
      </c>
      <c r="P830" s="5" t="str">
        <f>IF(M830="","",$C$2*(1-L830)*907.2/0.621371*N830*[1]Transportation!$M$40)</f>
        <v/>
      </c>
      <c r="Q830" s="5" t="str">
        <f>IF(L830="","",IF([1]Inputs_Outputs!$B$5="Herbaceous",(LCA!$E$29*'[1]LOCH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0" s="5" t="str">
        <f>IF(M830="","",$E$2*1000*'[1]LOCH Calc COE Calc'!$C$44)</f>
        <v/>
      </c>
      <c r="S830" s="6" t="str">
        <f>IF(N830="","",SUM(O830:R830)/('[1]LOCH Calc COE Calc'!$C$28))</f>
        <v/>
      </c>
      <c r="T830" t="str">
        <f>IF(L830="","",O830/'[1]LOCH Calc COE Calc'!$C$28)</f>
        <v/>
      </c>
      <c r="U830" t="str">
        <f>IF(L830="","",P830/'[1]LOCH Calc COE Calc'!$C$28)</f>
        <v/>
      </c>
      <c r="V830" t="str">
        <f>IF(L830="","",Q830/'[1]LOCH Calc COE Calc'!$C$28)</f>
        <v/>
      </c>
      <c r="W830" t="str">
        <f>IF(L830="","",R830/'[1]LOCH Calc COE Calc'!$C$28)</f>
        <v/>
      </c>
    </row>
    <row r="831" spans="12:23" x14ac:dyDescent="0.25">
      <c r="L831" s="4" t="str">
        <f>IF('[1]All Data '!BE836="","",'[1]All Data '!BE836)</f>
        <v/>
      </c>
      <c r="M831" t="str">
        <f>IF('[1]All Data '!BF836="","",'[1]All Data '!BF836)</f>
        <v/>
      </c>
      <c r="N831" s="5" t="str">
        <f>IF('[1]All Data '!BB836="","",'[1]All Data '!BC836/'[1]All Data '!BH836)</f>
        <v/>
      </c>
      <c r="O831" s="5" t="str">
        <f t="shared" si="14"/>
        <v/>
      </c>
      <c r="P831" s="5" t="str">
        <f>IF(M831="","",$C$2*(1-L831)*907.2/0.621371*N831*[1]Transportation!$M$40)</f>
        <v/>
      </c>
      <c r="Q831" s="5" t="str">
        <f>IF(L831="","",IF([1]Inputs_Outputs!$B$5="Herbaceous",(LCA!$E$29*'[1]LOCH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1" s="5" t="str">
        <f>IF(M831="","",$E$2*1000*'[1]LOCH Calc COE Calc'!$C$44)</f>
        <v/>
      </c>
      <c r="S831" s="6" t="str">
        <f>IF(N831="","",SUM(O831:R831)/('[1]LOCH Calc COE Calc'!$C$28))</f>
        <v/>
      </c>
      <c r="T831" t="str">
        <f>IF(L831="","",O831/'[1]LOCH Calc COE Calc'!$C$28)</f>
        <v/>
      </c>
      <c r="U831" t="str">
        <f>IF(L831="","",P831/'[1]LOCH Calc COE Calc'!$C$28)</f>
        <v/>
      </c>
      <c r="V831" t="str">
        <f>IF(L831="","",Q831/'[1]LOCH Calc COE Calc'!$C$28)</f>
        <v/>
      </c>
      <c r="W831" t="str">
        <f>IF(L831="","",R831/'[1]LOCH Calc COE Calc'!$C$28)</f>
        <v/>
      </c>
    </row>
    <row r="832" spans="12:23" x14ac:dyDescent="0.25">
      <c r="L832" s="4" t="str">
        <f>IF('[1]All Data '!BE837="","",'[1]All Data '!BE837)</f>
        <v/>
      </c>
      <c r="M832" t="str">
        <f>IF('[1]All Data '!BF837="","",'[1]All Data '!BF837)</f>
        <v/>
      </c>
      <c r="N832" s="5" t="str">
        <f>IF('[1]All Data '!BB837="","",'[1]All Data '!BC837/'[1]All Data '!BH837)</f>
        <v/>
      </c>
      <c r="O832" s="5" t="str">
        <f t="shared" si="14"/>
        <v/>
      </c>
      <c r="P832" s="5" t="str">
        <f>IF(M832="","",$C$2*(1-L832)*907.2/0.621371*N832*[1]Transportation!$M$40)</f>
        <v/>
      </c>
      <c r="Q832" s="5" t="str">
        <f>IF(L832="","",IF([1]Inputs_Outputs!$B$5="Herbaceous",(LCA!$E$29*'[1]LOCH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2" s="5" t="str">
        <f>IF(M832="","",$E$2*1000*'[1]LOCH Calc COE Calc'!$C$44)</f>
        <v/>
      </c>
      <c r="S832" s="6" t="str">
        <f>IF(N832="","",SUM(O832:R832)/('[1]LOCH Calc COE Calc'!$C$28))</f>
        <v/>
      </c>
      <c r="T832" t="str">
        <f>IF(L832="","",O832/'[1]LOCH Calc COE Calc'!$C$28)</f>
        <v/>
      </c>
      <c r="U832" t="str">
        <f>IF(L832="","",P832/'[1]LOCH Calc COE Calc'!$C$28)</f>
        <v/>
      </c>
      <c r="V832" t="str">
        <f>IF(L832="","",Q832/'[1]LOCH Calc COE Calc'!$C$28)</f>
        <v/>
      </c>
      <c r="W832" t="str">
        <f>IF(L832="","",R832/'[1]LOCH Calc COE Calc'!$C$28)</f>
        <v/>
      </c>
    </row>
    <row r="833" spans="12:23" x14ac:dyDescent="0.25">
      <c r="L833" s="4" t="str">
        <f>IF('[1]All Data '!BE838="","",'[1]All Data '!BE838)</f>
        <v/>
      </c>
      <c r="M833" t="str">
        <f>IF('[1]All Data '!BF838="","",'[1]All Data '!BF838)</f>
        <v/>
      </c>
      <c r="N833" s="5" t="str">
        <f>IF('[1]All Data '!BB838="","",'[1]All Data '!BC838/'[1]All Data '!BH838)</f>
        <v/>
      </c>
      <c r="O833" s="5" t="str">
        <f t="shared" si="14"/>
        <v/>
      </c>
      <c r="P833" s="5" t="str">
        <f>IF(M833="","",$C$2*(1-L833)*907.2/0.621371*N833*[1]Transportation!$M$40)</f>
        <v/>
      </c>
      <c r="Q833" s="5" t="str">
        <f>IF(L833="","",IF([1]Inputs_Outputs!$B$5="Herbaceous",(LCA!$E$29*'[1]LOCH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3" s="5" t="str">
        <f>IF(M833="","",$E$2*1000*'[1]LOCH Calc COE Calc'!$C$44)</f>
        <v/>
      </c>
      <c r="S833" s="6" t="str">
        <f>IF(N833="","",SUM(O833:R833)/('[1]LOCH Calc COE Calc'!$C$28))</f>
        <v/>
      </c>
      <c r="T833" t="str">
        <f>IF(L833="","",O833/'[1]LOCH Calc COE Calc'!$C$28)</f>
        <v/>
      </c>
      <c r="U833" t="str">
        <f>IF(L833="","",P833/'[1]LOCH Calc COE Calc'!$C$28)</f>
        <v/>
      </c>
      <c r="V833" t="str">
        <f>IF(L833="","",Q833/'[1]LOCH Calc COE Calc'!$C$28)</f>
        <v/>
      </c>
      <c r="W833" t="str">
        <f>IF(L833="","",R833/'[1]LOCH Calc COE Calc'!$C$28)</f>
        <v/>
      </c>
    </row>
    <row r="834" spans="12:23" x14ac:dyDescent="0.25">
      <c r="L834" s="4" t="str">
        <f>IF('[1]All Data '!BE839="","",'[1]All Data '!BE839)</f>
        <v/>
      </c>
      <c r="M834" t="str">
        <f>IF('[1]All Data '!BF839="","",'[1]All Data '!BF839)</f>
        <v/>
      </c>
      <c r="N834" s="5" t="str">
        <f>IF('[1]All Data '!BB839="","",'[1]All Data '!BC839/'[1]All Data '!BH839)</f>
        <v/>
      </c>
      <c r="O834" s="5" t="str">
        <f t="shared" si="14"/>
        <v/>
      </c>
      <c r="P834" s="5" t="str">
        <f>IF(M834="","",$C$2*(1-L834)*907.2/0.621371*N834*[1]Transportation!$M$40)</f>
        <v/>
      </c>
      <c r="Q834" s="5" t="str">
        <f>IF(L834="","",IF([1]Inputs_Outputs!$B$5="Herbaceous",(LCA!$E$29*'[1]LOCH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4" s="5" t="str">
        <f>IF(M834="","",$E$2*1000*'[1]LOCH Calc COE Calc'!$C$44)</f>
        <v/>
      </c>
      <c r="S834" s="6" t="str">
        <f>IF(N834="","",SUM(O834:R834)/('[1]LOCH Calc COE Calc'!$C$28))</f>
        <v/>
      </c>
      <c r="T834" t="str">
        <f>IF(L834="","",O834/'[1]LOCH Calc COE Calc'!$C$28)</f>
        <v/>
      </c>
      <c r="U834" t="str">
        <f>IF(L834="","",P834/'[1]LOCH Calc COE Calc'!$C$28)</f>
        <v/>
      </c>
      <c r="V834" t="str">
        <f>IF(L834="","",Q834/'[1]LOCH Calc COE Calc'!$C$28)</f>
        <v/>
      </c>
      <c r="W834" t="str">
        <f>IF(L834="","",R834/'[1]LOCH Calc COE Calc'!$C$28)</f>
        <v/>
      </c>
    </row>
    <row r="835" spans="12:23" x14ac:dyDescent="0.25">
      <c r="L835" s="4" t="str">
        <f>IF('[1]All Data '!BE840="","",'[1]All Data '!BE840)</f>
        <v/>
      </c>
      <c r="M835" t="str">
        <f>IF('[1]All Data '!BF840="","",'[1]All Data '!BF840)</f>
        <v/>
      </c>
      <c r="N835" s="5" t="str">
        <f>IF('[1]All Data '!BB840="","",'[1]All Data '!BC840/'[1]All Data '!BH840)</f>
        <v/>
      </c>
      <c r="O835" s="5" t="str">
        <f t="shared" si="14"/>
        <v/>
      </c>
      <c r="P835" s="5" t="str">
        <f>IF(M835="","",$C$2*(1-L835)*907.2/0.621371*N835*[1]Transportation!$M$40)</f>
        <v/>
      </c>
      <c r="Q835" s="5" t="str">
        <f>IF(L835="","",IF([1]Inputs_Outputs!$B$5="Herbaceous",(LCA!$E$29*'[1]LOCH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5" s="5" t="str">
        <f>IF(M835="","",$E$2*1000*'[1]LOCH Calc COE Calc'!$C$44)</f>
        <v/>
      </c>
      <c r="S835" s="6" t="str">
        <f>IF(N835="","",SUM(O835:R835)/('[1]LOCH Calc COE Calc'!$C$28))</f>
        <v/>
      </c>
      <c r="T835" t="str">
        <f>IF(L835="","",O835/'[1]LOCH Calc COE Calc'!$C$28)</f>
        <v/>
      </c>
      <c r="U835" t="str">
        <f>IF(L835="","",P835/'[1]LOCH Calc COE Calc'!$C$28)</f>
        <v/>
      </c>
      <c r="V835" t="str">
        <f>IF(L835="","",Q835/'[1]LOCH Calc COE Calc'!$C$28)</f>
        <v/>
      </c>
      <c r="W835" t="str">
        <f>IF(L835="","",R835/'[1]LOCH Calc COE Calc'!$C$28)</f>
        <v/>
      </c>
    </row>
    <row r="836" spans="12:23" x14ac:dyDescent="0.25">
      <c r="L836" s="4" t="str">
        <f>IF('[1]All Data '!BE841="","",'[1]All Data '!BE841)</f>
        <v/>
      </c>
      <c r="M836" t="str">
        <f>IF('[1]All Data '!BF841="","",'[1]All Data '!BF841)</f>
        <v/>
      </c>
      <c r="N836" s="5" t="str">
        <f>IF('[1]All Data '!BB841="","",'[1]All Data '!BC841/'[1]All Data '!BH841)</f>
        <v/>
      </c>
      <c r="O836" s="5" t="str">
        <f t="shared" ref="O836:O899" si="15">IF(N836="","",M836*N836)</f>
        <v/>
      </c>
      <c r="P836" s="5" t="str">
        <f>IF(M836="","",$C$2*(1-L836)*907.2/0.621371*N836*[1]Transportation!$M$40)</f>
        <v/>
      </c>
      <c r="Q836" s="5" t="str">
        <f>IF(L836="","",IF([1]Inputs_Outputs!$B$5="Herbaceous",(LCA!$E$29*'[1]LOCH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6" s="5" t="str">
        <f>IF(M836="","",$E$2*1000*'[1]LOCH Calc COE Calc'!$C$44)</f>
        <v/>
      </c>
      <c r="S836" s="6" t="str">
        <f>IF(N836="","",SUM(O836:R836)/('[1]LOCH Calc COE Calc'!$C$28))</f>
        <v/>
      </c>
      <c r="T836" t="str">
        <f>IF(L836="","",O836/'[1]LOCH Calc COE Calc'!$C$28)</f>
        <v/>
      </c>
      <c r="U836" t="str">
        <f>IF(L836="","",P836/'[1]LOCH Calc COE Calc'!$C$28)</f>
        <v/>
      </c>
      <c r="V836" t="str">
        <f>IF(L836="","",Q836/'[1]LOCH Calc COE Calc'!$C$28)</f>
        <v/>
      </c>
      <c r="W836" t="str">
        <f>IF(L836="","",R836/'[1]LOCH Calc COE Calc'!$C$28)</f>
        <v/>
      </c>
    </row>
    <row r="837" spans="12:23" x14ac:dyDescent="0.25">
      <c r="L837" s="4" t="str">
        <f>IF('[1]All Data '!BE842="","",'[1]All Data '!BE842)</f>
        <v/>
      </c>
      <c r="M837" t="str">
        <f>IF('[1]All Data '!BF842="","",'[1]All Data '!BF842)</f>
        <v/>
      </c>
      <c r="N837" s="5" t="str">
        <f>IF('[1]All Data '!BB842="","",'[1]All Data '!BC842/'[1]All Data '!BH842)</f>
        <v/>
      </c>
      <c r="O837" s="5" t="str">
        <f t="shared" si="15"/>
        <v/>
      </c>
      <c r="P837" s="5" t="str">
        <f>IF(M837="","",$C$2*(1-L837)*907.2/0.621371*N837*[1]Transportation!$M$40)</f>
        <v/>
      </c>
      <c r="Q837" s="5" t="str">
        <f>IF(L837="","",IF([1]Inputs_Outputs!$B$5="Herbaceous",(LCA!$E$29*'[1]LOCH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7" s="5" t="str">
        <f>IF(M837="","",$E$2*1000*'[1]LOCH Calc COE Calc'!$C$44)</f>
        <v/>
      </c>
      <c r="S837" s="6" t="str">
        <f>IF(N837="","",SUM(O837:R837)/('[1]LOCH Calc COE Calc'!$C$28))</f>
        <v/>
      </c>
      <c r="T837" t="str">
        <f>IF(L837="","",O837/'[1]LOCH Calc COE Calc'!$C$28)</f>
        <v/>
      </c>
      <c r="U837" t="str">
        <f>IF(L837="","",P837/'[1]LOCH Calc COE Calc'!$C$28)</f>
        <v/>
      </c>
      <c r="V837" t="str">
        <f>IF(L837="","",Q837/'[1]LOCH Calc COE Calc'!$C$28)</f>
        <v/>
      </c>
      <c r="W837" t="str">
        <f>IF(L837="","",R837/'[1]LOCH Calc COE Calc'!$C$28)</f>
        <v/>
      </c>
    </row>
    <row r="838" spans="12:23" x14ac:dyDescent="0.25">
      <c r="L838" s="4" t="str">
        <f>IF('[1]All Data '!BE843="","",'[1]All Data '!BE843)</f>
        <v/>
      </c>
      <c r="M838" t="str">
        <f>IF('[1]All Data '!BF843="","",'[1]All Data '!BF843)</f>
        <v/>
      </c>
      <c r="N838" s="5" t="str">
        <f>IF('[1]All Data '!BB843="","",'[1]All Data '!BC843/'[1]All Data '!BH843)</f>
        <v/>
      </c>
      <c r="O838" s="5" t="str">
        <f t="shared" si="15"/>
        <v/>
      </c>
      <c r="P838" s="5" t="str">
        <f>IF(M838="","",$C$2*(1-L838)*907.2/0.621371*N838*[1]Transportation!$M$40)</f>
        <v/>
      </c>
      <c r="Q838" s="5" t="str">
        <f>IF(L838="","",IF([1]Inputs_Outputs!$B$5="Herbaceous",(LCA!$E$29*'[1]LOCH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8" s="5" t="str">
        <f>IF(M838="","",$E$2*1000*'[1]LOCH Calc COE Calc'!$C$44)</f>
        <v/>
      </c>
      <c r="S838" s="6" t="str">
        <f>IF(N838="","",SUM(O838:R838)/('[1]LOCH Calc COE Calc'!$C$28))</f>
        <v/>
      </c>
      <c r="T838" t="str">
        <f>IF(L838="","",O838/'[1]LOCH Calc COE Calc'!$C$28)</f>
        <v/>
      </c>
      <c r="U838" t="str">
        <f>IF(L838="","",P838/'[1]LOCH Calc COE Calc'!$C$28)</f>
        <v/>
      </c>
      <c r="V838" t="str">
        <f>IF(L838="","",Q838/'[1]LOCH Calc COE Calc'!$C$28)</f>
        <v/>
      </c>
      <c r="W838" t="str">
        <f>IF(L838="","",R838/'[1]LOCH Calc COE Calc'!$C$28)</f>
        <v/>
      </c>
    </row>
    <row r="839" spans="12:23" x14ac:dyDescent="0.25">
      <c r="L839" s="4" t="str">
        <f>IF('[1]All Data '!BE844="","",'[1]All Data '!BE844)</f>
        <v/>
      </c>
      <c r="M839" t="str">
        <f>IF('[1]All Data '!BF844="","",'[1]All Data '!BF844)</f>
        <v/>
      </c>
      <c r="N839" s="5" t="str">
        <f>IF('[1]All Data '!BB844="","",'[1]All Data '!BC844/'[1]All Data '!BH844)</f>
        <v/>
      </c>
      <c r="O839" s="5" t="str">
        <f t="shared" si="15"/>
        <v/>
      </c>
      <c r="P839" s="5" t="str">
        <f>IF(M839="","",$C$2*(1-L839)*907.2/0.621371*N839*[1]Transportation!$M$40)</f>
        <v/>
      </c>
      <c r="Q839" s="5" t="str">
        <f>IF(L839="","",IF([1]Inputs_Outputs!$B$5="Herbaceous",(LCA!$E$29*'[1]LOCH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39" s="5" t="str">
        <f>IF(M839="","",$E$2*1000*'[1]LOCH Calc COE Calc'!$C$44)</f>
        <v/>
      </c>
      <c r="S839" s="6" t="str">
        <f>IF(N839="","",SUM(O839:R839)/('[1]LOCH Calc COE Calc'!$C$28))</f>
        <v/>
      </c>
      <c r="T839" t="str">
        <f>IF(L839="","",O839/'[1]LOCH Calc COE Calc'!$C$28)</f>
        <v/>
      </c>
      <c r="U839" t="str">
        <f>IF(L839="","",P839/'[1]LOCH Calc COE Calc'!$C$28)</f>
        <v/>
      </c>
      <c r="V839" t="str">
        <f>IF(L839="","",Q839/'[1]LOCH Calc COE Calc'!$C$28)</f>
        <v/>
      </c>
      <c r="W839" t="str">
        <f>IF(L839="","",R839/'[1]LOCH Calc COE Calc'!$C$28)</f>
        <v/>
      </c>
    </row>
    <row r="840" spans="12:23" x14ac:dyDescent="0.25">
      <c r="L840" s="4" t="str">
        <f>IF('[1]All Data '!BE845="","",'[1]All Data '!BE845)</f>
        <v/>
      </c>
      <c r="M840" t="str">
        <f>IF('[1]All Data '!BF845="","",'[1]All Data '!BF845)</f>
        <v/>
      </c>
      <c r="N840" s="5" t="str">
        <f>IF('[1]All Data '!BB845="","",'[1]All Data '!BC845/'[1]All Data '!BH845)</f>
        <v/>
      </c>
      <c r="O840" s="5" t="str">
        <f t="shared" si="15"/>
        <v/>
      </c>
      <c r="P840" s="5" t="str">
        <f>IF(M840="","",$C$2*(1-L840)*907.2/0.621371*N840*[1]Transportation!$M$40)</f>
        <v/>
      </c>
      <c r="Q840" s="5" t="str">
        <f>IF(L840="","",IF([1]Inputs_Outputs!$B$5="Herbaceous",(LCA!$E$29*'[1]LOCH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0" s="5" t="str">
        <f>IF(M840="","",$E$2*1000*'[1]LOCH Calc COE Calc'!$C$44)</f>
        <v/>
      </c>
      <c r="S840" s="6" t="str">
        <f>IF(N840="","",SUM(O840:R840)/('[1]LOCH Calc COE Calc'!$C$28))</f>
        <v/>
      </c>
      <c r="T840" t="str">
        <f>IF(L840="","",O840/'[1]LOCH Calc COE Calc'!$C$28)</f>
        <v/>
      </c>
      <c r="U840" t="str">
        <f>IF(L840="","",P840/'[1]LOCH Calc COE Calc'!$C$28)</f>
        <v/>
      </c>
      <c r="V840" t="str">
        <f>IF(L840="","",Q840/'[1]LOCH Calc COE Calc'!$C$28)</f>
        <v/>
      </c>
      <c r="W840" t="str">
        <f>IF(L840="","",R840/'[1]LOCH Calc COE Calc'!$C$28)</f>
        <v/>
      </c>
    </row>
    <row r="841" spans="12:23" x14ac:dyDescent="0.25">
      <c r="L841" s="4" t="str">
        <f>IF('[1]All Data '!BE846="","",'[1]All Data '!BE846)</f>
        <v/>
      </c>
      <c r="M841" t="str">
        <f>IF('[1]All Data '!BF846="","",'[1]All Data '!BF846)</f>
        <v/>
      </c>
      <c r="N841" s="5" t="str">
        <f>IF('[1]All Data '!BB846="","",'[1]All Data '!BC846/'[1]All Data '!BH846)</f>
        <v/>
      </c>
      <c r="O841" s="5" t="str">
        <f t="shared" si="15"/>
        <v/>
      </c>
      <c r="P841" s="5" t="str">
        <f>IF(M841="","",$C$2*(1-L841)*907.2/0.621371*N841*[1]Transportation!$M$40)</f>
        <v/>
      </c>
      <c r="Q841" s="5" t="str">
        <f>IF(L841="","",IF([1]Inputs_Outputs!$B$5="Herbaceous",(LCA!$E$29*'[1]LOCH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1" s="5" t="str">
        <f>IF(M841="","",$E$2*1000*'[1]LOCH Calc COE Calc'!$C$44)</f>
        <v/>
      </c>
      <c r="S841" s="6" t="str">
        <f>IF(N841="","",SUM(O841:R841)/('[1]LOCH Calc COE Calc'!$C$28))</f>
        <v/>
      </c>
      <c r="T841" t="str">
        <f>IF(L841="","",O841/'[1]LOCH Calc COE Calc'!$C$28)</f>
        <v/>
      </c>
      <c r="U841" t="str">
        <f>IF(L841="","",P841/'[1]LOCH Calc COE Calc'!$C$28)</f>
        <v/>
      </c>
      <c r="V841" t="str">
        <f>IF(L841="","",Q841/'[1]LOCH Calc COE Calc'!$C$28)</f>
        <v/>
      </c>
      <c r="W841" t="str">
        <f>IF(L841="","",R841/'[1]LOCH Calc COE Calc'!$C$28)</f>
        <v/>
      </c>
    </row>
    <row r="842" spans="12:23" x14ac:dyDescent="0.25">
      <c r="L842" s="4" t="str">
        <f>IF('[1]All Data '!BE847="","",'[1]All Data '!BE847)</f>
        <v/>
      </c>
      <c r="M842" t="str">
        <f>IF('[1]All Data '!BF847="","",'[1]All Data '!BF847)</f>
        <v/>
      </c>
      <c r="N842" s="5" t="str">
        <f>IF('[1]All Data '!BB847="","",'[1]All Data '!BC847/'[1]All Data '!BH847)</f>
        <v/>
      </c>
      <c r="O842" s="5" t="str">
        <f t="shared" si="15"/>
        <v/>
      </c>
      <c r="P842" s="5" t="str">
        <f>IF(M842="","",$C$2*(1-L842)*907.2/0.621371*N842*[1]Transportation!$M$40)</f>
        <v/>
      </c>
      <c r="Q842" s="5" t="str">
        <f>IF(L842="","",IF([1]Inputs_Outputs!$B$5="Herbaceous",(LCA!$E$29*'[1]LOCH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2" s="5" t="str">
        <f>IF(M842="","",$E$2*1000*'[1]LOCH Calc COE Calc'!$C$44)</f>
        <v/>
      </c>
      <c r="S842" s="6" t="str">
        <f>IF(N842="","",SUM(O842:R842)/('[1]LOCH Calc COE Calc'!$C$28))</f>
        <v/>
      </c>
      <c r="T842" t="str">
        <f>IF(L842="","",O842/'[1]LOCH Calc COE Calc'!$C$28)</f>
        <v/>
      </c>
      <c r="U842" t="str">
        <f>IF(L842="","",P842/'[1]LOCH Calc COE Calc'!$C$28)</f>
        <v/>
      </c>
      <c r="V842" t="str">
        <f>IF(L842="","",Q842/'[1]LOCH Calc COE Calc'!$C$28)</f>
        <v/>
      </c>
      <c r="W842" t="str">
        <f>IF(L842="","",R842/'[1]LOCH Calc COE Calc'!$C$28)</f>
        <v/>
      </c>
    </row>
    <row r="843" spans="12:23" x14ac:dyDescent="0.25">
      <c r="L843" s="4" t="str">
        <f>IF('[1]All Data '!BE848="","",'[1]All Data '!BE848)</f>
        <v/>
      </c>
      <c r="M843" t="str">
        <f>IF('[1]All Data '!BF848="","",'[1]All Data '!BF848)</f>
        <v/>
      </c>
      <c r="N843" s="5" t="str">
        <f>IF('[1]All Data '!BB848="","",'[1]All Data '!BC848/'[1]All Data '!BH848)</f>
        <v/>
      </c>
      <c r="O843" s="5" t="str">
        <f t="shared" si="15"/>
        <v/>
      </c>
      <c r="P843" s="5" t="str">
        <f>IF(M843="","",$C$2*(1-L843)*907.2/0.621371*N843*[1]Transportation!$M$40)</f>
        <v/>
      </c>
      <c r="Q843" s="5" t="str">
        <f>IF(L843="","",IF([1]Inputs_Outputs!$B$5="Herbaceous",(LCA!$E$29*'[1]LOCH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3" s="5" t="str">
        <f>IF(M843="","",$E$2*1000*'[1]LOCH Calc COE Calc'!$C$44)</f>
        <v/>
      </c>
      <c r="S843" s="6" t="str">
        <f>IF(N843="","",SUM(O843:R843)/('[1]LOCH Calc COE Calc'!$C$28))</f>
        <v/>
      </c>
      <c r="T843" t="str">
        <f>IF(L843="","",O843/'[1]LOCH Calc COE Calc'!$C$28)</f>
        <v/>
      </c>
      <c r="U843" t="str">
        <f>IF(L843="","",P843/'[1]LOCH Calc COE Calc'!$C$28)</f>
        <v/>
      </c>
      <c r="V843" t="str">
        <f>IF(L843="","",Q843/'[1]LOCH Calc COE Calc'!$C$28)</f>
        <v/>
      </c>
      <c r="W843" t="str">
        <f>IF(L843="","",R843/'[1]LOCH Calc COE Calc'!$C$28)</f>
        <v/>
      </c>
    </row>
    <row r="844" spans="12:23" x14ac:dyDescent="0.25">
      <c r="L844" s="4" t="str">
        <f>IF('[1]All Data '!BE849="","",'[1]All Data '!BE849)</f>
        <v/>
      </c>
      <c r="M844" t="str">
        <f>IF('[1]All Data '!BF849="","",'[1]All Data '!BF849)</f>
        <v/>
      </c>
      <c r="N844" s="5" t="str">
        <f>IF('[1]All Data '!BB849="","",'[1]All Data '!BC849/'[1]All Data '!BH849)</f>
        <v/>
      </c>
      <c r="O844" s="5" t="str">
        <f t="shared" si="15"/>
        <v/>
      </c>
      <c r="P844" s="5" t="str">
        <f>IF(M844="","",$C$2*(1-L844)*907.2/0.621371*N844*[1]Transportation!$M$40)</f>
        <v/>
      </c>
      <c r="Q844" s="5" t="str">
        <f>IF(L844="","",IF([1]Inputs_Outputs!$B$5="Herbaceous",(LCA!$E$29*'[1]LOCH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4" s="5" t="str">
        <f>IF(M844="","",$E$2*1000*'[1]LOCH Calc COE Calc'!$C$44)</f>
        <v/>
      </c>
      <c r="S844" s="6" t="str">
        <f>IF(N844="","",SUM(O844:R844)/('[1]LOCH Calc COE Calc'!$C$28))</f>
        <v/>
      </c>
      <c r="T844" t="str">
        <f>IF(L844="","",O844/'[1]LOCH Calc COE Calc'!$C$28)</f>
        <v/>
      </c>
      <c r="U844" t="str">
        <f>IF(L844="","",P844/'[1]LOCH Calc COE Calc'!$C$28)</f>
        <v/>
      </c>
      <c r="V844" t="str">
        <f>IF(L844="","",Q844/'[1]LOCH Calc COE Calc'!$C$28)</f>
        <v/>
      </c>
      <c r="W844" t="str">
        <f>IF(L844="","",R844/'[1]LOCH Calc COE Calc'!$C$28)</f>
        <v/>
      </c>
    </row>
    <row r="845" spans="12:23" x14ac:dyDescent="0.25">
      <c r="L845" s="4" t="str">
        <f>IF('[1]All Data '!BE850="","",'[1]All Data '!BE850)</f>
        <v/>
      </c>
      <c r="M845" t="str">
        <f>IF('[1]All Data '!BF850="","",'[1]All Data '!BF850)</f>
        <v/>
      </c>
      <c r="N845" s="5" t="str">
        <f>IF('[1]All Data '!BB850="","",'[1]All Data '!BC850/'[1]All Data '!BH850)</f>
        <v/>
      </c>
      <c r="O845" s="5" t="str">
        <f t="shared" si="15"/>
        <v/>
      </c>
      <c r="P845" s="5" t="str">
        <f>IF(M845="","",$C$2*(1-L845)*907.2/0.621371*N845*[1]Transportation!$M$40)</f>
        <v/>
      </c>
      <c r="Q845" s="5" t="str">
        <f>IF(L845="","",IF([1]Inputs_Outputs!$B$5="Herbaceous",(LCA!$E$29*'[1]LOCH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5" s="5" t="str">
        <f>IF(M845="","",$E$2*1000*'[1]LOCH Calc COE Calc'!$C$44)</f>
        <v/>
      </c>
      <c r="S845" s="6" t="str">
        <f>IF(N845="","",SUM(O845:R845)/('[1]LOCH Calc COE Calc'!$C$28))</f>
        <v/>
      </c>
      <c r="T845" t="str">
        <f>IF(L845="","",O845/'[1]LOCH Calc COE Calc'!$C$28)</f>
        <v/>
      </c>
      <c r="U845" t="str">
        <f>IF(L845="","",P845/'[1]LOCH Calc COE Calc'!$C$28)</f>
        <v/>
      </c>
      <c r="V845" t="str">
        <f>IF(L845="","",Q845/'[1]LOCH Calc COE Calc'!$C$28)</f>
        <v/>
      </c>
      <c r="W845" t="str">
        <f>IF(L845="","",R845/'[1]LOCH Calc COE Calc'!$C$28)</f>
        <v/>
      </c>
    </row>
    <row r="846" spans="12:23" x14ac:dyDescent="0.25">
      <c r="L846" s="4" t="str">
        <f>IF('[1]All Data '!BE851="","",'[1]All Data '!BE851)</f>
        <v/>
      </c>
      <c r="M846" t="str">
        <f>IF('[1]All Data '!BF851="","",'[1]All Data '!BF851)</f>
        <v/>
      </c>
      <c r="N846" s="5" t="str">
        <f>IF('[1]All Data '!BB851="","",'[1]All Data '!BC851/'[1]All Data '!BH851)</f>
        <v/>
      </c>
      <c r="O846" s="5" t="str">
        <f t="shared" si="15"/>
        <v/>
      </c>
      <c r="P846" s="5" t="str">
        <f>IF(M846="","",$C$2*(1-L846)*907.2/0.621371*N846*[1]Transportation!$M$40)</f>
        <v/>
      </c>
      <c r="Q846" s="5" t="str">
        <f>IF(L846="","",IF([1]Inputs_Outputs!$B$5="Herbaceous",(LCA!$E$29*'[1]LOCH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6" s="5" t="str">
        <f>IF(M846="","",$E$2*1000*'[1]LOCH Calc COE Calc'!$C$44)</f>
        <v/>
      </c>
      <c r="S846" s="6" t="str">
        <f>IF(N846="","",SUM(O846:R846)/('[1]LOCH Calc COE Calc'!$C$28))</f>
        <v/>
      </c>
      <c r="T846" t="str">
        <f>IF(L846="","",O846/'[1]LOCH Calc COE Calc'!$C$28)</f>
        <v/>
      </c>
      <c r="U846" t="str">
        <f>IF(L846="","",P846/'[1]LOCH Calc COE Calc'!$C$28)</f>
        <v/>
      </c>
      <c r="V846" t="str">
        <f>IF(L846="","",Q846/'[1]LOCH Calc COE Calc'!$C$28)</f>
        <v/>
      </c>
      <c r="W846" t="str">
        <f>IF(L846="","",R846/'[1]LOCH Calc COE Calc'!$C$28)</f>
        <v/>
      </c>
    </row>
    <row r="847" spans="12:23" x14ac:dyDescent="0.25">
      <c r="L847" s="4" t="str">
        <f>IF('[1]All Data '!BE852="","",'[1]All Data '!BE852)</f>
        <v/>
      </c>
      <c r="M847" t="str">
        <f>IF('[1]All Data '!BF852="","",'[1]All Data '!BF852)</f>
        <v/>
      </c>
      <c r="N847" s="5" t="str">
        <f>IF('[1]All Data '!BB852="","",'[1]All Data '!BC852/'[1]All Data '!BH852)</f>
        <v/>
      </c>
      <c r="O847" s="5" t="str">
        <f t="shared" si="15"/>
        <v/>
      </c>
      <c r="P847" s="5" t="str">
        <f>IF(M847="","",$C$2*(1-L847)*907.2/0.621371*N847*[1]Transportation!$M$40)</f>
        <v/>
      </c>
      <c r="Q847" s="5" t="str">
        <f>IF(L847="","",IF([1]Inputs_Outputs!$B$5="Herbaceous",(LCA!$E$29*'[1]LOCH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7" s="5" t="str">
        <f>IF(M847="","",$E$2*1000*'[1]LOCH Calc COE Calc'!$C$44)</f>
        <v/>
      </c>
      <c r="S847" s="6" t="str">
        <f>IF(N847="","",SUM(O847:R847)/('[1]LOCH Calc COE Calc'!$C$28))</f>
        <v/>
      </c>
      <c r="T847" t="str">
        <f>IF(L847="","",O847/'[1]LOCH Calc COE Calc'!$C$28)</f>
        <v/>
      </c>
      <c r="U847" t="str">
        <f>IF(L847="","",P847/'[1]LOCH Calc COE Calc'!$C$28)</f>
        <v/>
      </c>
      <c r="V847" t="str">
        <f>IF(L847="","",Q847/'[1]LOCH Calc COE Calc'!$C$28)</f>
        <v/>
      </c>
      <c r="W847" t="str">
        <f>IF(L847="","",R847/'[1]LOCH Calc COE Calc'!$C$28)</f>
        <v/>
      </c>
    </row>
    <row r="848" spans="12:23" x14ac:dyDescent="0.25">
      <c r="L848" s="4" t="str">
        <f>IF('[1]All Data '!BE853="","",'[1]All Data '!BE853)</f>
        <v/>
      </c>
      <c r="M848" t="str">
        <f>IF('[1]All Data '!BF853="","",'[1]All Data '!BF853)</f>
        <v/>
      </c>
      <c r="N848" s="5" t="str">
        <f>IF('[1]All Data '!BB853="","",'[1]All Data '!BC853/'[1]All Data '!BH853)</f>
        <v/>
      </c>
      <c r="O848" s="5" t="str">
        <f t="shared" si="15"/>
        <v/>
      </c>
      <c r="P848" s="5" t="str">
        <f>IF(M848="","",$C$2*(1-L848)*907.2/0.621371*N848*[1]Transportation!$M$40)</f>
        <v/>
      </c>
      <c r="Q848" s="5" t="str">
        <f>IF(L848="","",IF([1]Inputs_Outputs!$B$5="Herbaceous",(LCA!$E$29*'[1]LOCH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8" s="5" t="str">
        <f>IF(M848="","",$E$2*1000*'[1]LOCH Calc COE Calc'!$C$44)</f>
        <v/>
      </c>
      <c r="S848" s="6" t="str">
        <f>IF(N848="","",SUM(O848:R848)/('[1]LOCH Calc COE Calc'!$C$28))</f>
        <v/>
      </c>
      <c r="T848" t="str">
        <f>IF(L848="","",O848/'[1]LOCH Calc COE Calc'!$C$28)</f>
        <v/>
      </c>
      <c r="U848" t="str">
        <f>IF(L848="","",P848/'[1]LOCH Calc COE Calc'!$C$28)</f>
        <v/>
      </c>
      <c r="V848" t="str">
        <f>IF(L848="","",Q848/'[1]LOCH Calc COE Calc'!$C$28)</f>
        <v/>
      </c>
      <c r="W848" t="str">
        <f>IF(L848="","",R848/'[1]LOCH Calc COE Calc'!$C$28)</f>
        <v/>
      </c>
    </row>
    <row r="849" spans="12:23" x14ac:dyDescent="0.25">
      <c r="L849" s="4" t="str">
        <f>IF('[1]All Data '!BE854="","",'[1]All Data '!BE854)</f>
        <v/>
      </c>
      <c r="M849" t="str">
        <f>IF('[1]All Data '!BF854="","",'[1]All Data '!BF854)</f>
        <v/>
      </c>
      <c r="N849" s="5" t="str">
        <f>IF('[1]All Data '!BB854="","",'[1]All Data '!BC854/'[1]All Data '!BH854)</f>
        <v/>
      </c>
      <c r="O849" s="5" t="str">
        <f t="shared" si="15"/>
        <v/>
      </c>
      <c r="P849" s="5" t="str">
        <f>IF(M849="","",$C$2*(1-L849)*907.2/0.621371*N849*[1]Transportation!$M$40)</f>
        <v/>
      </c>
      <c r="Q849" s="5" t="str">
        <f>IF(L849="","",IF([1]Inputs_Outputs!$B$5="Herbaceous",(LCA!$E$29*'[1]LOCH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49" s="5" t="str">
        <f>IF(M849="","",$E$2*1000*'[1]LOCH Calc COE Calc'!$C$44)</f>
        <v/>
      </c>
      <c r="S849" s="6" t="str">
        <f>IF(N849="","",SUM(O849:R849)/('[1]LOCH Calc COE Calc'!$C$28))</f>
        <v/>
      </c>
      <c r="T849" t="str">
        <f>IF(L849="","",O849/'[1]LOCH Calc COE Calc'!$C$28)</f>
        <v/>
      </c>
      <c r="U849" t="str">
        <f>IF(L849="","",P849/'[1]LOCH Calc COE Calc'!$C$28)</f>
        <v/>
      </c>
      <c r="V849" t="str">
        <f>IF(L849="","",Q849/'[1]LOCH Calc COE Calc'!$C$28)</f>
        <v/>
      </c>
      <c r="W849" t="str">
        <f>IF(L849="","",R849/'[1]LOCH Calc COE Calc'!$C$28)</f>
        <v/>
      </c>
    </row>
    <row r="850" spans="12:23" x14ac:dyDescent="0.25">
      <c r="L850" s="4" t="str">
        <f>IF('[1]All Data '!BE855="","",'[1]All Data '!BE855)</f>
        <v/>
      </c>
      <c r="M850" t="str">
        <f>IF('[1]All Data '!BF855="","",'[1]All Data '!BF855)</f>
        <v/>
      </c>
      <c r="N850" s="5" t="str">
        <f>IF('[1]All Data '!BB855="","",'[1]All Data '!BC855/'[1]All Data '!BH855)</f>
        <v/>
      </c>
      <c r="O850" s="5" t="str">
        <f t="shared" si="15"/>
        <v/>
      </c>
      <c r="P850" s="5" t="str">
        <f>IF(M850="","",$C$2*(1-L850)*907.2/0.621371*N850*[1]Transportation!$M$40)</f>
        <v/>
      </c>
      <c r="Q850" s="5" t="str">
        <f>IF(L850="","",IF([1]Inputs_Outputs!$B$5="Herbaceous",(LCA!$E$29*'[1]LOCH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0" s="5" t="str">
        <f>IF(M850="","",$E$2*1000*'[1]LOCH Calc COE Calc'!$C$44)</f>
        <v/>
      </c>
      <c r="S850" s="6" t="str">
        <f>IF(N850="","",SUM(O850:R850)/('[1]LOCH Calc COE Calc'!$C$28))</f>
        <v/>
      </c>
      <c r="T850" t="str">
        <f>IF(L850="","",O850/'[1]LOCH Calc COE Calc'!$C$28)</f>
        <v/>
      </c>
      <c r="U850" t="str">
        <f>IF(L850="","",P850/'[1]LOCH Calc COE Calc'!$C$28)</f>
        <v/>
      </c>
      <c r="V850" t="str">
        <f>IF(L850="","",Q850/'[1]LOCH Calc COE Calc'!$C$28)</f>
        <v/>
      </c>
      <c r="W850" t="str">
        <f>IF(L850="","",R850/'[1]LOCH Calc COE Calc'!$C$28)</f>
        <v/>
      </c>
    </row>
    <row r="851" spans="12:23" x14ac:dyDescent="0.25">
      <c r="L851" s="4" t="str">
        <f>IF('[1]All Data '!BE856="","",'[1]All Data '!BE856)</f>
        <v/>
      </c>
      <c r="M851" t="str">
        <f>IF('[1]All Data '!BF856="","",'[1]All Data '!BF856)</f>
        <v/>
      </c>
      <c r="N851" s="5" t="str">
        <f>IF('[1]All Data '!BB856="","",'[1]All Data '!BC856/'[1]All Data '!BH856)</f>
        <v/>
      </c>
      <c r="O851" s="5" t="str">
        <f t="shared" si="15"/>
        <v/>
      </c>
      <c r="P851" s="5" t="str">
        <f>IF(M851="","",$C$2*(1-L851)*907.2/0.621371*N851*[1]Transportation!$M$40)</f>
        <v/>
      </c>
      <c r="Q851" s="5" t="str">
        <f>IF(L851="","",IF([1]Inputs_Outputs!$B$5="Herbaceous",(LCA!$E$29*'[1]LOCH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1" s="5" t="str">
        <f>IF(M851="","",$E$2*1000*'[1]LOCH Calc COE Calc'!$C$44)</f>
        <v/>
      </c>
      <c r="S851" s="6" t="str">
        <f>IF(N851="","",SUM(O851:R851)/('[1]LOCH Calc COE Calc'!$C$28))</f>
        <v/>
      </c>
      <c r="T851" t="str">
        <f>IF(L851="","",O851/'[1]LOCH Calc COE Calc'!$C$28)</f>
        <v/>
      </c>
      <c r="U851" t="str">
        <f>IF(L851="","",P851/'[1]LOCH Calc COE Calc'!$C$28)</f>
        <v/>
      </c>
      <c r="V851" t="str">
        <f>IF(L851="","",Q851/'[1]LOCH Calc COE Calc'!$C$28)</f>
        <v/>
      </c>
      <c r="W851" t="str">
        <f>IF(L851="","",R851/'[1]LOCH Calc COE Calc'!$C$28)</f>
        <v/>
      </c>
    </row>
    <row r="852" spans="12:23" x14ac:dyDescent="0.25">
      <c r="L852" s="4" t="str">
        <f>IF('[1]All Data '!BE857="","",'[1]All Data '!BE857)</f>
        <v/>
      </c>
      <c r="M852" t="str">
        <f>IF('[1]All Data '!BF857="","",'[1]All Data '!BF857)</f>
        <v/>
      </c>
      <c r="N852" s="5" t="str">
        <f>IF('[1]All Data '!BB857="","",'[1]All Data '!BC857/'[1]All Data '!BH857)</f>
        <v/>
      </c>
      <c r="O852" s="5" t="str">
        <f t="shared" si="15"/>
        <v/>
      </c>
      <c r="P852" s="5" t="str">
        <f>IF(M852="","",$C$2*(1-L852)*907.2/0.621371*N852*[1]Transportation!$M$40)</f>
        <v/>
      </c>
      <c r="Q852" s="5" t="str">
        <f>IF(L852="","",IF([1]Inputs_Outputs!$B$5="Herbaceous",(LCA!$E$29*'[1]LOCH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2" s="5" t="str">
        <f>IF(M852="","",$E$2*1000*'[1]LOCH Calc COE Calc'!$C$44)</f>
        <v/>
      </c>
      <c r="S852" s="6" t="str">
        <f>IF(N852="","",SUM(O852:R852)/('[1]LOCH Calc COE Calc'!$C$28))</f>
        <v/>
      </c>
      <c r="T852" t="str">
        <f>IF(L852="","",O852/'[1]LOCH Calc COE Calc'!$C$28)</f>
        <v/>
      </c>
      <c r="U852" t="str">
        <f>IF(L852="","",P852/'[1]LOCH Calc COE Calc'!$C$28)</f>
        <v/>
      </c>
      <c r="V852" t="str">
        <f>IF(L852="","",Q852/'[1]LOCH Calc COE Calc'!$C$28)</f>
        <v/>
      </c>
      <c r="W852" t="str">
        <f>IF(L852="","",R852/'[1]LOCH Calc COE Calc'!$C$28)</f>
        <v/>
      </c>
    </row>
    <row r="853" spans="12:23" x14ac:dyDescent="0.25">
      <c r="L853" s="4" t="str">
        <f>IF('[1]All Data '!BE858="","",'[1]All Data '!BE858)</f>
        <v/>
      </c>
      <c r="M853" t="str">
        <f>IF('[1]All Data '!BF858="","",'[1]All Data '!BF858)</f>
        <v/>
      </c>
      <c r="N853" s="5" t="str">
        <f>IF('[1]All Data '!BB858="","",'[1]All Data '!BC858/'[1]All Data '!BH858)</f>
        <v/>
      </c>
      <c r="O853" s="5" t="str">
        <f t="shared" si="15"/>
        <v/>
      </c>
      <c r="P853" s="5" t="str">
        <f>IF(M853="","",$C$2*(1-L853)*907.2/0.621371*N853*[1]Transportation!$M$40)</f>
        <v/>
      </c>
      <c r="Q853" s="5" t="str">
        <f>IF(L853="","",IF([1]Inputs_Outputs!$B$5="Herbaceous",(LCA!$E$29*'[1]LOCH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3" s="5" t="str">
        <f>IF(M853="","",$E$2*1000*'[1]LOCH Calc COE Calc'!$C$44)</f>
        <v/>
      </c>
      <c r="S853" s="6" t="str">
        <f>IF(N853="","",SUM(O853:R853)/('[1]LOCH Calc COE Calc'!$C$28))</f>
        <v/>
      </c>
      <c r="T853" t="str">
        <f>IF(L853="","",O853/'[1]LOCH Calc COE Calc'!$C$28)</f>
        <v/>
      </c>
      <c r="U853" t="str">
        <f>IF(L853="","",P853/'[1]LOCH Calc COE Calc'!$C$28)</f>
        <v/>
      </c>
      <c r="V853" t="str">
        <f>IF(L853="","",Q853/'[1]LOCH Calc COE Calc'!$C$28)</f>
        <v/>
      </c>
      <c r="W853" t="str">
        <f>IF(L853="","",R853/'[1]LOCH Calc COE Calc'!$C$28)</f>
        <v/>
      </c>
    </row>
    <row r="854" spans="12:23" x14ac:dyDescent="0.25">
      <c r="L854" s="4" t="str">
        <f>IF('[1]All Data '!BE859="","",'[1]All Data '!BE859)</f>
        <v/>
      </c>
      <c r="M854" t="str">
        <f>IF('[1]All Data '!BF859="","",'[1]All Data '!BF859)</f>
        <v/>
      </c>
      <c r="N854" s="5" t="str">
        <f>IF('[1]All Data '!BB859="","",'[1]All Data '!BC859/'[1]All Data '!BH859)</f>
        <v/>
      </c>
      <c r="O854" s="5" t="str">
        <f t="shared" si="15"/>
        <v/>
      </c>
      <c r="P854" s="5" t="str">
        <f>IF(M854="","",$C$2*(1-L854)*907.2/0.621371*N854*[1]Transportation!$M$40)</f>
        <v/>
      </c>
      <c r="Q854" s="5" t="str">
        <f>IF(L854="","",IF([1]Inputs_Outputs!$B$5="Herbaceous",(LCA!$E$29*'[1]LOCH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4" s="5" t="str">
        <f>IF(M854="","",$E$2*1000*'[1]LOCH Calc COE Calc'!$C$44)</f>
        <v/>
      </c>
      <c r="S854" s="6" t="str">
        <f>IF(N854="","",SUM(O854:R854)/('[1]LOCH Calc COE Calc'!$C$28))</f>
        <v/>
      </c>
      <c r="T854" t="str">
        <f>IF(L854="","",O854/'[1]LOCH Calc COE Calc'!$C$28)</f>
        <v/>
      </c>
      <c r="U854" t="str">
        <f>IF(L854="","",P854/'[1]LOCH Calc COE Calc'!$C$28)</f>
        <v/>
      </c>
      <c r="V854" t="str">
        <f>IF(L854="","",Q854/'[1]LOCH Calc COE Calc'!$C$28)</f>
        <v/>
      </c>
      <c r="W854" t="str">
        <f>IF(L854="","",R854/'[1]LOCH Calc COE Calc'!$C$28)</f>
        <v/>
      </c>
    </row>
    <row r="855" spans="12:23" x14ac:dyDescent="0.25">
      <c r="L855" s="4" t="str">
        <f>IF('[1]All Data '!BE860="","",'[1]All Data '!BE860)</f>
        <v/>
      </c>
      <c r="M855" t="str">
        <f>IF('[1]All Data '!BF860="","",'[1]All Data '!BF860)</f>
        <v/>
      </c>
      <c r="N855" s="5" t="str">
        <f>IF('[1]All Data '!BB860="","",'[1]All Data '!BC860/'[1]All Data '!BH860)</f>
        <v/>
      </c>
      <c r="O855" s="5" t="str">
        <f t="shared" si="15"/>
        <v/>
      </c>
      <c r="P855" s="5" t="str">
        <f>IF(M855="","",$C$2*(1-L855)*907.2/0.621371*N855*[1]Transportation!$M$40)</f>
        <v/>
      </c>
      <c r="Q855" s="5" t="str">
        <f>IF(L855="","",IF([1]Inputs_Outputs!$B$5="Herbaceous",(LCA!$E$29*'[1]LOCH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5" s="5" t="str">
        <f>IF(M855="","",$E$2*1000*'[1]LOCH Calc COE Calc'!$C$44)</f>
        <v/>
      </c>
      <c r="S855" s="6" t="str">
        <f>IF(N855="","",SUM(O855:R855)/('[1]LOCH Calc COE Calc'!$C$28))</f>
        <v/>
      </c>
      <c r="T855" t="str">
        <f>IF(L855="","",O855/'[1]LOCH Calc COE Calc'!$C$28)</f>
        <v/>
      </c>
      <c r="U855" t="str">
        <f>IF(L855="","",P855/'[1]LOCH Calc COE Calc'!$C$28)</f>
        <v/>
      </c>
      <c r="V855" t="str">
        <f>IF(L855="","",Q855/'[1]LOCH Calc COE Calc'!$C$28)</f>
        <v/>
      </c>
      <c r="W855" t="str">
        <f>IF(L855="","",R855/'[1]LOCH Calc COE Calc'!$C$28)</f>
        <v/>
      </c>
    </row>
    <row r="856" spans="12:23" x14ac:dyDescent="0.25">
      <c r="L856" s="4" t="str">
        <f>IF('[1]All Data '!BE861="","",'[1]All Data '!BE861)</f>
        <v/>
      </c>
      <c r="M856" t="str">
        <f>IF('[1]All Data '!BF861="","",'[1]All Data '!BF861)</f>
        <v/>
      </c>
      <c r="N856" s="5" t="str">
        <f>IF('[1]All Data '!BB861="","",'[1]All Data '!BC861/'[1]All Data '!BH861)</f>
        <v/>
      </c>
      <c r="O856" s="5" t="str">
        <f t="shared" si="15"/>
        <v/>
      </c>
      <c r="P856" s="5" t="str">
        <f>IF(M856="","",$C$2*(1-L856)*907.2/0.621371*N856*[1]Transportation!$M$40)</f>
        <v/>
      </c>
      <c r="Q856" s="5" t="str">
        <f>IF(L856="","",IF([1]Inputs_Outputs!$B$5="Herbaceous",(LCA!$E$29*'[1]LOCH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6" s="5" t="str">
        <f>IF(M856="","",$E$2*1000*'[1]LOCH Calc COE Calc'!$C$44)</f>
        <v/>
      </c>
      <c r="S856" s="6" t="str">
        <f>IF(N856="","",SUM(O856:R856)/('[1]LOCH Calc COE Calc'!$C$28))</f>
        <v/>
      </c>
      <c r="T856" t="str">
        <f>IF(L856="","",O856/'[1]LOCH Calc COE Calc'!$C$28)</f>
        <v/>
      </c>
      <c r="U856" t="str">
        <f>IF(L856="","",P856/'[1]LOCH Calc COE Calc'!$C$28)</f>
        <v/>
      </c>
      <c r="V856" t="str">
        <f>IF(L856="","",Q856/'[1]LOCH Calc COE Calc'!$C$28)</f>
        <v/>
      </c>
      <c r="W856" t="str">
        <f>IF(L856="","",R856/'[1]LOCH Calc COE Calc'!$C$28)</f>
        <v/>
      </c>
    </row>
    <row r="857" spans="12:23" x14ac:dyDescent="0.25">
      <c r="L857" s="4" t="str">
        <f>IF('[1]All Data '!BE862="","",'[1]All Data '!BE862)</f>
        <v/>
      </c>
      <c r="M857" t="str">
        <f>IF('[1]All Data '!BF862="","",'[1]All Data '!BF862)</f>
        <v/>
      </c>
      <c r="N857" s="5" t="str">
        <f>IF('[1]All Data '!BB862="","",'[1]All Data '!BC862/'[1]All Data '!BH862)</f>
        <v/>
      </c>
      <c r="O857" s="5" t="str">
        <f t="shared" si="15"/>
        <v/>
      </c>
      <c r="P857" s="5" t="str">
        <f>IF(M857="","",$C$2*(1-L857)*907.2/0.621371*N857*[1]Transportation!$M$40)</f>
        <v/>
      </c>
      <c r="Q857" s="5" t="str">
        <f>IF(L857="","",IF([1]Inputs_Outputs!$B$5="Herbaceous",(LCA!$E$29*'[1]LOCH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7" s="5" t="str">
        <f>IF(M857="","",$E$2*1000*'[1]LOCH Calc COE Calc'!$C$44)</f>
        <v/>
      </c>
      <c r="S857" s="6" t="str">
        <f>IF(N857="","",SUM(O857:R857)/('[1]LOCH Calc COE Calc'!$C$28))</f>
        <v/>
      </c>
      <c r="T857" t="str">
        <f>IF(L857="","",O857/'[1]LOCH Calc COE Calc'!$C$28)</f>
        <v/>
      </c>
      <c r="U857" t="str">
        <f>IF(L857="","",P857/'[1]LOCH Calc COE Calc'!$C$28)</f>
        <v/>
      </c>
      <c r="V857" t="str">
        <f>IF(L857="","",Q857/'[1]LOCH Calc COE Calc'!$C$28)</f>
        <v/>
      </c>
      <c r="W857" t="str">
        <f>IF(L857="","",R857/'[1]LOCH Calc COE Calc'!$C$28)</f>
        <v/>
      </c>
    </row>
    <row r="858" spans="12:23" x14ac:dyDescent="0.25">
      <c r="L858" s="4" t="str">
        <f>IF('[1]All Data '!BE863="","",'[1]All Data '!BE863)</f>
        <v/>
      </c>
      <c r="M858" t="str">
        <f>IF('[1]All Data '!BF863="","",'[1]All Data '!BF863)</f>
        <v/>
      </c>
      <c r="N858" s="5" t="str">
        <f>IF('[1]All Data '!BB863="","",'[1]All Data '!BC863/'[1]All Data '!BH863)</f>
        <v/>
      </c>
      <c r="O858" s="5" t="str">
        <f t="shared" si="15"/>
        <v/>
      </c>
      <c r="P858" s="5" t="str">
        <f>IF(M858="","",$C$2*(1-L858)*907.2/0.621371*N858*[1]Transportation!$M$40)</f>
        <v/>
      </c>
      <c r="Q858" s="5" t="str">
        <f>IF(L858="","",IF([1]Inputs_Outputs!$B$5="Herbaceous",(LCA!$E$29*'[1]LOCH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8" s="5" t="str">
        <f>IF(M858="","",$E$2*1000*'[1]LOCH Calc COE Calc'!$C$44)</f>
        <v/>
      </c>
      <c r="S858" s="6" t="str">
        <f>IF(N858="","",SUM(O858:R858)/('[1]LOCH Calc COE Calc'!$C$28))</f>
        <v/>
      </c>
      <c r="T858" t="str">
        <f>IF(L858="","",O858/'[1]LOCH Calc COE Calc'!$C$28)</f>
        <v/>
      </c>
      <c r="U858" t="str">
        <f>IF(L858="","",P858/'[1]LOCH Calc COE Calc'!$C$28)</f>
        <v/>
      </c>
      <c r="V858" t="str">
        <f>IF(L858="","",Q858/'[1]LOCH Calc COE Calc'!$C$28)</f>
        <v/>
      </c>
      <c r="W858" t="str">
        <f>IF(L858="","",R858/'[1]LOCH Calc COE Calc'!$C$28)</f>
        <v/>
      </c>
    </row>
    <row r="859" spans="12:23" x14ac:dyDescent="0.25">
      <c r="L859" s="4" t="str">
        <f>IF('[1]All Data '!BE864="","",'[1]All Data '!BE864)</f>
        <v/>
      </c>
      <c r="M859" t="str">
        <f>IF('[1]All Data '!BF864="","",'[1]All Data '!BF864)</f>
        <v/>
      </c>
      <c r="N859" s="5" t="str">
        <f>IF('[1]All Data '!BB864="","",'[1]All Data '!BC864/'[1]All Data '!BH864)</f>
        <v/>
      </c>
      <c r="O859" s="5" t="str">
        <f t="shared" si="15"/>
        <v/>
      </c>
      <c r="P859" s="5" t="str">
        <f>IF(M859="","",$C$2*(1-L859)*907.2/0.621371*N859*[1]Transportation!$M$40)</f>
        <v/>
      </c>
      <c r="Q859" s="5" t="str">
        <f>IF(L859="","",IF([1]Inputs_Outputs!$B$5="Herbaceous",(LCA!$E$29*'[1]LOCH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59" s="5" t="str">
        <f>IF(M859="","",$E$2*1000*'[1]LOCH Calc COE Calc'!$C$44)</f>
        <v/>
      </c>
      <c r="S859" s="6" t="str">
        <f>IF(N859="","",SUM(O859:R859)/('[1]LOCH Calc COE Calc'!$C$28))</f>
        <v/>
      </c>
      <c r="T859" t="str">
        <f>IF(L859="","",O859/'[1]LOCH Calc COE Calc'!$C$28)</f>
        <v/>
      </c>
      <c r="U859" t="str">
        <f>IF(L859="","",P859/'[1]LOCH Calc COE Calc'!$C$28)</f>
        <v/>
      </c>
      <c r="V859" t="str">
        <f>IF(L859="","",Q859/'[1]LOCH Calc COE Calc'!$C$28)</f>
        <v/>
      </c>
      <c r="W859" t="str">
        <f>IF(L859="","",R859/'[1]LOCH Calc COE Calc'!$C$28)</f>
        <v/>
      </c>
    </row>
    <row r="860" spans="12:23" x14ac:dyDescent="0.25">
      <c r="L860" s="4" t="str">
        <f>IF('[1]All Data '!BE865="","",'[1]All Data '!BE865)</f>
        <v/>
      </c>
      <c r="M860" t="str">
        <f>IF('[1]All Data '!BF865="","",'[1]All Data '!BF865)</f>
        <v/>
      </c>
      <c r="N860" s="5" t="str">
        <f>IF('[1]All Data '!BB865="","",'[1]All Data '!BC865/'[1]All Data '!BH865)</f>
        <v/>
      </c>
      <c r="O860" s="5" t="str">
        <f t="shared" si="15"/>
        <v/>
      </c>
      <c r="P860" s="5" t="str">
        <f>IF(M860="","",$C$2*(1-L860)*907.2/0.621371*N860*[1]Transportation!$M$40)</f>
        <v/>
      </c>
      <c r="Q860" s="5" t="str">
        <f>IF(L860="","",IF([1]Inputs_Outputs!$B$5="Herbaceous",(LCA!$E$29*'[1]LOCH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0" s="5" t="str">
        <f>IF(M860="","",$E$2*1000*'[1]LOCH Calc COE Calc'!$C$44)</f>
        <v/>
      </c>
      <c r="S860" s="6" t="str">
        <f>IF(N860="","",SUM(O860:R860)/('[1]LOCH Calc COE Calc'!$C$28))</f>
        <v/>
      </c>
      <c r="T860" t="str">
        <f>IF(L860="","",O860/'[1]LOCH Calc COE Calc'!$C$28)</f>
        <v/>
      </c>
      <c r="U860" t="str">
        <f>IF(L860="","",P860/'[1]LOCH Calc COE Calc'!$C$28)</f>
        <v/>
      </c>
      <c r="V860" t="str">
        <f>IF(L860="","",Q860/'[1]LOCH Calc COE Calc'!$C$28)</f>
        <v/>
      </c>
      <c r="W860" t="str">
        <f>IF(L860="","",R860/'[1]LOCH Calc COE Calc'!$C$28)</f>
        <v/>
      </c>
    </row>
    <row r="861" spans="12:23" x14ac:dyDescent="0.25">
      <c r="L861" s="4" t="str">
        <f>IF('[1]All Data '!BE866="","",'[1]All Data '!BE866)</f>
        <v/>
      </c>
      <c r="M861" t="str">
        <f>IF('[1]All Data '!BF866="","",'[1]All Data '!BF866)</f>
        <v/>
      </c>
      <c r="N861" s="5" t="str">
        <f>IF('[1]All Data '!BB866="","",'[1]All Data '!BC866/'[1]All Data '!BH866)</f>
        <v/>
      </c>
      <c r="O861" s="5" t="str">
        <f t="shared" si="15"/>
        <v/>
      </c>
      <c r="P861" s="5" t="str">
        <f>IF(M861="","",$C$2*(1-L861)*907.2/0.621371*N861*[1]Transportation!$M$40)</f>
        <v/>
      </c>
      <c r="Q861" s="5" t="str">
        <f>IF(L861="","",IF([1]Inputs_Outputs!$B$5="Herbaceous",(LCA!$E$29*'[1]LOCH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1" s="5" t="str">
        <f>IF(M861="","",$E$2*1000*'[1]LOCH Calc COE Calc'!$C$44)</f>
        <v/>
      </c>
      <c r="S861" s="6" t="str">
        <f>IF(N861="","",SUM(O861:R861)/('[1]LOCH Calc COE Calc'!$C$28))</f>
        <v/>
      </c>
      <c r="T861" t="str">
        <f>IF(L861="","",O861/'[1]LOCH Calc COE Calc'!$C$28)</f>
        <v/>
      </c>
      <c r="U861" t="str">
        <f>IF(L861="","",P861/'[1]LOCH Calc COE Calc'!$C$28)</f>
        <v/>
      </c>
      <c r="V861" t="str">
        <f>IF(L861="","",Q861/'[1]LOCH Calc COE Calc'!$C$28)</f>
        <v/>
      </c>
      <c r="W861" t="str">
        <f>IF(L861="","",R861/'[1]LOCH Calc COE Calc'!$C$28)</f>
        <v/>
      </c>
    </row>
    <row r="862" spans="12:23" x14ac:dyDescent="0.25">
      <c r="L862" s="4" t="str">
        <f>IF('[1]All Data '!BE867="","",'[1]All Data '!BE867)</f>
        <v/>
      </c>
      <c r="M862" t="str">
        <f>IF('[1]All Data '!BF867="","",'[1]All Data '!BF867)</f>
        <v/>
      </c>
      <c r="N862" s="5" t="str">
        <f>IF('[1]All Data '!BB867="","",'[1]All Data '!BC867/'[1]All Data '!BH867)</f>
        <v/>
      </c>
      <c r="O862" s="5" t="str">
        <f t="shared" si="15"/>
        <v/>
      </c>
      <c r="P862" s="5" t="str">
        <f>IF(M862="","",$C$2*(1-L862)*907.2/0.621371*N862*[1]Transportation!$M$40)</f>
        <v/>
      </c>
      <c r="Q862" s="5" t="str">
        <f>IF(L862="","",IF([1]Inputs_Outputs!$B$5="Herbaceous",(LCA!$E$29*'[1]LOCH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2" s="5" t="str">
        <f>IF(M862="","",$E$2*1000*'[1]LOCH Calc COE Calc'!$C$44)</f>
        <v/>
      </c>
      <c r="S862" s="6" t="str">
        <f>IF(N862="","",SUM(O862:R862)/('[1]LOCH Calc COE Calc'!$C$28))</f>
        <v/>
      </c>
      <c r="T862" t="str">
        <f>IF(L862="","",O862/'[1]LOCH Calc COE Calc'!$C$28)</f>
        <v/>
      </c>
      <c r="U862" t="str">
        <f>IF(L862="","",P862/'[1]LOCH Calc COE Calc'!$C$28)</f>
        <v/>
      </c>
      <c r="V862" t="str">
        <f>IF(L862="","",Q862/'[1]LOCH Calc COE Calc'!$C$28)</f>
        <v/>
      </c>
      <c r="W862" t="str">
        <f>IF(L862="","",R862/'[1]LOCH Calc COE Calc'!$C$28)</f>
        <v/>
      </c>
    </row>
    <row r="863" spans="12:23" x14ac:dyDescent="0.25">
      <c r="L863" s="4" t="str">
        <f>IF('[1]All Data '!BE868="","",'[1]All Data '!BE868)</f>
        <v/>
      </c>
      <c r="M863" t="str">
        <f>IF('[1]All Data '!BF868="","",'[1]All Data '!BF868)</f>
        <v/>
      </c>
      <c r="N863" s="5" t="str">
        <f>IF('[1]All Data '!BB868="","",'[1]All Data '!BC868/'[1]All Data '!BH868)</f>
        <v/>
      </c>
      <c r="O863" s="5" t="str">
        <f t="shared" si="15"/>
        <v/>
      </c>
      <c r="P863" s="5" t="str">
        <f>IF(M863="","",$C$2*(1-L863)*907.2/0.621371*N863*[1]Transportation!$M$40)</f>
        <v/>
      </c>
      <c r="Q863" s="5" t="str">
        <f>IF(L863="","",IF([1]Inputs_Outputs!$B$5="Herbaceous",(LCA!$E$29*'[1]LOCH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3" s="5" t="str">
        <f>IF(M863="","",$E$2*1000*'[1]LOCH Calc COE Calc'!$C$44)</f>
        <v/>
      </c>
      <c r="S863" s="6" t="str">
        <f>IF(N863="","",SUM(O863:R863)/('[1]LOCH Calc COE Calc'!$C$28))</f>
        <v/>
      </c>
      <c r="T863" t="str">
        <f>IF(L863="","",O863/'[1]LOCH Calc COE Calc'!$C$28)</f>
        <v/>
      </c>
      <c r="U863" t="str">
        <f>IF(L863="","",P863/'[1]LOCH Calc COE Calc'!$C$28)</f>
        <v/>
      </c>
      <c r="V863" t="str">
        <f>IF(L863="","",Q863/'[1]LOCH Calc COE Calc'!$C$28)</f>
        <v/>
      </c>
      <c r="W863" t="str">
        <f>IF(L863="","",R863/'[1]LOCH Calc COE Calc'!$C$28)</f>
        <v/>
      </c>
    </row>
    <row r="864" spans="12:23" x14ac:dyDescent="0.25">
      <c r="L864" s="4" t="str">
        <f>IF('[1]All Data '!BE869="","",'[1]All Data '!BE869)</f>
        <v/>
      </c>
      <c r="M864" t="str">
        <f>IF('[1]All Data '!BF869="","",'[1]All Data '!BF869)</f>
        <v/>
      </c>
      <c r="N864" s="5" t="str">
        <f>IF('[1]All Data '!BB869="","",'[1]All Data '!BC869/'[1]All Data '!BH869)</f>
        <v/>
      </c>
      <c r="O864" s="5" t="str">
        <f t="shared" si="15"/>
        <v/>
      </c>
      <c r="P864" s="5" t="str">
        <f>IF(M864="","",$C$2*(1-L864)*907.2/0.621371*N864*[1]Transportation!$M$40)</f>
        <v/>
      </c>
      <c r="Q864" s="5" t="str">
        <f>IF(L864="","",IF([1]Inputs_Outputs!$B$5="Herbaceous",(LCA!$E$29*'[1]LOCH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4" s="5" t="str">
        <f>IF(M864="","",$E$2*1000*'[1]LOCH Calc COE Calc'!$C$44)</f>
        <v/>
      </c>
      <c r="S864" s="6" t="str">
        <f>IF(N864="","",SUM(O864:R864)/('[1]LOCH Calc COE Calc'!$C$28))</f>
        <v/>
      </c>
      <c r="T864" t="str">
        <f>IF(L864="","",O864/'[1]LOCH Calc COE Calc'!$C$28)</f>
        <v/>
      </c>
      <c r="U864" t="str">
        <f>IF(L864="","",P864/'[1]LOCH Calc COE Calc'!$C$28)</f>
        <v/>
      </c>
      <c r="V864" t="str">
        <f>IF(L864="","",Q864/'[1]LOCH Calc COE Calc'!$C$28)</f>
        <v/>
      </c>
      <c r="W864" t="str">
        <f>IF(L864="","",R864/'[1]LOCH Calc COE Calc'!$C$28)</f>
        <v/>
      </c>
    </row>
    <row r="865" spans="12:23" x14ac:dyDescent="0.25">
      <c r="L865" s="4" t="str">
        <f>IF('[1]All Data '!BE870="","",'[1]All Data '!BE870)</f>
        <v/>
      </c>
      <c r="M865" t="str">
        <f>IF('[1]All Data '!BF870="","",'[1]All Data '!BF870)</f>
        <v/>
      </c>
      <c r="N865" s="5" t="str">
        <f>IF('[1]All Data '!BB870="","",'[1]All Data '!BC870/'[1]All Data '!BH870)</f>
        <v/>
      </c>
      <c r="O865" s="5" t="str">
        <f t="shared" si="15"/>
        <v/>
      </c>
      <c r="P865" s="5" t="str">
        <f>IF(M865="","",$C$2*(1-L865)*907.2/0.621371*N865*[1]Transportation!$M$40)</f>
        <v/>
      </c>
      <c r="Q865" s="5" t="str">
        <f>IF(L865="","",IF([1]Inputs_Outputs!$B$5="Herbaceous",(LCA!$E$29*'[1]LOCH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5" s="5" t="str">
        <f>IF(M865="","",$E$2*1000*'[1]LOCH Calc COE Calc'!$C$44)</f>
        <v/>
      </c>
      <c r="S865" s="6" t="str">
        <f>IF(N865="","",SUM(O865:R865)/('[1]LOCH Calc COE Calc'!$C$28))</f>
        <v/>
      </c>
      <c r="T865" t="str">
        <f>IF(L865="","",O865/'[1]LOCH Calc COE Calc'!$C$28)</f>
        <v/>
      </c>
      <c r="U865" t="str">
        <f>IF(L865="","",P865/'[1]LOCH Calc COE Calc'!$C$28)</f>
        <v/>
      </c>
      <c r="V865" t="str">
        <f>IF(L865="","",Q865/'[1]LOCH Calc COE Calc'!$C$28)</f>
        <v/>
      </c>
      <c r="W865" t="str">
        <f>IF(L865="","",R865/'[1]LOCH Calc COE Calc'!$C$28)</f>
        <v/>
      </c>
    </row>
    <row r="866" spans="12:23" x14ac:dyDescent="0.25">
      <c r="L866" s="4" t="str">
        <f>IF('[1]All Data '!BE871="","",'[1]All Data '!BE871)</f>
        <v/>
      </c>
      <c r="M866" t="str">
        <f>IF('[1]All Data '!BF871="","",'[1]All Data '!BF871)</f>
        <v/>
      </c>
      <c r="N866" s="5" t="str">
        <f>IF('[1]All Data '!BB871="","",'[1]All Data '!BC871/'[1]All Data '!BH871)</f>
        <v/>
      </c>
      <c r="O866" s="5" t="str">
        <f t="shared" si="15"/>
        <v/>
      </c>
      <c r="P866" s="5" t="str">
        <f>IF(M866="","",$C$2*(1-L866)*907.2/0.621371*N866*[1]Transportation!$M$40)</f>
        <v/>
      </c>
      <c r="Q866" s="5" t="str">
        <f>IF(L866="","",IF([1]Inputs_Outputs!$B$5="Herbaceous",(LCA!$E$29*'[1]LOCH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6" s="5" t="str">
        <f>IF(M866="","",$E$2*1000*'[1]LOCH Calc COE Calc'!$C$44)</f>
        <v/>
      </c>
      <c r="S866" s="6" t="str">
        <f>IF(N866="","",SUM(O866:R866)/('[1]LOCH Calc COE Calc'!$C$28))</f>
        <v/>
      </c>
      <c r="T866" t="str">
        <f>IF(L866="","",O866/'[1]LOCH Calc COE Calc'!$C$28)</f>
        <v/>
      </c>
      <c r="U866" t="str">
        <f>IF(L866="","",P866/'[1]LOCH Calc COE Calc'!$C$28)</f>
        <v/>
      </c>
      <c r="V866" t="str">
        <f>IF(L866="","",Q866/'[1]LOCH Calc COE Calc'!$C$28)</f>
        <v/>
      </c>
      <c r="W866" t="str">
        <f>IF(L866="","",R866/'[1]LOCH Calc COE Calc'!$C$28)</f>
        <v/>
      </c>
    </row>
    <row r="867" spans="12:23" x14ac:dyDescent="0.25">
      <c r="L867" s="4" t="str">
        <f>IF('[1]All Data '!BE872="","",'[1]All Data '!BE872)</f>
        <v/>
      </c>
      <c r="M867" t="str">
        <f>IF('[1]All Data '!BF872="","",'[1]All Data '!BF872)</f>
        <v/>
      </c>
      <c r="N867" s="5" t="str">
        <f>IF('[1]All Data '!BB872="","",'[1]All Data '!BC872/'[1]All Data '!BH872)</f>
        <v/>
      </c>
      <c r="O867" s="5" t="str">
        <f t="shared" si="15"/>
        <v/>
      </c>
      <c r="P867" s="5" t="str">
        <f>IF(M867="","",$C$2*(1-L867)*907.2/0.621371*N867*[1]Transportation!$M$40)</f>
        <v/>
      </c>
      <c r="Q867" s="5" t="str">
        <f>IF(L867="","",IF([1]Inputs_Outputs!$B$5="Herbaceous",(LCA!$E$29*'[1]LOCH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7" s="5" t="str">
        <f>IF(M867="","",$E$2*1000*'[1]LOCH Calc COE Calc'!$C$44)</f>
        <v/>
      </c>
      <c r="S867" s="6" t="str">
        <f>IF(N867="","",SUM(O867:R867)/('[1]LOCH Calc COE Calc'!$C$28))</f>
        <v/>
      </c>
      <c r="T867" t="str">
        <f>IF(L867="","",O867/'[1]LOCH Calc COE Calc'!$C$28)</f>
        <v/>
      </c>
      <c r="U867" t="str">
        <f>IF(L867="","",P867/'[1]LOCH Calc COE Calc'!$C$28)</f>
        <v/>
      </c>
      <c r="V867" t="str">
        <f>IF(L867="","",Q867/'[1]LOCH Calc COE Calc'!$C$28)</f>
        <v/>
      </c>
      <c r="W867" t="str">
        <f>IF(L867="","",R867/'[1]LOCH Calc COE Calc'!$C$28)</f>
        <v/>
      </c>
    </row>
    <row r="868" spans="12:23" x14ac:dyDescent="0.25">
      <c r="L868" s="4" t="str">
        <f>IF('[1]All Data '!BE873="","",'[1]All Data '!BE873)</f>
        <v/>
      </c>
      <c r="M868" t="str">
        <f>IF('[1]All Data '!BF873="","",'[1]All Data '!BF873)</f>
        <v/>
      </c>
      <c r="N868" s="5" t="str">
        <f>IF('[1]All Data '!BB873="","",'[1]All Data '!BC873/'[1]All Data '!BH873)</f>
        <v/>
      </c>
      <c r="O868" s="5" t="str">
        <f t="shared" si="15"/>
        <v/>
      </c>
      <c r="P868" s="5" t="str">
        <f>IF(M868="","",$C$2*(1-L868)*907.2/0.621371*N868*[1]Transportation!$M$40)</f>
        <v/>
      </c>
      <c r="Q868" s="5" t="str">
        <f>IF(L868="","",IF([1]Inputs_Outputs!$B$5="Herbaceous",(LCA!$E$29*'[1]LOCH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8" s="5" t="str">
        <f>IF(M868="","",$E$2*1000*'[1]LOCH Calc COE Calc'!$C$44)</f>
        <v/>
      </c>
      <c r="S868" s="6" t="str">
        <f>IF(N868="","",SUM(O868:R868)/('[1]LOCH Calc COE Calc'!$C$28))</f>
        <v/>
      </c>
      <c r="T868" t="str">
        <f>IF(L868="","",O868/'[1]LOCH Calc COE Calc'!$C$28)</f>
        <v/>
      </c>
      <c r="U868" t="str">
        <f>IF(L868="","",P868/'[1]LOCH Calc COE Calc'!$C$28)</f>
        <v/>
      </c>
      <c r="V868" t="str">
        <f>IF(L868="","",Q868/'[1]LOCH Calc COE Calc'!$C$28)</f>
        <v/>
      </c>
      <c r="W868" t="str">
        <f>IF(L868="","",R868/'[1]LOCH Calc COE Calc'!$C$28)</f>
        <v/>
      </c>
    </row>
    <row r="869" spans="12:23" x14ac:dyDescent="0.25">
      <c r="L869" s="4" t="str">
        <f>IF('[1]All Data '!BE874="","",'[1]All Data '!BE874)</f>
        <v/>
      </c>
      <c r="M869" t="str">
        <f>IF('[1]All Data '!BF874="","",'[1]All Data '!BF874)</f>
        <v/>
      </c>
      <c r="N869" s="5" t="str">
        <f>IF('[1]All Data '!BB874="","",'[1]All Data '!BC874/'[1]All Data '!BH874)</f>
        <v/>
      </c>
      <c r="O869" s="5" t="str">
        <f t="shared" si="15"/>
        <v/>
      </c>
      <c r="P869" s="5" t="str">
        <f>IF(M869="","",$C$2*(1-L869)*907.2/0.621371*N869*[1]Transportation!$M$40)</f>
        <v/>
      </c>
      <c r="Q869" s="5" t="str">
        <f>IF(L869="","",IF([1]Inputs_Outputs!$B$5="Herbaceous",(LCA!$E$29*'[1]LOCH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69" s="5" t="str">
        <f>IF(M869="","",$E$2*1000*'[1]LOCH Calc COE Calc'!$C$44)</f>
        <v/>
      </c>
      <c r="S869" s="6" t="str">
        <f>IF(N869="","",SUM(O869:R869)/('[1]LOCH Calc COE Calc'!$C$28))</f>
        <v/>
      </c>
      <c r="T869" t="str">
        <f>IF(L869="","",O869/'[1]LOCH Calc COE Calc'!$C$28)</f>
        <v/>
      </c>
      <c r="U869" t="str">
        <f>IF(L869="","",P869/'[1]LOCH Calc COE Calc'!$C$28)</f>
        <v/>
      </c>
      <c r="V869" t="str">
        <f>IF(L869="","",Q869/'[1]LOCH Calc COE Calc'!$C$28)</f>
        <v/>
      </c>
      <c r="W869" t="str">
        <f>IF(L869="","",R869/'[1]LOCH Calc COE Calc'!$C$28)</f>
        <v/>
      </c>
    </row>
    <row r="870" spans="12:23" x14ac:dyDescent="0.25">
      <c r="L870" s="4" t="str">
        <f>IF('[1]All Data '!BE875="","",'[1]All Data '!BE875)</f>
        <v/>
      </c>
      <c r="M870" t="str">
        <f>IF('[1]All Data '!BF875="","",'[1]All Data '!BF875)</f>
        <v/>
      </c>
      <c r="N870" s="5" t="str">
        <f>IF('[1]All Data '!BB875="","",'[1]All Data '!BC875/'[1]All Data '!BH875)</f>
        <v/>
      </c>
      <c r="O870" s="5" t="str">
        <f t="shared" si="15"/>
        <v/>
      </c>
      <c r="P870" s="5" t="str">
        <f>IF(M870="","",$C$2*(1-L870)*907.2/0.621371*N870*[1]Transportation!$M$40)</f>
        <v/>
      </c>
      <c r="Q870" s="5" t="str">
        <f>IF(L870="","",IF([1]Inputs_Outputs!$B$5="Herbaceous",(LCA!$E$29*'[1]LOCH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0" s="5" t="str">
        <f>IF(M870="","",$E$2*1000*'[1]LOCH Calc COE Calc'!$C$44)</f>
        <v/>
      </c>
      <c r="S870" s="6" t="str">
        <f>IF(N870="","",SUM(O870:R870)/('[1]LOCH Calc COE Calc'!$C$28))</f>
        <v/>
      </c>
      <c r="T870" t="str">
        <f>IF(L870="","",O870/'[1]LOCH Calc COE Calc'!$C$28)</f>
        <v/>
      </c>
      <c r="U870" t="str">
        <f>IF(L870="","",P870/'[1]LOCH Calc COE Calc'!$C$28)</f>
        <v/>
      </c>
      <c r="V870" t="str">
        <f>IF(L870="","",Q870/'[1]LOCH Calc COE Calc'!$C$28)</f>
        <v/>
      </c>
      <c r="W870" t="str">
        <f>IF(L870="","",R870/'[1]LOCH Calc COE Calc'!$C$28)</f>
        <v/>
      </c>
    </row>
    <row r="871" spans="12:23" x14ac:dyDescent="0.25">
      <c r="L871" s="4" t="str">
        <f>IF('[1]All Data '!BE876="","",'[1]All Data '!BE876)</f>
        <v/>
      </c>
      <c r="M871" t="str">
        <f>IF('[1]All Data '!BF876="","",'[1]All Data '!BF876)</f>
        <v/>
      </c>
      <c r="N871" s="5" t="str">
        <f>IF('[1]All Data '!BB876="","",'[1]All Data '!BC876/'[1]All Data '!BH876)</f>
        <v/>
      </c>
      <c r="O871" s="5" t="str">
        <f t="shared" si="15"/>
        <v/>
      </c>
      <c r="P871" s="5" t="str">
        <f>IF(M871="","",$C$2*(1-L871)*907.2/0.621371*N871*[1]Transportation!$M$40)</f>
        <v/>
      </c>
      <c r="Q871" s="5" t="str">
        <f>IF(L871="","",IF([1]Inputs_Outputs!$B$5="Herbaceous",(LCA!$E$29*'[1]LOCH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1" s="5" t="str">
        <f>IF(M871="","",$E$2*1000*'[1]LOCH Calc COE Calc'!$C$44)</f>
        <v/>
      </c>
      <c r="S871" s="6" t="str">
        <f>IF(N871="","",SUM(O871:R871)/('[1]LOCH Calc COE Calc'!$C$28))</f>
        <v/>
      </c>
      <c r="T871" t="str">
        <f>IF(L871="","",O871/'[1]LOCH Calc COE Calc'!$C$28)</f>
        <v/>
      </c>
      <c r="U871" t="str">
        <f>IF(L871="","",P871/'[1]LOCH Calc COE Calc'!$C$28)</f>
        <v/>
      </c>
      <c r="V871" t="str">
        <f>IF(L871="","",Q871/'[1]LOCH Calc COE Calc'!$C$28)</f>
        <v/>
      </c>
      <c r="W871" t="str">
        <f>IF(L871="","",R871/'[1]LOCH Calc COE Calc'!$C$28)</f>
        <v/>
      </c>
    </row>
    <row r="872" spans="12:23" x14ac:dyDescent="0.25">
      <c r="L872" s="4" t="str">
        <f>IF('[1]All Data '!BE877="","",'[1]All Data '!BE877)</f>
        <v/>
      </c>
      <c r="M872" t="str">
        <f>IF('[1]All Data '!BF877="","",'[1]All Data '!BF877)</f>
        <v/>
      </c>
      <c r="N872" s="5" t="str">
        <f>IF('[1]All Data '!BB877="","",'[1]All Data '!BC877/'[1]All Data '!BH877)</f>
        <v/>
      </c>
      <c r="O872" s="5" t="str">
        <f t="shared" si="15"/>
        <v/>
      </c>
      <c r="P872" s="5" t="str">
        <f>IF(M872="","",$C$2*(1-L872)*907.2/0.621371*N872*[1]Transportation!$M$40)</f>
        <v/>
      </c>
      <c r="Q872" s="5" t="str">
        <f>IF(L872="","",IF([1]Inputs_Outputs!$B$5="Herbaceous",(LCA!$E$29*'[1]LOCH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2" s="5" t="str">
        <f>IF(M872="","",$E$2*1000*'[1]LOCH Calc COE Calc'!$C$44)</f>
        <v/>
      </c>
      <c r="S872" s="6" t="str">
        <f>IF(N872="","",SUM(O872:R872)/('[1]LOCH Calc COE Calc'!$C$28))</f>
        <v/>
      </c>
      <c r="T872" t="str">
        <f>IF(L872="","",O872/'[1]LOCH Calc COE Calc'!$C$28)</f>
        <v/>
      </c>
      <c r="U872" t="str">
        <f>IF(L872="","",P872/'[1]LOCH Calc COE Calc'!$C$28)</f>
        <v/>
      </c>
      <c r="V872" t="str">
        <f>IF(L872="","",Q872/'[1]LOCH Calc COE Calc'!$C$28)</f>
        <v/>
      </c>
      <c r="W872" t="str">
        <f>IF(L872="","",R872/'[1]LOCH Calc COE Calc'!$C$28)</f>
        <v/>
      </c>
    </row>
    <row r="873" spans="12:23" x14ac:dyDescent="0.25">
      <c r="L873" s="4" t="str">
        <f>IF('[1]All Data '!BE878="","",'[1]All Data '!BE878)</f>
        <v/>
      </c>
      <c r="M873" t="str">
        <f>IF('[1]All Data '!BF878="","",'[1]All Data '!BF878)</f>
        <v/>
      </c>
      <c r="N873" s="5" t="str">
        <f>IF('[1]All Data '!BB878="","",'[1]All Data '!BC878/'[1]All Data '!BH878)</f>
        <v/>
      </c>
      <c r="O873" s="5" t="str">
        <f t="shared" si="15"/>
        <v/>
      </c>
      <c r="P873" s="5" t="str">
        <f>IF(M873="","",$C$2*(1-L873)*907.2/0.621371*N873*[1]Transportation!$M$40)</f>
        <v/>
      </c>
      <c r="Q873" s="5" t="str">
        <f>IF(L873="","",IF([1]Inputs_Outputs!$B$5="Herbaceous",(LCA!$E$29*'[1]LOCH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3" s="5" t="str">
        <f>IF(M873="","",$E$2*1000*'[1]LOCH Calc COE Calc'!$C$44)</f>
        <v/>
      </c>
      <c r="S873" s="6" t="str">
        <f>IF(N873="","",SUM(O873:R873)/('[1]LOCH Calc COE Calc'!$C$28))</f>
        <v/>
      </c>
      <c r="T873" t="str">
        <f>IF(L873="","",O873/'[1]LOCH Calc COE Calc'!$C$28)</f>
        <v/>
      </c>
      <c r="U873" t="str">
        <f>IF(L873="","",P873/'[1]LOCH Calc COE Calc'!$C$28)</f>
        <v/>
      </c>
      <c r="V873" t="str">
        <f>IF(L873="","",Q873/'[1]LOCH Calc COE Calc'!$C$28)</f>
        <v/>
      </c>
      <c r="W873" t="str">
        <f>IF(L873="","",R873/'[1]LOCH Calc COE Calc'!$C$28)</f>
        <v/>
      </c>
    </row>
    <row r="874" spans="12:23" x14ac:dyDescent="0.25">
      <c r="L874" s="4" t="str">
        <f>IF('[1]All Data '!BE879="","",'[1]All Data '!BE879)</f>
        <v/>
      </c>
      <c r="M874" t="str">
        <f>IF('[1]All Data '!BF879="","",'[1]All Data '!BF879)</f>
        <v/>
      </c>
      <c r="N874" s="5" t="str">
        <f>IF('[1]All Data '!BB879="","",'[1]All Data '!BC879/'[1]All Data '!BH879)</f>
        <v/>
      </c>
      <c r="O874" s="5" t="str">
        <f t="shared" si="15"/>
        <v/>
      </c>
      <c r="P874" s="5" t="str">
        <f>IF(M874="","",$C$2*(1-L874)*907.2/0.621371*N874*[1]Transportation!$M$40)</f>
        <v/>
      </c>
      <c r="Q874" s="5" t="str">
        <f>IF(L874="","",IF([1]Inputs_Outputs!$B$5="Herbaceous",(LCA!$E$29*'[1]LOCH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4" s="5" t="str">
        <f>IF(M874="","",$E$2*1000*'[1]LOCH Calc COE Calc'!$C$44)</f>
        <v/>
      </c>
      <c r="S874" s="6" t="str">
        <f>IF(N874="","",SUM(O874:R874)/('[1]LOCH Calc COE Calc'!$C$28))</f>
        <v/>
      </c>
      <c r="T874" t="str">
        <f>IF(L874="","",O874/'[1]LOCH Calc COE Calc'!$C$28)</f>
        <v/>
      </c>
      <c r="U874" t="str">
        <f>IF(L874="","",P874/'[1]LOCH Calc COE Calc'!$C$28)</f>
        <v/>
      </c>
      <c r="V874" t="str">
        <f>IF(L874="","",Q874/'[1]LOCH Calc COE Calc'!$C$28)</f>
        <v/>
      </c>
      <c r="W874" t="str">
        <f>IF(L874="","",R874/'[1]LOCH Calc COE Calc'!$C$28)</f>
        <v/>
      </c>
    </row>
    <row r="875" spans="12:23" x14ac:dyDescent="0.25">
      <c r="L875" s="4" t="str">
        <f>IF('[1]All Data '!BE880="","",'[1]All Data '!BE880)</f>
        <v/>
      </c>
      <c r="M875" t="str">
        <f>IF('[1]All Data '!BF880="","",'[1]All Data '!BF880)</f>
        <v/>
      </c>
      <c r="N875" s="5" t="str">
        <f>IF('[1]All Data '!BB880="","",'[1]All Data '!BC880/'[1]All Data '!BH880)</f>
        <v/>
      </c>
      <c r="O875" s="5" t="str">
        <f t="shared" si="15"/>
        <v/>
      </c>
      <c r="P875" s="5" t="str">
        <f>IF(M875="","",$C$2*(1-L875)*907.2/0.621371*N875*[1]Transportation!$M$40)</f>
        <v/>
      </c>
      <c r="Q875" s="5" t="str">
        <f>IF(L875="","",IF([1]Inputs_Outputs!$B$5="Herbaceous",(LCA!$E$29*'[1]LOCH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5" s="5" t="str">
        <f>IF(M875="","",$E$2*1000*'[1]LOCH Calc COE Calc'!$C$44)</f>
        <v/>
      </c>
      <c r="S875" s="6" t="str">
        <f>IF(N875="","",SUM(O875:R875)/('[1]LOCH Calc COE Calc'!$C$28))</f>
        <v/>
      </c>
      <c r="T875" t="str">
        <f>IF(L875="","",O875/'[1]LOCH Calc COE Calc'!$C$28)</f>
        <v/>
      </c>
      <c r="U875" t="str">
        <f>IF(L875="","",P875/'[1]LOCH Calc COE Calc'!$C$28)</f>
        <v/>
      </c>
      <c r="V875" t="str">
        <f>IF(L875="","",Q875/'[1]LOCH Calc COE Calc'!$C$28)</f>
        <v/>
      </c>
      <c r="W875" t="str">
        <f>IF(L875="","",R875/'[1]LOCH Calc COE Calc'!$C$28)</f>
        <v/>
      </c>
    </row>
    <row r="876" spans="12:23" x14ac:dyDescent="0.25">
      <c r="L876" s="4" t="str">
        <f>IF('[1]All Data '!BE881="","",'[1]All Data '!BE881)</f>
        <v/>
      </c>
      <c r="M876" t="str">
        <f>IF('[1]All Data '!BF881="","",'[1]All Data '!BF881)</f>
        <v/>
      </c>
      <c r="N876" s="5" t="str">
        <f>IF('[1]All Data '!BB881="","",'[1]All Data '!BC881/'[1]All Data '!BH881)</f>
        <v/>
      </c>
      <c r="O876" s="5" t="str">
        <f t="shared" si="15"/>
        <v/>
      </c>
      <c r="P876" s="5" t="str">
        <f>IF(M876="","",$C$2*(1-L876)*907.2/0.621371*N876*[1]Transportation!$M$40)</f>
        <v/>
      </c>
      <c r="Q876" s="5" t="str">
        <f>IF(L876="","",IF([1]Inputs_Outputs!$B$5="Herbaceous",(LCA!$E$29*'[1]LOCH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6" s="5" t="str">
        <f>IF(M876="","",$E$2*1000*'[1]LOCH Calc COE Calc'!$C$44)</f>
        <v/>
      </c>
      <c r="S876" s="6" t="str">
        <f>IF(N876="","",SUM(O876:R876)/('[1]LOCH Calc COE Calc'!$C$28))</f>
        <v/>
      </c>
      <c r="T876" t="str">
        <f>IF(L876="","",O876/'[1]LOCH Calc COE Calc'!$C$28)</f>
        <v/>
      </c>
      <c r="U876" t="str">
        <f>IF(L876="","",P876/'[1]LOCH Calc COE Calc'!$C$28)</f>
        <v/>
      </c>
      <c r="V876" t="str">
        <f>IF(L876="","",Q876/'[1]LOCH Calc COE Calc'!$C$28)</f>
        <v/>
      </c>
      <c r="W876" t="str">
        <f>IF(L876="","",R876/'[1]LOCH Calc COE Calc'!$C$28)</f>
        <v/>
      </c>
    </row>
    <row r="877" spans="12:23" x14ac:dyDescent="0.25">
      <c r="L877" s="4" t="str">
        <f>IF('[1]All Data '!BE882="","",'[1]All Data '!BE882)</f>
        <v/>
      </c>
      <c r="M877" t="str">
        <f>IF('[1]All Data '!BF882="","",'[1]All Data '!BF882)</f>
        <v/>
      </c>
      <c r="N877" s="5" t="str">
        <f>IF('[1]All Data '!BB882="","",'[1]All Data '!BC882/'[1]All Data '!BH882)</f>
        <v/>
      </c>
      <c r="O877" s="5" t="str">
        <f t="shared" si="15"/>
        <v/>
      </c>
      <c r="P877" s="5" t="str">
        <f>IF(M877="","",$C$2*(1-L877)*907.2/0.621371*N877*[1]Transportation!$M$40)</f>
        <v/>
      </c>
      <c r="Q877" s="5" t="str">
        <f>IF(L877="","",IF([1]Inputs_Outputs!$B$5="Herbaceous",(LCA!$E$29*'[1]LOCH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7" s="5" t="str">
        <f>IF(M877="","",$E$2*1000*'[1]LOCH Calc COE Calc'!$C$44)</f>
        <v/>
      </c>
      <c r="S877" s="6" t="str">
        <f>IF(N877="","",SUM(O877:R877)/('[1]LOCH Calc COE Calc'!$C$28))</f>
        <v/>
      </c>
      <c r="T877" t="str">
        <f>IF(L877="","",O877/'[1]LOCH Calc COE Calc'!$C$28)</f>
        <v/>
      </c>
      <c r="U877" t="str">
        <f>IF(L877="","",P877/'[1]LOCH Calc COE Calc'!$C$28)</f>
        <v/>
      </c>
      <c r="V877" t="str">
        <f>IF(L877="","",Q877/'[1]LOCH Calc COE Calc'!$C$28)</f>
        <v/>
      </c>
      <c r="W877" t="str">
        <f>IF(L877="","",R877/'[1]LOCH Calc COE Calc'!$C$28)</f>
        <v/>
      </c>
    </row>
    <row r="878" spans="12:23" x14ac:dyDescent="0.25">
      <c r="L878" s="4" t="str">
        <f>IF('[1]All Data '!BE883="","",'[1]All Data '!BE883)</f>
        <v/>
      </c>
      <c r="M878" t="str">
        <f>IF('[1]All Data '!BF883="","",'[1]All Data '!BF883)</f>
        <v/>
      </c>
      <c r="N878" s="5" t="str">
        <f>IF('[1]All Data '!BB883="","",'[1]All Data '!BC883/'[1]All Data '!BH883)</f>
        <v/>
      </c>
      <c r="O878" s="5" t="str">
        <f t="shared" si="15"/>
        <v/>
      </c>
      <c r="P878" s="5" t="str">
        <f>IF(M878="","",$C$2*(1-L878)*907.2/0.621371*N878*[1]Transportation!$M$40)</f>
        <v/>
      </c>
      <c r="Q878" s="5" t="str">
        <f>IF(L878="","",IF([1]Inputs_Outputs!$B$5="Herbaceous",(LCA!$E$29*'[1]LOCH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8" s="5" t="str">
        <f>IF(M878="","",$E$2*1000*'[1]LOCH Calc COE Calc'!$C$44)</f>
        <v/>
      </c>
      <c r="S878" s="6" t="str">
        <f>IF(N878="","",SUM(O878:R878)/('[1]LOCH Calc COE Calc'!$C$28))</f>
        <v/>
      </c>
      <c r="T878" t="str">
        <f>IF(L878="","",O878/'[1]LOCH Calc COE Calc'!$C$28)</f>
        <v/>
      </c>
      <c r="U878" t="str">
        <f>IF(L878="","",P878/'[1]LOCH Calc COE Calc'!$C$28)</f>
        <v/>
      </c>
      <c r="V878" t="str">
        <f>IF(L878="","",Q878/'[1]LOCH Calc COE Calc'!$C$28)</f>
        <v/>
      </c>
      <c r="W878" t="str">
        <f>IF(L878="","",R878/'[1]LOCH Calc COE Calc'!$C$28)</f>
        <v/>
      </c>
    </row>
    <row r="879" spans="12:23" x14ac:dyDescent="0.25">
      <c r="L879" s="4" t="str">
        <f>IF('[1]All Data '!BE884="","",'[1]All Data '!BE884)</f>
        <v/>
      </c>
      <c r="M879" t="str">
        <f>IF('[1]All Data '!BF884="","",'[1]All Data '!BF884)</f>
        <v/>
      </c>
      <c r="N879" s="5" t="str">
        <f>IF('[1]All Data '!BB884="","",'[1]All Data '!BC884/'[1]All Data '!BH884)</f>
        <v/>
      </c>
      <c r="O879" s="5" t="str">
        <f t="shared" si="15"/>
        <v/>
      </c>
      <c r="P879" s="5" t="str">
        <f>IF(M879="","",$C$2*(1-L879)*907.2/0.621371*N879*[1]Transportation!$M$40)</f>
        <v/>
      </c>
      <c r="Q879" s="5" t="str">
        <f>IF(L879="","",IF([1]Inputs_Outputs!$B$5="Herbaceous",(LCA!$E$29*'[1]LOCH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79" s="5" t="str">
        <f>IF(M879="","",$E$2*1000*'[1]LOCH Calc COE Calc'!$C$44)</f>
        <v/>
      </c>
      <c r="S879" s="6" t="str">
        <f>IF(N879="","",SUM(O879:R879)/('[1]LOCH Calc COE Calc'!$C$28))</f>
        <v/>
      </c>
      <c r="T879" t="str">
        <f>IF(L879="","",O879/'[1]LOCH Calc COE Calc'!$C$28)</f>
        <v/>
      </c>
      <c r="U879" t="str">
        <f>IF(L879="","",P879/'[1]LOCH Calc COE Calc'!$C$28)</f>
        <v/>
      </c>
      <c r="V879" t="str">
        <f>IF(L879="","",Q879/'[1]LOCH Calc COE Calc'!$C$28)</f>
        <v/>
      </c>
      <c r="W879" t="str">
        <f>IF(L879="","",R879/'[1]LOCH Calc COE Calc'!$C$28)</f>
        <v/>
      </c>
    </row>
    <row r="880" spans="12:23" x14ac:dyDescent="0.25">
      <c r="L880" s="4" t="str">
        <f>IF('[1]All Data '!BE885="","",'[1]All Data '!BE885)</f>
        <v/>
      </c>
      <c r="M880" t="str">
        <f>IF('[1]All Data '!BF885="","",'[1]All Data '!BF885)</f>
        <v/>
      </c>
      <c r="N880" s="5" t="str">
        <f>IF('[1]All Data '!BB885="","",'[1]All Data '!BC885/'[1]All Data '!BH885)</f>
        <v/>
      </c>
      <c r="O880" s="5" t="str">
        <f t="shared" si="15"/>
        <v/>
      </c>
      <c r="P880" s="5" t="str">
        <f>IF(M880="","",$C$2*(1-L880)*907.2/0.621371*N880*[1]Transportation!$M$40)</f>
        <v/>
      </c>
      <c r="Q880" s="5" t="str">
        <f>IF(L880="","",IF([1]Inputs_Outputs!$B$5="Herbaceous",(LCA!$E$29*'[1]LOCH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0" s="5" t="str">
        <f>IF(M880="","",$E$2*1000*'[1]LOCH Calc COE Calc'!$C$44)</f>
        <v/>
      </c>
      <c r="S880" s="6" t="str">
        <f>IF(N880="","",SUM(O880:R880)/('[1]LOCH Calc COE Calc'!$C$28))</f>
        <v/>
      </c>
      <c r="T880" t="str">
        <f>IF(L880="","",O880/'[1]LOCH Calc COE Calc'!$C$28)</f>
        <v/>
      </c>
      <c r="U880" t="str">
        <f>IF(L880="","",P880/'[1]LOCH Calc COE Calc'!$C$28)</f>
        <v/>
      </c>
      <c r="V880" t="str">
        <f>IF(L880="","",Q880/'[1]LOCH Calc COE Calc'!$C$28)</f>
        <v/>
      </c>
      <c r="W880" t="str">
        <f>IF(L880="","",R880/'[1]LOCH Calc COE Calc'!$C$28)</f>
        <v/>
      </c>
    </row>
    <row r="881" spans="12:23" x14ac:dyDescent="0.25">
      <c r="L881" s="4" t="str">
        <f>IF('[1]All Data '!BE886="","",'[1]All Data '!BE886)</f>
        <v/>
      </c>
      <c r="M881" t="str">
        <f>IF('[1]All Data '!BF886="","",'[1]All Data '!BF886)</f>
        <v/>
      </c>
      <c r="N881" s="5" t="str">
        <f>IF('[1]All Data '!BB886="","",'[1]All Data '!BC886/'[1]All Data '!BH886)</f>
        <v/>
      </c>
      <c r="O881" s="5" t="str">
        <f t="shared" si="15"/>
        <v/>
      </c>
      <c r="P881" s="5" t="str">
        <f>IF(M881="","",$C$2*(1-L881)*907.2/0.621371*N881*[1]Transportation!$M$40)</f>
        <v/>
      </c>
      <c r="Q881" s="5" t="str">
        <f>IF(L881="","",IF([1]Inputs_Outputs!$B$5="Herbaceous",(LCA!$E$29*'[1]LOCH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1" s="5" t="str">
        <f>IF(M881="","",$E$2*1000*'[1]LOCH Calc COE Calc'!$C$44)</f>
        <v/>
      </c>
      <c r="S881" s="6" t="str">
        <f>IF(N881="","",SUM(O881:R881)/('[1]LOCH Calc COE Calc'!$C$28))</f>
        <v/>
      </c>
      <c r="T881" t="str">
        <f>IF(L881="","",O881/'[1]LOCH Calc COE Calc'!$C$28)</f>
        <v/>
      </c>
      <c r="U881" t="str">
        <f>IF(L881="","",P881/'[1]LOCH Calc COE Calc'!$C$28)</f>
        <v/>
      </c>
      <c r="V881" t="str">
        <f>IF(L881="","",Q881/'[1]LOCH Calc COE Calc'!$C$28)</f>
        <v/>
      </c>
      <c r="W881" t="str">
        <f>IF(L881="","",R881/'[1]LOCH Calc COE Calc'!$C$28)</f>
        <v/>
      </c>
    </row>
    <row r="882" spans="12:23" x14ac:dyDescent="0.25">
      <c r="L882" s="4" t="str">
        <f>IF('[1]All Data '!BE887="","",'[1]All Data '!BE887)</f>
        <v/>
      </c>
      <c r="M882" t="str">
        <f>IF('[1]All Data '!BF887="","",'[1]All Data '!BF887)</f>
        <v/>
      </c>
      <c r="N882" s="5" t="str">
        <f>IF('[1]All Data '!BB887="","",'[1]All Data '!BC887/'[1]All Data '!BH887)</f>
        <v/>
      </c>
      <c r="O882" s="5" t="str">
        <f t="shared" si="15"/>
        <v/>
      </c>
      <c r="P882" s="5" t="str">
        <f>IF(M882="","",$C$2*(1-L882)*907.2/0.621371*N882*[1]Transportation!$M$40)</f>
        <v/>
      </c>
      <c r="Q882" s="5" t="str">
        <f>IF(L882="","",IF([1]Inputs_Outputs!$B$5="Herbaceous",(LCA!$E$29*'[1]LOCH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2" s="5" t="str">
        <f>IF(M882="","",$E$2*1000*'[1]LOCH Calc COE Calc'!$C$44)</f>
        <v/>
      </c>
      <c r="S882" s="6" t="str">
        <f>IF(N882="","",SUM(O882:R882)/('[1]LOCH Calc COE Calc'!$C$28))</f>
        <v/>
      </c>
      <c r="T882" t="str">
        <f>IF(L882="","",O882/'[1]LOCH Calc COE Calc'!$C$28)</f>
        <v/>
      </c>
      <c r="U882" t="str">
        <f>IF(L882="","",P882/'[1]LOCH Calc COE Calc'!$C$28)</f>
        <v/>
      </c>
      <c r="V882" t="str">
        <f>IF(L882="","",Q882/'[1]LOCH Calc COE Calc'!$C$28)</f>
        <v/>
      </c>
      <c r="W882" t="str">
        <f>IF(L882="","",R882/'[1]LOCH Calc COE Calc'!$C$28)</f>
        <v/>
      </c>
    </row>
    <row r="883" spans="12:23" x14ac:dyDescent="0.25">
      <c r="L883" s="4" t="str">
        <f>IF('[1]All Data '!BE888="","",'[1]All Data '!BE888)</f>
        <v/>
      </c>
      <c r="M883" t="str">
        <f>IF('[1]All Data '!BF888="","",'[1]All Data '!BF888)</f>
        <v/>
      </c>
      <c r="N883" s="5" t="str">
        <f>IF('[1]All Data '!BB888="","",'[1]All Data '!BC888/'[1]All Data '!BH888)</f>
        <v/>
      </c>
      <c r="O883" s="5" t="str">
        <f t="shared" si="15"/>
        <v/>
      </c>
      <c r="P883" s="5" t="str">
        <f>IF(M883="","",$C$2*(1-L883)*907.2/0.621371*N883*[1]Transportation!$M$40)</f>
        <v/>
      </c>
      <c r="Q883" s="5" t="str">
        <f>IF(L883="","",IF([1]Inputs_Outputs!$B$5="Herbaceous",(LCA!$E$29*'[1]LOCH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3" s="5" t="str">
        <f>IF(M883="","",$E$2*1000*'[1]LOCH Calc COE Calc'!$C$44)</f>
        <v/>
      </c>
      <c r="S883" s="6" t="str">
        <f>IF(N883="","",SUM(O883:R883)/('[1]LOCH Calc COE Calc'!$C$28))</f>
        <v/>
      </c>
      <c r="T883" t="str">
        <f>IF(L883="","",O883/'[1]LOCH Calc COE Calc'!$C$28)</f>
        <v/>
      </c>
      <c r="U883" t="str">
        <f>IF(L883="","",P883/'[1]LOCH Calc COE Calc'!$C$28)</f>
        <v/>
      </c>
      <c r="V883" t="str">
        <f>IF(L883="","",Q883/'[1]LOCH Calc COE Calc'!$C$28)</f>
        <v/>
      </c>
      <c r="W883" t="str">
        <f>IF(L883="","",R883/'[1]LOCH Calc COE Calc'!$C$28)</f>
        <v/>
      </c>
    </row>
    <row r="884" spans="12:23" x14ac:dyDescent="0.25">
      <c r="L884" s="4" t="str">
        <f>IF('[1]All Data '!BE889="","",'[1]All Data '!BE889)</f>
        <v/>
      </c>
      <c r="M884" t="str">
        <f>IF('[1]All Data '!BF889="","",'[1]All Data '!BF889)</f>
        <v/>
      </c>
      <c r="N884" s="5" t="str">
        <f>IF('[1]All Data '!BB889="","",'[1]All Data '!BC889/'[1]All Data '!BH889)</f>
        <v/>
      </c>
      <c r="O884" s="5" t="str">
        <f t="shared" si="15"/>
        <v/>
      </c>
      <c r="P884" s="5" t="str">
        <f>IF(M884="","",$C$2*(1-L884)*907.2/0.621371*N884*[1]Transportation!$M$40)</f>
        <v/>
      </c>
      <c r="Q884" s="5" t="str">
        <f>IF(L884="","",IF([1]Inputs_Outputs!$B$5="Herbaceous",(LCA!$E$29*'[1]LOCH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4" s="5" t="str">
        <f>IF(M884="","",$E$2*1000*'[1]LOCH Calc COE Calc'!$C$44)</f>
        <v/>
      </c>
      <c r="S884" s="6" t="str">
        <f>IF(N884="","",SUM(O884:R884)/('[1]LOCH Calc COE Calc'!$C$28))</f>
        <v/>
      </c>
      <c r="T884" t="str">
        <f>IF(L884="","",O884/'[1]LOCH Calc COE Calc'!$C$28)</f>
        <v/>
      </c>
      <c r="U884" t="str">
        <f>IF(L884="","",P884/'[1]LOCH Calc COE Calc'!$C$28)</f>
        <v/>
      </c>
      <c r="V884" t="str">
        <f>IF(L884="","",Q884/'[1]LOCH Calc COE Calc'!$C$28)</f>
        <v/>
      </c>
      <c r="W884" t="str">
        <f>IF(L884="","",R884/'[1]LOCH Calc COE Calc'!$C$28)</f>
        <v/>
      </c>
    </row>
    <row r="885" spans="12:23" x14ac:dyDescent="0.25">
      <c r="L885" s="4" t="str">
        <f>IF('[1]All Data '!BE890="","",'[1]All Data '!BE890)</f>
        <v/>
      </c>
      <c r="M885" t="str">
        <f>IF('[1]All Data '!BF890="","",'[1]All Data '!BF890)</f>
        <v/>
      </c>
      <c r="N885" s="5" t="str">
        <f>IF('[1]All Data '!BB890="","",'[1]All Data '!BC890/'[1]All Data '!BH890)</f>
        <v/>
      </c>
      <c r="O885" s="5" t="str">
        <f t="shared" si="15"/>
        <v/>
      </c>
      <c r="P885" s="5" t="str">
        <f>IF(M885="","",$C$2*(1-L885)*907.2/0.621371*N885*[1]Transportation!$M$40)</f>
        <v/>
      </c>
      <c r="Q885" s="5" t="str">
        <f>IF(L885="","",IF([1]Inputs_Outputs!$B$5="Herbaceous",(LCA!$E$29*'[1]LOCH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5" s="5" t="str">
        <f>IF(M885="","",$E$2*1000*'[1]LOCH Calc COE Calc'!$C$44)</f>
        <v/>
      </c>
      <c r="S885" s="6" t="str">
        <f>IF(N885="","",SUM(O885:R885)/('[1]LOCH Calc COE Calc'!$C$28))</f>
        <v/>
      </c>
      <c r="T885" t="str">
        <f>IF(L885="","",O885/'[1]LOCH Calc COE Calc'!$C$28)</f>
        <v/>
      </c>
      <c r="U885" t="str">
        <f>IF(L885="","",P885/'[1]LOCH Calc COE Calc'!$C$28)</f>
        <v/>
      </c>
      <c r="V885" t="str">
        <f>IF(L885="","",Q885/'[1]LOCH Calc COE Calc'!$C$28)</f>
        <v/>
      </c>
      <c r="W885" t="str">
        <f>IF(L885="","",R885/'[1]LOCH Calc COE Calc'!$C$28)</f>
        <v/>
      </c>
    </row>
    <row r="886" spans="12:23" x14ac:dyDescent="0.25">
      <c r="L886" s="4" t="str">
        <f>IF('[1]All Data '!BE891="","",'[1]All Data '!BE891)</f>
        <v/>
      </c>
      <c r="M886" t="str">
        <f>IF('[1]All Data '!BF891="","",'[1]All Data '!BF891)</f>
        <v/>
      </c>
      <c r="N886" s="5" t="str">
        <f>IF('[1]All Data '!BB891="","",'[1]All Data '!BC891/'[1]All Data '!BH891)</f>
        <v/>
      </c>
      <c r="O886" s="5" t="str">
        <f t="shared" si="15"/>
        <v/>
      </c>
      <c r="P886" s="5" t="str">
        <f>IF(M886="","",$C$2*(1-L886)*907.2/0.621371*N886*[1]Transportation!$M$40)</f>
        <v/>
      </c>
      <c r="Q886" s="5" t="str">
        <f>IF(L886="","",IF([1]Inputs_Outputs!$B$5="Herbaceous",(LCA!$E$29*'[1]LOCH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6" s="5" t="str">
        <f>IF(M886="","",$E$2*1000*'[1]LOCH Calc COE Calc'!$C$44)</f>
        <v/>
      </c>
      <c r="S886" s="6" t="str">
        <f>IF(N886="","",SUM(O886:R886)/('[1]LOCH Calc COE Calc'!$C$28))</f>
        <v/>
      </c>
      <c r="T886" t="str">
        <f>IF(L886="","",O886/'[1]LOCH Calc COE Calc'!$C$28)</f>
        <v/>
      </c>
      <c r="U886" t="str">
        <f>IF(L886="","",P886/'[1]LOCH Calc COE Calc'!$C$28)</f>
        <v/>
      </c>
      <c r="V886" t="str">
        <f>IF(L886="","",Q886/'[1]LOCH Calc COE Calc'!$C$28)</f>
        <v/>
      </c>
      <c r="W886" t="str">
        <f>IF(L886="","",R886/'[1]LOCH Calc COE Calc'!$C$28)</f>
        <v/>
      </c>
    </row>
    <row r="887" spans="12:23" x14ac:dyDescent="0.25">
      <c r="L887" s="4" t="str">
        <f>IF('[1]All Data '!BE892="","",'[1]All Data '!BE892)</f>
        <v/>
      </c>
      <c r="M887" t="str">
        <f>IF('[1]All Data '!BF892="","",'[1]All Data '!BF892)</f>
        <v/>
      </c>
      <c r="N887" s="5" t="str">
        <f>IF('[1]All Data '!BB892="","",'[1]All Data '!BC892/'[1]All Data '!BH892)</f>
        <v/>
      </c>
      <c r="O887" s="5" t="str">
        <f t="shared" si="15"/>
        <v/>
      </c>
      <c r="P887" s="5" t="str">
        <f>IF(M887="","",$C$2*(1-L887)*907.2/0.621371*N887*[1]Transportation!$M$40)</f>
        <v/>
      </c>
      <c r="Q887" s="5" t="str">
        <f>IF(L887="","",IF([1]Inputs_Outputs!$B$5="Herbaceous",(LCA!$E$29*'[1]LOCH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7" s="5" t="str">
        <f>IF(M887="","",$E$2*1000*'[1]LOCH Calc COE Calc'!$C$44)</f>
        <v/>
      </c>
      <c r="S887" s="6" t="str">
        <f>IF(N887="","",SUM(O887:R887)/('[1]LOCH Calc COE Calc'!$C$28))</f>
        <v/>
      </c>
      <c r="T887" t="str">
        <f>IF(L887="","",O887/'[1]LOCH Calc COE Calc'!$C$28)</f>
        <v/>
      </c>
      <c r="U887" t="str">
        <f>IF(L887="","",P887/'[1]LOCH Calc COE Calc'!$C$28)</f>
        <v/>
      </c>
      <c r="V887" t="str">
        <f>IF(L887="","",Q887/'[1]LOCH Calc COE Calc'!$C$28)</f>
        <v/>
      </c>
      <c r="W887" t="str">
        <f>IF(L887="","",R887/'[1]LOCH Calc COE Calc'!$C$28)</f>
        <v/>
      </c>
    </row>
    <row r="888" spans="12:23" x14ac:dyDescent="0.25">
      <c r="L888" s="4" t="str">
        <f>IF('[1]All Data '!BE893="","",'[1]All Data '!BE893)</f>
        <v/>
      </c>
      <c r="M888" t="str">
        <f>IF('[1]All Data '!BF893="","",'[1]All Data '!BF893)</f>
        <v/>
      </c>
      <c r="N888" s="5" t="str">
        <f>IF('[1]All Data '!BB893="","",'[1]All Data '!BC893/'[1]All Data '!BH893)</f>
        <v/>
      </c>
      <c r="O888" s="5" t="str">
        <f t="shared" si="15"/>
        <v/>
      </c>
      <c r="P888" s="5" t="str">
        <f>IF(M888="","",$C$2*(1-L888)*907.2/0.621371*N888*[1]Transportation!$M$40)</f>
        <v/>
      </c>
      <c r="Q888" s="5" t="str">
        <f>IF(L888="","",IF([1]Inputs_Outputs!$B$5="Herbaceous",(LCA!$E$29*'[1]LOCH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8" s="5" t="str">
        <f>IF(M888="","",$E$2*1000*'[1]LOCH Calc COE Calc'!$C$44)</f>
        <v/>
      </c>
      <c r="S888" s="6" t="str">
        <f>IF(N888="","",SUM(O888:R888)/('[1]LOCH Calc COE Calc'!$C$28))</f>
        <v/>
      </c>
      <c r="T888" t="str">
        <f>IF(L888="","",O888/'[1]LOCH Calc COE Calc'!$C$28)</f>
        <v/>
      </c>
      <c r="U888" t="str">
        <f>IF(L888="","",P888/'[1]LOCH Calc COE Calc'!$C$28)</f>
        <v/>
      </c>
      <c r="V888" t="str">
        <f>IF(L888="","",Q888/'[1]LOCH Calc COE Calc'!$C$28)</f>
        <v/>
      </c>
      <c r="W888" t="str">
        <f>IF(L888="","",R888/'[1]LOCH Calc COE Calc'!$C$28)</f>
        <v/>
      </c>
    </row>
    <row r="889" spans="12:23" x14ac:dyDescent="0.25">
      <c r="L889" s="4" t="str">
        <f>IF('[1]All Data '!BE894="","",'[1]All Data '!BE894)</f>
        <v/>
      </c>
      <c r="M889" t="str">
        <f>IF('[1]All Data '!BF894="","",'[1]All Data '!BF894)</f>
        <v/>
      </c>
      <c r="N889" s="5" t="str">
        <f>IF('[1]All Data '!BB894="","",'[1]All Data '!BC894/'[1]All Data '!BH894)</f>
        <v/>
      </c>
      <c r="O889" s="5" t="str">
        <f t="shared" si="15"/>
        <v/>
      </c>
      <c r="P889" s="5" t="str">
        <f>IF(M889="","",$C$2*(1-L889)*907.2/0.621371*N889*[1]Transportation!$M$40)</f>
        <v/>
      </c>
      <c r="Q889" s="5" t="str">
        <f>IF(L889="","",IF([1]Inputs_Outputs!$B$5="Herbaceous",(LCA!$E$29*'[1]LOCH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89" s="5" t="str">
        <f>IF(M889="","",$E$2*1000*'[1]LOCH Calc COE Calc'!$C$44)</f>
        <v/>
      </c>
      <c r="S889" s="6" t="str">
        <f>IF(N889="","",SUM(O889:R889)/('[1]LOCH Calc COE Calc'!$C$28))</f>
        <v/>
      </c>
      <c r="T889" t="str">
        <f>IF(L889="","",O889/'[1]LOCH Calc COE Calc'!$C$28)</f>
        <v/>
      </c>
      <c r="U889" t="str">
        <f>IF(L889="","",P889/'[1]LOCH Calc COE Calc'!$C$28)</f>
        <v/>
      </c>
      <c r="V889" t="str">
        <f>IF(L889="","",Q889/'[1]LOCH Calc COE Calc'!$C$28)</f>
        <v/>
      </c>
      <c r="W889" t="str">
        <f>IF(L889="","",R889/'[1]LOCH Calc COE Calc'!$C$28)</f>
        <v/>
      </c>
    </row>
    <row r="890" spans="12:23" x14ac:dyDescent="0.25">
      <c r="L890" s="4" t="str">
        <f>IF('[1]All Data '!BE895="","",'[1]All Data '!BE895)</f>
        <v/>
      </c>
      <c r="M890" t="str">
        <f>IF('[1]All Data '!BF895="","",'[1]All Data '!BF895)</f>
        <v/>
      </c>
      <c r="N890" s="5" t="str">
        <f>IF('[1]All Data '!BB895="","",'[1]All Data '!BC895/'[1]All Data '!BH895)</f>
        <v/>
      </c>
      <c r="O890" s="5" t="str">
        <f t="shared" si="15"/>
        <v/>
      </c>
      <c r="P890" s="5" t="str">
        <f>IF(M890="","",$C$2*(1-L890)*907.2/0.621371*N890*[1]Transportation!$M$40)</f>
        <v/>
      </c>
      <c r="Q890" s="5" t="str">
        <f>IF(L890="","",IF([1]Inputs_Outputs!$B$5="Herbaceous",(LCA!$E$29*'[1]LOCH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0" s="5" t="str">
        <f>IF(M890="","",$E$2*1000*'[1]LOCH Calc COE Calc'!$C$44)</f>
        <v/>
      </c>
      <c r="S890" s="6" t="str">
        <f>IF(N890="","",SUM(O890:R890)/('[1]LOCH Calc COE Calc'!$C$28))</f>
        <v/>
      </c>
      <c r="T890" t="str">
        <f>IF(L890="","",O890/'[1]LOCH Calc COE Calc'!$C$28)</f>
        <v/>
      </c>
      <c r="U890" t="str">
        <f>IF(L890="","",P890/'[1]LOCH Calc COE Calc'!$C$28)</f>
        <v/>
      </c>
      <c r="V890" t="str">
        <f>IF(L890="","",Q890/'[1]LOCH Calc COE Calc'!$C$28)</f>
        <v/>
      </c>
      <c r="W890" t="str">
        <f>IF(L890="","",R890/'[1]LOCH Calc COE Calc'!$C$28)</f>
        <v/>
      </c>
    </row>
    <row r="891" spans="12:23" x14ac:dyDescent="0.25">
      <c r="L891" s="4" t="str">
        <f>IF('[1]All Data '!BE896="","",'[1]All Data '!BE896)</f>
        <v/>
      </c>
      <c r="M891" t="str">
        <f>IF('[1]All Data '!BF896="","",'[1]All Data '!BF896)</f>
        <v/>
      </c>
      <c r="N891" s="5" t="str">
        <f>IF('[1]All Data '!BB896="","",'[1]All Data '!BC896/'[1]All Data '!BH896)</f>
        <v/>
      </c>
      <c r="O891" s="5" t="str">
        <f t="shared" si="15"/>
        <v/>
      </c>
      <c r="P891" s="5" t="str">
        <f>IF(M891="","",$C$2*(1-L891)*907.2/0.621371*N891*[1]Transportation!$M$40)</f>
        <v/>
      </c>
      <c r="Q891" s="5" t="str">
        <f>IF(L891="","",IF([1]Inputs_Outputs!$B$5="Herbaceous",(LCA!$E$29*'[1]LOCH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1" s="5" t="str">
        <f>IF(M891="","",$E$2*1000*'[1]LOCH Calc COE Calc'!$C$44)</f>
        <v/>
      </c>
      <c r="S891" s="6" t="str">
        <f>IF(N891="","",SUM(O891:R891)/('[1]LOCH Calc COE Calc'!$C$28))</f>
        <v/>
      </c>
      <c r="T891" t="str">
        <f>IF(L891="","",O891/'[1]LOCH Calc COE Calc'!$C$28)</f>
        <v/>
      </c>
      <c r="U891" t="str">
        <f>IF(L891="","",P891/'[1]LOCH Calc COE Calc'!$C$28)</f>
        <v/>
      </c>
      <c r="V891" t="str">
        <f>IF(L891="","",Q891/'[1]LOCH Calc COE Calc'!$C$28)</f>
        <v/>
      </c>
      <c r="W891" t="str">
        <f>IF(L891="","",R891/'[1]LOCH Calc COE Calc'!$C$28)</f>
        <v/>
      </c>
    </row>
    <row r="892" spans="12:23" x14ac:dyDescent="0.25">
      <c r="L892" s="4" t="str">
        <f>IF('[1]All Data '!BE897="","",'[1]All Data '!BE897)</f>
        <v/>
      </c>
      <c r="M892" t="str">
        <f>IF('[1]All Data '!BF897="","",'[1]All Data '!BF897)</f>
        <v/>
      </c>
      <c r="N892" s="5" t="str">
        <f>IF('[1]All Data '!BB897="","",'[1]All Data '!BC897/'[1]All Data '!BH897)</f>
        <v/>
      </c>
      <c r="O892" s="5" t="str">
        <f t="shared" si="15"/>
        <v/>
      </c>
      <c r="P892" s="5" t="str">
        <f>IF(M892="","",$C$2*(1-L892)*907.2/0.621371*N892*[1]Transportation!$M$40)</f>
        <v/>
      </c>
      <c r="Q892" s="5" t="str">
        <f>IF(L892="","",IF([1]Inputs_Outputs!$B$5="Herbaceous",(LCA!$E$29*'[1]LOCH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2" s="5" t="str">
        <f>IF(M892="","",$E$2*1000*'[1]LOCH Calc COE Calc'!$C$44)</f>
        <v/>
      </c>
      <c r="S892" s="6" t="str">
        <f>IF(N892="","",SUM(O892:R892)/('[1]LOCH Calc COE Calc'!$C$28))</f>
        <v/>
      </c>
      <c r="T892" t="str">
        <f>IF(L892="","",O892/'[1]LOCH Calc COE Calc'!$C$28)</f>
        <v/>
      </c>
      <c r="U892" t="str">
        <f>IF(L892="","",P892/'[1]LOCH Calc COE Calc'!$C$28)</f>
        <v/>
      </c>
      <c r="V892" t="str">
        <f>IF(L892="","",Q892/'[1]LOCH Calc COE Calc'!$C$28)</f>
        <v/>
      </c>
      <c r="W892" t="str">
        <f>IF(L892="","",R892/'[1]LOCH Calc COE Calc'!$C$28)</f>
        <v/>
      </c>
    </row>
    <row r="893" spans="12:23" x14ac:dyDescent="0.25">
      <c r="L893" s="4" t="str">
        <f>IF('[1]All Data '!BE898="","",'[1]All Data '!BE898)</f>
        <v/>
      </c>
      <c r="M893" t="str">
        <f>IF('[1]All Data '!BF898="","",'[1]All Data '!BF898)</f>
        <v/>
      </c>
      <c r="N893" s="5" t="str">
        <f>IF('[1]All Data '!BB898="","",'[1]All Data '!BC898/'[1]All Data '!BH898)</f>
        <v/>
      </c>
      <c r="O893" s="5" t="str">
        <f t="shared" si="15"/>
        <v/>
      </c>
      <c r="P893" s="5" t="str">
        <f>IF(M893="","",$C$2*(1-L893)*907.2/0.621371*N893*[1]Transportation!$M$40)</f>
        <v/>
      </c>
      <c r="Q893" s="5" t="str">
        <f>IF(L893="","",IF([1]Inputs_Outputs!$B$5="Herbaceous",(LCA!$E$29*'[1]LOCH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3" s="5" t="str">
        <f>IF(M893="","",$E$2*1000*'[1]LOCH Calc COE Calc'!$C$44)</f>
        <v/>
      </c>
      <c r="S893" s="6" t="str">
        <f>IF(N893="","",SUM(O893:R893)/('[1]LOCH Calc COE Calc'!$C$28))</f>
        <v/>
      </c>
      <c r="T893" t="str">
        <f>IF(L893="","",O893/'[1]LOCH Calc COE Calc'!$C$28)</f>
        <v/>
      </c>
      <c r="U893" t="str">
        <f>IF(L893="","",P893/'[1]LOCH Calc COE Calc'!$C$28)</f>
        <v/>
      </c>
      <c r="V893" t="str">
        <f>IF(L893="","",Q893/'[1]LOCH Calc COE Calc'!$C$28)</f>
        <v/>
      </c>
      <c r="W893" t="str">
        <f>IF(L893="","",R893/'[1]LOCH Calc COE Calc'!$C$28)</f>
        <v/>
      </c>
    </row>
    <row r="894" spans="12:23" x14ac:dyDescent="0.25">
      <c r="L894" s="4" t="str">
        <f>IF('[1]All Data '!BE899="","",'[1]All Data '!BE899)</f>
        <v/>
      </c>
      <c r="M894" t="str">
        <f>IF('[1]All Data '!BF899="","",'[1]All Data '!BF899)</f>
        <v/>
      </c>
      <c r="N894" s="5" t="str">
        <f>IF('[1]All Data '!BB899="","",'[1]All Data '!BC899/'[1]All Data '!BH899)</f>
        <v/>
      </c>
      <c r="O894" s="5" t="str">
        <f t="shared" si="15"/>
        <v/>
      </c>
      <c r="P894" s="5" t="str">
        <f>IF(M894="","",$C$2*(1-L894)*907.2/0.621371*N894*[1]Transportation!$M$40)</f>
        <v/>
      </c>
      <c r="Q894" s="5" t="str">
        <f>IF(L894="","",IF([1]Inputs_Outputs!$B$5="Herbaceous",(LCA!$E$29*'[1]LOCH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4" s="5" t="str">
        <f>IF(M894="","",$E$2*1000*'[1]LOCH Calc COE Calc'!$C$44)</f>
        <v/>
      </c>
      <c r="S894" s="6" t="str">
        <f>IF(N894="","",SUM(O894:R894)/('[1]LOCH Calc COE Calc'!$C$28))</f>
        <v/>
      </c>
      <c r="T894" t="str">
        <f>IF(L894="","",O894/'[1]LOCH Calc COE Calc'!$C$28)</f>
        <v/>
      </c>
      <c r="U894" t="str">
        <f>IF(L894="","",P894/'[1]LOCH Calc COE Calc'!$C$28)</f>
        <v/>
      </c>
      <c r="V894" t="str">
        <f>IF(L894="","",Q894/'[1]LOCH Calc COE Calc'!$C$28)</f>
        <v/>
      </c>
      <c r="W894" t="str">
        <f>IF(L894="","",R894/'[1]LOCH Calc COE Calc'!$C$28)</f>
        <v/>
      </c>
    </row>
    <row r="895" spans="12:23" x14ac:dyDescent="0.25">
      <c r="L895" s="4" t="str">
        <f>IF('[1]All Data '!BE900="","",'[1]All Data '!BE900)</f>
        <v/>
      </c>
      <c r="M895" t="str">
        <f>IF('[1]All Data '!BF900="","",'[1]All Data '!BF900)</f>
        <v/>
      </c>
      <c r="N895" s="5" t="str">
        <f>IF('[1]All Data '!BB900="","",'[1]All Data '!BC900/'[1]All Data '!BH900)</f>
        <v/>
      </c>
      <c r="O895" s="5" t="str">
        <f t="shared" si="15"/>
        <v/>
      </c>
      <c r="P895" s="5" t="str">
        <f>IF(M895="","",$C$2*(1-L895)*907.2/0.621371*N895*[1]Transportation!$M$40)</f>
        <v/>
      </c>
      <c r="Q895" s="5" t="str">
        <f>IF(L895="","",IF([1]Inputs_Outputs!$B$5="Herbaceous",(LCA!$E$29*'[1]LOCH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5" s="5" t="str">
        <f>IF(M895="","",$E$2*1000*'[1]LOCH Calc COE Calc'!$C$44)</f>
        <v/>
      </c>
      <c r="S895" s="6" t="str">
        <f>IF(N895="","",SUM(O895:R895)/('[1]LOCH Calc COE Calc'!$C$28))</f>
        <v/>
      </c>
      <c r="T895" t="str">
        <f>IF(L895="","",O895/'[1]LOCH Calc COE Calc'!$C$28)</f>
        <v/>
      </c>
      <c r="U895" t="str">
        <f>IF(L895="","",P895/'[1]LOCH Calc COE Calc'!$C$28)</f>
        <v/>
      </c>
      <c r="V895" t="str">
        <f>IF(L895="","",Q895/'[1]LOCH Calc COE Calc'!$C$28)</f>
        <v/>
      </c>
      <c r="W895" t="str">
        <f>IF(L895="","",R895/'[1]LOCH Calc COE Calc'!$C$28)</f>
        <v/>
      </c>
    </row>
    <row r="896" spans="12:23" x14ac:dyDescent="0.25">
      <c r="L896" s="4" t="str">
        <f>IF('[1]All Data '!BE901="","",'[1]All Data '!BE901)</f>
        <v/>
      </c>
      <c r="M896" t="str">
        <f>IF('[1]All Data '!BF901="","",'[1]All Data '!BF901)</f>
        <v/>
      </c>
      <c r="N896" s="5" t="str">
        <f>IF('[1]All Data '!BB901="","",'[1]All Data '!BC901/'[1]All Data '!BH901)</f>
        <v/>
      </c>
      <c r="O896" s="5" t="str">
        <f t="shared" si="15"/>
        <v/>
      </c>
      <c r="P896" s="5" t="str">
        <f>IF(M896="","",$C$2*(1-L896)*907.2/0.621371*N896*[1]Transportation!$M$40)</f>
        <v/>
      </c>
      <c r="Q896" s="5" t="str">
        <f>IF(L896="","",IF([1]Inputs_Outputs!$B$5="Herbaceous",(LCA!$E$29*'[1]LOCH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6" s="5" t="str">
        <f>IF(M896="","",$E$2*1000*'[1]LOCH Calc COE Calc'!$C$44)</f>
        <v/>
      </c>
      <c r="S896" s="6" t="str">
        <f>IF(N896="","",SUM(O896:R896)/('[1]LOCH Calc COE Calc'!$C$28))</f>
        <v/>
      </c>
      <c r="T896" t="str">
        <f>IF(L896="","",O896/'[1]LOCH Calc COE Calc'!$C$28)</f>
        <v/>
      </c>
      <c r="U896" t="str">
        <f>IF(L896="","",P896/'[1]LOCH Calc COE Calc'!$C$28)</f>
        <v/>
      </c>
      <c r="V896" t="str">
        <f>IF(L896="","",Q896/'[1]LOCH Calc COE Calc'!$C$28)</f>
        <v/>
      </c>
      <c r="W896" t="str">
        <f>IF(L896="","",R896/'[1]LOCH Calc COE Calc'!$C$28)</f>
        <v/>
      </c>
    </row>
    <row r="897" spans="12:23" x14ac:dyDescent="0.25">
      <c r="L897" s="4" t="str">
        <f>IF('[1]All Data '!BE902="","",'[1]All Data '!BE902)</f>
        <v/>
      </c>
      <c r="M897" t="str">
        <f>IF('[1]All Data '!BF902="","",'[1]All Data '!BF902)</f>
        <v/>
      </c>
      <c r="N897" s="5" t="str">
        <f>IF('[1]All Data '!BB902="","",'[1]All Data '!BC902/'[1]All Data '!BH902)</f>
        <v/>
      </c>
      <c r="O897" s="5" t="str">
        <f t="shared" si="15"/>
        <v/>
      </c>
      <c r="P897" s="5" t="str">
        <f>IF(M897="","",$C$2*(1-L897)*907.2/0.621371*N897*[1]Transportation!$M$40)</f>
        <v/>
      </c>
      <c r="Q897" s="5" t="str">
        <f>IF(L897="","",IF([1]Inputs_Outputs!$B$5="Herbaceous",(LCA!$E$29*'[1]LOCH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7" s="5" t="str">
        <f>IF(M897="","",$E$2*1000*'[1]LOCH Calc COE Calc'!$C$44)</f>
        <v/>
      </c>
      <c r="S897" s="6" t="str">
        <f>IF(N897="","",SUM(O897:R897)/('[1]LOCH Calc COE Calc'!$C$28))</f>
        <v/>
      </c>
      <c r="T897" t="str">
        <f>IF(L897="","",O897/'[1]LOCH Calc COE Calc'!$C$28)</f>
        <v/>
      </c>
      <c r="U897" t="str">
        <f>IF(L897="","",P897/'[1]LOCH Calc COE Calc'!$C$28)</f>
        <v/>
      </c>
      <c r="V897" t="str">
        <f>IF(L897="","",Q897/'[1]LOCH Calc COE Calc'!$C$28)</f>
        <v/>
      </c>
      <c r="W897" t="str">
        <f>IF(L897="","",R897/'[1]LOCH Calc COE Calc'!$C$28)</f>
        <v/>
      </c>
    </row>
    <row r="898" spans="12:23" x14ac:dyDescent="0.25">
      <c r="L898" s="4" t="str">
        <f>IF('[1]All Data '!BE903="","",'[1]All Data '!BE903)</f>
        <v/>
      </c>
      <c r="M898" t="str">
        <f>IF('[1]All Data '!BF903="","",'[1]All Data '!BF903)</f>
        <v/>
      </c>
      <c r="N898" s="5" t="str">
        <f>IF('[1]All Data '!BB903="","",'[1]All Data '!BC903/'[1]All Data '!BH903)</f>
        <v/>
      </c>
      <c r="O898" s="5" t="str">
        <f t="shared" si="15"/>
        <v/>
      </c>
      <c r="P898" s="5" t="str">
        <f>IF(M898="","",$C$2*(1-L898)*907.2/0.621371*N898*[1]Transportation!$M$40)</f>
        <v/>
      </c>
      <c r="Q898" s="5" t="str">
        <f>IF(L898="","",IF([1]Inputs_Outputs!$B$5="Herbaceous",(LCA!$E$29*'[1]LOCH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8" s="5" t="str">
        <f>IF(M898="","",$E$2*1000*'[1]LOCH Calc COE Calc'!$C$44)</f>
        <v/>
      </c>
      <c r="S898" s="6" t="str">
        <f>IF(N898="","",SUM(O898:R898)/('[1]LOCH Calc COE Calc'!$C$28))</f>
        <v/>
      </c>
      <c r="T898" t="str">
        <f>IF(L898="","",O898/'[1]LOCH Calc COE Calc'!$C$28)</f>
        <v/>
      </c>
      <c r="U898" t="str">
        <f>IF(L898="","",P898/'[1]LOCH Calc COE Calc'!$C$28)</f>
        <v/>
      </c>
      <c r="V898" t="str">
        <f>IF(L898="","",Q898/'[1]LOCH Calc COE Calc'!$C$28)</f>
        <v/>
      </c>
      <c r="W898" t="str">
        <f>IF(L898="","",R898/'[1]LOCH Calc COE Calc'!$C$28)</f>
        <v/>
      </c>
    </row>
    <row r="899" spans="12:23" x14ac:dyDescent="0.25">
      <c r="L899" s="4" t="str">
        <f>IF('[1]All Data '!BE904="","",'[1]All Data '!BE904)</f>
        <v/>
      </c>
      <c r="M899" t="str">
        <f>IF('[1]All Data '!BF904="","",'[1]All Data '!BF904)</f>
        <v/>
      </c>
      <c r="N899" s="5" t="str">
        <f>IF('[1]All Data '!BB904="","",'[1]All Data '!BC904/'[1]All Data '!BH904)</f>
        <v/>
      </c>
      <c r="O899" s="5" t="str">
        <f t="shared" si="15"/>
        <v/>
      </c>
      <c r="P899" s="5" t="str">
        <f>IF(M899="","",$C$2*(1-L899)*907.2/0.621371*N899*[1]Transportation!$M$40)</f>
        <v/>
      </c>
      <c r="Q899" s="5" t="str">
        <f>IF(L899="","",IF([1]Inputs_Outputs!$B$5="Herbaceous",(LCA!$E$29*'[1]LOCH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899" s="5" t="str">
        <f>IF(M899="","",$E$2*1000*'[1]LOCH Calc COE Calc'!$C$44)</f>
        <v/>
      </c>
      <c r="S899" s="6" t="str">
        <f>IF(N899="","",SUM(O899:R899)/('[1]LOCH Calc COE Calc'!$C$28))</f>
        <v/>
      </c>
      <c r="T899" t="str">
        <f>IF(L899="","",O899/'[1]LOCH Calc COE Calc'!$C$28)</f>
        <v/>
      </c>
      <c r="U899" t="str">
        <f>IF(L899="","",P899/'[1]LOCH Calc COE Calc'!$C$28)</f>
        <v/>
      </c>
      <c r="V899" t="str">
        <f>IF(L899="","",Q899/'[1]LOCH Calc COE Calc'!$C$28)</f>
        <v/>
      </c>
      <c r="W899" t="str">
        <f>IF(L899="","",R899/'[1]LOCH Calc COE Calc'!$C$28)</f>
        <v/>
      </c>
    </row>
    <row r="900" spans="12:23" x14ac:dyDescent="0.25">
      <c r="L900" s="4" t="str">
        <f>IF('[1]All Data '!BE905="","",'[1]All Data '!BE905)</f>
        <v/>
      </c>
      <c r="M900" t="str">
        <f>IF('[1]All Data '!BF905="","",'[1]All Data '!BF905)</f>
        <v/>
      </c>
      <c r="N900" s="5" t="str">
        <f>IF('[1]All Data '!BB905="","",'[1]All Data '!BC905/'[1]All Data '!BH905)</f>
        <v/>
      </c>
      <c r="O900" s="5" t="str">
        <f t="shared" ref="O900:O963" si="16">IF(N900="","",M900*N900)</f>
        <v/>
      </c>
      <c r="P900" s="5" t="str">
        <f>IF(M900="","",$C$2*(1-L900)*907.2/0.621371*N900*[1]Transportation!$M$40)</f>
        <v/>
      </c>
      <c r="Q900" s="5" t="str">
        <f>IF(L900="","",IF([1]Inputs_Outputs!$B$5="Herbaceous",(LCA!$E$29*'[1]LOCH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0" s="5" t="str">
        <f>IF(M900="","",$E$2*1000*'[1]LOCH Calc COE Calc'!$C$44)</f>
        <v/>
      </c>
      <c r="S900" s="6" t="str">
        <f>IF(N900="","",SUM(O900:R900)/('[1]LOCH Calc COE Calc'!$C$28))</f>
        <v/>
      </c>
      <c r="T900" t="str">
        <f>IF(L900="","",O900/'[1]LOCH Calc COE Calc'!$C$28)</f>
        <v/>
      </c>
      <c r="U900" t="str">
        <f>IF(L900="","",P900/'[1]LOCH Calc COE Calc'!$C$28)</f>
        <v/>
      </c>
      <c r="V900" t="str">
        <f>IF(L900="","",Q900/'[1]LOCH Calc COE Calc'!$C$28)</f>
        <v/>
      </c>
      <c r="W900" t="str">
        <f>IF(L900="","",R900/'[1]LOCH Calc COE Calc'!$C$28)</f>
        <v/>
      </c>
    </row>
    <row r="901" spans="12:23" x14ac:dyDescent="0.25">
      <c r="L901" s="4" t="str">
        <f>IF('[1]All Data '!BE906="","",'[1]All Data '!BE906)</f>
        <v/>
      </c>
      <c r="M901" t="str">
        <f>IF('[1]All Data '!BF906="","",'[1]All Data '!BF906)</f>
        <v/>
      </c>
      <c r="N901" s="5" t="str">
        <f>IF('[1]All Data '!BB906="","",'[1]All Data '!BC906/'[1]All Data '!BH906)</f>
        <v/>
      </c>
      <c r="O901" s="5" t="str">
        <f t="shared" si="16"/>
        <v/>
      </c>
      <c r="P901" s="5" t="str">
        <f>IF(M901="","",$C$2*(1-L901)*907.2/0.621371*N901*[1]Transportation!$M$40)</f>
        <v/>
      </c>
      <c r="Q901" s="5" t="str">
        <f>IF(L901="","",IF([1]Inputs_Outputs!$B$5="Herbaceous",(LCA!$E$29*'[1]LOCH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1" s="5" t="str">
        <f>IF(M901="","",$E$2*1000*'[1]LOCH Calc COE Calc'!$C$44)</f>
        <v/>
      </c>
      <c r="S901" s="6" t="str">
        <f>IF(N901="","",SUM(O901:R901)/('[1]LOCH Calc COE Calc'!$C$28))</f>
        <v/>
      </c>
      <c r="T901" t="str">
        <f>IF(L901="","",O901/'[1]LOCH Calc COE Calc'!$C$28)</f>
        <v/>
      </c>
      <c r="U901" t="str">
        <f>IF(L901="","",P901/'[1]LOCH Calc COE Calc'!$C$28)</f>
        <v/>
      </c>
      <c r="V901" t="str">
        <f>IF(L901="","",Q901/'[1]LOCH Calc COE Calc'!$C$28)</f>
        <v/>
      </c>
      <c r="W901" t="str">
        <f>IF(L901="","",R901/'[1]LOCH Calc COE Calc'!$C$28)</f>
        <v/>
      </c>
    </row>
    <row r="902" spans="12:23" x14ac:dyDescent="0.25">
      <c r="L902" s="4" t="str">
        <f>IF('[1]All Data '!BE907="","",'[1]All Data '!BE907)</f>
        <v/>
      </c>
      <c r="M902" t="str">
        <f>IF('[1]All Data '!BF907="","",'[1]All Data '!BF907)</f>
        <v/>
      </c>
      <c r="N902" s="5" t="str">
        <f>IF('[1]All Data '!BB907="","",'[1]All Data '!BC907/'[1]All Data '!BH907)</f>
        <v/>
      </c>
      <c r="O902" s="5" t="str">
        <f t="shared" si="16"/>
        <v/>
      </c>
      <c r="P902" s="5" t="str">
        <f>IF(M902="","",$C$2*(1-L902)*907.2/0.621371*N902*[1]Transportation!$M$40)</f>
        <v/>
      </c>
      <c r="Q902" s="5" t="str">
        <f>IF(L902="","",IF([1]Inputs_Outputs!$B$5="Herbaceous",(LCA!$E$29*'[1]LOCH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2" s="5" t="str">
        <f>IF(M902="","",$E$2*1000*'[1]LOCH Calc COE Calc'!$C$44)</f>
        <v/>
      </c>
      <c r="S902" s="6" t="str">
        <f>IF(N902="","",SUM(O902:R902)/('[1]LOCH Calc COE Calc'!$C$28))</f>
        <v/>
      </c>
      <c r="T902" t="str">
        <f>IF(L902="","",O902/'[1]LOCH Calc COE Calc'!$C$28)</f>
        <v/>
      </c>
      <c r="U902" t="str">
        <f>IF(L902="","",P902/'[1]LOCH Calc COE Calc'!$C$28)</f>
        <v/>
      </c>
      <c r="V902" t="str">
        <f>IF(L902="","",Q902/'[1]LOCH Calc COE Calc'!$C$28)</f>
        <v/>
      </c>
      <c r="W902" t="str">
        <f>IF(L902="","",R902/'[1]LOCH Calc COE Calc'!$C$28)</f>
        <v/>
      </c>
    </row>
    <row r="903" spans="12:23" x14ac:dyDescent="0.25">
      <c r="L903" s="4" t="str">
        <f>IF('[1]All Data '!BE908="","",'[1]All Data '!BE908)</f>
        <v/>
      </c>
      <c r="M903" t="str">
        <f>IF('[1]All Data '!BF908="","",'[1]All Data '!BF908)</f>
        <v/>
      </c>
      <c r="N903" s="5" t="str">
        <f>IF('[1]All Data '!BB908="","",'[1]All Data '!BC908/'[1]All Data '!BH908)</f>
        <v/>
      </c>
      <c r="O903" s="5" t="str">
        <f t="shared" si="16"/>
        <v/>
      </c>
      <c r="P903" s="5" t="str">
        <f>IF(M903="","",$C$2*(1-L903)*907.2/0.621371*N903*[1]Transportation!$M$40)</f>
        <v/>
      </c>
      <c r="Q903" s="5" t="str">
        <f>IF(L903="","",IF([1]Inputs_Outputs!$B$5="Herbaceous",(LCA!$E$29*'[1]LOCH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3" s="5" t="str">
        <f>IF(M903="","",$E$2*1000*'[1]LOCH Calc COE Calc'!$C$44)</f>
        <v/>
      </c>
      <c r="S903" s="6" t="str">
        <f>IF(N903="","",SUM(O903:R903)/('[1]LOCH Calc COE Calc'!$C$28))</f>
        <v/>
      </c>
      <c r="T903" t="str">
        <f>IF(L903="","",O903/'[1]LOCH Calc COE Calc'!$C$28)</f>
        <v/>
      </c>
      <c r="U903" t="str">
        <f>IF(L903="","",P903/'[1]LOCH Calc COE Calc'!$C$28)</f>
        <v/>
      </c>
      <c r="V903" t="str">
        <f>IF(L903="","",Q903/'[1]LOCH Calc COE Calc'!$C$28)</f>
        <v/>
      </c>
      <c r="W903" t="str">
        <f>IF(L903="","",R903/'[1]LOCH Calc COE Calc'!$C$28)</f>
        <v/>
      </c>
    </row>
    <row r="904" spans="12:23" x14ac:dyDescent="0.25">
      <c r="L904" s="4" t="str">
        <f>IF('[1]All Data '!BE909="","",'[1]All Data '!BE909)</f>
        <v/>
      </c>
      <c r="M904" t="str">
        <f>IF('[1]All Data '!BF909="","",'[1]All Data '!BF909)</f>
        <v/>
      </c>
      <c r="N904" s="5" t="str">
        <f>IF('[1]All Data '!BB909="","",'[1]All Data '!BC909/'[1]All Data '!BH909)</f>
        <v/>
      </c>
      <c r="O904" s="5" t="str">
        <f t="shared" si="16"/>
        <v/>
      </c>
      <c r="P904" s="5" t="str">
        <f>IF(M904="","",$C$2*(1-L904)*907.2/0.621371*N904*[1]Transportation!$M$40)</f>
        <v/>
      </c>
      <c r="Q904" s="5" t="str">
        <f>IF(L904="","",IF([1]Inputs_Outputs!$B$5="Herbaceous",(LCA!$E$29*'[1]LOCH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4" s="5" t="str">
        <f>IF(M904="","",$E$2*1000*'[1]LOCH Calc COE Calc'!$C$44)</f>
        <v/>
      </c>
      <c r="S904" s="6" t="str">
        <f>IF(N904="","",SUM(O904:R904)/('[1]LOCH Calc COE Calc'!$C$28))</f>
        <v/>
      </c>
      <c r="T904" t="str">
        <f>IF(L904="","",O904/'[1]LOCH Calc COE Calc'!$C$28)</f>
        <v/>
      </c>
      <c r="U904" t="str">
        <f>IF(L904="","",P904/'[1]LOCH Calc COE Calc'!$C$28)</f>
        <v/>
      </c>
      <c r="V904" t="str">
        <f>IF(L904="","",Q904/'[1]LOCH Calc COE Calc'!$C$28)</f>
        <v/>
      </c>
      <c r="W904" t="str">
        <f>IF(L904="","",R904/'[1]LOCH Calc COE Calc'!$C$28)</f>
        <v/>
      </c>
    </row>
    <row r="905" spans="12:23" x14ac:dyDescent="0.25">
      <c r="L905" s="4" t="str">
        <f>IF('[1]All Data '!BE910="","",'[1]All Data '!BE910)</f>
        <v/>
      </c>
      <c r="M905" t="str">
        <f>IF('[1]All Data '!BF910="","",'[1]All Data '!BF910)</f>
        <v/>
      </c>
      <c r="N905" s="5" t="str">
        <f>IF('[1]All Data '!BB910="","",'[1]All Data '!BC910/'[1]All Data '!BH910)</f>
        <v/>
      </c>
      <c r="O905" s="5" t="str">
        <f t="shared" si="16"/>
        <v/>
      </c>
      <c r="P905" s="5" t="str">
        <f>IF(M905="","",$C$2*(1-L905)*907.2/0.621371*N905*[1]Transportation!$M$40)</f>
        <v/>
      </c>
      <c r="Q905" s="5" t="str">
        <f>IF(L905="","",IF([1]Inputs_Outputs!$B$5="Herbaceous",(LCA!$E$29*'[1]LOCH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5" s="5" t="str">
        <f>IF(M905="","",$E$2*1000*'[1]LOCH Calc COE Calc'!$C$44)</f>
        <v/>
      </c>
      <c r="S905" s="6" t="str">
        <f>IF(N905="","",SUM(O905:R905)/('[1]LOCH Calc COE Calc'!$C$28))</f>
        <v/>
      </c>
      <c r="T905" t="str">
        <f>IF(L905="","",O905/'[1]LOCH Calc COE Calc'!$C$28)</f>
        <v/>
      </c>
      <c r="U905" t="str">
        <f>IF(L905="","",P905/'[1]LOCH Calc COE Calc'!$C$28)</f>
        <v/>
      </c>
      <c r="V905" t="str">
        <f>IF(L905="","",Q905/'[1]LOCH Calc COE Calc'!$C$28)</f>
        <v/>
      </c>
      <c r="W905" t="str">
        <f>IF(L905="","",R905/'[1]LOCH Calc COE Calc'!$C$28)</f>
        <v/>
      </c>
    </row>
    <row r="906" spans="12:23" x14ac:dyDescent="0.25">
      <c r="L906" s="4" t="str">
        <f>IF('[1]All Data '!BE911="","",'[1]All Data '!BE911)</f>
        <v/>
      </c>
      <c r="M906" t="str">
        <f>IF('[1]All Data '!BF911="","",'[1]All Data '!BF911)</f>
        <v/>
      </c>
      <c r="N906" s="5" t="str">
        <f>IF('[1]All Data '!BB911="","",'[1]All Data '!BC911/'[1]All Data '!BH911)</f>
        <v/>
      </c>
      <c r="O906" s="5" t="str">
        <f t="shared" si="16"/>
        <v/>
      </c>
      <c r="P906" s="5" t="str">
        <f>IF(M906="","",$C$2*(1-L906)*907.2/0.621371*N906*[1]Transportation!$M$40)</f>
        <v/>
      </c>
      <c r="Q906" s="5" t="str">
        <f>IF(L906="","",IF([1]Inputs_Outputs!$B$5="Herbaceous",(LCA!$E$29*'[1]LOCH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6" s="5" t="str">
        <f>IF(M906="","",$E$2*1000*'[1]LOCH Calc COE Calc'!$C$44)</f>
        <v/>
      </c>
      <c r="S906" s="6" t="str">
        <f>IF(N906="","",SUM(O906:R906)/('[1]LOCH Calc COE Calc'!$C$28))</f>
        <v/>
      </c>
      <c r="T906" t="str">
        <f>IF(L906="","",O906/'[1]LOCH Calc COE Calc'!$C$28)</f>
        <v/>
      </c>
      <c r="U906" t="str">
        <f>IF(L906="","",P906/'[1]LOCH Calc COE Calc'!$C$28)</f>
        <v/>
      </c>
      <c r="V906" t="str">
        <f>IF(L906="","",Q906/'[1]LOCH Calc COE Calc'!$C$28)</f>
        <v/>
      </c>
      <c r="W906" t="str">
        <f>IF(L906="","",R906/'[1]LOCH Calc COE Calc'!$C$28)</f>
        <v/>
      </c>
    </row>
    <row r="907" spans="12:23" x14ac:dyDescent="0.25">
      <c r="L907" s="4" t="str">
        <f>IF('[1]All Data '!BE912="","",'[1]All Data '!BE912)</f>
        <v/>
      </c>
      <c r="M907" t="str">
        <f>IF('[1]All Data '!BF912="","",'[1]All Data '!BF912)</f>
        <v/>
      </c>
      <c r="N907" s="5" t="str">
        <f>IF('[1]All Data '!BB912="","",'[1]All Data '!BC912/'[1]All Data '!BH912)</f>
        <v/>
      </c>
      <c r="O907" s="5" t="str">
        <f t="shared" si="16"/>
        <v/>
      </c>
      <c r="P907" s="5" t="str">
        <f>IF(M907="","",$C$2*(1-L907)*907.2/0.621371*N907*[1]Transportation!$M$40)</f>
        <v/>
      </c>
      <c r="Q907" s="5" t="str">
        <f>IF(L907="","",IF([1]Inputs_Outputs!$B$5="Herbaceous",(LCA!$E$29*'[1]LOCH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7" s="5" t="str">
        <f>IF(M907="","",$E$2*1000*'[1]LOCH Calc COE Calc'!$C$44)</f>
        <v/>
      </c>
      <c r="S907" s="6" t="str">
        <f>IF(N907="","",SUM(O907:R907)/('[1]LOCH Calc COE Calc'!$C$28))</f>
        <v/>
      </c>
      <c r="T907" t="str">
        <f>IF(L907="","",O907/'[1]LOCH Calc COE Calc'!$C$28)</f>
        <v/>
      </c>
      <c r="U907" t="str">
        <f>IF(L907="","",P907/'[1]LOCH Calc COE Calc'!$C$28)</f>
        <v/>
      </c>
      <c r="V907" t="str">
        <f>IF(L907="","",Q907/'[1]LOCH Calc COE Calc'!$C$28)</f>
        <v/>
      </c>
      <c r="W907" t="str">
        <f>IF(L907="","",R907/'[1]LOCH Calc COE Calc'!$C$28)</f>
        <v/>
      </c>
    </row>
    <row r="908" spans="12:23" x14ac:dyDescent="0.25">
      <c r="L908" s="4" t="str">
        <f>IF('[1]All Data '!BE913="","",'[1]All Data '!BE913)</f>
        <v/>
      </c>
      <c r="M908" t="str">
        <f>IF('[1]All Data '!BF913="","",'[1]All Data '!BF913)</f>
        <v/>
      </c>
      <c r="N908" s="5" t="str">
        <f>IF('[1]All Data '!BB913="","",'[1]All Data '!BC913/'[1]All Data '!BH913)</f>
        <v/>
      </c>
      <c r="O908" s="5" t="str">
        <f t="shared" si="16"/>
        <v/>
      </c>
      <c r="P908" s="5" t="str">
        <f>IF(M908="","",$C$2*(1-L908)*907.2/0.621371*N908*[1]Transportation!$M$40)</f>
        <v/>
      </c>
      <c r="Q908" s="5" t="str">
        <f>IF(L908="","",IF([1]Inputs_Outputs!$B$5="Herbaceous",(LCA!$E$29*'[1]LOCH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8" s="5" t="str">
        <f>IF(M908="","",$E$2*1000*'[1]LOCH Calc COE Calc'!$C$44)</f>
        <v/>
      </c>
      <c r="S908" s="6" t="str">
        <f>IF(N908="","",SUM(O908:R908)/('[1]LOCH Calc COE Calc'!$C$28))</f>
        <v/>
      </c>
      <c r="T908" t="str">
        <f>IF(L908="","",O908/'[1]LOCH Calc COE Calc'!$C$28)</f>
        <v/>
      </c>
      <c r="U908" t="str">
        <f>IF(L908="","",P908/'[1]LOCH Calc COE Calc'!$C$28)</f>
        <v/>
      </c>
      <c r="V908" t="str">
        <f>IF(L908="","",Q908/'[1]LOCH Calc COE Calc'!$C$28)</f>
        <v/>
      </c>
      <c r="W908" t="str">
        <f>IF(L908="","",R908/'[1]LOCH Calc COE Calc'!$C$28)</f>
        <v/>
      </c>
    </row>
    <row r="909" spans="12:23" x14ac:dyDescent="0.25">
      <c r="L909" s="4" t="str">
        <f>IF('[1]All Data '!BE914="","",'[1]All Data '!BE914)</f>
        <v/>
      </c>
      <c r="M909" t="str">
        <f>IF('[1]All Data '!BF914="","",'[1]All Data '!BF914)</f>
        <v/>
      </c>
      <c r="N909" s="5" t="str">
        <f>IF('[1]All Data '!BB914="","",'[1]All Data '!BC914/'[1]All Data '!BH914)</f>
        <v/>
      </c>
      <c r="O909" s="5" t="str">
        <f t="shared" si="16"/>
        <v/>
      </c>
      <c r="P909" s="5" t="str">
        <f>IF(M909="","",$C$2*(1-L909)*907.2/0.621371*N909*[1]Transportation!$M$40)</f>
        <v/>
      </c>
      <c r="Q909" s="5" t="str">
        <f>IF(L909="","",IF([1]Inputs_Outputs!$B$5="Herbaceous",(LCA!$E$29*'[1]LOCH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09" s="5" t="str">
        <f>IF(M909="","",$E$2*1000*'[1]LOCH Calc COE Calc'!$C$44)</f>
        <v/>
      </c>
      <c r="S909" s="6" t="str">
        <f>IF(N909="","",SUM(O909:R909)/('[1]LOCH Calc COE Calc'!$C$28))</f>
        <v/>
      </c>
      <c r="T909" t="str">
        <f>IF(L909="","",O909/'[1]LOCH Calc COE Calc'!$C$28)</f>
        <v/>
      </c>
      <c r="U909" t="str">
        <f>IF(L909="","",P909/'[1]LOCH Calc COE Calc'!$C$28)</f>
        <v/>
      </c>
      <c r="V909" t="str">
        <f>IF(L909="","",Q909/'[1]LOCH Calc COE Calc'!$C$28)</f>
        <v/>
      </c>
      <c r="W909" t="str">
        <f>IF(L909="","",R909/'[1]LOCH Calc COE Calc'!$C$28)</f>
        <v/>
      </c>
    </row>
    <row r="910" spans="12:23" x14ac:dyDescent="0.25">
      <c r="L910" s="4" t="str">
        <f>IF('[1]All Data '!BE915="","",'[1]All Data '!BE915)</f>
        <v/>
      </c>
      <c r="M910" t="str">
        <f>IF('[1]All Data '!BF915="","",'[1]All Data '!BF915)</f>
        <v/>
      </c>
      <c r="N910" s="5" t="str">
        <f>IF('[1]All Data '!BB915="","",'[1]All Data '!BC915/'[1]All Data '!BH915)</f>
        <v/>
      </c>
      <c r="O910" s="5" t="str">
        <f t="shared" si="16"/>
        <v/>
      </c>
      <c r="P910" s="5" t="str">
        <f>IF(M910="","",$C$2*(1-L910)*907.2/0.621371*N910*[1]Transportation!$M$40)</f>
        <v/>
      </c>
      <c r="Q910" s="5" t="str">
        <f>IF(L910="","",IF([1]Inputs_Outputs!$B$5="Herbaceous",(LCA!$E$29*'[1]LOCH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0" s="5" t="str">
        <f>IF(M910="","",$E$2*1000*'[1]LOCH Calc COE Calc'!$C$44)</f>
        <v/>
      </c>
      <c r="S910" s="6" t="str">
        <f>IF(N910="","",SUM(O910:R910)/('[1]LOCH Calc COE Calc'!$C$28))</f>
        <v/>
      </c>
      <c r="T910" t="str">
        <f>IF(L910="","",O910/'[1]LOCH Calc COE Calc'!$C$28)</f>
        <v/>
      </c>
      <c r="U910" t="str">
        <f>IF(L910="","",P910/'[1]LOCH Calc COE Calc'!$C$28)</f>
        <v/>
      </c>
      <c r="V910" t="str">
        <f>IF(L910="","",Q910/'[1]LOCH Calc COE Calc'!$C$28)</f>
        <v/>
      </c>
      <c r="W910" t="str">
        <f>IF(L910="","",R910/'[1]LOCH Calc COE Calc'!$C$28)</f>
        <v/>
      </c>
    </row>
    <row r="911" spans="12:23" x14ac:dyDescent="0.25">
      <c r="L911" s="4" t="str">
        <f>IF('[1]All Data '!BE916="","",'[1]All Data '!BE916)</f>
        <v/>
      </c>
      <c r="M911" t="str">
        <f>IF('[1]All Data '!BF916="","",'[1]All Data '!BF916)</f>
        <v/>
      </c>
      <c r="N911" s="5" t="str">
        <f>IF('[1]All Data '!BB916="","",'[1]All Data '!BC916/'[1]All Data '!BH916)</f>
        <v/>
      </c>
      <c r="O911" s="5" t="str">
        <f t="shared" si="16"/>
        <v/>
      </c>
      <c r="P911" s="5" t="str">
        <f>IF(M911="","",$C$2*(1-L911)*907.2/0.621371*N911*[1]Transportation!$M$40)</f>
        <v/>
      </c>
      <c r="Q911" s="5" t="str">
        <f>IF(L911="","",IF([1]Inputs_Outputs!$B$5="Herbaceous",(LCA!$E$29*'[1]LOCH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1" s="5" t="str">
        <f>IF(M911="","",$E$2*1000*'[1]LOCH Calc COE Calc'!$C$44)</f>
        <v/>
      </c>
      <c r="S911" s="6" t="str">
        <f>IF(N911="","",SUM(O911:R911)/('[1]LOCH Calc COE Calc'!$C$28))</f>
        <v/>
      </c>
      <c r="T911" t="str">
        <f>IF(L911="","",O911/'[1]LOCH Calc COE Calc'!$C$28)</f>
        <v/>
      </c>
      <c r="U911" t="str">
        <f>IF(L911="","",P911/'[1]LOCH Calc COE Calc'!$C$28)</f>
        <v/>
      </c>
      <c r="V911" t="str">
        <f>IF(L911="","",Q911/'[1]LOCH Calc COE Calc'!$C$28)</f>
        <v/>
      </c>
      <c r="W911" t="str">
        <f>IF(L911="","",R911/'[1]LOCH Calc COE Calc'!$C$28)</f>
        <v/>
      </c>
    </row>
    <row r="912" spans="12:23" x14ac:dyDescent="0.25">
      <c r="L912" s="4" t="str">
        <f>IF('[1]All Data '!BE917="","",'[1]All Data '!BE917)</f>
        <v/>
      </c>
      <c r="M912" t="str">
        <f>IF('[1]All Data '!BF917="","",'[1]All Data '!BF917)</f>
        <v/>
      </c>
      <c r="N912" s="5" t="str">
        <f>IF('[1]All Data '!BB917="","",'[1]All Data '!BC917/'[1]All Data '!BH917)</f>
        <v/>
      </c>
      <c r="O912" s="5" t="str">
        <f t="shared" si="16"/>
        <v/>
      </c>
      <c r="P912" s="5" t="str">
        <f>IF(M912="","",$C$2*(1-L912)*907.2/0.621371*N912*[1]Transportation!$M$40)</f>
        <v/>
      </c>
      <c r="Q912" s="5" t="str">
        <f>IF(L912="","",IF([1]Inputs_Outputs!$B$5="Herbaceous",(LCA!$E$29*'[1]LOCH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2" s="5" t="str">
        <f>IF(M912="","",$E$2*1000*'[1]LOCH Calc COE Calc'!$C$44)</f>
        <v/>
      </c>
      <c r="S912" s="6" t="str">
        <f>IF(N912="","",SUM(O912:R912)/('[1]LOCH Calc COE Calc'!$C$28))</f>
        <v/>
      </c>
      <c r="T912" t="str">
        <f>IF(L912="","",O912/'[1]LOCH Calc COE Calc'!$C$28)</f>
        <v/>
      </c>
      <c r="U912" t="str">
        <f>IF(L912="","",P912/'[1]LOCH Calc COE Calc'!$C$28)</f>
        <v/>
      </c>
      <c r="V912" t="str">
        <f>IF(L912="","",Q912/'[1]LOCH Calc COE Calc'!$C$28)</f>
        <v/>
      </c>
      <c r="W912" t="str">
        <f>IF(L912="","",R912/'[1]LOCH Calc COE Calc'!$C$28)</f>
        <v/>
      </c>
    </row>
    <row r="913" spans="12:23" x14ac:dyDescent="0.25">
      <c r="L913" s="4" t="str">
        <f>IF('[1]All Data '!BE918="","",'[1]All Data '!BE918)</f>
        <v/>
      </c>
      <c r="M913" t="str">
        <f>IF('[1]All Data '!BF918="","",'[1]All Data '!BF918)</f>
        <v/>
      </c>
      <c r="N913" s="5" t="str">
        <f>IF('[1]All Data '!BB918="","",'[1]All Data '!BC918/'[1]All Data '!BH918)</f>
        <v/>
      </c>
      <c r="O913" s="5" t="str">
        <f t="shared" si="16"/>
        <v/>
      </c>
      <c r="P913" s="5" t="str">
        <f>IF(M913="","",$C$2*(1-L913)*907.2/0.621371*N913*[1]Transportation!$M$40)</f>
        <v/>
      </c>
      <c r="Q913" s="5" t="str">
        <f>IF(L913="","",IF([1]Inputs_Outputs!$B$5="Herbaceous",(LCA!$E$29*'[1]LOCH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3" s="5" t="str">
        <f>IF(M913="","",$E$2*1000*'[1]LOCH Calc COE Calc'!$C$44)</f>
        <v/>
      </c>
      <c r="S913" s="6" t="str">
        <f>IF(N913="","",SUM(O913:R913)/('[1]LOCH Calc COE Calc'!$C$28))</f>
        <v/>
      </c>
      <c r="T913" t="str">
        <f>IF(L913="","",O913/'[1]LOCH Calc COE Calc'!$C$28)</f>
        <v/>
      </c>
      <c r="U913" t="str">
        <f>IF(L913="","",P913/'[1]LOCH Calc COE Calc'!$C$28)</f>
        <v/>
      </c>
      <c r="V913" t="str">
        <f>IF(L913="","",Q913/'[1]LOCH Calc COE Calc'!$C$28)</f>
        <v/>
      </c>
      <c r="W913" t="str">
        <f>IF(L913="","",R913/'[1]LOCH Calc COE Calc'!$C$28)</f>
        <v/>
      </c>
    </row>
    <row r="914" spans="12:23" x14ac:dyDescent="0.25">
      <c r="L914" s="4" t="str">
        <f>IF('[1]All Data '!BE919="","",'[1]All Data '!BE919)</f>
        <v/>
      </c>
      <c r="M914" t="str">
        <f>IF('[1]All Data '!BF919="","",'[1]All Data '!BF919)</f>
        <v/>
      </c>
      <c r="N914" s="5" t="str">
        <f>IF('[1]All Data '!BB919="","",'[1]All Data '!BC919/'[1]All Data '!BH919)</f>
        <v/>
      </c>
      <c r="O914" s="5" t="str">
        <f t="shared" si="16"/>
        <v/>
      </c>
      <c r="P914" s="5" t="str">
        <f>IF(M914="","",$C$2*(1-L914)*907.2/0.621371*N914*[1]Transportation!$M$40)</f>
        <v/>
      </c>
      <c r="Q914" s="5" t="str">
        <f>IF(L914="","",IF([1]Inputs_Outputs!$B$5="Herbaceous",(LCA!$E$29*'[1]LOCH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4" s="5" t="str">
        <f>IF(M914="","",$E$2*1000*'[1]LOCH Calc COE Calc'!$C$44)</f>
        <v/>
      </c>
      <c r="S914" s="6" t="str">
        <f>IF(N914="","",SUM(O914:R914)/('[1]LOCH Calc COE Calc'!$C$28))</f>
        <v/>
      </c>
      <c r="T914" t="str">
        <f>IF(L914="","",O914/'[1]LOCH Calc COE Calc'!$C$28)</f>
        <v/>
      </c>
      <c r="U914" t="str">
        <f>IF(L914="","",P914/'[1]LOCH Calc COE Calc'!$C$28)</f>
        <v/>
      </c>
      <c r="V914" t="str">
        <f>IF(L914="","",Q914/'[1]LOCH Calc COE Calc'!$C$28)</f>
        <v/>
      </c>
      <c r="W914" t="str">
        <f>IF(L914="","",R914/'[1]LOCH Calc COE Calc'!$C$28)</f>
        <v/>
      </c>
    </row>
    <row r="915" spans="12:23" x14ac:dyDescent="0.25">
      <c r="L915" s="4" t="str">
        <f>IF('[1]All Data '!BE920="","",'[1]All Data '!BE920)</f>
        <v/>
      </c>
      <c r="M915" t="str">
        <f>IF('[1]All Data '!BF920="","",'[1]All Data '!BF920)</f>
        <v/>
      </c>
      <c r="N915" s="5" t="str">
        <f>IF('[1]All Data '!BB920="","",'[1]All Data '!BC920/'[1]All Data '!BH920)</f>
        <v/>
      </c>
      <c r="O915" s="5" t="str">
        <f t="shared" si="16"/>
        <v/>
      </c>
      <c r="P915" s="5" t="str">
        <f>IF(M915="","",$C$2*(1-L915)*907.2/0.621371*N915*[1]Transportation!$M$40)</f>
        <v/>
      </c>
      <c r="Q915" s="5" t="str">
        <f>IF(L915="","",IF([1]Inputs_Outputs!$B$5="Herbaceous",(LCA!$E$29*'[1]LOCH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5" s="5" t="str">
        <f>IF(M915="","",$E$2*1000*'[1]LOCH Calc COE Calc'!$C$44)</f>
        <v/>
      </c>
      <c r="S915" s="6" t="str">
        <f>IF(N915="","",SUM(O915:R915)/('[1]LOCH Calc COE Calc'!$C$28))</f>
        <v/>
      </c>
      <c r="T915" t="str">
        <f>IF(L915="","",O915/'[1]LOCH Calc COE Calc'!$C$28)</f>
        <v/>
      </c>
      <c r="U915" t="str">
        <f>IF(L915="","",P915/'[1]LOCH Calc COE Calc'!$C$28)</f>
        <v/>
      </c>
      <c r="V915" t="str">
        <f>IF(L915="","",Q915/'[1]LOCH Calc COE Calc'!$C$28)</f>
        <v/>
      </c>
      <c r="W915" t="str">
        <f>IF(L915="","",R915/'[1]LOCH Calc COE Calc'!$C$28)</f>
        <v/>
      </c>
    </row>
    <row r="916" spans="12:23" x14ac:dyDescent="0.25">
      <c r="L916" s="4" t="str">
        <f>IF('[1]All Data '!BE921="","",'[1]All Data '!BE921)</f>
        <v/>
      </c>
      <c r="M916" t="str">
        <f>IF('[1]All Data '!BF921="","",'[1]All Data '!BF921)</f>
        <v/>
      </c>
      <c r="N916" s="5" t="str">
        <f>IF('[1]All Data '!BB921="","",'[1]All Data '!BC921/'[1]All Data '!BH921)</f>
        <v/>
      </c>
      <c r="O916" s="5" t="str">
        <f t="shared" si="16"/>
        <v/>
      </c>
      <c r="P916" s="5" t="str">
        <f>IF(M916="","",$C$2*(1-L916)*907.2/0.621371*N916*[1]Transportation!$M$40)</f>
        <v/>
      </c>
      <c r="Q916" s="5" t="str">
        <f>IF(L916="","",IF([1]Inputs_Outputs!$B$5="Herbaceous",(LCA!$E$29*'[1]LOCH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6" s="5" t="str">
        <f>IF(M916="","",$E$2*1000*'[1]LOCH Calc COE Calc'!$C$44)</f>
        <v/>
      </c>
      <c r="S916" s="6" t="str">
        <f>IF(N916="","",SUM(O916:R916)/('[1]LOCH Calc COE Calc'!$C$28))</f>
        <v/>
      </c>
      <c r="T916" t="str">
        <f>IF(L916="","",O916/'[1]LOCH Calc COE Calc'!$C$28)</f>
        <v/>
      </c>
      <c r="U916" t="str">
        <f>IF(L916="","",P916/'[1]LOCH Calc COE Calc'!$C$28)</f>
        <v/>
      </c>
      <c r="V916" t="str">
        <f>IF(L916="","",Q916/'[1]LOCH Calc COE Calc'!$C$28)</f>
        <v/>
      </c>
      <c r="W916" t="str">
        <f>IF(L916="","",R916/'[1]LOCH Calc COE Calc'!$C$28)</f>
        <v/>
      </c>
    </row>
    <row r="917" spans="12:23" x14ac:dyDescent="0.25">
      <c r="L917" s="4" t="str">
        <f>IF('[1]All Data '!BE922="","",'[1]All Data '!BE922)</f>
        <v/>
      </c>
      <c r="M917" t="str">
        <f>IF('[1]All Data '!BF922="","",'[1]All Data '!BF922)</f>
        <v/>
      </c>
      <c r="N917" s="5" t="str">
        <f>IF('[1]All Data '!BB922="","",'[1]All Data '!BC922/'[1]All Data '!BH922)</f>
        <v/>
      </c>
      <c r="O917" s="5" t="str">
        <f t="shared" si="16"/>
        <v/>
      </c>
      <c r="P917" s="5" t="str">
        <f>IF(M917="","",$C$2*(1-L917)*907.2/0.621371*N917*[1]Transportation!$M$40)</f>
        <v/>
      </c>
      <c r="Q917" s="5" t="str">
        <f>IF(L917="","",IF([1]Inputs_Outputs!$B$5="Herbaceous",(LCA!$E$29*'[1]LOCH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7" s="5" t="str">
        <f>IF(M917="","",$E$2*1000*'[1]LOCH Calc COE Calc'!$C$44)</f>
        <v/>
      </c>
      <c r="S917" s="6" t="str">
        <f>IF(N917="","",SUM(O917:R917)/('[1]LOCH Calc COE Calc'!$C$28))</f>
        <v/>
      </c>
      <c r="T917" t="str">
        <f>IF(L917="","",O917/'[1]LOCH Calc COE Calc'!$C$28)</f>
        <v/>
      </c>
      <c r="U917" t="str">
        <f>IF(L917="","",P917/'[1]LOCH Calc COE Calc'!$C$28)</f>
        <v/>
      </c>
      <c r="V917" t="str">
        <f>IF(L917="","",Q917/'[1]LOCH Calc COE Calc'!$C$28)</f>
        <v/>
      </c>
      <c r="W917" t="str">
        <f>IF(L917="","",R917/'[1]LOCH Calc COE Calc'!$C$28)</f>
        <v/>
      </c>
    </row>
    <row r="918" spans="12:23" x14ac:dyDescent="0.25">
      <c r="L918" s="4" t="str">
        <f>IF('[1]All Data '!BE923="","",'[1]All Data '!BE923)</f>
        <v/>
      </c>
      <c r="M918" t="str">
        <f>IF('[1]All Data '!BF923="","",'[1]All Data '!BF923)</f>
        <v/>
      </c>
      <c r="N918" s="5" t="str">
        <f>IF('[1]All Data '!BB923="","",'[1]All Data '!BC923/'[1]All Data '!BH923)</f>
        <v/>
      </c>
      <c r="O918" s="5" t="str">
        <f t="shared" si="16"/>
        <v/>
      </c>
      <c r="P918" s="5" t="str">
        <f>IF(M918="","",$C$2*(1-L918)*907.2/0.621371*N918*[1]Transportation!$M$40)</f>
        <v/>
      </c>
      <c r="Q918" s="5" t="str">
        <f>IF(L918="","",IF([1]Inputs_Outputs!$B$5="Herbaceous",(LCA!$E$29*'[1]LOCH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8" s="5" t="str">
        <f>IF(M918="","",$E$2*1000*'[1]LOCH Calc COE Calc'!$C$44)</f>
        <v/>
      </c>
      <c r="S918" s="6" t="str">
        <f>IF(N918="","",SUM(O918:R918)/('[1]LOCH Calc COE Calc'!$C$28))</f>
        <v/>
      </c>
      <c r="T918" t="str">
        <f>IF(L918="","",O918/'[1]LOCH Calc COE Calc'!$C$28)</f>
        <v/>
      </c>
      <c r="U918" t="str">
        <f>IF(L918="","",P918/'[1]LOCH Calc COE Calc'!$C$28)</f>
        <v/>
      </c>
      <c r="V918" t="str">
        <f>IF(L918="","",Q918/'[1]LOCH Calc COE Calc'!$C$28)</f>
        <v/>
      </c>
      <c r="W918" t="str">
        <f>IF(L918="","",R918/'[1]LOCH Calc COE Calc'!$C$28)</f>
        <v/>
      </c>
    </row>
    <row r="919" spans="12:23" x14ac:dyDescent="0.25">
      <c r="L919" s="4" t="str">
        <f>IF('[1]All Data '!BE924="","",'[1]All Data '!BE924)</f>
        <v/>
      </c>
      <c r="M919" t="str">
        <f>IF('[1]All Data '!BF924="","",'[1]All Data '!BF924)</f>
        <v/>
      </c>
      <c r="N919" s="5" t="str">
        <f>IF('[1]All Data '!BB924="","",'[1]All Data '!BC924/'[1]All Data '!BH924)</f>
        <v/>
      </c>
      <c r="O919" s="5" t="str">
        <f t="shared" si="16"/>
        <v/>
      </c>
      <c r="P919" s="5" t="str">
        <f>IF(M919="","",$C$2*(1-L919)*907.2/0.621371*N919*[1]Transportation!$M$40)</f>
        <v/>
      </c>
      <c r="Q919" s="5" t="str">
        <f>IF(L919="","",IF([1]Inputs_Outputs!$B$5="Herbaceous",(LCA!$E$29*'[1]LOCH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19" s="5" t="str">
        <f>IF(M919="","",$E$2*1000*'[1]LOCH Calc COE Calc'!$C$44)</f>
        <v/>
      </c>
      <c r="S919" s="6" t="str">
        <f>IF(N919="","",SUM(O919:R919)/('[1]LOCH Calc COE Calc'!$C$28))</f>
        <v/>
      </c>
      <c r="T919" t="str">
        <f>IF(L919="","",O919/'[1]LOCH Calc COE Calc'!$C$28)</f>
        <v/>
      </c>
      <c r="U919" t="str">
        <f>IF(L919="","",P919/'[1]LOCH Calc COE Calc'!$C$28)</f>
        <v/>
      </c>
      <c r="V919" t="str">
        <f>IF(L919="","",Q919/'[1]LOCH Calc COE Calc'!$C$28)</f>
        <v/>
      </c>
      <c r="W919" t="str">
        <f>IF(L919="","",R919/'[1]LOCH Calc COE Calc'!$C$28)</f>
        <v/>
      </c>
    </row>
    <row r="920" spans="12:23" x14ac:dyDescent="0.25">
      <c r="L920" s="4" t="str">
        <f>IF('[1]All Data '!BE925="","",'[1]All Data '!BE925)</f>
        <v/>
      </c>
      <c r="M920" t="str">
        <f>IF('[1]All Data '!BF925="","",'[1]All Data '!BF925)</f>
        <v/>
      </c>
      <c r="N920" s="5" t="str">
        <f>IF('[1]All Data '!BB925="","",'[1]All Data '!BC925/'[1]All Data '!BH925)</f>
        <v/>
      </c>
      <c r="O920" s="5" t="str">
        <f t="shared" si="16"/>
        <v/>
      </c>
      <c r="P920" s="5" t="str">
        <f>IF(M920="","",$C$2*(1-L920)*907.2/0.621371*N920*[1]Transportation!$M$40)</f>
        <v/>
      </c>
      <c r="Q920" s="5" t="str">
        <f>IF(L920="","",IF([1]Inputs_Outputs!$B$5="Herbaceous",(LCA!$E$29*'[1]LOCH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0" s="5" t="str">
        <f>IF(M920="","",$E$2*1000*'[1]LOCH Calc COE Calc'!$C$44)</f>
        <v/>
      </c>
      <c r="S920" s="6" t="str">
        <f>IF(N920="","",SUM(O920:R920)/('[1]LOCH Calc COE Calc'!$C$28))</f>
        <v/>
      </c>
      <c r="T920" t="str">
        <f>IF(L920="","",O920/'[1]LOCH Calc COE Calc'!$C$28)</f>
        <v/>
      </c>
      <c r="U920" t="str">
        <f>IF(L920="","",P920/'[1]LOCH Calc COE Calc'!$C$28)</f>
        <v/>
      </c>
      <c r="V920" t="str">
        <f>IF(L920="","",Q920/'[1]LOCH Calc COE Calc'!$C$28)</f>
        <v/>
      </c>
      <c r="W920" t="str">
        <f>IF(L920="","",R920/'[1]LOCH Calc COE Calc'!$C$28)</f>
        <v/>
      </c>
    </row>
    <row r="921" spans="12:23" x14ac:dyDescent="0.25">
      <c r="L921" s="4" t="str">
        <f>IF('[1]All Data '!BE926="","",'[1]All Data '!BE926)</f>
        <v/>
      </c>
      <c r="M921" t="str">
        <f>IF('[1]All Data '!BF926="","",'[1]All Data '!BF926)</f>
        <v/>
      </c>
      <c r="N921" s="5" t="str">
        <f>IF('[1]All Data '!BB926="","",'[1]All Data '!BC926/'[1]All Data '!BH926)</f>
        <v/>
      </c>
      <c r="O921" s="5" t="str">
        <f t="shared" si="16"/>
        <v/>
      </c>
      <c r="P921" s="5" t="str">
        <f>IF(M921="","",$C$2*(1-L921)*907.2/0.621371*N921*[1]Transportation!$M$40)</f>
        <v/>
      </c>
      <c r="Q921" s="5" t="str">
        <f>IF(L921="","",IF([1]Inputs_Outputs!$B$5="Herbaceous",(LCA!$E$29*'[1]LOCH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1" s="5" t="str">
        <f>IF(M921="","",$E$2*1000*'[1]LOCH Calc COE Calc'!$C$44)</f>
        <v/>
      </c>
      <c r="S921" s="6" t="str">
        <f>IF(N921="","",SUM(O921:R921)/('[1]LOCH Calc COE Calc'!$C$28))</f>
        <v/>
      </c>
      <c r="T921" t="str">
        <f>IF(L921="","",O921/'[1]LOCH Calc COE Calc'!$C$28)</f>
        <v/>
      </c>
      <c r="U921" t="str">
        <f>IF(L921="","",P921/'[1]LOCH Calc COE Calc'!$C$28)</f>
        <v/>
      </c>
      <c r="V921" t="str">
        <f>IF(L921="","",Q921/'[1]LOCH Calc COE Calc'!$C$28)</f>
        <v/>
      </c>
      <c r="W921" t="str">
        <f>IF(L921="","",R921/'[1]LOCH Calc COE Calc'!$C$28)</f>
        <v/>
      </c>
    </row>
    <row r="922" spans="12:23" x14ac:dyDescent="0.25">
      <c r="L922" s="4" t="str">
        <f>IF('[1]All Data '!BE927="","",'[1]All Data '!BE927)</f>
        <v/>
      </c>
      <c r="M922" t="str">
        <f>IF('[1]All Data '!BF927="","",'[1]All Data '!BF927)</f>
        <v/>
      </c>
      <c r="N922" s="5" t="str">
        <f>IF('[1]All Data '!BB927="","",'[1]All Data '!BC927/'[1]All Data '!BH927)</f>
        <v/>
      </c>
      <c r="O922" s="5" t="str">
        <f t="shared" si="16"/>
        <v/>
      </c>
      <c r="P922" s="5" t="str">
        <f>IF(M922="","",$C$2*(1-L922)*907.2/0.621371*N922*[1]Transportation!$M$40)</f>
        <v/>
      </c>
      <c r="Q922" s="5" t="str">
        <f>IF(L922="","",IF([1]Inputs_Outputs!$B$5="Herbaceous",(LCA!$E$29*'[1]LOCH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2" s="5" t="str">
        <f>IF(M922="","",$E$2*1000*'[1]LOCH Calc COE Calc'!$C$44)</f>
        <v/>
      </c>
      <c r="S922" s="6" t="str">
        <f>IF(N922="","",SUM(O922:R922)/('[1]LOCH Calc COE Calc'!$C$28))</f>
        <v/>
      </c>
      <c r="T922" t="str">
        <f>IF(L922="","",O922/'[1]LOCH Calc COE Calc'!$C$28)</f>
        <v/>
      </c>
      <c r="U922" t="str">
        <f>IF(L922="","",P922/'[1]LOCH Calc COE Calc'!$C$28)</f>
        <v/>
      </c>
      <c r="V922" t="str">
        <f>IF(L922="","",Q922/'[1]LOCH Calc COE Calc'!$C$28)</f>
        <v/>
      </c>
      <c r="W922" t="str">
        <f>IF(L922="","",R922/'[1]LOCH Calc COE Calc'!$C$28)</f>
        <v/>
      </c>
    </row>
    <row r="923" spans="12:23" x14ac:dyDescent="0.25">
      <c r="L923" s="4" t="str">
        <f>IF('[1]All Data '!BE928="","",'[1]All Data '!BE928)</f>
        <v/>
      </c>
      <c r="M923" t="str">
        <f>IF('[1]All Data '!BF928="","",'[1]All Data '!BF928)</f>
        <v/>
      </c>
      <c r="N923" s="5" t="str">
        <f>IF('[1]All Data '!BB928="","",'[1]All Data '!BC928/'[1]All Data '!BH928)</f>
        <v/>
      </c>
      <c r="O923" s="5" t="str">
        <f t="shared" si="16"/>
        <v/>
      </c>
      <c r="P923" s="5" t="str">
        <f>IF(M923="","",$C$2*(1-L923)*907.2/0.621371*N923*[1]Transportation!$M$40)</f>
        <v/>
      </c>
      <c r="Q923" s="5" t="str">
        <f>IF(L923="","",IF([1]Inputs_Outputs!$B$5="Herbaceous",(LCA!$E$29*'[1]LOCH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3" s="5" t="str">
        <f>IF(M923="","",$E$2*1000*'[1]LOCH Calc COE Calc'!$C$44)</f>
        <v/>
      </c>
      <c r="S923" s="6" t="str">
        <f>IF(N923="","",SUM(O923:R923)/('[1]LOCH Calc COE Calc'!$C$28))</f>
        <v/>
      </c>
      <c r="T923" t="str">
        <f>IF(L923="","",O923/'[1]LOCH Calc COE Calc'!$C$28)</f>
        <v/>
      </c>
      <c r="U923" t="str">
        <f>IF(L923="","",P923/'[1]LOCH Calc COE Calc'!$C$28)</f>
        <v/>
      </c>
      <c r="V923" t="str">
        <f>IF(L923="","",Q923/'[1]LOCH Calc COE Calc'!$C$28)</f>
        <v/>
      </c>
      <c r="W923" t="str">
        <f>IF(L923="","",R923/'[1]LOCH Calc COE Calc'!$C$28)</f>
        <v/>
      </c>
    </row>
    <row r="924" spans="12:23" x14ac:dyDescent="0.25">
      <c r="L924" s="4" t="str">
        <f>IF('[1]All Data '!BE929="","",'[1]All Data '!BE929)</f>
        <v/>
      </c>
      <c r="M924" t="str">
        <f>IF('[1]All Data '!BF929="","",'[1]All Data '!BF929)</f>
        <v/>
      </c>
      <c r="N924" s="5" t="str">
        <f>IF('[1]All Data '!BB929="","",'[1]All Data '!BC929/'[1]All Data '!BH929)</f>
        <v/>
      </c>
      <c r="O924" s="5" t="str">
        <f t="shared" si="16"/>
        <v/>
      </c>
      <c r="P924" s="5" t="str">
        <f>IF(M924="","",$C$2*(1-L924)*907.2/0.621371*N924*[1]Transportation!$M$40)</f>
        <v/>
      </c>
      <c r="Q924" s="5" t="str">
        <f>IF(L924="","",IF([1]Inputs_Outputs!$B$5="Herbaceous",(LCA!$E$29*'[1]LOCH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4" s="5" t="str">
        <f>IF(M924="","",$E$2*1000*'[1]LOCH Calc COE Calc'!$C$44)</f>
        <v/>
      </c>
      <c r="S924" s="6" t="str">
        <f>IF(N924="","",SUM(O924:R924)/('[1]LOCH Calc COE Calc'!$C$28))</f>
        <v/>
      </c>
      <c r="T924" t="str">
        <f>IF(L924="","",O924/'[1]LOCH Calc COE Calc'!$C$28)</f>
        <v/>
      </c>
      <c r="U924" t="str">
        <f>IF(L924="","",P924/'[1]LOCH Calc COE Calc'!$C$28)</f>
        <v/>
      </c>
      <c r="V924" t="str">
        <f>IF(L924="","",Q924/'[1]LOCH Calc COE Calc'!$C$28)</f>
        <v/>
      </c>
      <c r="W924" t="str">
        <f>IF(L924="","",R924/'[1]LOCH Calc COE Calc'!$C$28)</f>
        <v/>
      </c>
    </row>
    <row r="925" spans="12:23" x14ac:dyDescent="0.25">
      <c r="L925" s="4" t="str">
        <f>IF('[1]All Data '!BE930="","",'[1]All Data '!BE930)</f>
        <v/>
      </c>
      <c r="M925" t="str">
        <f>IF('[1]All Data '!BF930="","",'[1]All Data '!BF930)</f>
        <v/>
      </c>
      <c r="N925" s="5" t="str">
        <f>IF('[1]All Data '!BB930="","",'[1]All Data '!BC930/'[1]All Data '!BH930)</f>
        <v/>
      </c>
      <c r="O925" s="5" t="str">
        <f t="shared" si="16"/>
        <v/>
      </c>
      <c r="P925" s="5" t="str">
        <f>IF(M925="","",$C$2*(1-L925)*907.2/0.621371*N925*[1]Transportation!$M$40)</f>
        <v/>
      </c>
      <c r="Q925" s="5" t="str">
        <f>IF(L925="","",IF([1]Inputs_Outputs!$B$5="Herbaceous",(LCA!$E$29*'[1]LOCH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5" s="5" t="str">
        <f>IF(M925="","",$E$2*1000*'[1]LOCH Calc COE Calc'!$C$44)</f>
        <v/>
      </c>
      <c r="S925" s="6" t="str">
        <f>IF(N925="","",SUM(O925:R925)/('[1]LOCH Calc COE Calc'!$C$28))</f>
        <v/>
      </c>
      <c r="T925" t="str">
        <f>IF(L925="","",O925/'[1]LOCH Calc COE Calc'!$C$28)</f>
        <v/>
      </c>
      <c r="U925" t="str">
        <f>IF(L925="","",P925/'[1]LOCH Calc COE Calc'!$C$28)</f>
        <v/>
      </c>
      <c r="V925" t="str">
        <f>IF(L925="","",Q925/'[1]LOCH Calc COE Calc'!$C$28)</f>
        <v/>
      </c>
      <c r="W925" t="str">
        <f>IF(L925="","",R925/'[1]LOCH Calc COE Calc'!$C$28)</f>
        <v/>
      </c>
    </row>
    <row r="926" spans="12:23" x14ac:dyDescent="0.25">
      <c r="L926" s="4" t="str">
        <f>IF('[1]All Data '!BE931="","",'[1]All Data '!BE931)</f>
        <v/>
      </c>
      <c r="M926" t="str">
        <f>IF('[1]All Data '!BF931="","",'[1]All Data '!BF931)</f>
        <v/>
      </c>
      <c r="N926" s="5" t="str">
        <f>IF('[1]All Data '!BB931="","",'[1]All Data '!BC931/'[1]All Data '!BH931)</f>
        <v/>
      </c>
      <c r="O926" s="5" t="str">
        <f t="shared" si="16"/>
        <v/>
      </c>
      <c r="P926" s="5" t="str">
        <f>IF(M926="","",$C$2*(1-L926)*907.2/0.621371*N926*[1]Transportation!$M$40)</f>
        <v/>
      </c>
      <c r="Q926" s="5" t="str">
        <f>IF(L926="","",IF([1]Inputs_Outputs!$B$5="Herbaceous",(LCA!$E$29*'[1]LOCH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6" s="5" t="str">
        <f>IF(M926="","",$E$2*1000*'[1]LOCH Calc COE Calc'!$C$44)</f>
        <v/>
      </c>
      <c r="S926" s="6" t="str">
        <f>IF(N926="","",SUM(O926:R926)/('[1]LOCH Calc COE Calc'!$C$28))</f>
        <v/>
      </c>
      <c r="T926" t="str">
        <f>IF(L926="","",O926/'[1]LOCH Calc COE Calc'!$C$28)</f>
        <v/>
      </c>
      <c r="U926" t="str">
        <f>IF(L926="","",P926/'[1]LOCH Calc COE Calc'!$C$28)</f>
        <v/>
      </c>
      <c r="V926" t="str">
        <f>IF(L926="","",Q926/'[1]LOCH Calc COE Calc'!$C$28)</f>
        <v/>
      </c>
      <c r="W926" t="str">
        <f>IF(L926="","",R926/'[1]LOCH Calc COE Calc'!$C$28)</f>
        <v/>
      </c>
    </row>
    <row r="927" spans="12:23" x14ac:dyDescent="0.25">
      <c r="L927" s="4" t="str">
        <f>IF('[1]All Data '!BE932="","",'[1]All Data '!BE932)</f>
        <v/>
      </c>
      <c r="M927" t="str">
        <f>IF('[1]All Data '!BF932="","",'[1]All Data '!BF932)</f>
        <v/>
      </c>
      <c r="N927" s="5" t="str">
        <f>IF('[1]All Data '!BB932="","",'[1]All Data '!BC932/'[1]All Data '!BH932)</f>
        <v/>
      </c>
      <c r="O927" s="5" t="str">
        <f t="shared" si="16"/>
        <v/>
      </c>
      <c r="P927" s="5" t="str">
        <f>IF(M927="","",$C$2*(1-L927)*907.2/0.621371*N927*[1]Transportation!$M$40)</f>
        <v/>
      </c>
      <c r="Q927" s="5" t="str">
        <f>IF(L927="","",IF([1]Inputs_Outputs!$B$5="Herbaceous",(LCA!$E$29*'[1]LOCH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7" s="5" t="str">
        <f>IF(M927="","",$E$2*1000*'[1]LOCH Calc COE Calc'!$C$44)</f>
        <v/>
      </c>
      <c r="S927" s="6" t="str">
        <f>IF(N927="","",SUM(O927:R927)/('[1]LOCH Calc COE Calc'!$C$28))</f>
        <v/>
      </c>
      <c r="T927" t="str">
        <f>IF(L927="","",O927/'[1]LOCH Calc COE Calc'!$C$28)</f>
        <v/>
      </c>
      <c r="U927" t="str">
        <f>IF(L927="","",P927/'[1]LOCH Calc COE Calc'!$C$28)</f>
        <v/>
      </c>
      <c r="V927" t="str">
        <f>IF(L927="","",Q927/'[1]LOCH Calc COE Calc'!$C$28)</f>
        <v/>
      </c>
      <c r="W927" t="str">
        <f>IF(L927="","",R927/'[1]LOCH Calc COE Calc'!$C$28)</f>
        <v/>
      </c>
    </row>
    <row r="928" spans="12:23" x14ac:dyDescent="0.25">
      <c r="L928" s="4" t="str">
        <f>IF('[1]All Data '!BE933="","",'[1]All Data '!BE933)</f>
        <v/>
      </c>
      <c r="M928" t="str">
        <f>IF('[1]All Data '!BF933="","",'[1]All Data '!BF933)</f>
        <v/>
      </c>
      <c r="N928" s="5" t="str">
        <f>IF('[1]All Data '!BB933="","",'[1]All Data '!BC933/'[1]All Data '!BH933)</f>
        <v/>
      </c>
      <c r="O928" s="5" t="str">
        <f t="shared" si="16"/>
        <v/>
      </c>
      <c r="P928" s="5" t="str">
        <f>IF(M928="","",$C$2*(1-L928)*907.2/0.621371*N928*[1]Transportation!$M$40)</f>
        <v/>
      </c>
      <c r="Q928" s="5" t="str">
        <f>IF(L928="","",IF([1]Inputs_Outputs!$B$5="Herbaceous",(LCA!$E$29*'[1]LOCH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8" s="5" t="str">
        <f>IF(M928="","",$E$2*1000*'[1]LOCH Calc COE Calc'!$C$44)</f>
        <v/>
      </c>
      <c r="S928" s="6" t="str">
        <f>IF(N928="","",SUM(O928:R928)/('[1]LOCH Calc COE Calc'!$C$28))</f>
        <v/>
      </c>
      <c r="T928" t="str">
        <f>IF(L928="","",O928/'[1]LOCH Calc COE Calc'!$C$28)</f>
        <v/>
      </c>
      <c r="U928" t="str">
        <f>IF(L928="","",P928/'[1]LOCH Calc COE Calc'!$C$28)</f>
        <v/>
      </c>
      <c r="V928" t="str">
        <f>IF(L928="","",Q928/'[1]LOCH Calc COE Calc'!$C$28)</f>
        <v/>
      </c>
      <c r="W928" t="str">
        <f>IF(L928="","",R928/'[1]LOCH Calc COE Calc'!$C$28)</f>
        <v/>
      </c>
    </row>
    <row r="929" spans="12:23" x14ac:dyDescent="0.25">
      <c r="L929" s="4" t="str">
        <f>IF('[1]All Data '!BE934="","",'[1]All Data '!BE934)</f>
        <v/>
      </c>
      <c r="M929" t="str">
        <f>IF('[1]All Data '!BF934="","",'[1]All Data '!BF934)</f>
        <v/>
      </c>
      <c r="N929" s="5" t="str">
        <f>IF('[1]All Data '!BB934="","",'[1]All Data '!BC934/'[1]All Data '!BH934)</f>
        <v/>
      </c>
      <c r="O929" s="5" t="str">
        <f t="shared" si="16"/>
        <v/>
      </c>
      <c r="P929" s="5" t="str">
        <f>IF(M929="","",$C$2*(1-L929)*907.2/0.621371*N929*[1]Transportation!$M$40)</f>
        <v/>
      </c>
      <c r="Q929" s="5" t="str">
        <f>IF(L929="","",IF([1]Inputs_Outputs!$B$5="Herbaceous",(LCA!$E$29*'[1]LOCH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29" s="5" t="str">
        <f>IF(M929="","",$E$2*1000*'[1]LOCH Calc COE Calc'!$C$44)</f>
        <v/>
      </c>
      <c r="S929" s="6" t="str">
        <f>IF(N929="","",SUM(O929:R929)/('[1]LOCH Calc COE Calc'!$C$28))</f>
        <v/>
      </c>
      <c r="T929" t="str">
        <f>IF(L929="","",O929/'[1]LOCH Calc COE Calc'!$C$28)</f>
        <v/>
      </c>
      <c r="U929" t="str">
        <f>IF(L929="","",P929/'[1]LOCH Calc COE Calc'!$C$28)</f>
        <v/>
      </c>
      <c r="V929" t="str">
        <f>IF(L929="","",Q929/'[1]LOCH Calc COE Calc'!$C$28)</f>
        <v/>
      </c>
      <c r="W929" t="str">
        <f>IF(L929="","",R929/'[1]LOCH Calc COE Calc'!$C$28)</f>
        <v/>
      </c>
    </row>
    <row r="930" spans="12:23" x14ac:dyDescent="0.25">
      <c r="L930" s="4" t="str">
        <f>IF('[1]All Data '!BE935="","",'[1]All Data '!BE935)</f>
        <v/>
      </c>
      <c r="M930" t="str">
        <f>IF('[1]All Data '!BF935="","",'[1]All Data '!BF935)</f>
        <v/>
      </c>
      <c r="N930" s="5" t="str">
        <f>IF('[1]All Data '!BB935="","",'[1]All Data '!BC935/'[1]All Data '!BH935)</f>
        <v/>
      </c>
      <c r="O930" s="5" t="str">
        <f t="shared" si="16"/>
        <v/>
      </c>
      <c r="P930" s="5" t="str">
        <f>IF(M930="","",$C$2*(1-L930)*907.2/0.621371*N930*[1]Transportation!$M$40)</f>
        <v/>
      </c>
      <c r="Q930" s="5" t="str">
        <f>IF(L930="","",IF([1]Inputs_Outputs!$B$5="Herbaceous",(LCA!$E$29*'[1]LOCH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0" s="5" t="str">
        <f>IF(M930="","",$E$2*1000*'[1]LOCH Calc COE Calc'!$C$44)</f>
        <v/>
      </c>
      <c r="S930" s="6" t="str">
        <f>IF(N930="","",SUM(O930:R930)/('[1]LOCH Calc COE Calc'!$C$28))</f>
        <v/>
      </c>
      <c r="T930" t="str">
        <f>IF(L930="","",O930/'[1]LOCH Calc COE Calc'!$C$28)</f>
        <v/>
      </c>
      <c r="U930" t="str">
        <f>IF(L930="","",P930/'[1]LOCH Calc COE Calc'!$C$28)</f>
        <v/>
      </c>
      <c r="V930" t="str">
        <f>IF(L930="","",Q930/'[1]LOCH Calc COE Calc'!$C$28)</f>
        <v/>
      </c>
      <c r="W930" t="str">
        <f>IF(L930="","",R930/'[1]LOCH Calc COE Calc'!$C$28)</f>
        <v/>
      </c>
    </row>
    <row r="931" spans="12:23" x14ac:dyDescent="0.25">
      <c r="L931" s="4" t="str">
        <f>IF('[1]All Data '!BE936="","",'[1]All Data '!BE936)</f>
        <v/>
      </c>
      <c r="M931" t="str">
        <f>IF('[1]All Data '!BF936="","",'[1]All Data '!BF936)</f>
        <v/>
      </c>
      <c r="N931" s="5" t="str">
        <f>IF('[1]All Data '!BB936="","",'[1]All Data '!BC936/'[1]All Data '!BH936)</f>
        <v/>
      </c>
      <c r="O931" s="5" t="str">
        <f t="shared" si="16"/>
        <v/>
      </c>
      <c r="P931" s="5" t="str">
        <f>IF(M931="","",$C$2*(1-L931)*907.2/0.621371*N931*[1]Transportation!$M$40)</f>
        <v/>
      </c>
      <c r="Q931" s="5" t="str">
        <f>IF(L931="","",IF([1]Inputs_Outputs!$B$5="Herbaceous",(LCA!$E$29*'[1]LOCH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1" s="5" t="str">
        <f>IF(M931="","",$E$2*1000*'[1]LOCH Calc COE Calc'!$C$44)</f>
        <v/>
      </c>
      <c r="S931" s="6" t="str">
        <f>IF(N931="","",SUM(O931:R931)/('[1]LOCH Calc COE Calc'!$C$28))</f>
        <v/>
      </c>
      <c r="T931" t="str">
        <f>IF(L931="","",O931/'[1]LOCH Calc COE Calc'!$C$28)</f>
        <v/>
      </c>
      <c r="U931" t="str">
        <f>IF(L931="","",P931/'[1]LOCH Calc COE Calc'!$C$28)</f>
        <v/>
      </c>
      <c r="V931" t="str">
        <f>IF(L931="","",Q931/'[1]LOCH Calc COE Calc'!$C$28)</f>
        <v/>
      </c>
      <c r="W931" t="str">
        <f>IF(L931="","",R931/'[1]LOCH Calc COE Calc'!$C$28)</f>
        <v/>
      </c>
    </row>
    <row r="932" spans="12:23" x14ac:dyDescent="0.25">
      <c r="L932" s="4" t="str">
        <f>IF('[1]All Data '!BE937="","",'[1]All Data '!BE937)</f>
        <v/>
      </c>
      <c r="M932" t="str">
        <f>IF('[1]All Data '!BF937="","",'[1]All Data '!BF937)</f>
        <v/>
      </c>
      <c r="N932" s="5" t="str">
        <f>IF('[1]All Data '!BB937="","",'[1]All Data '!BC937/'[1]All Data '!BH937)</f>
        <v/>
      </c>
      <c r="O932" s="5" t="str">
        <f t="shared" si="16"/>
        <v/>
      </c>
      <c r="P932" s="5" t="str">
        <f>IF(M932="","",$C$2*(1-L932)*907.2/0.621371*N932*[1]Transportation!$M$40)</f>
        <v/>
      </c>
      <c r="Q932" s="5" t="str">
        <f>IF(L932="","",IF([1]Inputs_Outputs!$B$5="Herbaceous",(LCA!$E$29*'[1]LOCH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2" s="5" t="str">
        <f>IF(M932="","",$E$2*1000*'[1]LOCH Calc COE Calc'!$C$44)</f>
        <v/>
      </c>
      <c r="S932" s="6" t="str">
        <f>IF(N932="","",SUM(O932:R932)/('[1]LOCH Calc COE Calc'!$C$28))</f>
        <v/>
      </c>
      <c r="T932" t="str">
        <f>IF(L932="","",O932/'[1]LOCH Calc COE Calc'!$C$28)</f>
        <v/>
      </c>
      <c r="U932" t="str">
        <f>IF(L932="","",P932/'[1]LOCH Calc COE Calc'!$C$28)</f>
        <v/>
      </c>
      <c r="V932" t="str">
        <f>IF(L932="","",Q932/'[1]LOCH Calc COE Calc'!$C$28)</f>
        <v/>
      </c>
      <c r="W932" t="str">
        <f>IF(L932="","",R932/'[1]LOCH Calc COE Calc'!$C$28)</f>
        <v/>
      </c>
    </row>
    <row r="933" spans="12:23" x14ac:dyDescent="0.25">
      <c r="L933" s="4" t="str">
        <f>IF('[1]All Data '!BE938="","",'[1]All Data '!BE938)</f>
        <v/>
      </c>
      <c r="M933" t="str">
        <f>IF('[1]All Data '!BF938="","",'[1]All Data '!BF938)</f>
        <v/>
      </c>
      <c r="N933" s="5" t="str">
        <f>IF('[1]All Data '!BB938="","",'[1]All Data '!BC938/'[1]All Data '!BH938)</f>
        <v/>
      </c>
      <c r="O933" s="5" t="str">
        <f t="shared" si="16"/>
        <v/>
      </c>
      <c r="P933" s="5" t="str">
        <f>IF(M933="","",$C$2*(1-L933)*907.2/0.621371*N933*[1]Transportation!$M$40)</f>
        <v/>
      </c>
      <c r="Q933" s="5" t="str">
        <f>IF(L933="","",IF([1]Inputs_Outputs!$B$5="Herbaceous",(LCA!$E$29*'[1]LOCH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3" s="5" t="str">
        <f>IF(M933="","",$E$2*1000*'[1]LOCH Calc COE Calc'!$C$44)</f>
        <v/>
      </c>
      <c r="S933" s="6" t="str">
        <f>IF(N933="","",SUM(O933:R933)/('[1]LOCH Calc COE Calc'!$C$28))</f>
        <v/>
      </c>
      <c r="T933" t="str">
        <f>IF(L933="","",O933/'[1]LOCH Calc COE Calc'!$C$28)</f>
        <v/>
      </c>
      <c r="U933" t="str">
        <f>IF(L933="","",P933/'[1]LOCH Calc COE Calc'!$C$28)</f>
        <v/>
      </c>
      <c r="V933" t="str">
        <f>IF(L933="","",Q933/'[1]LOCH Calc COE Calc'!$C$28)</f>
        <v/>
      </c>
      <c r="W933" t="str">
        <f>IF(L933="","",R933/'[1]LOCH Calc COE Calc'!$C$28)</f>
        <v/>
      </c>
    </row>
    <row r="934" spans="12:23" x14ac:dyDescent="0.25">
      <c r="L934" s="4" t="str">
        <f>IF('[1]All Data '!BE939="","",'[1]All Data '!BE939)</f>
        <v/>
      </c>
      <c r="M934" t="str">
        <f>IF('[1]All Data '!BF939="","",'[1]All Data '!BF939)</f>
        <v/>
      </c>
      <c r="N934" s="5" t="str">
        <f>IF('[1]All Data '!BB939="","",'[1]All Data '!BC939/'[1]All Data '!BH939)</f>
        <v/>
      </c>
      <c r="O934" s="5" t="str">
        <f t="shared" si="16"/>
        <v/>
      </c>
      <c r="P934" s="5" t="str">
        <f>IF(M934="","",$C$2*(1-L934)*907.2/0.621371*N934*[1]Transportation!$M$40)</f>
        <v/>
      </c>
      <c r="Q934" s="5" t="str">
        <f>IF(L934="","",IF([1]Inputs_Outputs!$B$5="Herbaceous",(LCA!$E$29*'[1]LOCH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4" s="5" t="str">
        <f>IF(M934="","",$E$2*1000*'[1]LOCH Calc COE Calc'!$C$44)</f>
        <v/>
      </c>
      <c r="S934" s="6" t="str">
        <f>IF(N934="","",SUM(O934:R934)/('[1]LOCH Calc COE Calc'!$C$28))</f>
        <v/>
      </c>
      <c r="T934" t="str">
        <f>IF(L934="","",O934/'[1]LOCH Calc COE Calc'!$C$28)</f>
        <v/>
      </c>
      <c r="U934" t="str">
        <f>IF(L934="","",P934/'[1]LOCH Calc COE Calc'!$C$28)</f>
        <v/>
      </c>
      <c r="V934" t="str">
        <f>IF(L934="","",Q934/'[1]LOCH Calc COE Calc'!$C$28)</f>
        <v/>
      </c>
      <c r="W934" t="str">
        <f>IF(L934="","",R934/'[1]LOCH Calc COE Calc'!$C$28)</f>
        <v/>
      </c>
    </row>
    <row r="935" spans="12:23" x14ac:dyDescent="0.25">
      <c r="L935" s="4" t="str">
        <f>IF('[1]All Data '!BE940="","",'[1]All Data '!BE940)</f>
        <v/>
      </c>
      <c r="M935" t="str">
        <f>IF('[1]All Data '!BF940="","",'[1]All Data '!BF940)</f>
        <v/>
      </c>
      <c r="N935" s="5" t="str">
        <f>IF('[1]All Data '!BB940="","",'[1]All Data '!BC940/'[1]All Data '!BH940)</f>
        <v/>
      </c>
      <c r="O935" s="5" t="str">
        <f t="shared" si="16"/>
        <v/>
      </c>
      <c r="P935" s="5" t="str">
        <f>IF(M935="","",$C$2*(1-L935)*907.2/0.621371*N935*[1]Transportation!$M$40)</f>
        <v/>
      </c>
      <c r="Q935" s="5" t="str">
        <f>IF(L935="","",IF([1]Inputs_Outputs!$B$5="Herbaceous",(LCA!$E$29*'[1]LOCH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5" s="5" t="str">
        <f>IF(M935="","",$E$2*1000*'[1]LOCH Calc COE Calc'!$C$44)</f>
        <v/>
      </c>
      <c r="S935" s="6" t="str">
        <f>IF(N935="","",SUM(O935:R935)/('[1]LOCH Calc COE Calc'!$C$28))</f>
        <v/>
      </c>
      <c r="T935" t="str">
        <f>IF(L935="","",O935/'[1]LOCH Calc COE Calc'!$C$28)</f>
        <v/>
      </c>
      <c r="U935" t="str">
        <f>IF(L935="","",P935/'[1]LOCH Calc COE Calc'!$C$28)</f>
        <v/>
      </c>
      <c r="V935" t="str">
        <f>IF(L935="","",Q935/'[1]LOCH Calc COE Calc'!$C$28)</f>
        <v/>
      </c>
      <c r="W935" t="str">
        <f>IF(L935="","",R935/'[1]LOCH Calc COE Calc'!$C$28)</f>
        <v/>
      </c>
    </row>
    <row r="936" spans="12:23" x14ac:dyDescent="0.25">
      <c r="L936" s="4" t="str">
        <f>IF('[1]All Data '!BE941="","",'[1]All Data '!BE941)</f>
        <v/>
      </c>
      <c r="M936" t="str">
        <f>IF('[1]All Data '!BF941="","",'[1]All Data '!BF941)</f>
        <v/>
      </c>
      <c r="N936" s="5" t="str">
        <f>IF('[1]All Data '!BB941="","",'[1]All Data '!BC941/'[1]All Data '!BH941)</f>
        <v/>
      </c>
      <c r="O936" s="5" t="str">
        <f t="shared" si="16"/>
        <v/>
      </c>
      <c r="P936" s="5" t="str">
        <f>IF(M936="","",$C$2*(1-L936)*907.2/0.621371*N936*[1]Transportation!$M$40)</f>
        <v/>
      </c>
      <c r="Q936" s="5" t="str">
        <f>IF(L936="","",IF([1]Inputs_Outputs!$B$5="Herbaceous",(LCA!$E$29*'[1]LOCH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6" s="5" t="str">
        <f>IF(M936="","",$E$2*1000*'[1]LOCH Calc COE Calc'!$C$44)</f>
        <v/>
      </c>
      <c r="S936" s="6" t="str">
        <f>IF(N936="","",SUM(O936:R936)/('[1]LOCH Calc COE Calc'!$C$28))</f>
        <v/>
      </c>
      <c r="T936" t="str">
        <f>IF(L936="","",O936/'[1]LOCH Calc COE Calc'!$C$28)</f>
        <v/>
      </c>
      <c r="U936" t="str">
        <f>IF(L936="","",P936/'[1]LOCH Calc COE Calc'!$C$28)</f>
        <v/>
      </c>
      <c r="V936" t="str">
        <f>IF(L936="","",Q936/'[1]LOCH Calc COE Calc'!$C$28)</f>
        <v/>
      </c>
      <c r="W936" t="str">
        <f>IF(L936="","",R936/'[1]LOCH Calc COE Calc'!$C$28)</f>
        <v/>
      </c>
    </row>
    <row r="937" spans="12:23" x14ac:dyDescent="0.25">
      <c r="L937" s="4" t="str">
        <f>IF('[1]All Data '!BE942="","",'[1]All Data '!BE942)</f>
        <v/>
      </c>
      <c r="M937" t="str">
        <f>IF('[1]All Data '!BF942="","",'[1]All Data '!BF942)</f>
        <v/>
      </c>
      <c r="N937" s="5" t="str">
        <f>IF('[1]All Data '!BB942="","",'[1]All Data '!BC942/'[1]All Data '!BH942)</f>
        <v/>
      </c>
      <c r="O937" s="5" t="str">
        <f t="shared" si="16"/>
        <v/>
      </c>
      <c r="P937" s="5" t="str">
        <f>IF(M937="","",$C$2*(1-L937)*907.2/0.621371*N937*[1]Transportation!$M$40)</f>
        <v/>
      </c>
      <c r="Q937" s="5" t="str">
        <f>IF(L937="","",IF([1]Inputs_Outputs!$B$5="Herbaceous",(LCA!$E$29*'[1]LOCH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7" s="5" t="str">
        <f>IF(M937="","",$E$2*1000*'[1]LOCH Calc COE Calc'!$C$44)</f>
        <v/>
      </c>
      <c r="S937" s="6" t="str">
        <f>IF(N937="","",SUM(O937:R937)/('[1]LOCH Calc COE Calc'!$C$28))</f>
        <v/>
      </c>
      <c r="T937" t="str">
        <f>IF(L937="","",O937/'[1]LOCH Calc COE Calc'!$C$28)</f>
        <v/>
      </c>
      <c r="U937" t="str">
        <f>IF(L937="","",P937/'[1]LOCH Calc COE Calc'!$C$28)</f>
        <v/>
      </c>
      <c r="V937" t="str">
        <f>IF(L937="","",Q937/'[1]LOCH Calc COE Calc'!$C$28)</f>
        <v/>
      </c>
      <c r="W937" t="str">
        <f>IF(L937="","",R937/'[1]LOCH Calc COE Calc'!$C$28)</f>
        <v/>
      </c>
    </row>
    <row r="938" spans="12:23" x14ac:dyDescent="0.25">
      <c r="L938" s="4" t="str">
        <f>IF('[1]All Data '!BE943="","",'[1]All Data '!BE943)</f>
        <v/>
      </c>
      <c r="M938" t="str">
        <f>IF('[1]All Data '!BF943="","",'[1]All Data '!BF943)</f>
        <v/>
      </c>
      <c r="N938" s="5" t="str">
        <f>IF('[1]All Data '!BB943="","",'[1]All Data '!BC943/'[1]All Data '!BH943)</f>
        <v/>
      </c>
      <c r="O938" s="5" t="str">
        <f t="shared" si="16"/>
        <v/>
      </c>
      <c r="P938" s="5" t="str">
        <f>IF(M938="","",$C$2*(1-L938)*907.2/0.621371*N938*[1]Transportation!$M$40)</f>
        <v/>
      </c>
      <c r="Q938" s="5" t="str">
        <f>IF(L938="","",IF([1]Inputs_Outputs!$B$5="Herbaceous",(LCA!$E$29*'[1]LOCH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8" s="5" t="str">
        <f>IF(M938="","",$E$2*1000*'[1]LOCH Calc COE Calc'!$C$44)</f>
        <v/>
      </c>
      <c r="S938" s="6" t="str">
        <f>IF(N938="","",SUM(O938:R938)/('[1]LOCH Calc COE Calc'!$C$28))</f>
        <v/>
      </c>
      <c r="T938" t="str">
        <f>IF(L938="","",O938/'[1]LOCH Calc COE Calc'!$C$28)</f>
        <v/>
      </c>
      <c r="U938" t="str">
        <f>IF(L938="","",P938/'[1]LOCH Calc COE Calc'!$C$28)</f>
        <v/>
      </c>
      <c r="V938" t="str">
        <f>IF(L938="","",Q938/'[1]LOCH Calc COE Calc'!$C$28)</f>
        <v/>
      </c>
      <c r="W938" t="str">
        <f>IF(L938="","",R938/'[1]LOCH Calc COE Calc'!$C$28)</f>
        <v/>
      </c>
    </row>
    <row r="939" spans="12:23" x14ac:dyDescent="0.25">
      <c r="L939" s="4" t="str">
        <f>IF('[1]All Data '!BE944="","",'[1]All Data '!BE944)</f>
        <v/>
      </c>
      <c r="M939" t="str">
        <f>IF('[1]All Data '!BF944="","",'[1]All Data '!BF944)</f>
        <v/>
      </c>
      <c r="N939" s="5" t="str">
        <f>IF('[1]All Data '!BB944="","",'[1]All Data '!BC944/'[1]All Data '!BH944)</f>
        <v/>
      </c>
      <c r="O939" s="5" t="str">
        <f t="shared" si="16"/>
        <v/>
      </c>
      <c r="P939" s="5" t="str">
        <f>IF(M939="","",$C$2*(1-L939)*907.2/0.621371*N939*[1]Transportation!$M$40)</f>
        <v/>
      </c>
      <c r="Q939" s="5" t="str">
        <f>IF(L939="","",IF([1]Inputs_Outputs!$B$5="Herbaceous",(LCA!$E$29*'[1]LOCH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39" s="5" t="str">
        <f>IF(M939="","",$E$2*1000*'[1]LOCH Calc COE Calc'!$C$44)</f>
        <v/>
      </c>
      <c r="S939" s="6" t="str">
        <f>IF(N939="","",SUM(O939:R939)/('[1]LOCH Calc COE Calc'!$C$28))</f>
        <v/>
      </c>
      <c r="T939" t="str">
        <f>IF(L939="","",O939/'[1]LOCH Calc COE Calc'!$C$28)</f>
        <v/>
      </c>
      <c r="U939" t="str">
        <f>IF(L939="","",P939/'[1]LOCH Calc COE Calc'!$C$28)</f>
        <v/>
      </c>
      <c r="V939" t="str">
        <f>IF(L939="","",Q939/'[1]LOCH Calc COE Calc'!$C$28)</f>
        <v/>
      </c>
      <c r="W939" t="str">
        <f>IF(L939="","",R939/'[1]LOCH Calc COE Calc'!$C$28)</f>
        <v/>
      </c>
    </row>
    <row r="940" spans="12:23" x14ac:dyDescent="0.25">
      <c r="L940" s="4" t="str">
        <f>IF('[1]All Data '!BE945="","",'[1]All Data '!BE945)</f>
        <v/>
      </c>
      <c r="M940" t="str">
        <f>IF('[1]All Data '!BF945="","",'[1]All Data '!BF945)</f>
        <v/>
      </c>
      <c r="N940" s="5" t="str">
        <f>IF('[1]All Data '!BB945="","",'[1]All Data '!BC945/'[1]All Data '!BH945)</f>
        <v/>
      </c>
      <c r="O940" s="5" t="str">
        <f t="shared" si="16"/>
        <v/>
      </c>
      <c r="P940" s="5" t="str">
        <f>IF(M940="","",$C$2*(1-L940)*907.2/0.621371*N940*[1]Transportation!$M$40)</f>
        <v/>
      </c>
      <c r="Q940" s="5" t="str">
        <f>IF(L940="","",IF([1]Inputs_Outputs!$B$5="Herbaceous",(LCA!$E$29*'[1]LOCH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0" s="5" t="str">
        <f>IF(M940="","",$E$2*1000*'[1]LOCH Calc COE Calc'!$C$44)</f>
        <v/>
      </c>
      <c r="S940" s="6" t="str">
        <f>IF(N940="","",SUM(O940:R940)/('[1]LOCH Calc COE Calc'!$C$28))</f>
        <v/>
      </c>
      <c r="T940" t="str">
        <f>IF(L940="","",O940/'[1]LOCH Calc COE Calc'!$C$28)</f>
        <v/>
      </c>
      <c r="U940" t="str">
        <f>IF(L940="","",P940/'[1]LOCH Calc COE Calc'!$C$28)</f>
        <v/>
      </c>
      <c r="V940" t="str">
        <f>IF(L940="","",Q940/'[1]LOCH Calc COE Calc'!$C$28)</f>
        <v/>
      </c>
      <c r="W940" t="str">
        <f>IF(L940="","",R940/'[1]LOCH Calc COE Calc'!$C$28)</f>
        <v/>
      </c>
    </row>
    <row r="941" spans="12:23" x14ac:dyDescent="0.25">
      <c r="L941" s="4" t="str">
        <f>IF('[1]All Data '!BE946="","",'[1]All Data '!BE946)</f>
        <v/>
      </c>
      <c r="M941" t="str">
        <f>IF('[1]All Data '!BF946="","",'[1]All Data '!BF946)</f>
        <v/>
      </c>
      <c r="N941" s="5" t="str">
        <f>IF('[1]All Data '!BB946="","",'[1]All Data '!BC946/'[1]All Data '!BH946)</f>
        <v/>
      </c>
      <c r="O941" s="5" t="str">
        <f t="shared" si="16"/>
        <v/>
      </c>
      <c r="P941" s="5" t="str">
        <f>IF(M941="","",$C$2*(1-L941)*907.2/0.621371*N941*[1]Transportation!$M$40)</f>
        <v/>
      </c>
      <c r="Q941" s="5" t="str">
        <f>IF(L941="","",IF([1]Inputs_Outputs!$B$5="Herbaceous",(LCA!$E$29*'[1]LOCH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1" s="5" t="str">
        <f>IF(M941="","",$E$2*1000*'[1]LOCH Calc COE Calc'!$C$44)</f>
        <v/>
      </c>
      <c r="S941" s="6" t="str">
        <f>IF(N941="","",SUM(O941:R941)/('[1]LOCH Calc COE Calc'!$C$28))</f>
        <v/>
      </c>
      <c r="T941" t="str">
        <f>IF(L941="","",O941/'[1]LOCH Calc COE Calc'!$C$28)</f>
        <v/>
      </c>
      <c r="U941" t="str">
        <f>IF(L941="","",P941/'[1]LOCH Calc COE Calc'!$C$28)</f>
        <v/>
      </c>
      <c r="V941" t="str">
        <f>IF(L941="","",Q941/'[1]LOCH Calc COE Calc'!$C$28)</f>
        <v/>
      </c>
      <c r="W941" t="str">
        <f>IF(L941="","",R941/'[1]LOCH Calc COE Calc'!$C$28)</f>
        <v/>
      </c>
    </row>
    <row r="942" spans="12:23" x14ac:dyDescent="0.25">
      <c r="L942" s="4" t="str">
        <f>IF('[1]All Data '!BE947="","",'[1]All Data '!BE947)</f>
        <v/>
      </c>
      <c r="M942" t="str">
        <f>IF('[1]All Data '!BF947="","",'[1]All Data '!BF947)</f>
        <v/>
      </c>
      <c r="N942" s="5" t="str">
        <f>IF('[1]All Data '!BB947="","",'[1]All Data '!BC947/'[1]All Data '!BH947)</f>
        <v/>
      </c>
      <c r="O942" s="5" t="str">
        <f t="shared" si="16"/>
        <v/>
      </c>
      <c r="P942" s="5" t="str">
        <f>IF(M942="","",$C$2*(1-L942)*907.2/0.621371*N942*[1]Transportation!$M$40)</f>
        <v/>
      </c>
      <c r="Q942" s="5" t="str">
        <f>IF(L942="","",IF([1]Inputs_Outputs!$B$5="Herbaceous",(LCA!$E$29*'[1]LOCH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2" s="5" t="str">
        <f>IF(M942="","",$E$2*1000*'[1]LOCH Calc COE Calc'!$C$44)</f>
        <v/>
      </c>
      <c r="S942" s="6" t="str">
        <f>IF(N942="","",SUM(O942:R942)/('[1]LOCH Calc COE Calc'!$C$28))</f>
        <v/>
      </c>
      <c r="T942" t="str">
        <f>IF(L942="","",O942/'[1]LOCH Calc COE Calc'!$C$28)</f>
        <v/>
      </c>
      <c r="U942" t="str">
        <f>IF(L942="","",P942/'[1]LOCH Calc COE Calc'!$C$28)</f>
        <v/>
      </c>
      <c r="V942" t="str">
        <f>IF(L942="","",Q942/'[1]LOCH Calc COE Calc'!$C$28)</f>
        <v/>
      </c>
      <c r="W942" t="str">
        <f>IF(L942="","",R942/'[1]LOCH Calc COE Calc'!$C$28)</f>
        <v/>
      </c>
    </row>
    <row r="943" spans="12:23" x14ac:dyDescent="0.25">
      <c r="L943" s="4" t="str">
        <f>IF('[1]All Data '!BE948="","",'[1]All Data '!BE948)</f>
        <v/>
      </c>
      <c r="M943" t="str">
        <f>IF('[1]All Data '!BF948="","",'[1]All Data '!BF948)</f>
        <v/>
      </c>
      <c r="N943" s="5" t="str">
        <f>IF('[1]All Data '!BB948="","",'[1]All Data '!BC948/'[1]All Data '!BH948)</f>
        <v/>
      </c>
      <c r="O943" s="5" t="str">
        <f t="shared" si="16"/>
        <v/>
      </c>
      <c r="P943" s="5" t="str">
        <f>IF(M943="","",$C$2*(1-L943)*907.2/0.621371*N943*[1]Transportation!$M$40)</f>
        <v/>
      </c>
      <c r="Q943" s="5" t="str">
        <f>IF(L943="","",IF([1]Inputs_Outputs!$B$5="Herbaceous",(LCA!$E$29*'[1]LOCH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3" s="5" t="str">
        <f>IF(M943="","",$E$2*1000*'[1]LOCH Calc COE Calc'!$C$44)</f>
        <v/>
      </c>
      <c r="S943" s="6" t="str">
        <f>IF(N943="","",SUM(O943:R943)/('[1]LOCH Calc COE Calc'!$C$28))</f>
        <v/>
      </c>
      <c r="T943" t="str">
        <f>IF(L943="","",O943/'[1]LOCH Calc COE Calc'!$C$28)</f>
        <v/>
      </c>
      <c r="U943" t="str">
        <f>IF(L943="","",P943/'[1]LOCH Calc COE Calc'!$C$28)</f>
        <v/>
      </c>
      <c r="V943" t="str">
        <f>IF(L943="","",Q943/'[1]LOCH Calc COE Calc'!$C$28)</f>
        <v/>
      </c>
      <c r="W943" t="str">
        <f>IF(L943="","",R943/'[1]LOCH Calc COE Calc'!$C$28)</f>
        <v/>
      </c>
    </row>
    <row r="944" spans="12:23" x14ac:dyDescent="0.25">
      <c r="L944" s="4" t="str">
        <f>IF('[1]All Data '!BE949="","",'[1]All Data '!BE949)</f>
        <v/>
      </c>
      <c r="M944" t="str">
        <f>IF('[1]All Data '!BF949="","",'[1]All Data '!BF949)</f>
        <v/>
      </c>
      <c r="N944" s="5" t="str">
        <f>IF('[1]All Data '!BB949="","",'[1]All Data '!BC949/'[1]All Data '!BH949)</f>
        <v/>
      </c>
      <c r="O944" s="5" t="str">
        <f t="shared" si="16"/>
        <v/>
      </c>
      <c r="P944" s="5" t="str">
        <f>IF(M944="","",$C$2*(1-L944)*907.2/0.621371*N944*[1]Transportation!$M$40)</f>
        <v/>
      </c>
      <c r="Q944" s="5" t="str">
        <f>IF(L944="","",IF([1]Inputs_Outputs!$B$5="Herbaceous",(LCA!$E$29*'[1]LOCH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4" s="5" t="str">
        <f>IF(M944="","",$E$2*1000*'[1]LOCH Calc COE Calc'!$C$44)</f>
        <v/>
      </c>
      <c r="S944" s="6" t="str">
        <f>IF(N944="","",SUM(O944:R944)/('[1]LOCH Calc COE Calc'!$C$28))</f>
        <v/>
      </c>
      <c r="T944" t="str">
        <f>IF(L944="","",O944/'[1]LOCH Calc COE Calc'!$C$28)</f>
        <v/>
      </c>
      <c r="U944" t="str">
        <f>IF(L944="","",P944/'[1]LOCH Calc COE Calc'!$C$28)</f>
        <v/>
      </c>
      <c r="V944" t="str">
        <f>IF(L944="","",Q944/'[1]LOCH Calc COE Calc'!$C$28)</f>
        <v/>
      </c>
      <c r="W944" t="str">
        <f>IF(L944="","",R944/'[1]LOCH Calc COE Calc'!$C$28)</f>
        <v/>
      </c>
    </row>
    <row r="945" spans="12:23" x14ac:dyDescent="0.25">
      <c r="L945" s="4" t="str">
        <f>IF('[1]All Data '!BE950="","",'[1]All Data '!BE950)</f>
        <v/>
      </c>
      <c r="M945" t="str">
        <f>IF('[1]All Data '!BF950="","",'[1]All Data '!BF950)</f>
        <v/>
      </c>
      <c r="N945" s="5" t="str">
        <f>IF('[1]All Data '!BB950="","",'[1]All Data '!BC950/'[1]All Data '!BH950)</f>
        <v/>
      </c>
      <c r="O945" s="5" t="str">
        <f t="shared" si="16"/>
        <v/>
      </c>
      <c r="P945" s="5" t="str">
        <f>IF(M945="","",$C$2*(1-L945)*907.2/0.621371*N945*[1]Transportation!$M$40)</f>
        <v/>
      </c>
      <c r="Q945" s="5" t="str">
        <f>IF(L945="","",IF([1]Inputs_Outputs!$B$5="Herbaceous",(LCA!$E$29*'[1]LOCH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5" s="5" t="str">
        <f>IF(M945="","",$E$2*1000*'[1]LOCH Calc COE Calc'!$C$44)</f>
        <v/>
      </c>
      <c r="S945" s="6" t="str">
        <f>IF(N945="","",SUM(O945:R945)/('[1]LOCH Calc COE Calc'!$C$28))</f>
        <v/>
      </c>
      <c r="T945" t="str">
        <f>IF(L945="","",O945/'[1]LOCH Calc COE Calc'!$C$28)</f>
        <v/>
      </c>
      <c r="U945" t="str">
        <f>IF(L945="","",P945/'[1]LOCH Calc COE Calc'!$C$28)</f>
        <v/>
      </c>
      <c r="V945" t="str">
        <f>IF(L945="","",Q945/'[1]LOCH Calc COE Calc'!$C$28)</f>
        <v/>
      </c>
      <c r="W945" t="str">
        <f>IF(L945="","",R945/'[1]LOCH Calc COE Calc'!$C$28)</f>
        <v/>
      </c>
    </row>
    <row r="946" spans="12:23" x14ac:dyDescent="0.25">
      <c r="L946" s="4" t="str">
        <f>IF('[1]All Data '!BE951="","",'[1]All Data '!BE951)</f>
        <v/>
      </c>
      <c r="M946" t="str">
        <f>IF('[1]All Data '!BF951="","",'[1]All Data '!BF951)</f>
        <v/>
      </c>
      <c r="N946" s="5" t="str">
        <f>IF('[1]All Data '!BB951="","",'[1]All Data '!BC951/'[1]All Data '!BH951)</f>
        <v/>
      </c>
      <c r="O946" s="5" t="str">
        <f t="shared" si="16"/>
        <v/>
      </c>
      <c r="P946" s="5" t="str">
        <f>IF(M946="","",$C$2*(1-L946)*907.2/0.621371*N946*[1]Transportation!$M$40)</f>
        <v/>
      </c>
      <c r="Q946" s="5" t="str">
        <f>IF(L946="","",IF([1]Inputs_Outputs!$B$5="Herbaceous",(LCA!$E$29*'[1]LOCH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6" s="5" t="str">
        <f>IF(M946="","",$E$2*1000*'[1]LOCH Calc COE Calc'!$C$44)</f>
        <v/>
      </c>
      <c r="S946" s="6" t="str">
        <f>IF(N946="","",SUM(O946:R946)/('[1]LOCH Calc COE Calc'!$C$28))</f>
        <v/>
      </c>
      <c r="T946" t="str">
        <f>IF(L946="","",O946/'[1]LOCH Calc COE Calc'!$C$28)</f>
        <v/>
      </c>
      <c r="U946" t="str">
        <f>IF(L946="","",P946/'[1]LOCH Calc COE Calc'!$C$28)</f>
        <v/>
      </c>
      <c r="V946" t="str">
        <f>IF(L946="","",Q946/'[1]LOCH Calc COE Calc'!$C$28)</f>
        <v/>
      </c>
      <c r="W946" t="str">
        <f>IF(L946="","",R946/'[1]LOCH Calc COE Calc'!$C$28)</f>
        <v/>
      </c>
    </row>
    <row r="947" spans="12:23" x14ac:dyDescent="0.25">
      <c r="L947" s="4" t="str">
        <f>IF('[1]All Data '!BE952="","",'[1]All Data '!BE952)</f>
        <v/>
      </c>
      <c r="M947" t="str">
        <f>IF('[1]All Data '!BF952="","",'[1]All Data '!BF952)</f>
        <v/>
      </c>
      <c r="N947" s="5" t="str">
        <f>IF('[1]All Data '!BB952="","",'[1]All Data '!BC952/'[1]All Data '!BH952)</f>
        <v/>
      </c>
      <c r="O947" s="5" t="str">
        <f t="shared" si="16"/>
        <v/>
      </c>
      <c r="P947" s="5" t="str">
        <f>IF(M947="","",$C$2*(1-L947)*907.2/0.621371*N947*[1]Transportation!$M$40)</f>
        <v/>
      </c>
      <c r="Q947" s="5" t="str">
        <f>IF(L947="","",IF([1]Inputs_Outputs!$B$5="Herbaceous",(LCA!$E$29*'[1]LOCH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7" s="5" t="str">
        <f>IF(M947="","",$E$2*1000*'[1]LOCH Calc COE Calc'!$C$44)</f>
        <v/>
      </c>
      <c r="S947" s="6" t="str">
        <f>IF(N947="","",SUM(O947:R947)/('[1]LOCH Calc COE Calc'!$C$28))</f>
        <v/>
      </c>
      <c r="T947" t="str">
        <f>IF(L947="","",O947/'[1]LOCH Calc COE Calc'!$C$28)</f>
        <v/>
      </c>
      <c r="U947" t="str">
        <f>IF(L947="","",P947/'[1]LOCH Calc COE Calc'!$C$28)</f>
        <v/>
      </c>
      <c r="V947" t="str">
        <f>IF(L947="","",Q947/'[1]LOCH Calc COE Calc'!$C$28)</f>
        <v/>
      </c>
      <c r="W947" t="str">
        <f>IF(L947="","",R947/'[1]LOCH Calc COE Calc'!$C$28)</f>
        <v/>
      </c>
    </row>
    <row r="948" spans="12:23" x14ac:dyDescent="0.25">
      <c r="L948" s="4" t="str">
        <f>IF('[1]All Data '!BE953="","",'[1]All Data '!BE953)</f>
        <v/>
      </c>
      <c r="M948" t="str">
        <f>IF('[1]All Data '!BF953="","",'[1]All Data '!BF953)</f>
        <v/>
      </c>
      <c r="N948" s="5" t="str">
        <f>IF('[1]All Data '!BB953="","",'[1]All Data '!BC953/'[1]All Data '!BH953)</f>
        <v/>
      </c>
      <c r="O948" s="5" t="str">
        <f t="shared" si="16"/>
        <v/>
      </c>
      <c r="P948" s="5" t="str">
        <f>IF(M948="","",$C$2*(1-L948)*907.2/0.621371*N948*[1]Transportation!$M$40)</f>
        <v/>
      </c>
      <c r="Q948" s="5" t="str">
        <f>IF(L948="","",IF([1]Inputs_Outputs!$B$5="Herbaceous",(LCA!$E$29*'[1]LOCH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8" s="5" t="str">
        <f>IF(M948="","",$E$2*1000*'[1]LOCH Calc COE Calc'!$C$44)</f>
        <v/>
      </c>
      <c r="S948" s="6" t="str">
        <f>IF(N948="","",SUM(O948:R948)/('[1]LOCH Calc COE Calc'!$C$28))</f>
        <v/>
      </c>
      <c r="T948" t="str">
        <f>IF(L948="","",O948/'[1]LOCH Calc COE Calc'!$C$28)</f>
        <v/>
      </c>
      <c r="U948" t="str">
        <f>IF(L948="","",P948/'[1]LOCH Calc COE Calc'!$C$28)</f>
        <v/>
      </c>
      <c r="V948" t="str">
        <f>IF(L948="","",Q948/'[1]LOCH Calc COE Calc'!$C$28)</f>
        <v/>
      </c>
      <c r="W948" t="str">
        <f>IF(L948="","",R948/'[1]LOCH Calc COE Calc'!$C$28)</f>
        <v/>
      </c>
    </row>
    <row r="949" spans="12:23" x14ac:dyDescent="0.25">
      <c r="L949" s="4" t="str">
        <f>IF('[1]All Data '!BE954="","",'[1]All Data '!BE954)</f>
        <v/>
      </c>
      <c r="M949" t="str">
        <f>IF('[1]All Data '!BF954="","",'[1]All Data '!BF954)</f>
        <v/>
      </c>
      <c r="N949" s="5" t="str">
        <f>IF('[1]All Data '!BB954="","",'[1]All Data '!BC954/'[1]All Data '!BH954)</f>
        <v/>
      </c>
      <c r="O949" s="5" t="str">
        <f t="shared" si="16"/>
        <v/>
      </c>
      <c r="P949" s="5" t="str">
        <f>IF(M949="","",$C$2*(1-L949)*907.2/0.621371*N949*[1]Transportation!$M$40)</f>
        <v/>
      </c>
      <c r="Q949" s="5" t="str">
        <f>IF(L949="","",IF([1]Inputs_Outputs!$B$5="Herbaceous",(LCA!$E$29*'[1]LOCH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49" s="5" t="str">
        <f>IF(M949="","",$E$2*1000*'[1]LOCH Calc COE Calc'!$C$44)</f>
        <v/>
      </c>
      <c r="S949" s="6" t="str">
        <f>IF(N949="","",SUM(O949:R949)/('[1]LOCH Calc COE Calc'!$C$28))</f>
        <v/>
      </c>
      <c r="T949" t="str">
        <f>IF(L949="","",O949/'[1]LOCH Calc COE Calc'!$C$28)</f>
        <v/>
      </c>
      <c r="U949" t="str">
        <f>IF(L949="","",P949/'[1]LOCH Calc COE Calc'!$C$28)</f>
        <v/>
      </c>
      <c r="V949" t="str">
        <f>IF(L949="","",Q949/'[1]LOCH Calc COE Calc'!$C$28)</f>
        <v/>
      </c>
      <c r="W949" t="str">
        <f>IF(L949="","",R949/'[1]LOCH Calc COE Calc'!$C$28)</f>
        <v/>
      </c>
    </row>
    <row r="950" spans="12:23" x14ac:dyDescent="0.25">
      <c r="L950" s="4" t="str">
        <f>IF('[1]All Data '!BE955="","",'[1]All Data '!BE955)</f>
        <v/>
      </c>
      <c r="M950" t="str">
        <f>IF('[1]All Data '!BF955="","",'[1]All Data '!BF955)</f>
        <v/>
      </c>
      <c r="N950" s="5" t="str">
        <f>IF('[1]All Data '!BB955="","",'[1]All Data '!BC955/'[1]All Data '!BH955)</f>
        <v/>
      </c>
      <c r="O950" s="5" t="str">
        <f t="shared" si="16"/>
        <v/>
      </c>
      <c r="P950" s="5" t="str">
        <f>IF(M950="","",$C$2*(1-L950)*907.2/0.621371*N950*[1]Transportation!$M$40)</f>
        <v/>
      </c>
      <c r="Q950" s="5" t="str">
        <f>IF(L950="","",IF([1]Inputs_Outputs!$B$5="Herbaceous",(LCA!$E$29*'[1]LOCH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0" s="5" t="str">
        <f>IF(M950="","",$E$2*1000*'[1]LOCH Calc COE Calc'!$C$44)</f>
        <v/>
      </c>
      <c r="S950" s="6" t="str">
        <f>IF(N950="","",SUM(O950:R950)/('[1]LOCH Calc COE Calc'!$C$28))</f>
        <v/>
      </c>
      <c r="T950" t="str">
        <f>IF(L950="","",O950/'[1]LOCH Calc COE Calc'!$C$28)</f>
        <v/>
      </c>
      <c r="U950" t="str">
        <f>IF(L950="","",P950/'[1]LOCH Calc COE Calc'!$C$28)</f>
        <v/>
      </c>
      <c r="V950" t="str">
        <f>IF(L950="","",Q950/'[1]LOCH Calc COE Calc'!$C$28)</f>
        <v/>
      </c>
      <c r="W950" t="str">
        <f>IF(L950="","",R950/'[1]LOCH Calc COE Calc'!$C$28)</f>
        <v/>
      </c>
    </row>
    <row r="951" spans="12:23" x14ac:dyDescent="0.25">
      <c r="L951" s="4" t="str">
        <f>IF('[1]All Data '!BE956="","",'[1]All Data '!BE956)</f>
        <v/>
      </c>
      <c r="M951" t="str">
        <f>IF('[1]All Data '!BF956="","",'[1]All Data '!BF956)</f>
        <v/>
      </c>
      <c r="N951" s="5" t="str">
        <f>IF('[1]All Data '!BB956="","",'[1]All Data '!BC956/'[1]All Data '!BH956)</f>
        <v/>
      </c>
      <c r="O951" s="5" t="str">
        <f t="shared" si="16"/>
        <v/>
      </c>
      <c r="P951" s="5" t="str">
        <f>IF(M951="","",$C$2*(1-L951)*907.2/0.621371*N951*[1]Transportation!$M$40)</f>
        <v/>
      </c>
      <c r="Q951" s="5" t="str">
        <f>IF(L951="","",IF([1]Inputs_Outputs!$B$5="Herbaceous",(LCA!$E$29*'[1]LOCH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1" s="5" t="str">
        <f>IF(M951="","",$E$2*1000*'[1]LOCH Calc COE Calc'!$C$44)</f>
        <v/>
      </c>
      <c r="S951" s="6" t="str">
        <f>IF(N951="","",SUM(O951:R951)/('[1]LOCH Calc COE Calc'!$C$28))</f>
        <v/>
      </c>
      <c r="T951" t="str">
        <f>IF(L951="","",O951/'[1]LOCH Calc COE Calc'!$C$28)</f>
        <v/>
      </c>
      <c r="U951" t="str">
        <f>IF(L951="","",P951/'[1]LOCH Calc COE Calc'!$C$28)</f>
        <v/>
      </c>
      <c r="V951" t="str">
        <f>IF(L951="","",Q951/'[1]LOCH Calc COE Calc'!$C$28)</f>
        <v/>
      </c>
      <c r="W951" t="str">
        <f>IF(L951="","",R951/'[1]LOCH Calc COE Calc'!$C$28)</f>
        <v/>
      </c>
    </row>
    <row r="952" spans="12:23" x14ac:dyDescent="0.25">
      <c r="L952" s="4" t="str">
        <f>IF('[1]All Data '!BE957="","",'[1]All Data '!BE957)</f>
        <v/>
      </c>
      <c r="M952" t="str">
        <f>IF('[1]All Data '!BF957="","",'[1]All Data '!BF957)</f>
        <v/>
      </c>
      <c r="N952" s="5" t="str">
        <f>IF('[1]All Data '!BB957="","",'[1]All Data '!BC957/'[1]All Data '!BH957)</f>
        <v/>
      </c>
      <c r="O952" s="5" t="str">
        <f t="shared" si="16"/>
        <v/>
      </c>
      <c r="P952" s="5" t="str">
        <f>IF(M952="","",$C$2*(1-L952)*907.2/0.621371*N952*[1]Transportation!$M$40)</f>
        <v/>
      </c>
      <c r="Q952" s="5" t="str">
        <f>IF(L952="","",IF([1]Inputs_Outputs!$B$5="Herbaceous",(LCA!$E$29*'[1]LOCH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2" s="5" t="str">
        <f>IF(M952="","",$E$2*1000*'[1]LOCH Calc COE Calc'!$C$44)</f>
        <v/>
      </c>
      <c r="S952" s="6" t="str">
        <f>IF(N952="","",SUM(O952:R952)/('[1]LOCH Calc COE Calc'!$C$28))</f>
        <v/>
      </c>
      <c r="T952" t="str">
        <f>IF(L952="","",O952/'[1]LOCH Calc COE Calc'!$C$28)</f>
        <v/>
      </c>
      <c r="U952" t="str">
        <f>IF(L952="","",P952/'[1]LOCH Calc COE Calc'!$C$28)</f>
        <v/>
      </c>
      <c r="V952" t="str">
        <f>IF(L952="","",Q952/'[1]LOCH Calc COE Calc'!$C$28)</f>
        <v/>
      </c>
      <c r="W952" t="str">
        <f>IF(L952="","",R952/'[1]LOCH Calc COE Calc'!$C$28)</f>
        <v/>
      </c>
    </row>
    <row r="953" spans="12:23" x14ac:dyDescent="0.25">
      <c r="L953" s="4" t="str">
        <f>IF('[1]All Data '!BE958="","",'[1]All Data '!BE958)</f>
        <v/>
      </c>
      <c r="M953" t="str">
        <f>IF('[1]All Data '!BF958="","",'[1]All Data '!BF958)</f>
        <v/>
      </c>
      <c r="N953" s="5" t="str">
        <f>IF('[1]All Data '!BB958="","",'[1]All Data '!BC958/'[1]All Data '!BH958)</f>
        <v/>
      </c>
      <c r="O953" s="5" t="str">
        <f t="shared" si="16"/>
        <v/>
      </c>
      <c r="P953" s="5" t="str">
        <f>IF(M953="","",$C$2*(1-L953)*907.2/0.621371*N953*[1]Transportation!$M$40)</f>
        <v/>
      </c>
      <c r="Q953" s="5" t="str">
        <f>IF(L953="","",IF([1]Inputs_Outputs!$B$5="Herbaceous",(LCA!$E$29*'[1]LOCH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3" s="5" t="str">
        <f>IF(M953="","",$E$2*1000*'[1]LOCH Calc COE Calc'!$C$44)</f>
        <v/>
      </c>
      <c r="S953" s="6" t="str">
        <f>IF(N953="","",SUM(O953:R953)/('[1]LOCH Calc COE Calc'!$C$28))</f>
        <v/>
      </c>
      <c r="T953" t="str">
        <f>IF(L953="","",O953/'[1]LOCH Calc COE Calc'!$C$28)</f>
        <v/>
      </c>
      <c r="U953" t="str">
        <f>IF(L953="","",P953/'[1]LOCH Calc COE Calc'!$C$28)</f>
        <v/>
      </c>
      <c r="V953" t="str">
        <f>IF(L953="","",Q953/'[1]LOCH Calc COE Calc'!$C$28)</f>
        <v/>
      </c>
      <c r="W953" t="str">
        <f>IF(L953="","",R953/'[1]LOCH Calc COE Calc'!$C$28)</f>
        <v/>
      </c>
    </row>
    <row r="954" spans="12:23" x14ac:dyDescent="0.25">
      <c r="L954" s="4" t="str">
        <f>IF('[1]All Data '!BE959="","",'[1]All Data '!BE959)</f>
        <v/>
      </c>
      <c r="M954" t="str">
        <f>IF('[1]All Data '!BF959="","",'[1]All Data '!BF959)</f>
        <v/>
      </c>
      <c r="N954" s="5" t="str">
        <f>IF('[1]All Data '!BB959="","",'[1]All Data '!BC959/'[1]All Data '!BH959)</f>
        <v/>
      </c>
      <c r="O954" s="5" t="str">
        <f t="shared" si="16"/>
        <v/>
      </c>
      <c r="P954" s="5" t="str">
        <f>IF(M954="","",$C$2*(1-L954)*907.2/0.621371*N954*[1]Transportation!$M$40)</f>
        <v/>
      </c>
      <c r="Q954" s="5" t="str">
        <f>IF(L954="","",IF([1]Inputs_Outputs!$B$5="Herbaceous",(LCA!$E$29*'[1]LOCH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4" s="5" t="str">
        <f>IF(M954="","",$E$2*1000*'[1]LOCH Calc COE Calc'!$C$44)</f>
        <v/>
      </c>
      <c r="S954" s="6" t="str">
        <f>IF(N954="","",SUM(O954:R954)/('[1]LOCH Calc COE Calc'!$C$28))</f>
        <v/>
      </c>
      <c r="T954" t="str">
        <f>IF(L954="","",O954/'[1]LOCH Calc COE Calc'!$C$28)</f>
        <v/>
      </c>
      <c r="U954" t="str">
        <f>IF(L954="","",P954/'[1]LOCH Calc COE Calc'!$C$28)</f>
        <v/>
      </c>
      <c r="V954" t="str">
        <f>IF(L954="","",Q954/'[1]LOCH Calc COE Calc'!$C$28)</f>
        <v/>
      </c>
      <c r="W954" t="str">
        <f>IF(L954="","",R954/'[1]LOCH Calc COE Calc'!$C$28)</f>
        <v/>
      </c>
    </row>
    <row r="955" spans="12:23" x14ac:dyDescent="0.25">
      <c r="L955" s="4" t="str">
        <f>IF('[1]All Data '!BE960="","",'[1]All Data '!BE960)</f>
        <v/>
      </c>
      <c r="M955" t="str">
        <f>IF('[1]All Data '!BF960="","",'[1]All Data '!BF960)</f>
        <v/>
      </c>
      <c r="N955" s="5" t="str">
        <f>IF('[1]All Data '!BB960="","",'[1]All Data '!BC960/'[1]All Data '!BH960)</f>
        <v/>
      </c>
      <c r="O955" s="5" t="str">
        <f t="shared" si="16"/>
        <v/>
      </c>
      <c r="P955" s="5" t="str">
        <f>IF(M955="","",$C$2*(1-L955)*907.2/0.621371*N955*[1]Transportation!$M$40)</f>
        <v/>
      </c>
      <c r="Q955" s="5" t="str">
        <f>IF(L955="","",IF([1]Inputs_Outputs!$B$5="Herbaceous",(LCA!$E$29*'[1]LOCH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5" s="5" t="str">
        <f>IF(M955="","",$E$2*1000*'[1]LOCH Calc COE Calc'!$C$44)</f>
        <v/>
      </c>
      <c r="S955" s="6" t="str">
        <f>IF(N955="","",SUM(O955:R955)/('[1]LOCH Calc COE Calc'!$C$28))</f>
        <v/>
      </c>
      <c r="T955" t="str">
        <f>IF(L955="","",O955/'[1]LOCH Calc COE Calc'!$C$28)</f>
        <v/>
      </c>
      <c r="U955" t="str">
        <f>IF(L955="","",P955/'[1]LOCH Calc COE Calc'!$C$28)</f>
        <v/>
      </c>
      <c r="V955" t="str">
        <f>IF(L955="","",Q955/'[1]LOCH Calc COE Calc'!$C$28)</f>
        <v/>
      </c>
      <c r="W955" t="str">
        <f>IF(L955="","",R955/'[1]LOCH Calc COE Calc'!$C$28)</f>
        <v/>
      </c>
    </row>
    <row r="956" spans="12:23" x14ac:dyDescent="0.25">
      <c r="L956" s="4" t="str">
        <f>IF('[1]All Data '!BE961="","",'[1]All Data '!BE961)</f>
        <v/>
      </c>
      <c r="M956" t="str">
        <f>IF('[1]All Data '!BF961="","",'[1]All Data '!BF961)</f>
        <v/>
      </c>
      <c r="N956" s="5" t="str">
        <f>IF('[1]All Data '!BB961="","",'[1]All Data '!BC961/'[1]All Data '!BH961)</f>
        <v/>
      </c>
      <c r="O956" s="5" t="str">
        <f t="shared" si="16"/>
        <v/>
      </c>
      <c r="P956" s="5" t="str">
        <f>IF(M956="","",$C$2*(1-L956)*907.2/0.621371*N956*[1]Transportation!$M$40)</f>
        <v/>
      </c>
      <c r="Q956" s="5" t="str">
        <f>IF(L956="","",IF([1]Inputs_Outputs!$B$5="Herbaceous",(LCA!$E$29*'[1]LOCH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6" s="5" t="str">
        <f>IF(M956="","",$E$2*1000*'[1]LOCH Calc COE Calc'!$C$44)</f>
        <v/>
      </c>
      <c r="S956" s="6" t="str">
        <f>IF(N956="","",SUM(O956:R956)/('[1]LOCH Calc COE Calc'!$C$28))</f>
        <v/>
      </c>
      <c r="T956" t="str">
        <f>IF(L956="","",O956/'[1]LOCH Calc COE Calc'!$C$28)</f>
        <v/>
      </c>
      <c r="U956" t="str">
        <f>IF(L956="","",P956/'[1]LOCH Calc COE Calc'!$C$28)</f>
        <v/>
      </c>
      <c r="V956" t="str">
        <f>IF(L956="","",Q956/'[1]LOCH Calc COE Calc'!$C$28)</f>
        <v/>
      </c>
      <c r="W956" t="str">
        <f>IF(L956="","",R956/'[1]LOCH Calc COE Calc'!$C$28)</f>
        <v/>
      </c>
    </row>
    <row r="957" spans="12:23" x14ac:dyDescent="0.25">
      <c r="L957" s="4" t="str">
        <f>IF('[1]All Data '!BE962="","",'[1]All Data '!BE962)</f>
        <v/>
      </c>
      <c r="M957" t="str">
        <f>IF('[1]All Data '!BF962="","",'[1]All Data '!BF962)</f>
        <v/>
      </c>
      <c r="N957" s="5" t="str">
        <f>IF('[1]All Data '!BB962="","",'[1]All Data '!BC962/'[1]All Data '!BH962)</f>
        <v/>
      </c>
      <c r="O957" s="5" t="str">
        <f t="shared" si="16"/>
        <v/>
      </c>
      <c r="P957" s="5" t="str">
        <f>IF(M957="","",$C$2*(1-L957)*907.2/0.621371*N957*[1]Transportation!$M$40)</f>
        <v/>
      </c>
      <c r="Q957" s="5" t="str">
        <f>IF(L957="","",IF([1]Inputs_Outputs!$B$5="Herbaceous",(LCA!$E$29*'[1]LOCH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7" s="5" t="str">
        <f>IF(M957="","",$E$2*1000*'[1]LOCH Calc COE Calc'!$C$44)</f>
        <v/>
      </c>
      <c r="S957" s="6" t="str">
        <f>IF(N957="","",SUM(O957:R957)/('[1]LOCH Calc COE Calc'!$C$28))</f>
        <v/>
      </c>
      <c r="T957" t="str">
        <f>IF(L957="","",O957/'[1]LOCH Calc COE Calc'!$C$28)</f>
        <v/>
      </c>
      <c r="U957" t="str">
        <f>IF(L957="","",P957/'[1]LOCH Calc COE Calc'!$C$28)</f>
        <v/>
      </c>
      <c r="V957" t="str">
        <f>IF(L957="","",Q957/'[1]LOCH Calc COE Calc'!$C$28)</f>
        <v/>
      </c>
      <c r="W957" t="str">
        <f>IF(L957="","",R957/'[1]LOCH Calc COE Calc'!$C$28)</f>
        <v/>
      </c>
    </row>
    <row r="958" spans="12:23" x14ac:dyDescent="0.25">
      <c r="L958" s="4" t="str">
        <f>IF('[1]All Data '!BE963="","",'[1]All Data '!BE963)</f>
        <v/>
      </c>
      <c r="M958" t="str">
        <f>IF('[1]All Data '!BF963="","",'[1]All Data '!BF963)</f>
        <v/>
      </c>
      <c r="N958" s="5" t="str">
        <f>IF('[1]All Data '!BB963="","",'[1]All Data '!BC963/'[1]All Data '!BH963)</f>
        <v/>
      </c>
      <c r="O958" s="5" t="str">
        <f t="shared" si="16"/>
        <v/>
      </c>
      <c r="P958" s="5" t="str">
        <f>IF(M958="","",$C$2*(1-L958)*907.2/0.621371*N958*[1]Transportation!$M$40)</f>
        <v/>
      </c>
      <c r="Q958" s="5" t="str">
        <f>IF(L958="","",IF([1]Inputs_Outputs!$B$5="Herbaceous",(LCA!$E$29*'[1]LOCH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8" s="5" t="str">
        <f>IF(M958="","",$E$2*1000*'[1]LOCH Calc COE Calc'!$C$44)</f>
        <v/>
      </c>
      <c r="S958" s="6" t="str">
        <f>IF(N958="","",SUM(O958:R958)/('[1]LOCH Calc COE Calc'!$C$28))</f>
        <v/>
      </c>
      <c r="T958" t="str">
        <f>IF(L958="","",O958/'[1]LOCH Calc COE Calc'!$C$28)</f>
        <v/>
      </c>
      <c r="U958" t="str">
        <f>IF(L958="","",P958/'[1]LOCH Calc COE Calc'!$C$28)</f>
        <v/>
      </c>
      <c r="V958" t="str">
        <f>IF(L958="","",Q958/'[1]LOCH Calc COE Calc'!$C$28)</f>
        <v/>
      </c>
      <c r="W958" t="str">
        <f>IF(L958="","",R958/'[1]LOCH Calc COE Calc'!$C$28)</f>
        <v/>
      </c>
    </row>
    <row r="959" spans="12:23" x14ac:dyDescent="0.25">
      <c r="L959" s="4" t="str">
        <f>IF('[1]All Data '!BE964="","",'[1]All Data '!BE964)</f>
        <v/>
      </c>
      <c r="M959" t="str">
        <f>IF('[1]All Data '!BF964="","",'[1]All Data '!BF964)</f>
        <v/>
      </c>
      <c r="N959" s="5" t="str">
        <f>IF('[1]All Data '!BB964="","",'[1]All Data '!BC964/'[1]All Data '!BH964)</f>
        <v/>
      </c>
      <c r="O959" s="5" t="str">
        <f t="shared" si="16"/>
        <v/>
      </c>
      <c r="P959" s="5" t="str">
        <f>IF(M959="","",$C$2*(1-L959)*907.2/0.621371*N959*[1]Transportation!$M$40)</f>
        <v/>
      </c>
      <c r="Q959" s="5" t="str">
        <f>IF(L959="","",IF([1]Inputs_Outputs!$B$5="Herbaceous",(LCA!$E$29*'[1]LOCH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59" s="5" t="str">
        <f>IF(M959="","",$E$2*1000*'[1]LOCH Calc COE Calc'!$C$44)</f>
        <v/>
      </c>
      <c r="S959" s="6" t="str">
        <f>IF(N959="","",SUM(O959:R959)/('[1]LOCH Calc COE Calc'!$C$28))</f>
        <v/>
      </c>
      <c r="T959" t="str">
        <f>IF(L959="","",O959/'[1]LOCH Calc COE Calc'!$C$28)</f>
        <v/>
      </c>
      <c r="U959" t="str">
        <f>IF(L959="","",P959/'[1]LOCH Calc COE Calc'!$C$28)</f>
        <v/>
      </c>
      <c r="V959" t="str">
        <f>IF(L959="","",Q959/'[1]LOCH Calc COE Calc'!$C$28)</f>
        <v/>
      </c>
      <c r="W959" t="str">
        <f>IF(L959="","",R959/'[1]LOCH Calc COE Calc'!$C$28)</f>
        <v/>
      </c>
    </row>
    <row r="960" spans="12:23" x14ac:dyDescent="0.25">
      <c r="L960" s="4" t="str">
        <f>IF('[1]All Data '!BE965="","",'[1]All Data '!BE965)</f>
        <v/>
      </c>
      <c r="M960" t="str">
        <f>IF('[1]All Data '!BF965="","",'[1]All Data '!BF965)</f>
        <v/>
      </c>
      <c r="N960" s="5" t="str">
        <f>IF('[1]All Data '!BB965="","",'[1]All Data '!BC965/'[1]All Data '!BH965)</f>
        <v/>
      </c>
      <c r="O960" s="5" t="str">
        <f t="shared" si="16"/>
        <v/>
      </c>
      <c r="P960" s="5" t="str">
        <f>IF(M960="","",$C$2*(1-L960)*907.2/0.621371*N960*[1]Transportation!$M$40)</f>
        <v/>
      </c>
      <c r="Q960" s="5" t="str">
        <f>IF(L960="","",IF([1]Inputs_Outputs!$B$5="Herbaceous",(LCA!$E$29*'[1]LOCH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0" s="5" t="str">
        <f>IF(M960="","",$E$2*1000*'[1]LOCH Calc COE Calc'!$C$44)</f>
        <v/>
      </c>
      <c r="S960" s="6" t="str">
        <f>IF(N960="","",SUM(O960:R960)/('[1]LOCH Calc COE Calc'!$C$28))</f>
        <v/>
      </c>
      <c r="T960" t="str">
        <f>IF(L960="","",O960/'[1]LOCH Calc COE Calc'!$C$28)</f>
        <v/>
      </c>
      <c r="U960" t="str">
        <f>IF(L960="","",P960/'[1]LOCH Calc COE Calc'!$C$28)</f>
        <v/>
      </c>
      <c r="V960" t="str">
        <f>IF(L960="","",Q960/'[1]LOCH Calc COE Calc'!$C$28)</f>
        <v/>
      </c>
      <c r="W960" t="str">
        <f>IF(L960="","",R960/'[1]LOCH Calc COE Calc'!$C$28)</f>
        <v/>
      </c>
    </row>
    <row r="961" spans="12:23" x14ac:dyDescent="0.25">
      <c r="L961" s="4" t="str">
        <f>IF('[1]All Data '!BE966="","",'[1]All Data '!BE966)</f>
        <v/>
      </c>
      <c r="M961" t="str">
        <f>IF('[1]All Data '!BF966="","",'[1]All Data '!BF966)</f>
        <v/>
      </c>
      <c r="N961" s="5" t="str">
        <f>IF('[1]All Data '!BB966="","",'[1]All Data '!BC966/'[1]All Data '!BH966)</f>
        <v/>
      </c>
      <c r="O961" s="5" t="str">
        <f t="shared" si="16"/>
        <v/>
      </c>
      <c r="P961" s="5" t="str">
        <f>IF(M961="","",$C$2*(1-L961)*907.2/0.621371*N961*[1]Transportation!$M$40)</f>
        <v/>
      </c>
      <c r="Q961" s="5" t="str">
        <f>IF(L961="","",IF([1]Inputs_Outputs!$B$5="Herbaceous",(LCA!$E$29*'[1]LOCH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1" s="5" t="str">
        <f>IF(M961="","",$E$2*1000*'[1]LOCH Calc COE Calc'!$C$44)</f>
        <v/>
      </c>
      <c r="S961" s="6" t="str">
        <f>IF(N961="","",SUM(O961:R961)/('[1]LOCH Calc COE Calc'!$C$28))</f>
        <v/>
      </c>
      <c r="T961" t="str">
        <f>IF(L961="","",O961/'[1]LOCH Calc COE Calc'!$C$28)</f>
        <v/>
      </c>
      <c r="U961" t="str">
        <f>IF(L961="","",P961/'[1]LOCH Calc COE Calc'!$C$28)</f>
        <v/>
      </c>
      <c r="V961" t="str">
        <f>IF(L961="","",Q961/'[1]LOCH Calc COE Calc'!$C$28)</f>
        <v/>
      </c>
      <c r="W961" t="str">
        <f>IF(L961="","",R961/'[1]LOCH Calc COE Calc'!$C$28)</f>
        <v/>
      </c>
    </row>
    <row r="962" spans="12:23" x14ac:dyDescent="0.25">
      <c r="L962" s="4" t="str">
        <f>IF('[1]All Data '!BE967="","",'[1]All Data '!BE967)</f>
        <v/>
      </c>
      <c r="M962" t="str">
        <f>IF('[1]All Data '!BF967="","",'[1]All Data '!BF967)</f>
        <v/>
      </c>
      <c r="N962" s="5" t="str">
        <f>IF('[1]All Data '!BB967="","",'[1]All Data '!BC967/'[1]All Data '!BH967)</f>
        <v/>
      </c>
      <c r="O962" s="5" t="str">
        <f t="shared" si="16"/>
        <v/>
      </c>
      <c r="P962" s="5" t="str">
        <f>IF(M962="","",$C$2*(1-L962)*907.2/0.621371*N962*[1]Transportation!$M$40)</f>
        <v/>
      </c>
      <c r="Q962" s="5" t="str">
        <f>IF(L962="","",IF([1]Inputs_Outputs!$B$5="Herbaceous",(LCA!$E$29*'[1]LOCH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2" s="5" t="str">
        <f>IF(M962="","",$E$2*1000*'[1]LOCH Calc COE Calc'!$C$44)</f>
        <v/>
      </c>
      <c r="S962" s="6" t="str">
        <f>IF(N962="","",SUM(O962:R962)/('[1]LOCH Calc COE Calc'!$C$28))</f>
        <v/>
      </c>
      <c r="T962" t="str">
        <f>IF(L962="","",O962/'[1]LOCH Calc COE Calc'!$C$28)</f>
        <v/>
      </c>
      <c r="U962" t="str">
        <f>IF(L962="","",P962/'[1]LOCH Calc COE Calc'!$C$28)</f>
        <v/>
      </c>
      <c r="V962" t="str">
        <f>IF(L962="","",Q962/'[1]LOCH Calc COE Calc'!$C$28)</f>
        <v/>
      </c>
      <c r="W962" t="str">
        <f>IF(L962="","",R962/'[1]LOCH Calc COE Calc'!$C$28)</f>
        <v/>
      </c>
    </row>
    <row r="963" spans="12:23" x14ac:dyDescent="0.25">
      <c r="L963" s="4" t="str">
        <f>IF('[1]All Data '!BE968="","",'[1]All Data '!BE968)</f>
        <v/>
      </c>
      <c r="M963" t="str">
        <f>IF('[1]All Data '!BF968="","",'[1]All Data '!BF968)</f>
        <v/>
      </c>
      <c r="N963" s="5" t="str">
        <f>IF('[1]All Data '!BB968="","",'[1]All Data '!BC968/'[1]All Data '!BH968)</f>
        <v/>
      </c>
      <c r="O963" s="5" t="str">
        <f t="shared" si="16"/>
        <v/>
      </c>
      <c r="P963" s="5" t="str">
        <f>IF(M963="","",$C$2*(1-L963)*907.2/0.621371*N963*[1]Transportation!$M$40)</f>
        <v/>
      </c>
      <c r="Q963" s="5" t="str">
        <f>IF(L963="","",IF([1]Inputs_Outputs!$B$5="Herbaceous",(LCA!$E$29*'[1]LOCH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3" s="5" t="str">
        <f>IF(M963="","",$E$2*1000*'[1]LOCH Calc COE Calc'!$C$44)</f>
        <v/>
      </c>
      <c r="S963" s="6" t="str">
        <f>IF(N963="","",SUM(O963:R963)/('[1]LOCH Calc COE Calc'!$C$28))</f>
        <v/>
      </c>
      <c r="T963" t="str">
        <f>IF(L963="","",O963/'[1]LOCH Calc COE Calc'!$C$28)</f>
        <v/>
      </c>
      <c r="U963" t="str">
        <f>IF(L963="","",P963/'[1]LOCH Calc COE Calc'!$C$28)</f>
        <v/>
      </c>
      <c r="V963" t="str">
        <f>IF(L963="","",Q963/'[1]LOCH Calc COE Calc'!$C$28)</f>
        <v/>
      </c>
      <c r="W963" t="str">
        <f>IF(L963="","",R963/'[1]LOCH Calc COE Calc'!$C$28)</f>
        <v/>
      </c>
    </row>
    <row r="964" spans="12:23" x14ac:dyDescent="0.25">
      <c r="L964" s="4" t="str">
        <f>IF('[1]All Data '!BE969="","",'[1]All Data '!BE969)</f>
        <v/>
      </c>
      <c r="M964" t="str">
        <f>IF('[1]All Data '!BF969="","",'[1]All Data '!BF969)</f>
        <v/>
      </c>
      <c r="N964" s="5" t="str">
        <f>IF('[1]All Data '!BB969="","",'[1]All Data '!BC969/'[1]All Data '!BH969)</f>
        <v/>
      </c>
      <c r="O964" s="5" t="str">
        <f t="shared" ref="O964:O1027" si="17">IF(N964="","",M964*N964)</f>
        <v/>
      </c>
      <c r="P964" s="5" t="str">
        <f>IF(M964="","",$C$2*(1-L964)*907.2/0.621371*N964*[1]Transportation!$M$40)</f>
        <v/>
      </c>
      <c r="Q964" s="5" t="str">
        <f>IF(L964="","",IF([1]Inputs_Outputs!$B$5="Herbaceous",(LCA!$E$29*'[1]LOCH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4" s="5" t="str">
        <f>IF(M964="","",$E$2*1000*'[1]LOCH Calc COE Calc'!$C$44)</f>
        <v/>
      </c>
      <c r="S964" s="6" t="str">
        <f>IF(N964="","",SUM(O964:R964)/('[1]LOCH Calc COE Calc'!$C$28))</f>
        <v/>
      </c>
      <c r="T964" t="str">
        <f>IF(L964="","",O964/'[1]LOCH Calc COE Calc'!$C$28)</f>
        <v/>
      </c>
      <c r="U964" t="str">
        <f>IF(L964="","",P964/'[1]LOCH Calc COE Calc'!$C$28)</f>
        <v/>
      </c>
      <c r="V964" t="str">
        <f>IF(L964="","",Q964/'[1]LOCH Calc COE Calc'!$C$28)</f>
        <v/>
      </c>
      <c r="W964" t="str">
        <f>IF(L964="","",R964/'[1]LOCH Calc COE Calc'!$C$28)</f>
        <v/>
      </c>
    </row>
    <row r="965" spans="12:23" x14ac:dyDescent="0.25">
      <c r="L965" s="4" t="str">
        <f>IF('[1]All Data '!BE970="","",'[1]All Data '!BE970)</f>
        <v/>
      </c>
      <c r="M965" t="str">
        <f>IF('[1]All Data '!BF970="","",'[1]All Data '!BF970)</f>
        <v/>
      </c>
      <c r="N965" s="5" t="str">
        <f>IF('[1]All Data '!BB970="","",'[1]All Data '!BC970/'[1]All Data '!BH970)</f>
        <v/>
      </c>
      <c r="O965" s="5" t="str">
        <f t="shared" si="17"/>
        <v/>
      </c>
      <c r="P965" s="5" t="str">
        <f>IF(M965="","",$C$2*(1-L965)*907.2/0.621371*N965*[1]Transportation!$M$40)</f>
        <v/>
      </c>
      <c r="Q965" s="5" t="str">
        <f>IF(L965="","",IF([1]Inputs_Outputs!$B$5="Herbaceous",(LCA!$E$29*'[1]LOCH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5" s="5" t="str">
        <f>IF(M965="","",$E$2*1000*'[1]LOCH Calc COE Calc'!$C$44)</f>
        <v/>
      </c>
      <c r="S965" s="6" t="str">
        <f>IF(N965="","",SUM(O965:R965)/('[1]LOCH Calc COE Calc'!$C$28))</f>
        <v/>
      </c>
      <c r="T965" t="str">
        <f>IF(L965="","",O965/'[1]LOCH Calc COE Calc'!$C$28)</f>
        <v/>
      </c>
      <c r="U965" t="str">
        <f>IF(L965="","",P965/'[1]LOCH Calc COE Calc'!$C$28)</f>
        <v/>
      </c>
      <c r="V965" t="str">
        <f>IF(L965="","",Q965/'[1]LOCH Calc COE Calc'!$C$28)</f>
        <v/>
      </c>
      <c r="W965" t="str">
        <f>IF(L965="","",R965/'[1]LOCH Calc COE Calc'!$C$28)</f>
        <v/>
      </c>
    </row>
    <row r="966" spans="12:23" x14ac:dyDescent="0.25">
      <c r="L966" s="4" t="str">
        <f>IF('[1]All Data '!BE971="","",'[1]All Data '!BE971)</f>
        <v/>
      </c>
      <c r="M966" t="str">
        <f>IF('[1]All Data '!BF971="","",'[1]All Data '!BF971)</f>
        <v/>
      </c>
      <c r="N966" s="5" t="str">
        <f>IF('[1]All Data '!BB971="","",'[1]All Data '!BC971/'[1]All Data '!BH971)</f>
        <v/>
      </c>
      <c r="O966" s="5" t="str">
        <f t="shared" si="17"/>
        <v/>
      </c>
      <c r="P966" s="5" t="str">
        <f>IF(M966="","",$C$2*(1-L966)*907.2/0.621371*N966*[1]Transportation!$M$40)</f>
        <v/>
      </c>
      <c r="Q966" s="5" t="str">
        <f>IF(L966="","",IF([1]Inputs_Outputs!$B$5="Herbaceous",(LCA!$E$29*'[1]LOCH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6" s="5" t="str">
        <f>IF(M966="","",$E$2*1000*'[1]LOCH Calc COE Calc'!$C$44)</f>
        <v/>
      </c>
      <c r="S966" s="6" t="str">
        <f>IF(N966="","",SUM(O966:R966)/('[1]LOCH Calc COE Calc'!$C$28))</f>
        <v/>
      </c>
      <c r="T966" t="str">
        <f>IF(L966="","",O966/'[1]LOCH Calc COE Calc'!$C$28)</f>
        <v/>
      </c>
      <c r="U966" t="str">
        <f>IF(L966="","",P966/'[1]LOCH Calc COE Calc'!$C$28)</f>
        <v/>
      </c>
      <c r="V966" t="str">
        <f>IF(L966="","",Q966/'[1]LOCH Calc COE Calc'!$C$28)</f>
        <v/>
      </c>
      <c r="W966" t="str">
        <f>IF(L966="","",R966/'[1]LOCH Calc COE Calc'!$C$28)</f>
        <v/>
      </c>
    </row>
    <row r="967" spans="12:23" x14ac:dyDescent="0.25">
      <c r="L967" s="4" t="str">
        <f>IF('[1]All Data '!BE972="","",'[1]All Data '!BE972)</f>
        <v/>
      </c>
      <c r="M967" t="str">
        <f>IF('[1]All Data '!BF972="","",'[1]All Data '!BF972)</f>
        <v/>
      </c>
      <c r="N967" s="5" t="str">
        <f>IF('[1]All Data '!BB972="","",'[1]All Data '!BC972/'[1]All Data '!BH972)</f>
        <v/>
      </c>
      <c r="O967" s="5" t="str">
        <f t="shared" si="17"/>
        <v/>
      </c>
      <c r="P967" s="5" t="str">
        <f>IF(M967="","",$C$2*(1-L967)*907.2/0.621371*N967*[1]Transportation!$M$40)</f>
        <v/>
      </c>
      <c r="Q967" s="5" t="str">
        <f>IF(L967="","",IF([1]Inputs_Outputs!$B$5="Herbaceous",(LCA!$E$29*'[1]LOCH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7" s="5" t="str">
        <f>IF(M967="","",$E$2*1000*'[1]LOCH Calc COE Calc'!$C$44)</f>
        <v/>
      </c>
      <c r="S967" s="6" t="str">
        <f>IF(N967="","",SUM(O967:R967)/('[1]LOCH Calc COE Calc'!$C$28))</f>
        <v/>
      </c>
      <c r="T967" t="str">
        <f>IF(L967="","",O967/'[1]LOCH Calc COE Calc'!$C$28)</f>
        <v/>
      </c>
      <c r="U967" t="str">
        <f>IF(L967="","",P967/'[1]LOCH Calc COE Calc'!$C$28)</f>
        <v/>
      </c>
      <c r="V967" t="str">
        <f>IF(L967="","",Q967/'[1]LOCH Calc COE Calc'!$C$28)</f>
        <v/>
      </c>
      <c r="W967" t="str">
        <f>IF(L967="","",R967/'[1]LOCH Calc COE Calc'!$C$28)</f>
        <v/>
      </c>
    </row>
    <row r="968" spans="12:23" x14ac:dyDescent="0.25">
      <c r="L968" s="4" t="str">
        <f>IF('[1]All Data '!BE973="","",'[1]All Data '!BE973)</f>
        <v/>
      </c>
      <c r="M968" t="str">
        <f>IF('[1]All Data '!BF973="","",'[1]All Data '!BF973)</f>
        <v/>
      </c>
      <c r="N968" s="5" t="str">
        <f>IF('[1]All Data '!BB973="","",'[1]All Data '!BC973/'[1]All Data '!BH973)</f>
        <v/>
      </c>
      <c r="O968" s="5" t="str">
        <f t="shared" si="17"/>
        <v/>
      </c>
      <c r="P968" s="5" t="str">
        <f>IF(M968="","",$C$2*(1-L968)*907.2/0.621371*N968*[1]Transportation!$M$40)</f>
        <v/>
      </c>
      <c r="Q968" s="5" t="str">
        <f>IF(L968="","",IF([1]Inputs_Outputs!$B$5="Herbaceous",(LCA!$E$29*'[1]LOCH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8" s="5" t="str">
        <f>IF(M968="","",$E$2*1000*'[1]LOCH Calc COE Calc'!$C$44)</f>
        <v/>
      </c>
      <c r="S968" s="6" t="str">
        <f>IF(N968="","",SUM(O968:R968)/('[1]LOCH Calc COE Calc'!$C$28))</f>
        <v/>
      </c>
      <c r="T968" t="str">
        <f>IF(L968="","",O968/'[1]LOCH Calc COE Calc'!$C$28)</f>
        <v/>
      </c>
      <c r="U968" t="str">
        <f>IF(L968="","",P968/'[1]LOCH Calc COE Calc'!$C$28)</f>
        <v/>
      </c>
      <c r="V968" t="str">
        <f>IF(L968="","",Q968/'[1]LOCH Calc COE Calc'!$C$28)</f>
        <v/>
      </c>
      <c r="W968" t="str">
        <f>IF(L968="","",R968/'[1]LOCH Calc COE Calc'!$C$28)</f>
        <v/>
      </c>
    </row>
    <row r="969" spans="12:23" x14ac:dyDescent="0.25">
      <c r="L969" s="4" t="str">
        <f>IF('[1]All Data '!BE974="","",'[1]All Data '!BE974)</f>
        <v/>
      </c>
      <c r="M969" t="str">
        <f>IF('[1]All Data '!BF974="","",'[1]All Data '!BF974)</f>
        <v/>
      </c>
      <c r="N969" s="5" t="str">
        <f>IF('[1]All Data '!BB974="","",'[1]All Data '!BC974/'[1]All Data '!BH974)</f>
        <v/>
      </c>
      <c r="O969" s="5" t="str">
        <f t="shared" si="17"/>
        <v/>
      </c>
      <c r="P969" s="5" t="str">
        <f>IF(M969="","",$C$2*(1-L969)*907.2/0.621371*N969*[1]Transportation!$M$40)</f>
        <v/>
      </c>
      <c r="Q969" s="5" t="str">
        <f>IF(L969="","",IF([1]Inputs_Outputs!$B$5="Herbaceous",(LCA!$E$29*'[1]LOCH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69" s="5" t="str">
        <f>IF(M969="","",$E$2*1000*'[1]LOCH Calc COE Calc'!$C$44)</f>
        <v/>
      </c>
      <c r="S969" s="6" t="str">
        <f>IF(N969="","",SUM(O969:R969)/('[1]LOCH Calc COE Calc'!$C$28))</f>
        <v/>
      </c>
      <c r="T969" t="str">
        <f>IF(L969="","",O969/'[1]LOCH Calc COE Calc'!$C$28)</f>
        <v/>
      </c>
      <c r="U969" t="str">
        <f>IF(L969="","",P969/'[1]LOCH Calc COE Calc'!$C$28)</f>
        <v/>
      </c>
      <c r="V969" t="str">
        <f>IF(L969="","",Q969/'[1]LOCH Calc COE Calc'!$C$28)</f>
        <v/>
      </c>
      <c r="W969" t="str">
        <f>IF(L969="","",R969/'[1]LOCH Calc COE Calc'!$C$28)</f>
        <v/>
      </c>
    </row>
    <row r="970" spans="12:23" x14ac:dyDescent="0.25">
      <c r="L970" s="4" t="str">
        <f>IF('[1]All Data '!BE975="","",'[1]All Data '!BE975)</f>
        <v/>
      </c>
      <c r="M970" t="str">
        <f>IF('[1]All Data '!BF975="","",'[1]All Data '!BF975)</f>
        <v/>
      </c>
      <c r="N970" s="5" t="str">
        <f>IF('[1]All Data '!BB975="","",'[1]All Data '!BC975/'[1]All Data '!BH975)</f>
        <v/>
      </c>
      <c r="O970" s="5" t="str">
        <f t="shared" si="17"/>
        <v/>
      </c>
      <c r="P970" s="5" t="str">
        <f>IF(M970="","",$C$2*(1-L970)*907.2/0.621371*N970*[1]Transportation!$M$40)</f>
        <v/>
      </c>
      <c r="Q970" s="5" t="str">
        <f>IF(L970="","",IF([1]Inputs_Outputs!$B$5="Herbaceous",(LCA!$E$29*'[1]LOCH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0" s="5" t="str">
        <f>IF(M970="","",$E$2*1000*'[1]LOCH Calc COE Calc'!$C$44)</f>
        <v/>
      </c>
      <c r="S970" s="6" t="str">
        <f>IF(N970="","",SUM(O970:R970)/('[1]LOCH Calc COE Calc'!$C$28))</f>
        <v/>
      </c>
      <c r="T970" t="str">
        <f>IF(L970="","",O970/'[1]LOCH Calc COE Calc'!$C$28)</f>
        <v/>
      </c>
      <c r="U970" t="str">
        <f>IF(L970="","",P970/'[1]LOCH Calc COE Calc'!$C$28)</f>
        <v/>
      </c>
      <c r="V970" t="str">
        <f>IF(L970="","",Q970/'[1]LOCH Calc COE Calc'!$C$28)</f>
        <v/>
      </c>
      <c r="W970" t="str">
        <f>IF(L970="","",R970/'[1]LOCH Calc COE Calc'!$C$28)</f>
        <v/>
      </c>
    </row>
    <row r="971" spans="12:23" x14ac:dyDescent="0.25">
      <c r="L971" s="4" t="str">
        <f>IF('[1]All Data '!BE976="","",'[1]All Data '!BE976)</f>
        <v/>
      </c>
      <c r="M971" t="str">
        <f>IF('[1]All Data '!BF976="","",'[1]All Data '!BF976)</f>
        <v/>
      </c>
      <c r="N971" s="5" t="str">
        <f>IF('[1]All Data '!BB976="","",'[1]All Data '!BC976/'[1]All Data '!BH976)</f>
        <v/>
      </c>
      <c r="O971" s="5" t="str">
        <f t="shared" si="17"/>
        <v/>
      </c>
      <c r="P971" s="5" t="str">
        <f>IF(M971="","",$C$2*(1-L971)*907.2/0.621371*N971*[1]Transportation!$M$40)</f>
        <v/>
      </c>
      <c r="Q971" s="5" t="str">
        <f>IF(L971="","",IF([1]Inputs_Outputs!$B$5="Herbaceous",(LCA!$E$29*'[1]LOCH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1" s="5" t="str">
        <f>IF(M971="","",$E$2*1000*'[1]LOCH Calc COE Calc'!$C$44)</f>
        <v/>
      </c>
      <c r="S971" s="6" t="str">
        <f>IF(N971="","",SUM(O971:R971)/('[1]LOCH Calc COE Calc'!$C$28))</f>
        <v/>
      </c>
      <c r="T971" t="str">
        <f>IF(L971="","",O971/'[1]LOCH Calc COE Calc'!$C$28)</f>
        <v/>
      </c>
      <c r="U971" t="str">
        <f>IF(L971="","",P971/'[1]LOCH Calc COE Calc'!$C$28)</f>
        <v/>
      </c>
      <c r="V971" t="str">
        <f>IF(L971="","",Q971/'[1]LOCH Calc COE Calc'!$C$28)</f>
        <v/>
      </c>
      <c r="W971" t="str">
        <f>IF(L971="","",R971/'[1]LOCH Calc COE Calc'!$C$28)</f>
        <v/>
      </c>
    </row>
    <row r="972" spans="12:23" x14ac:dyDescent="0.25">
      <c r="L972" s="4" t="str">
        <f>IF('[1]All Data '!BE977="","",'[1]All Data '!BE977)</f>
        <v/>
      </c>
      <c r="M972" t="str">
        <f>IF('[1]All Data '!BF977="","",'[1]All Data '!BF977)</f>
        <v/>
      </c>
      <c r="N972" s="5" t="str">
        <f>IF('[1]All Data '!BB977="","",'[1]All Data '!BC977/'[1]All Data '!BH977)</f>
        <v/>
      </c>
      <c r="O972" s="5" t="str">
        <f t="shared" si="17"/>
        <v/>
      </c>
      <c r="P972" s="5" t="str">
        <f>IF(M972="","",$C$2*(1-L972)*907.2/0.621371*N972*[1]Transportation!$M$40)</f>
        <v/>
      </c>
      <c r="Q972" s="5" t="str">
        <f>IF(L972="","",IF([1]Inputs_Outputs!$B$5="Herbaceous",(LCA!$E$29*'[1]LOCH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2" s="5" t="str">
        <f>IF(M972="","",$E$2*1000*'[1]LOCH Calc COE Calc'!$C$44)</f>
        <v/>
      </c>
      <c r="S972" s="6" t="str">
        <f>IF(N972="","",SUM(O972:R972)/('[1]LOCH Calc COE Calc'!$C$28))</f>
        <v/>
      </c>
      <c r="T972" t="str">
        <f>IF(L972="","",O972/'[1]LOCH Calc COE Calc'!$C$28)</f>
        <v/>
      </c>
      <c r="U972" t="str">
        <f>IF(L972="","",P972/'[1]LOCH Calc COE Calc'!$C$28)</f>
        <v/>
      </c>
      <c r="V972" t="str">
        <f>IF(L972="","",Q972/'[1]LOCH Calc COE Calc'!$C$28)</f>
        <v/>
      </c>
      <c r="W972" t="str">
        <f>IF(L972="","",R972/'[1]LOCH Calc COE Calc'!$C$28)</f>
        <v/>
      </c>
    </row>
    <row r="973" spans="12:23" x14ac:dyDescent="0.25">
      <c r="L973" s="4" t="str">
        <f>IF('[1]All Data '!BE978="","",'[1]All Data '!BE978)</f>
        <v/>
      </c>
      <c r="M973" t="str">
        <f>IF('[1]All Data '!BF978="","",'[1]All Data '!BF978)</f>
        <v/>
      </c>
      <c r="N973" s="5" t="str">
        <f>IF('[1]All Data '!BB978="","",'[1]All Data '!BC978/'[1]All Data '!BH978)</f>
        <v/>
      </c>
      <c r="O973" s="5" t="str">
        <f t="shared" si="17"/>
        <v/>
      </c>
      <c r="P973" s="5" t="str">
        <f>IF(M973="","",$C$2*(1-L973)*907.2/0.621371*N973*[1]Transportation!$M$40)</f>
        <v/>
      </c>
      <c r="Q973" s="5" t="str">
        <f>IF(L973="","",IF([1]Inputs_Outputs!$B$5="Herbaceous",(LCA!$E$29*'[1]LOCH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3" s="5" t="str">
        <f>IF(M973="","",$E$2*1000*'[1]LOCH Calc COE Calc'!$C$44)</f>
        <v/>
      </c>
      <c r="S973" s="6" t="str">
        <f>IF(N973="","",SUM(O973:R973)/('[1]LOCH Calc COE Calc'!$C$28))</f>
        <v/>
      </c>
      <c r="T973" t="str">
        <f>IF(L973="","",O973/'[1]LOCH Calc COE Calc'!$C$28)</f>
        <v/>
      </c>
      <c r="U973" t="str">
        <f>IF(L973="","",P973/'[1]LOCH Calc COE Calc'!$C$28)</f>
        <v/>
      </c>
      <c r="V973" t="str">
        <f>IF(L973="","",Q973/'[1]LOCH Calc COE Calc'!$C$28)</f>
        <v/>
      </c>
      <c r="W973" t="str">
        <f>IF(L973="","",R973/'[1]LOCH Calc COE Calc'!$C$28)</f>
        <v/>
      </c>
    </row>
    <row r="974" spans="12:23" x14ac:dyDescent="0.25">
      <c r="L974" s="4" t="str">
        <f>IF('[1]All Data '!BE979="","",'[1]All Data '!BE979)</f>
        <v/>
      </c>
      <c r="M974" t="str">
        <f>IF('[1]All Data '!BF979="","",'[1]All Data '!BF979)</f>
        <v/>
      </c>
      <c r="N974" s="5" t="str">
        <f>IF('[1]All Data '!BB979="","",'[1]All Data '!BC979/'[1]All Data '!BH979)</f>
        <v/>
      </c>
      <c r="O974" s="5" t="str">
        <f t="shared" si="17"/>
        <v/>
      </c>
      <c r="P974" s="5" t="str">
        <f>IF(M974="","",$C$2*(1-L974)*907.2/0.621371*N974*[1]Transportation!$M$40)</f>
        <v/>
      </c>
      <c r="Q974" s="5" t="str">
        <f>IF(L974="","",IF([1]Inputs_Outputs!$B$5="Herbaceous",(LCA!$E$29*'[1]LOCH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4" s="5" t="str">
        <f>IF(M974="","",$E$2*1000*'[1]LOCH Calc COE Calc'!$C$44)</f>
        <v/>
      </c>
      <c r="S974" s="6" t="str">
        <f>IF(N974="","",SUM(O974:R974)/('[1]LOCH Calc COE Calc'!$C$28))</f>
        <v/>
      </c>
      <c r="T974" t="str">
        <f>IF(L974="","",O974/'[1]LOCH Calc COE Calc'!$C$28)</f>
        <v/>
      </c>
      <c r="U974" t="str">
        <f>IF(L974="","",P974/'[1]LOCH Calc COE Calc'!$C$28)</f>
        <v/>
      </c>
      <c r="V974" t="str">
        <f>IF(L974="","",Q974/'[1]LOCH Calc COE Calc'!$C$28)</f>
        <v/>
      </c>
      <c r="W974" t="str">
        <f>IF(L974="","",R974/'[1]LOCH Calc COE Calc'!$C$28)</f>
        <v/>
      </c>
    </row>
    <row r="975" spans="12:23" x14ac:dyDescent="0.25">
      <c r="L975" s="4" t="str">
        <f>IF('[1]All Data '!BE980="","",'[1]All Data '!BE980)</f>
        <v/>
      </c>
      <c r="M975" t="str">
        <f>IF('[1]All Data '!BF980="","",'[1]All Data '!BF980)</f>
        <v/>
      </c>
      <c r="N975" s="5" t="str">
        <f>IF('[1]All Data '!BB980="","",'[1]All Data '!BC980/'[1]All Data '!BH980)</f>
        <v/>
      </c>
      <c r="O975" s="5" t="str">
        <f t="shared" si="17"/>
        <v/>
      </c>
      <c r="P975" s="5" t="str">
        <f>IF(M975="","",$C$2*(1-L975)*907.2/0.621371*N975*[1]Transportation!$M$40)</f>
        <v/>
      </c>
      <c r="Q975" s="5" t="str">
        <f>IF(L975="","",IF([1]Inputs_Outputs!$B$5="Herbaceous",(LCA!$E$29*'[1]LOCH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5" s="5" t="str">
        <f>IF(M975="","",$E$2*1000*'[1]LOCH Calc COE Calc'!$C$44)</f>
        <v/>
      </c>
      <c r="S975" s="6" t="str">
        <f>IF(N975="","",SUM(O975:R975)/('[1]LOCH Calc COE Calc'!$C$28))</f>
        <v/>
      </c>
      <c r="T975" t="str">
        <f>IF(L975="","",O975/'[1]LOCH Calc COE Calc'!$C$28)</f>
        <v/>
      </c>
      <c r="U975" t="str">
        <f>IF(L975="","",P975/'[1]LOCH Calc COE Calc'!$C$28)</f>
        <v/>
      </c>
      <c r="V975" t="str">
        <f>IF(L975="","",Q975/'[1]LOCH Calc COE Calc'!$C$28)</f>
        <v/>
      </c>
      <c r="W975" t="str">
        <f>IF(L975="","",R975/'[1]LOCH Calc COE Calc'!$C$28)</f>
        <v/>
      </c>
    </row>
    <row r="976" spans="12:23" x14ac:dyDescent="0.25">
      <c r="L976" s="4" t="str">
        <f>IF('[1]All Data '!BE981="","",'[1]All Data '!BE981)</f>
        <v/>
      </c>
      <c r="M976" t="str">
        <f>IF('[1]All Data '!BF981="","",'[1]All Data '!BF981)</f>
        <v/>
      </c>
      <c r="N976" s="5" t="str">
        <f>IF('[1]All Data '!BB981="","",'[1]All Data '!BC981/'[1]All Data '!BH981)</f>
        <v/>
      </c>
      <c r="O976" s="5" t="str">
        <f t="shared" si="17"/>
        <v/>
      </c>
      <c r="P976" s="5" t="str">
        <f>IF(M976="","",$C$2*(1-L976)*907.2/0.621371*N976*[1]Transportation!$M$40)</f>
        <v/>
      </c>
      <c r="Q976" s="5" t="str">
        <f>IF(L976="","",IF([1]Inputs_Outputs!$B$5="Herbaceous",(LCA!$E$29*'[1]LOCH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6" s="5" t="str">
        <f>IF(M976="","",$E$2*1000*'[1]LOCH Calc COE Calc'!$C$44)</f>
        <v/>
      </c>
      <c r="S976" s="6" t="str">
        <f>IF(N976="","",SUM(O976:R976)/('[1]LOCH Calc COE Calc'!$C$28))</f>
        <v/>
      </c>
      <c r="T976" t="str">
        <f>IF(L976="","",O976/'[1]LOCH Calc COE Calc'!$C$28)</f>
        <v/>
      </c>
      <c r="U976" t="str">
        <f>IF(L976="","",P976/'[1]LOCH Calc COE Calc'!$C$28)</f>
        <v/>
      </c>
      <c r="V976" t="str">
        <f>IF(L976="","",Q976/'[1]LOCH Calc COE Calc'!$C$28)</f>
        <v/>
      </c>
      <c r="W976" t="str">
        <f>IF(L976="","",R976/'[1]LOCH Calc COE Calc'!$C$28)</f>
        <v/>
      </c>
    </row>
    <row r="977" spans="12:23" x14ac:dyDescent="0.25">
      <c r="L977" s="4" t="str">
        <f>IF('[1]All Data '!BE982="","",'[1]All Data '!BE982)</f>
        <v/>
      </c>
      <c r="M977" t="str">
        <f>IF('[1]All Data '!BF982="","",'[1]All Data '!BF982)</f>
        <v/>
      </c>
      <c r="N977" s="5" t="str">
        <f>IF('[1]All Data '!BB982="","",'[1]All Data '!BC982/'[1]All Data '!BH982)</f>
        <v/>
      </c>
      <c r="O977" s="5" t="str">
        <f t="shared" si="17"/>
        <v/>
      </c>
      <c r="P977" s="5" t="str">
        <f>IF(M977="","",$C$2*(1-L977)*907.2/0.621371*N977*[1]Transportation!$M$40)</f>
        <v/>
      </c>
      <c r="Q977" s="5" t="str">
        <f>IF(L977="","",IF([1]Inputs_Outputs!$B$5="Herbaceous",(LCA!$E$29*'[1]LOCH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7" s="5" t="str">
        <f>IF(M977="","",$E$2*1000*'[1]LOCH Calc COE Calc'!$C$44)</f>
        <v/>
      </c>
      <c r="S977" s="6" t="str">
        <f>IF(N977="","",SUM(O977:R977)/('[1]LOCH Calc COE Calc'!$C$28))</f>
        <v/>
      </c>
      <c r="T977" t="str">
        <f>IF(L977="","",O977/'[1]LOCH Calc COE Calc'!$C$28)</f>
        <v/>
      </c>
      <c r="U977" t="str">
        <f>IF(L977="","",P977/'[1]LOCH Calc COE Calc'!$C$28)</f>
        <v/>
      </c>
      <c r="V977" t="str">
        <f>IF(L977="","",Q977/'[1]LOCH Calc COE Calc'!$C$28)</f>
        <v/>
      </c>
      <c r="W977" t="str">
        <f>IF(L977="","",R977/'[1]LOCH Calc COE Calc'!$C$28)</f>
        <v/>
      </c>
    </row>
    <row r="978" spans="12:23" x14ac:dyDescent="0.25">
      <c r="L978" s="4" t="str">
        <f>IF('[1]All Data '!BE983="","",'[1]All Data '!BE983)</f>
        <v/>
      </c>
      <c r="M978" t="str">
        <f>IF('[1]All Data '!BF983="","",'[1]All Data '!BF983)</f>
        <v/>
      </c>
      <c r="N978" s="5" t="str">
        <f>IF('[1]All Data '!BB983="","",'[1]All Data '!BC983/'[1]All Data '!BH983)</f>
        <v/>
      </c>
      <c r="O978" s="5" t="str">
        <f t="shared" si="17"/>
        <v/>
      </c>
      <c r="P978" s="5" t="str">
        <f>IF(M978="","",$C$2*(1-L978)*907.2/0.621371*N978*[1]Transportation!$M$40)</f>
        <v/>
      </c>
      <c r="Q978" s="5" t="str">
        <f>IF(L978="","",IF([1]Inputs_Outputs!$B$5="Herbaceous",(LCA!$E$29*'[1]LOCH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8" s="5" t="str">
        <f>IF(M978="","",$E$2*1000*'[1]LOCH Calc COE Calc'!$C$44)</f>
        <v/>
      </c>
      <c r="S978" s="6" t="str">
        <f>IF(N978="","",SUM(O978:R978)/('[1]LOCH Calc COE Calc'!$C$28))</f>
        <v/>
      </c>
      <c r="T978" t="str">
        <f>IF(L978="","",O978/'[1]LOCH Calc COE Calc'!$C$28)</f>
        <v/>
      </c>
      <c r="U978" t="str">
        <f>IF(L978="","",P978/'[1]LOCH Calc COE Calc'!$C$28)</f>
        <v/>
      </c>
      <c r="V978" t="str">
        <f>IF(L978="","",Q978/'[1]LOCH Calc COE Calc'!$C$28)</f>
        <v/>
      </c>
      <c r="W978" t="str">
        <f>IF(L978="","",R978/'[1]LOCH Calc COE Calc'!$C$28)</f>
        <v/>
      </c>
    </row>
    <row r="979" spans="12:23" x14ac:dyDescent="0.25">
      <c r="L979" s="4" t="str">
        <f>IF('[1]All Data '!BE984="","",'[1]All Data '!BE984)</f>
        <v/>
      </c>
      <c r="M979" t="str">
        <f>IF('[1]All Data '!BF984="","",'[1]All Data '!BF984)</f>
        <v/>
      </c>
      <c r="N979" s="5" t="str">
        <f>IF('[1]All Data '!BB984="","",'[1]All Data '!BC984/'[1]All Data '!BH984)</f>
        <v/>
      </c>
      <c r="O979" s="5" t="str">
        <f t="shared" si="17"/>
        <v/>
      </c>
      <c r="P979" s="5" t="str">
        <f>IF(M979="","",$C$2*(1-L979)*907.2/0.621371*N979*[1]Transportation!$M$40)</f>
        <v/>
      </c>
      <c r="Q979" s="5" t="str">
        <f>IF(L979="","",IF([1]Inputs_Outputs!$B$5="Herbaceous",(LCA!$E$29*'[1]LOCH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79" s="5" t="str">
        <f>IF(M979="","",$E$2*1000*'[1]LOCH Calc COE Calc'!$C$44)</f>
        <v/>
      </c>
      <c r="S979" s="6" t="str">
        <f>IF(N979="","",SUM(O979:R979)/('[1]LOCH Calc COE Calc'!$C$28))</f>
        <v/>
      </c>
      <c r="T979" t="str">
        <f>IF(L979="","",O979/'[1]LOCH Calc COE Calc'!$C$28)</f>
        <v/>
      </c>
      <c r="U979" t="str">
        <f>IF(L979="","",P979/'[1]LOCH Calc COE Calc'!$C$28)</f>
        <v/>
      </c>
      <c r="V979" t="str">
        <f>IF(L979="","",Q979/'[1]LOCH Calc COE Calc'!$C$28)</f>
        <v/>
      </c>
      <c r="W979" t="str">
        <f>IF(L979="","",R979/'[1]LOCH Calc COE Calc'!$C$28)</f>
        <v/>
      </c>
    </row>
    <row r="980" spans="12:23" x14ac:dyDescent="0.25">
      <c r="L980" s="4" t="str">
        <f>IF('[1]All Data '!BE985="","",'[1]All Data '!BE985)</f>
        <v/>
      </c>
      <c r="M980" t="str">
        <f>IF('[1]All Data '!BF985="","",'[1]All Data '!BF985)</f>
        <v/>
      </c>
      <c r="N980" s="5" t="str">
        <f>IF('[1]All Data '!BB985="","",'[1]All Data '!BC985/'[1]All Data '!BH985)</f>
        <v/>
      </c>
      <c r="O980" s="5" t="str">
        <f t="shared" si="17"/>
        <v/>
      </c>
      <c r="P980" s="5" t="str">
        <f>IF(M980="","",$C$2*(1-L980)*907.2/0.621371*N980*[1]Transportation!$M$40)</f>
        <v/>
      </c>
      <c r="Q980" s="5" t="str">
        <f>IF(L980="","",IF([1]Inputs_Outputs!$B$5="Herbaceous",(LCA!$E$29*'[1]LOCH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0" s="5" t="str">
        <f>IF(M980="","",$E$2*1000*'[1]LOCH Calc COE Calc'!$C$44)</f>
        <v/>
      </c>
      <c r="S980" s="6" t="str">
        <f>IF(N980="","",SUM(O980:R980)/('[1]LOCH Calc COE Calc'!$C$28))</f>
        <v/>
      </c>
      <c r="T980" t="str">
        <f>IF(L980="","",O980/'[1]LOCH Calc COE Calc'!$C$28)</f>
        <v/>
      </c>
      <c r="U980" t="str">
        <f>IF(L980="","",P980/'[1]LOCH Calc COE Calc'!$C$28)</f>
        <v/>
      </c>
      <c r="V980" t="str">
        <f>IF(L980="","",Q980/'[1]LOCH Calc COE Calc'!$C$28)</f>
        <v/>
      </c>
      <c r="W980" t="str">
        <f>IF(L980="","",R980/'[1]LOCH Calc COE Calc'!$C$28)</f>
        <v/>
      </c>
    </row>
    <row r="981" spans="12:23" x14ac:dyDescent="0.25">
      <c r="L981" s="4" t="str">
        <f>IF('[1]All Data '!BE986="","",'[1]All Data '!BE986)</f>
        <v/>
      </c>
      <c r="M981" t="str">
        <f>IF('[1]All Data '!BF986="","",'[1]All Data '!BF986)</f>
        <v/>
      </c>
      <c r="N981" s="5" t="str">
        <f>IF('[1]All Data '!BB986="","",'[1]All Data '!BC986/'[1]All Data '!BH986)</f>
        <v/>
      </c>
      <c r="O981" s="5" t="str">
        <f t="shared" si="17"/>
        <v/>
      </c>
      <c r="P981" s="5" t="str">
        <f>IF(M981="","",$C$2*(1-L981)*907.2/0.621371*N981*[1]Transportation!$M$40)</f>
        <v/>
      </c>
      <c r="Q981" s="5" t="str">
        <f>IF(L981="","",IF([1]Inputs_Outputs!$B$5="Herbaceous",(LCA!$E$29*'[1]LOCH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1" s="5" t="str">
        <f>IF(M981="","",$E$2*1000*'[1]LOCH Calc COE Calc'!$C$44)</f>
        <v/>
      </c>
      <c r="S981" s="6" t="str">
        <f>IF(N981="","",SUM(O981:R981)/('[1]LOCH Calc COE Calc'!$C$28))</f>
        <v/>
      </c>
      <c r="T981" t="str">
        <f>IF(L981="","",O981/'[1]LOCH Calc COE Calc'!$C$28)</f>
        <v/>
      </c>
      <c r="U981" t="str">
        <f>IF(L981="","",P981/'[1]LOCH Calc COE Calc'!$C$28)</f>
        <v/>
      </c>
      <c r="V981" t="str">
        <f>IF(L981="","",Q981/'[1]LOCH Calc COE Calc'!$C$28)</f>
        <v/>
      </c>
      <c r="W981" t="str">
        <f>IF(L981="","",R981/'[1]LOCH Calc COE Calc'!$C$28)</f>
        <v/>
      </c>
    </row>
    <row r="982" spans="12:23" x14ac:dyDescent="0.25">
      <c r="L982" s="4" t="str">
        <f>IF('[1]All Data '!BE987="","",'[1]All Data '!BE987)</f>
        <v/>
      </c>
      <c r="M982" t="str">
        <f>IF('[1]All Data '!BF987="","",'[1]All Data '!BF987)</f>
        <v/>
      </c>
      <c r="N982" s="5" t="str">
        <f>IF('[1]All Data '!BB987="","",'[1]All Data '!BC987/'[1]All Data '!BH987)</f>
        <v/>
      </c>
      <c r="O982" s="5" t="str">
        <f t="shared" si="17"/>
        <v/>
      </c>
      <c r="P982" s="5" t="str">
        <f>IF(M982="","",$C$2*(1-L982)*907.2/0.621371*N982*[1]Transportation!$M$40)</f>
        <v/>
      </c>
      <c r="Q982" s="5" t="str">
        <f>IF(L982="","",IF([1]Inputs_Outputs!$B$5="Herbaceous",(LCA!$E$29*'[1]LOCH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2" s="5" t="str">
        <f>IF(M982="","",$E$2*1000*'[1]LOCH Calc COE Calc'!$C$44)</f>
        <v/>
      </c>
      <c r="S982" s="6" t="str">
        <f>IF(N982="","",SUM(O982:R982)/('[1]LOCH Calc COE Calc'!$C$28))</f>
        <v/>
      </c>
      <c r="T982" t="str">
        <f>IF(L982="","",O982/'[1]LOCH Calc COE Calc'!$C$28)</f>
        <v/>
      </c>
      <c r="U982" t="str">
        <f>IF(L982="","",P982/'[1]LOCH Calc COE Calc'!$C$28)</f>
        <v/>
      </c>
      <c r="V982" t="str">
        <f>IF(L982="","",Q982/'[1]LOCH Calc COE Calc'!$C$28)</f>
        <v/>
      </c>
      <c r="W982" t="str">
        <f>IF(L982="","",R982/'[1]LOCH Calc COE Calc'!$C$28)</f>
        <v/>
      </c>
    </row>
    <row r="983" spans="12:23" x14ac:dyDescent="0.25">
      <c r="L983" s="4" t="str">
        <f>IF('[1]All Data '!BE988="","",'[1]All Data '!BE988)</f>
        <v/>
      </c>
      <c r="M983" t="str">
        <f>IF('[1]All Data '!BF988="","",'[1]All Data '!BF988)</f>
        <v/>
      </c>
      <c r="N983" s="5" t="str">
        <f>IF('[1]All Data '!BB988="","",'[1]All Data '!BC988/'[1]All Data '!BH988)</f>
        <v/>
      </c>
      <c r="O983" s="5" t="str">
        <f t="shared" si="17"/>
        <v/>
      </c>
      <c r="P983" s="5" t="str">
        <f>IF(M983="","",$C$2*(1-L983)*907.2/0.621371*N983*[1]Transportation!$M$40)</f>
        <v/>
      </c>
      <c r="Q983" s="5" t="str">
        <f>IF(L983="","",IF([1]Inputs_Outputs!$B$5="Herbaceous",(LCA!$E$29*'[1]LOCH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3" s="5" t="str">
        <f>IF(M983="","",$E$2*1000*'[1]LOCH Calc COE Calc'!$C$44)</f>
        <v/>
      </c>
      <c r="S983" s="6" t="str">
        <f>IF(N983="","",SUM(O983:R983)/('[1]LOCH Calc COE Calc'!$C$28))</f>
        <v/>
      </c>
      <c r="T983" t="str">
        <f>IF(L983="","",O983/'[1]LOCH Calc COE Calc'!$C$28)</f>
        <v/>
      </c>
      <c r="U983" t="str">
        <f>IF(L983="","",P983/'[1]LOCH Calc COE Calc'!$C$28)</f>
        <v/>
      </c>
      <c r="V983" t="str">
        <f>IF(L983="","",Q983/'[1]LOCH Calc COE Calc'!$C$28)</f>
        <v/>
      </c>
      <c r="W983" t="str">
        <f>IF(L983="","",R983/'[1]LOCH Calc COE Calc'!$C$28)</f>
        <v/>
      </c>
    </row>
    <row r="984" spans="12:23" x14ac:dyDescent="0.25">
      <c r="L984" s="4" t="str">
        <f>IF('[1]All Data '!BE989="","",'[1]All Data '!BE989)</f>
        <v/>
      </c>
      <c r="M984" t="str">
        <f>IF('[1]All Data '!BF989="","",'[1]All Data '!BF989)</f>
        <v/>
      </c>
      <c r="N984" s="5" t="str">
        <f>IF('[1]All Data '!BB989="","",'[1]All Data '!BC989/'[1]All Data '!BH989)</f>
        <v/>
      </c>
      <c r="O984" s="5" t="str">
        <f t="shared" si="17"/>
        <v/>
      </c>
      <c r="P984" s="5" t="str">
        <f>IF(M984="","",$C$2*(1-L984)*907.2/0.621371*N984*[1]Transportation!$M$40)</f>
        <v/>
      </c>
      <c r="Q984" s="5" t="str">
        <f>IF(L984="","",IF([1]Inputs_Outputs!$B$5="Herbaceous",(LCA!$E$29*'[1]LOCH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4" s="5" t="str">
        <f>IF(M984="","",$E$2*1000*'[1]LOCH Calc COE Calc'!$C$44)</f>
        <v/>
      </c>
      <c r="S984" s="6" t="str">
        <f>IF(N984="","",SUM(O984:R984)/('[1]LOCH Calc COE Calc'!$C$28))</f>
        <v/>
      </c>
      <c r="T984" t="str">
        <f>IF(L984="","",O984/'[1]LOCH Calc COE Calc'!$C$28)</f>
        <v/>
      </c>
      <c r="U984" t="str">
        <f>IF(L984="","",P984/'[1]LOCH Calc COE Calc'!$C$28)</f>
        <v/>
      </c>
      <c r="V984" t="str">
        <f>IF(L984="","",Q984/'[1]LOCH Calc COE Calc'!$C$28)</f>
        <v/>
      </c>
      <c r="W984" t="str">
        <f>IF(L984="","",R984/'[1]LOCH Calc COE Calc'!$C$28)</f>
        <v/>
      </c>
    </row>
    <row r="985" spans="12:23" x14ac:dyDescent="0.25">
      <c r="L985" s="4" t="str">
        <f>IF('[1]All Data '!BE990="","",'[1]All Data '!BE990)</f>
        <v/>
      </c>
      <c r="M985" t="str">
        <f>IF('[1]All Data '!BF990="","",'[1]All Data '!BF990)</f>
        <v/>
      </c>
      <c r="N985" s="5" t="str">
        <f>IF('[1]All Data '!BB990="","",'[1]All Data '!BC990/'[1]All Data '!BH990)</f>
        <v/>
      </c>
      <c r="O985" s="5" t="str">
        <f t="shared" si="17"/>
        <v/>
      </c>
      <c r="P985" s="5" t="str">
        <f>IF(M985="","",$C$2*(1-L985)*907.2/0.621371*N985*[1]Transportation!$M$40)</f>
        <v/>
      </c>
      <c r="Q985" s="5" t="str">
        <f>IF(L985="","",IF([1]Inputs_Outputs!$B$5="Herbaceous",(LCA!$E$29*'[1]LOCH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5" s="5" t="str">
        <f>IF(M985="","",$E$2*1000*'[1]LOCH Calc COE Calc'!$C$44)</f>
        <v/>
      </c>
      <c r="S985" s="6" t="str">
        <f>IF(N985="","",SUM(O985:R985)/('[1]LOCH Calc COE Calc'!$C$28))</f>
        <v/>
      </c>
      <c r="T985" t="str">
        <f>IF(L985="","",O985/'[1]LOCH Calc COE Calc'!$C$28)</f>
        <v/>
      </c>
      <c r="U985" t="str">
        <f>IF(L985="","",P985/'[1]LOCH Calc COE Calc'!$C$28)</f>
        <v/>
      </c>
      <c r="V985" t="str">
        <f>IF(L985="","",Q985/'[1]LOCH Calc COE Calc'!$C$28)</f>
        <v/>
      </c>
      <c r="W985" t="str">
        <f>IF(L985="","",R985/'[1]LOCH Calc COE Calc'!$C$28)</f>
        <v/>
      </c>
    </row>
    <row r="986" spans="12:23" x14ac:dyDescent="0.25">
      <c r="L986" s="4" t="str">
        <f>IF('[1]All Data '!BE991="","",'[1]All Data '!BE991)</f>
        <v/>
      </c>
      <c r="M986" t="str">
        <f>IF('[1]All Data '!BF991="","",'[1]All Data '!BF991)</f>
        <v/>
      </c>
      <c r="N986" s="5" t="str">
        <f>IF('[1]All Data '!BB991="","",'[1]All Data '!BC991/'[1]All Data '!BH991)</f>
        <v/>
      </c>
      <c r="O986" s="5" t="str">
        <f t="shared" si="17"/>
        <v/>
      </c>
      <c r="P986" s="5" t="str">
        <f>IF(M986="","",$C$2*(1-L986)*907.2/0.621371*N986*[1]Transportation!$M$40)</f>
        <v/>
      </c>
      <c r="Q986" s="5" t="str">
        <f>IF(L986="","",IF([1]Inputs_Outputs!$B$5="Herbaceous",(LCA!$E$29*'[1]LOCH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6" s="5" t="str">
        <f>IF(M986="","",$E$2*1000*'[1]LOCH Calc COE Calc'!$C$44)</f>
        <v/>
      </c>
      <c r="S986" s="6" t="str">
        <f>IF(N986="","",SUM(O986:R986)/('[1]LOCH Calc COE Calc'!$C$28))</f>
        <v/>
      </c>
      <c r="T986" t="str">
        <f>IF(L986="","",O986/'[1]LOCH Calc COE Calc'!$C$28)</f>
        <v/>
      </c>
      <c r="U986" t="str">
        <f>IF(L986="","",P986/'[1]LOCH Calc COE Calc'!$C$28)</f>
        <v/>
      </c>
      <c r="V986" t="str">
        <f>IF(L986="","",Q986/'[1]LOCH Calc COE Calc'!$C$28)</f>
        <v/>
      </c>
      <c r="W986" t="str">
        <f>IF(L986="","",R986/'[1]LOCH Calc COE Calc'!$C$28)</f>
        <v/>
      </c>
    </row>
    <row r="987" spans="12:23" x14ac:dyDescent="0.25">
      <c r="L987" s="4" t="str">
        <f>IF('[1]All Data '!BE992="","",'[1]All Data '!BE992)</f>
        <v/>
      </c>
      <c r="M987" t="str">
        <f>IF('[1]All Data '!BF992="","",'[1]All Data '!BF992)</f>
        <v/>
      </c>
      <c r="N987" s="5" t="str">
        <f>IF('[1]All Data '!BB992="","",'[1]All Data '!BC992/'[1]All Data '!BH992)</f>
        <v/>
      </c>
      <c r="O987" s="5" t="str">
        <f t="shared" si="17"/>
        <v/>
      </c>
      <c r="P987" s="5" t="str">
        <f>IF(M987="","",$C$2*(1-L987)*907.2/0.621371*N987*[1]Transportation!$M$40)</f>
        <v/>
      </c>
      <c r="Q987" s="5" t="str">
        <f>IF(L987="","",IF([1]Inputs_Outputs!$B$5="Herbaceous",(LCA!$E$29*'[1]LOCH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7" s="5" t="str">
        <f>IF(M987="","",$E$2*1000*'[1]LOCH Calc COE Calc'!$C$44)</f>
        <v/>
      </c>
      <c r="S987" s="6" t="str">
        <f>IF(N987="","",SUM(O987:R987)/('[1]LOCH Calc COE Calc'!$C$28))</f>
        <v/>
      </c>
      <c r="T987" t="str">
        <f>IF(L987="","",O987/'[1]LOCH Calc COE Calc'!$C$28)</f>
        <v/>
      </c>
      <c r="U987" t="str">
        <f>IF(L987="","",P987/'[1]LOCH Calc COE Calc'!$C$28)</f>
        <v/>
      </c>
      <c r="V987" t="str">
        <f>IF(L987="","",Q987/'[1]LOCH Calc COE Calc'!$C$28)</f>
        <v/>
      </c>
      <c r="W987" t="str">
        <f>IF(L987="","",R987/'[1]LOCH Calc COE Calc'!$C$28)</f>
        <v/>
      </c>
    </row>
    <row r="988" spans="12:23" x14ac:dyDescent="0.25">
      <c r="L988" s="4" t="str">
        <f>IF('[1]All Data '!BE993="","",'[1]All Data '!BE993)</f>
        <v/>
      </c>
      <c r="M988" t="str">
        <f>IF('[1]All Data '!BF993="","",'[1]All Data '!BF993)</f>
        <v/>
      </c>
      <c r="N988" s="5" t="str">
        <f>IF('[1]All Data '!BB993="","",'[1]All Data '!BC993/'[1]All Data '!BH993)</f>
        <v/>
      </c>
      <c r="O988" s="5" t="str">
        <f t="shared" si="17"/>
        <v/>
      </c>
      <c r="P988" s="5" t="str">
        <f>IF(M988="","",$C$2*(1-L988)*907.2/0.621371*N988*[1]Transportation!$M$40)</f>
        <v/>
      </c>
      <c r="Q988" s="5" t="str">
        <f>IF(L988="","",IF([1]Inputs_Outputs!$B$5="Herbaceous",(LCA!$E$29*'[1]LOCH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8" s="5" t="str">
        <f>IF(M988="","",$E$2*1000*'[1]LOCH Calc COE Calc'!$C$44)</f>
        <v/>
      </c>
      <c r="S988" s="6" t="str">
        <f>IF(N988="","",SUM(O988:R988)/('[1]LOCH Calc COE Calc'!$C$28))</f>
        <v/>
      </c>
      <c r="T988" t="str">
        <f>IF(L988="","",O988/'[1]LOCH Calc COE Calc'!$C$28)</f>
        <v/>
      </c>
      <c r="U988" t="str">
        <f>IF(L988="","",P988/'[1]LOCH Calc COE Calc'!$C$28)</f>
        <v/>
      </c>
      <c r="V988" t="str">
        <f>IF(L988="","",Q988/'[1]LOCH Calc COE Calc'!$C$28)</f>
        <v/>
      </c>
      <c r="W988" t="str">
        <f>IF(L988="","",R988/'[1]LOCH Calc COE Calc'!$C$28)</f>
        <v/>
      </c>
    </row>
    <row r="989" spans="12:23" x14ac:dyDescent="0.25">
      <c r="L989" s="4" t="str">
        <f>IF('[1]All Data '!BE994="","",'[1]All Data '!BE994)</f>
        <v/>
      </c>
      <c r="M989" t="str">
        <f>IF('[1]All Data '!BF994="","",'[1]All Data '!BF994)</f>
        <v/>
      </c>
      <c r="N989" s="5" t="str">
        <f>IF('[1]All Data '!BB994="","",'[1]All Data '!BC994/'[1]All Data '!BH994)</f>
        <v/>
      </c>
      <c r="O989" s="5" t="str">
        <f t="shared" si="17"/>
        <v/>
      </c>
      <c r="P989" s="5" t="str">
        <f>IF(M989="","",$C$2*(1-L989)*907.2/0.621371*N989*[1]Transportation!$M$40)</f>
        <v/>
      </c>
      <c r="Q989" s="5" t="str">
        <f>IF(L989="","",IF([1]Inputs_Outputs!$B$5="Herbaceous",(LCA!$E$29*'[1]LOCH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89" s="5" t="str">
        <f>IF(M989="","",$E$2*1000*'[1]LOCH Calc COE Calc'!$C$44)</f>
        <v/>
      </c>
      <c r="S989" s="6" t="str">
        <f>IF(N989="","",SUM(O989:R989)/('[1]LOCH Calc COE Calc'!$C$28))</f>
        <v/>
      </c>
      <c r="T989" t="str">
        <f>IF(L989="","",O989/'[1]LOCH Calc COE Calc'!$C$28)</f>
        <v/>
      </c>
      <c r="U989" t="str">
        <f>IF(L989="","",P989/'[1]LOCH Calc COE Calc'!$C$28)</f>
        <v/>
      </c>
      <c r="V989" t="str">
        <f>IF(L989="","",Q989/'[1]LOCH Calc COE Calc'!$C$28)</f>
        <v/>
      </c>
      <c r="W989" t="str">
        <f>IF(L989="","",R989/'[1]LOCH Calc COE Calc'!$C$28)</f>
        <v/>
      </c>
    </row>
    <row r="990" spans="12:23" x14ac:dyDescent="0.25">
      <c r="L990" s="4" t="str">
        <f>IF('[1]All Data '!BE995="","",'[1]All Data '!BE995)</f>
        <v/>
      </c>
      <c r="M990" t="str">
        <f>IF('[1]All Data '!BF995="","",'[1]All Data '!BF995)</f>
        <v/>
      </c>
      <c r="N990" s="5" t="str">
        <f>IF('[1]All Data '!BB995="","",'[1]All Data '!BC995/'[1]All Data '!BH995)</f>
        <v/>
      </c>
      <c r="O990" s="5" t="str">
        <f t="shared" si="17"/>
        <v/>
      </c>
      <c r="P990" s="5" t="str">
        <f>IF(M990="","",$C$2*(1-L990)*907.2/0.621371*N990*[1]Transportation!$M$40)</f>
        <v/>
      </c>
      <c r="Q990" s="5" t="str">
        <f>IF(L990="","",IF([1]Inputs_Outputs!$B$5="Herbaceous",(LCA!$E$29*'[1]LOCH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0" s="5" t="str">
        <f>IF(M990="","",$E$2*1000*'[1]LOCH Calc COE Calc'!$C$44)</f>
        <v/>
      </c>
      <c r="S990" s="6" t="str">
        <f>IF(N990="","",SUM(O990:R990)/('[1]LOCH Calc COE Calc'!$C$28))</f>
        <v/>
      </c>
      <c r="T990" t="str">
        <f>IF(L990="","",O990/'[1]LOCH Calc COE Calc'!$C$28)</f>
        <v/>
      </c>
      <c r="U990" t="str">
        <f>IF(L990="","",P990/'[1]LOCH Calc COE Calc'!$C$28)</f>
        <v/>
      </c>
      <c r="V990" t="str">
        <f>IF(L990="","",Q990/'[1]LOCH Calc COE Calc'!$C$28)</f>
        <v/>
      </c>
      <c r="W990" t="str">
        <f>IF(L990="","",R990/'[1]LOCH Calc COE Calc'!$C$28)</f>
        <v/>
      </c>
    </row>
    <row r="991" spans="12:23" x14ac:dyDescent="0.25">
      <c r="L991" s="4" t="str">
        <f>IF('[1]All Data '!BE996="","",'[1]All Data '!BE996)</f>
        <v/>
      </c>
      <c r="M991" t="str">
        <f>IF('[1]All Data '!BF996="","",'[1]All Data '!BF996)</f>
        <v/>
      </c>
      <c r="N991" s="5" t="str">
        <f>IF('[1]All Data '!BB996="","",'[1]All Data '!BC996/'[1]All Data '!BH996)</f>
        <v/>
      </c>
      <c r="O991" s="5" t="str">
        <f t="shared" si="17"/>
        <v/>
      </c>
      <c r="P991" s="5" t="str">
        <f>IF(M991="","",$C$2*(1-L991)*907.2/0.621371*N991*[1]Transportation!$M$40)</f>
        <v/>
      </c>
      <c r="Q991" s="5" t="str">
        <f>IF(L991="","",IF([1]Inputs_Outputs!$B$5="Herbaceous",(LCA!$E$29*'[1]LOCH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1" s="5" t="str">
        <f>IF(M991="","",$E$2*1000*'[1]LOCH Calc COE Calc'!$C$44)</f>
        <v/>
      </c>
      <c r="S991" s="6" t="str">
        <f>IF(N991="","",SUM(O991:R991)/('[1]LOCH Calc COE Calc'!$C$28))</f>
        <v/>
      </c>
      <c r="T991" t="str">
        <f>IF(L991="","",O991/'[1]LOCH Calc COE Calc'!$C$28)</f>
        <v/>
      </c>
      <c r="U991" t="str">
        <f>IF(L991="","",P991/'[1]LOCH Calc COE Calc'!$C$28)</f>
        <v/>
      </c>
      <c r="V991" t="str">
        <f>IF(L991="","",Q991/'[1]LOCH Calc COE Calc'!$C$28)</f>
        <v/>
      </c>
      <c r="W991" t="str">
        <f>IF(L991="","",R991/'[1]LOCH Calc COE Calc'!$C$28)</f>
        <v/>
      </c>
    </row>
    <row r="992" spans="12:23" x14ac:dyDescent="0.25">
      <c r="L992" s="4" t="str">
        <f>IF('[1]All Data '!BE997="","",'[1]All Data '!BE997)</f>
        <v/>
      </c>
      <c r="M992" t="str">
        <f>IF('[1]All Data '!BF997="","",'[1]All Data '!BF997)</f>
        <v/>
      </c>
      <c r="N992" s="5" t="str">
        <f>IF('[1]All Data '!BB997="","",'[1]All Data '!BC997/'[1]All Data '!BH997)</f>
        <v/>
      </c>
      <c r="O992" s="5" t="str">
        <f t="shared" si="17"/>
        <v/>
      </c>
      <c r="P992" s="5" t="str">
        <f>IF(M992="","",$C$2*(1-L992)*907.2/0.621371*N992*[1]Transportation!$M$40)</f>
        <v/>
      </c>
      <c r="Q992" s="5" t="str">
        <f>IF(L992="","",IF([1]Inputs_Outputs!$B$5="Herbaceous",(LCA!$E$29*'[1]LOCH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2" s="5" t="str">
        <f>IF(M992="","",$E$2*1000*'[1]LOCH Calc COE Calc'!$C$44)</f>
        <v/>
      </c>
      <c r="S992" s="6" t="str">
        <f>IF(N992="","",SUM(O992:R992)/('[1]LOCH Calc COE Calc'!$C$28))</f>
        <v/>
      </c>
      <c r="T992" t="str">
        <f>IF(L992="","",O992/'[1]LOCH Calc COE Calc'!$C$28)</f>
        <v/>
      </c>
      <c r="U992" t="str">
        <f>IF(L992="","",P992/'[1]LOCH Calc COE Calc'!$C$28)</f>
        <v/>
      </c>
      <c r="V992" t="str">
        <f>IF(L992="","",Q992/'[1]LOCH Calc COE Calc'!$C$28)</f>
        <v/>
      </c>
      <c r="W992" t="str">
        <f>IF(L992="","",R992/'[1]LOCH Calc COE Calc'!$C$28)</f>
        <v/>
      </c>
    </row>
    <row r="993" spans="12:23" x14ac:dyDescent="0.25">
      <c r="L993" s="4" t="str">
        <f>IF('[1]All Data '!BE998="","",'[1]All Data '!BE998)</f>
        <v/>
      </c>
      <c r="M993" t="str">
        <f>IF('[1]All Data '!BF998="","",'[1]All Data '!BF998)</f>
        <v/>
      </c>
      <c r="N993" s="5" t="str">
        <f>IF('[1]All Data '!BB998="","",'[1]All Data '!BC998/'[1]All Data '!BH998)</f>
        <v/>
      </c>
      <c r="O993" s="5" t="str">
        <f t="shared" si="17"/>
        <v/>
      </c>
      <c r="P993" s="5" t="str">
        <f>IF(M993="","",$C$2*(1-L993)*907.2/0.621371*N993*[1]Transportation!$M$40)</f>
        <v/>
      </c>
      <c r="Q993" s="5" t="str">
        <f>IF(L993="","",IF([1]Inputs_Outputs!$B$5="Herbaceous",(LCA!$E$29*'[1]LOCH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3" s="5" t="str">
        <f>IF(M993="","",$E$2*1000*'[1]LOCH Calc COE Calc'!$C$44)</f>
        <v/>
      </c>
      <c r="S993" s="6" t="str">
        <f>IF(N993="","",SUM(O993:R993)/('[1]LOCH Calc COE Calc'!$C$28))</f>
        <v/>
      </c>
      <c r="T993" t="str">
        <f>IF(L993="","",O993/'[1]LOCH Calc COE Calc'!$C$28)</f>
        <v/>
      </c>
      <c r="U993" t="str">
        <f>IF(L993="","",P993/'[1]LOCH Calc COE Calc'!$C$28)</f>
        <v/>
      </c>
      <c r="V993" t="str">
        <f>IF(L993="","",Q993/'[1]LOCH Calc COE Calc'!$C$28)</f>
        <v/>
      </c>
      <c r="W993" t="str">
        <f>IF(L993="","",R993/'[1]LOCH Calc COE Calc'!$C$28)</f>
        <v/>
      </c>
    </row>
    <row r="994" spans="12:23" x14ac:dyDescent="0.25">
      <c r="L994" s="4" t="str">
        <f>IF('[1]All Data '!BE999="","",'[1]All Data '!BE999)</f>
        <v/>
      </c>
      <c r="M994" t="str">
        <f>IF('[1]All Data '!BF999="","",'[1]All Data '!BF999)</f>
        <v/>
      </c>
      <c r="N994" s="5" t="str">
        <f>IF('[1]All Data '!BB999="","",'[1]All Data '!BC999/'[1]All Data '!BH999)</f>
        <v/>
      </c>
      <c r="O994" s="5" t="str">
        <f t="shared" si="17"/>
        <v/>
      </c>
      <c r="P994" s="5" t="str">
        <f>IF(M994="","",$C$2*(1-L994)*907.2/0.621371*N994*[1]Transportation!$M$40)</f>
        <v/>
      </c>
      <c r="Q994" s="5" t="str">
        <f>IF(L994="","",IF([1]Inputs_Outputs!$B$5="Herbaceous",(LCA!$E$29*'[1]LOCH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4" s="5" t="str">
        <f>IF(M994="","",$E$2*1000*'[1]LOCH Calc COE Calc'!$C$44)</f>
        <v/>
      </c>
      <c r="S994" s="6" t="str">
        <f>IF(N994="","",SUM(O994:R994)/('[1]LOCH Calc COE Calc'!$C$28))</f>
        <v/>
      </c>
      <c r="T994" t="str">
        <f>IF(L994="","",O994/'[1]LOCH Calc COE Calc'!$C$28)</f>
        <v/>
      </c>
      <c r="U994" t="str">
        <f>IF(L994="","",P994/'[1]LOCH Calc COE Calc'!$C$28)</f>
        <v/>
      </c>
      <c r="V994" t="str">
        <f>IF(L994="","",Q994/'[1]LOCH Calc COE Calc'!$C$28)</f>
        <v/>
      </c>
      <c r="W994" t="str">
        <f>IF(L994="","",R994/'[1]LOCH Calc COE Calc'!$C$28)</f>
        <v/>
      </c>
    </row>
    <row r="995" spans="12:23" x14ac:dyDescent="0.25">
      <c r="L995" s="4" t="str">
        <f>IF('[1]All Data '!BE1000="","",'[1]All Data '!BE1000)</f>
        <v/>
      </c>
      <c r="M995" t="str">
        <f>IF('[1]All Data '!BF1000="","",'[1]All Data '!BF1000)</f>
        <v/>
      </c>
      <c r="N995" s="5" t="str">
        <f>IF('[1]All Data '!BB1000="","",'[1]All Data '!BC1000/'[1]All Data '!BH1000)</f>
        <v/>
      </c>
      <c r="O995" s="5" t="str">
        <f t="shared" si="17"/>
        <v/>
      </c>
      <c r="P995" s="5" t="str">
        <f>IF(M995="","",$C$2*(1-L995)*907.2/0.621371*N995*[1]Transportation!$M$40)</f>
        <v/>
      </c>
      <c r="Q995" s="5" t="str">
        <f>IF(L995="","",IF([1]Inputs_Outputs!$B$5="Herbaceous",(LCA!$E$29*'[1]LOCH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5" s="5" t="str">
        <f>IF(M995="","",$E$2*1000*'[1]LOCH Calc COE Calc'!$C$44)</f>
        <v/>
      </c>
      <c r="S995" s="6" t="str">
        <f>IF(N995="","",SUM(O995:R995)/('[1]LOCH Calc COE Calc'!$C$28))</f>
        <v/>
      </c>
      <c r="T995" t="str">
        <f>IF(L995="","",O995/'[1]LOCH Calc COE Calc'!$C$28)</f>
        <v/>
      </c>
      <c r="U995" t="str">
        <f>IF(L995="","",P995/'[1]LOCH Calc COE Calc'!$C$28)</f>
        <v/>
      </c>
      <c r="V995" t="str">
        <f>IF(L995="","",Q995/'[1]LOCH Calc COE Calc'!$C$28)</f>
        <v/>
      </c>
      <c r="W995" t="str">
        <f>IF(L995="","",R995/'[1]LOCH Calc COE Calc'!$C$28)</f>
        <v/>
      </c>
    </row>
    <row r="996" spans="12:23" x14ac:dyDescent="0.25">
      <c r="L996" s="4" t="str">
        <f>IF('[1]All Data '!BE1001="","",'[1]All Data '!BE1001)</f>
        <v/>
      </c>
      <c r="M996" t="str">
        <f>IF('[1]All Data '!BF1001="","",'[1]All Data '!BF1001)</f>
        <v/>
      </c>
      <c r="N996" s="5" t="str">
        <f>IF('[1]All Data '!BB1001="","",'[1]All Data '!BC1001/'[1]All Data '!BH1001)</f>
        <v/>
      </c>
      <c r="O996" s="5" t="str">
        <f t="shared" si="17"/>
        <v/>
      </c>
      <c r="P996" s="5" t="str">
        <f>IF(M996="","",$C$2*(1-L996)*907.2/0.621371*N996*[1]Transportation!$M$40)</f>
        <v/>
      </c>
      <c r="Q996" s="5" t="str">
        <f>IF(L996="","",IF([1]Inputs_Outputs!$B$5="Herbaceous",(LCA!$E$29*'[1]LOCH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6" s="5" t="str">
        <f>IF(M996="","",$E$2*1000*'[1]LOCH Calc COE Calc'!$C$44)</f>
        <v/>
      </c>
      <c r="S996" s="6" t="str">
        <f>IF(N996="","",SUM(O996:R996)/('[1]LOCH Calc COE Calc'!$C$28))</f>
        <v/>
      </c>
      <c r="T996" t="str">
        <f>IF(L996="","",O996/'[1]LOCH Calc COE Calc'!$C$28)</f>
        <v/>
      </c>
      <c r="U996" t="str">
        <f>IF(L996="","",P996/'[1]LOCH Calc COE Calc'!$C$28)</f>
        <v/>
      </c>
      <c r="V996" t="str">
        <f>IF(L996="","",Q996/'[1]LOCH Calc COE Calc'!$C$28)</f>
        <v/>
      </c>
      <c r="W996" t="str">
        <f>IF(L996="","",R996/'[1]LOCH Calc COE Calc'!$C$28)</f>
        <v/>
      </c>
    </row>
    <row r="997" spans="12:23" x14ac:dyDescent="0.25">
      <c r="L997" s="4" t="str">
        <f>IF('[1]All Data '!BE1002="","",'[1]All Data '!BE1002)</f>
        <v/>
      </c>
      <c r="M997" t="str">
        <f>IF('[1]All Data '!BF1002="","",'[1]All Data '!BF1002)</f>
        <v/>
      </c>
      <c r="N997" s="5" t="str">
        <f>IF('[1]All Data '!BB1002="","",'[1]All Data '!BC1002/'[1]All Data '!BH1002)</f>
        <v/>
      </c>
      <c r="O997" s="5" t="str">
        <f t="shared" si="17"/>
        <v/>
      </c>
      <c r="P997" s="5" t="str">
        <f>IF(M997="","",$C$2*(1-L997)*907.2/0.621371*N997*[1]Transportation!$M$40)</f>
        <v/>
      </c>
      <c r="Q997" s="5" t="str">
        <f>IF(L997="","",IF([1]Inputs_Outputs!$B$5="Herbaceous",(LCA!$E$29*'[1]LOCH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7" s="5" t="str">
        <f>IF(M997="","",$E$2*1000*'[1]LOCH Calc COE Calc'!$C$44)</f>
        <v/>
      </c>
      <c r="S997" s="6" t="str">
        <f>IF(N997="","",SUM(O997:R997)/('[1]LOCH Calc COE Calc'!$C$28))</f>
        <v/>
      </c>
      <c r="T997" t="str">
        <f>IF(L997="","",O997/'[1]LOCH Calc COE Calc'!$C$28)</f>
        <v/>
      </c>
      <c r="U997" t="str">
        <f>IF(L997="","",P997/'[1]LOCH Calc COE Calc'!$C$28)</f>
        <v/>
      </c>
      <c r="V997" t="str">
        <f>IF(L997="","",Q997/'[1]LOCH Calc COE Calc'!$C$28)</f>
        <v/>
      </c>
      <c r="W997" t="str">
        <f>IF(L997="","",R997/'[1]LOCH Calc COE Calc'!$C$28)</f>
        <v/>
      </c>
    </row>
    <row r="998" spans="12:23" x14ac:dyDescent="0.25">
      <c r="L998" s="4" t="str">
        <f>IF('[1]All Data '!BE1003="","",'[1]All Data '!BE1003)</f>
        <v/>
      </c>
      <c r="M998" t="str">
        <f>IF('[1]All Data '!BF1003="","",'[1]All Data '!BF1003)</f>
        <v/>
      </c>
      <c r="N998" s="5" t="str">
        <f>IF('[1]All Data '!BB1003="","",'[1]All Data '!BC1003/'[1]All Data '!BH1003)</f>
        <v/>
      </c>
      <c r="O998" s="5" t="str">
        <f t="shared" si="17"/>
        <v/>
      </c>
      <c r="P998" s="5" t="str">
        <f>IF(M998="","",$C$2*(1-L998)*907.2/0.621371*N998*[1]Transportation!$M$40)</f>
        <v/>
      </c>
      <c r="Q998" s="5" t="str">
        <f>IF(L998="","",IF([1]Inputs_Outputs!$B$5="Herbaceous",(LCA!$E$29*'[1]LOCH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8" s="5" t="str">
        <f>IF(M998="","",$E$2*1000*'[1]LOCH Calc COE Calc'!$C$44)</f>
        <v/>
      </c>
      <c r="S998" s="6" t="str">
        <f>IF(N998="","",SUM(O998:R998)/('[1]LOCH Calc COE Calc'!$C$28))</f>
        <v/>
      </c>
      <c r="T998" t="str">
        <f>IF(L998="","",O998/'[1]LOCH Calc COE Calc'!$C$28)</f>
        <v/>
      </c>
      <c r="U998" t="str">
        <f>IF(L998="","",P998/'[1]LOCH Calc COE Calc'!$C$28)</f>
        <v/>
      </c>
      <c r="V998" t="str">
        <f>IF(L998="","",Q998/'[1]LOCH Calc COE Calc'!$C$28)</f>
        <v/>
      </c>
      <c r="W998" t="str">
        <f>IF(L998="","",R998/'[1]LOCH Calc COE Calc'!$C$28)</f>
        <v/>
      </c>
    </row>
    <row r="999" spans="12:23" x14ac:dyDescent="0.25">
      <c r="L999" s="4" t="str">
        <f>IF('[1]All Data '!BE1004="","",'[1]All Data '!BE1004)</f>
        <v/>
      </c>
      <c r="M999" t="str">
        <f>IF('[1]All Data '!BF1004="","",'[1]All Data '!BF1004)</f>
        <v/>
      </c>
      <c r="N999" s="5" t="str">
        <f>IF('[1]All Data '!BB1004="","",'[1]All Data '!BC1004/'[1]All Data '!BH1004)</f>
        <v/>
      </c>
      <c r="O999" s="5" t="str">
        <f t="shared" si="17"/>
        <v/>
      </c>
      <c r="P999" s="5" t="str">
        <f>IF(M999="","",$C$2*(1-L999)*907.2/0.621371*N999*[1]Transportation!$M$40)</f>
        <v/>
      </c>
      <c r="Q999" s="5" t="str">
        <f>IF(L999="","",IF([1]Inputs_Outputs!$B$5="Herbaceous",(LCA!$E$29*'[1]LOCH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999" s="5" t="str">
        <f>IF(M999="","",$E$2*1000*'[1]LOCH Calc COE Calc'!$C$44)</f>
        <v/>
      </c>
      <c r="S999" s="6" t="str">
        <f>IF(N999="","",SUM(O999:R999)/('[1]LOCH Calc COE Calc'!$C$28))</f>
        <v/>
      </c>
      <c r="T999" t="str">
        <f>IF(L999="","",O999/'[1]LOCH Calc COE Calc'!$C$28)</f>
        <v/>
      </c>
      <c r="U999" t="str">
        <f>IF(L999="","",P999/'[1]LOCH Calc COE Calc'!$C$28)</f>
        <v/>
      </c>
      <c r="V999" t="str">
        <f>IF(L999="","",Q999/'[1]LOCH Calc COE Calc'!$C$28)</f>
        <v/>
      </c>
      <c r="W999" t="str">
        <f>IF(L999="","",R999/'[1]LOCH Calc COE Calc'!$C$28)</f>
        <v/>
      </c>
    </row>
    <row r="1000" spans="12:23" x14ac:dyDescent="0.25">
      <c r="L1000" s="4" t="str">
        <f>IF('[1]All Data '!BE1005="","",'[1]All Data '!BE1005)</f>
        <v/>
      </c>
      <c r="M1000" t="str">
        <f>IF('[1]All Data '!BF1005="","",'[1]All Data '!BF1005)</f>
        <v/>
      </c>
      <c r="N1000" s="5" t="str">
        <f>IF('[1]All Data '!BB1005="","",'[1]All Data '!BC1005/'[1]All Data '!BH1005)</f>
        <v/>
      </c>
      <c r="O1000" s="5" t="str">
        <f t="shared" si="17"/>
        <v/>
      </c>
      <c r="P1000" s="5" t="str">
        <f>IF(M1000="","",$C$2*(1-L1000)*907.2/0.621371*N1000*[1]Transportation!$M$40)</f>
        <v/>
      </c>
      <c r="Q1000" s="5" t="str">
        <f>IF(L1000="","",IF([1]Inputs_Outputs!$B$5="Herbaceous",(LCA!$E$29*'[1]LOCH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0" s="5" t="str">
        <f>IF(M1000="","",$E$2*1000*'[1]LOCH Calc COE Calc'!$C$44)</f>
        <v/>
      </c>
      <c r="S1000" s="6" t="str">
        <f>IF(N1000="","",SUM(O1000:R1000)/('[1]LOCH Calc COE Calc'!$C$28))</f>
        <v/>
      </c>
      <c r="T1000" t="str">
        <f>IF(L1000="","",O1000/'[1]LOCH Calc COE Calc'!$C$28)</f>
        <v/>
      </c>
      <c r="U1000" t="str">
        <f>IF(L1000="","",P1000/'[1]LOCH Calc COE Calc'!$C$28)</f>
        <v/>
      </c>
      <c r="V1000" t="str">
        <f>IF(L1000="","",Q1000/'[1]LOCH Calc COE Calc'!$C$28)</f>
        <v/>
      </c>
      <c r="W1000" t="str">
        <f>IF(L1000="","",R1000/'[1]LOCH Calc COE Calc'!$C$28)</f>
        <v/>
      </c>
    </row>
    <row r="1001" spans="12:23" x14ac:dyDescent="0.25">
      <c r="L1001" s="4" t="str">
        <f>IF('[1]All Data '!BE1006="","",'[1]All Data '!BE1006)</f>
        <v/>
      </c>
      <c r="M1001" t="str">
        <f>IF('[1]All Data '!BF1006="","",'[1]All Data '!BF1006)</f>
        <v/>
      </c>
      <c r="N1001" s="5" t="str">
        <f>IF('[1]All Data '!BB1006="","",'[1]All Data '!BC1006/'[1]All Data '!BH1006)</f>
        <v/>
      </c>
      <c r="O1001" s="5" t="str">
        <f t="shared" si="17"/>
        <v/>
      </c>
      <c r="P1001" s="5" t="str">
        <f>IF(M1001="","",$C$2*(1-L1001)*907.2/0.621371*N1001*[1]Transportation!$M$40)</f>
        <v/>
      </c>
      <c r="Q1001" s="5" t="str">
        <f>IF(L1001="","",IF([1]Inputs_Outputs!$B$5="Herbaceous",(LCA!$E$29*'[1]LOCH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1" s="5" t="str">
        <f>IF(M1001="","",$E$2*1000*'[1]LOCH Calc COE Calc'!$C$44)</f>
        <v/>
      </c>
      <c r="S1001" s="6" t="str">
        <f>IF(N1001="","",SUM(O1001:R1001)/('[1]LOCH Calc COE Calc'!$C$28))</f>
        <v/>
      </c>
      <c r="T1001" t="str">
        <f>IF(L1001="","",O1001/'[1]LOCH Calc COE Calc'!$C$28)</f>
        <v/>
      </c>
      <c r="U1001" t="str">
        <f>IF(L1001="","",P1001/'[1]LOCH Calc COE Calc'!$C$28)</f>
        <v/>
      </c>
      <c r="V1001" t="str">
        <f>IF(L1001="","",Q1001/'[1]LOCH Calc COE Calc'!$C$28)</f>
        <v/>
      </c>
      <c r="W1001" t="str">
        <f>IF(L1001="","",R1001/'[1]LOCH Calc COE Calc'!$C$28)</f>
        <v/>
      </c>
    </row>
    <row r="1002" spans="12:23" x14ac:dyDescent="0.25">
      <c r="L1002" s="4" t="str">
        <f>IF('[1]All Data '!BE1007="","",'[1]All Data '!BE1007)</f>
        <v/>
      </c>
      <c r="M1002" t="str">
        <f>IF('[1]All Data '!BF1007="","",'[1]All Data '!BF1007)</f>
        <v/>
      </c>
      <c r="N1002" s="5" t="str">
        <f>IF('[1]All Data '!BB1007="","",'[1]All Data '!BC1007/'[1]All Data '!BH1007)</f>
        <v/>
      </c>
      <c r="O1002" s="5" t="str">
        <f t="shared" si="17"/>
        <v/>
      </c>
      <c r="P1002" s="5" t="str">
        <f>IF(M1002="","",$C$2*(1-L1002)*907.2/0.621371*N1002*[1]Transportation!$M$40)</f>
        <v/>
      </c>
      <c r="Q1002" s="5" t="str">
        <f>IF(L1002="","",IF([1]Inputs_Outputs!$B$5="Herbaceous",(LCA!$E$29*'[1]LOCH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2" s="5" t="str">
        <f>IF(M1002="","",$E$2*1000*'[1]LOCH Calc COE Calc'!$C$44)</f>
        <v/>
      </c>
      <c r="S1002" s="6" t="str">
        <f>IF(N1002="","",SUM(O1002:R1002)/('[1]LOCH Calc COE Calc'!$C$28))</f>
        <v/>
      </c>
      <c r="T1002" t="str">
        <f>IF(L1002="","",O1002/'[1]LOCH Calc COE Calc'!$C$28)</f>
        <v/>
      </c>
      <c r="U1002" t="str">
        <f>IF(L1002="","",P1002/'[1]LOCH Calc COE Calc'!$C$28)</f>
        <v/>
      </c>
      <c r="V1002" t="str">
        <f>IF(L1002="","",Q1002/'[1]LOCH Calc COE Calc'!$C$28)</f>
        <v/>
      </c>
      <c r="W1002" t="str">
        <f>IF(L1002="","",R1002/'[1]LOCH Calc COE Calc'!$C$28)</f>
        <v/>
      </c>
    </row>
    <row r="1003" spans="12:23" x14ac:dyDescent="0.25">
      <c r="L1003" s="4" t="str">
        <f>IF('[1]All Data '!BE1008="","",'[1]All Data '!BE1008)</f>
        <v/>
      </c>
      <c r="M1003" t="str">
        <f>IF('[1]All Data '!BF1008="","",'[1]All Data '!BF1008)</f>
        <v/>
      </c>
      <c r="N1003" s="5" t="str">
        <f>IF('[1]All Data '!BB1008="","",'[1]All Data '!BC1008/'[1]All Data '!BH1008)</f>
        <v/>
      </c>
      <c r="O1003" s="5" t="str">
        <f t="shared" si="17"/>
        <v/>
      </c>
      <c r="P1003" s="5" t="str">
        <f>IF(M1003="","",$C$2*(1-L1003)*907.2/0.621371*N1003*[1]Transportation!$M$40)</f>
        <v/>
      </c>
      <c r="Q1003" s="5" t="str">
        <f>IF(L1003="","",IF([1]Inputs_Outputs!$B$5="Herbaceous",(LCA!$E$29*'[1]LOCH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3" s="5" t="str">
        <f>IF(M1003="","",$E$2*1000*'[1]LOCH Calc COE Calc'!$C$44)</f>
        <v/>
      </c>
      <c r="S1003" s="6" t="str">
        <f>IF(N1003="","",SUM(O1003:R1003)/('[1]LOCH Calc COE Calc'!$C$28))</f>
        <v/>
      </c>
      <c r="T1003" t="str">
        <f>IF(L1003="","",O1003/'[1]LOCH Calc COE Calc'!$C$28)</f>
        <v/>
      </c>
      <c r="U1003" t="str">
        <f>IF(L1003="","",P1003/'[1]LOCH Calc COE Calc'!$C$28)</f>
        <v/>
      </c>
      <c r="V1003" t="str">
        <f>IF(L1003="","",Q1003/'[1]LOCH Calc COE Calc'!$C$28)</f>
        <v/>
      </c>
      <c r="W1003" t="str">
        <f>IF(L1003="","",R1003/'[1]LOCH Calc COE Calc'!$C$28)</f>
        <v/>
      </c>
    </row>
    <row r="1004" spans="12:23" x14ac:dyDescent="0.25">
      <c r="L1004" s="4" t="str">
        <f>IF('[1]All Data '!BE1009="","",'[1]All Data '!BE1009)</f>
        <v/>
      </c>
      <c r="M1004" t="str">
        <f>IF('[1]All Data '!BF1009="","",'[1]All Data '!BF1009)</f>
        <v/>
      </c>
      <c r="N1004" s="5" t="str">
        <f>IF('[1]All Data '!BB1009="","",'[1]All Data '!BC1009/'[1]All Data '!BH1009)</f>
        <v/>
      </c>
      <c r="O1004" s="5" t="str">
        <f t="shared" si="17"/>
        <v/>
      </c>
      <c r="P1004" s="5" t="str">
        <f>IF(M1004="","",$C$2*(1-L1004)*907.2/0.621371*N1004*[1]Transportation!$M$40)</f>
        <v/>
      </c>
      <c r="Q1004" s="5" t="str">
        <f>IF(L1004="","",IF([1]Inputs_Outputs!$B$5="Herbaceous",(LCA!$E$29*'[1]LOCH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4" s="5" t="str">
        <f>IF(M1004="","",$E$2*1000*'[1]LOCH Calc COE Calc'!$C$44)</f>
        <v/>
      </c>
      <c r="S1004" s="6" t="str">
        <f>IF(N1004="","",SUM(O1004:R1004)/('[1]LOCH Calc COE Calc'!$C$28))</f>
        <v/>
      </c>
      <c r="T1004" t="str">
        <f>IF(L1004="","",O1004/'[1]LOCH Calc COE Calc'!$C$28)</f>
        <v/>
      </c>
      <c r="U1004" t="str">
        <f>IF(L1004="","",P1004/'[1]LOCH Calc COE Calc'!$C$28)</f>
        <v/>
      </c>
      <c r="V1004" t="str">
        <f>IF(L1004="","",Q1004/'[1]LOCH Calc COE Calc'!$C$28)</f>
        <v/>
      </c>
      <c r="W1004" t="str">
        <f>IF(L1004="","",R1004/'[1]LOCH Calc COE Calc'!$C$28)</f>
        <v/>
      </c>
    </row>
    <row r="1005" spans="12:23" x14ac:dyDescent="0.25">
      <c r="L1005" s="4" t="str">
        <f>IF('[1]All Data '!BE1010="","",'[1]All Data '!BE1010)</f>
        <v/>
      </c>
      <c r="M1005" t="str">
        <f>IF('[1]All Data '!BF1010="","",'[1]All Data '!BF1010)</f>
        <v/>
      </c>
      <c r="N1005" s="5" t="str">
        <f>IF('[1]All Data '!BB1010="","",'[1]All Data '!BC1010/'[1]All Data '!BH1010)</f>
        <v/>
      </c>
      <c r="O1005" s="5" t="str">
        <f t="shared" si="17"/>
        <v/>
      </c>
      <c r="P1005" s="5" t="str">
        <f>IF(M1005="","",$C$2*(1-L1005)*907.2/0.621371*N1005*[1]Transportation!$M$40)</f>
        <v/>
      </c>
      <c r="Q1005" s="5" t="str">
        <f>IF(L1005="","",IF([1]Inputs_Outputs!$B$5="Herbaceous",(LCA!$E$29*'[1]LOCH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5" s="5" t="str">
        <f>IF(M1005="","",$E$2*1000*'[1]LOCH Calc COE Calc'!$C$44)</f>
        <v/>
      </c>
      <c r="S1005" s="6" t="str">
        <f>IF(N1005="","",SUM(O1005:R1005)/('[1]LOCH Calc COE Calc'!$C$28))</f>
        <v/>
      </c>
      <c r="T1005" t="str">
        <f>IF(L1005="","",O1005/'[1]LOCH Calc COE Calc'!$C$28)</f>
        <v/>
      </c>
      <c r="U1005" t="str">
        <f>IF(L1005="","",P1005/'[1]LOCH Calc COE Calc'!$C$28)</f>
        <v/>
      </c>
      <c r="V1005" t="str">
        <f>IF(L1005="","",Q1005/'[1]LOCH Calc COE Calc'!$C$28)</f>
        <v/>
      </c>
      <c r="W1005" t="str">
        <f>IF(L1005="","",R1005/'[1]LOCH Calc COE Calc'!$C$28)</f>
        <v/>
      </c>
    </row>
    <row r="1006" spans="12:23" x14ac:dyDescent="0.25">
      <c r="L1006" s="4" t="str">
        <f>IF('[1]All Data '!BE1011="","",'[1]All Data '!BE1011)</f>
        <v/>
      </c>
      <c r="M1006" t="str">
        <f>IF('[1]All Data '!BF1011="","",'[1]All Data '!BF1011)</f>
        <v/>
      </c>
      <c r="N1006" s="5" t="str">
        <f>IF('[1]All Data '!BB1011="","",'[1]All Data '!BC1011/'[1]All Data '!BH1011)</f>
        <v/>
      </c>
      <c r="O1006" s="5" t="str">
        <f t="shared" si="17"/>
        <v/>
      </c>
      <c r="P1006" s="5" t="str">
        <f>IF(M1006="","",$C$2*(1-L1006)*907.2/0.621371*N1006*[1]Transportation!$M$40)</f>
        <v/>
      </c>
      <c r="Q1006" s="5" t="str">
        <f>IF(L1006="","",IF([1]Inputs_Outputs!$B$5="Herbaceous",(LCA!$E$29*'[1]LOCH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6" s="5" t="str">
        <f>IF(M1006="","",$E$2*1000*'[1]LOCH Calc COE Calc'!$C$44)</f>
        <v/>
      </c>
      <c r="S1006" s="6" t="str">
        <f>IF(N1006="","",SUM(O1006:R1006)/('[1]LOCH Calc COE Calc'!$C$28))</f>
        <v/>
      </c>
      <c r="T1006" t="str">
        <f>IF(L1006="","",O1006/'[1]LOCH Calc COE Calc'!$C$28)</f>
        <v/>
      </c>
      <c r="U1006" t="str">
        <f>IF(L1006="","",P1006/'[1]LOCH Calc COE Calc'!$C$28)</f>
        <v/>
      </c>
      <c r="V1006" t="str">
        <f>IF(L1006="","",Q1006/'[1]LOCH Calc COE Calc'!$C$28)</f>
        <v/>
      </c>
      <c r="W1006" t="str">
        <f>IF(L1006="","",R1006/'[1]LOCH Calc COE Calc'!$C$28)</f>
        <v/>
      </c>
    </row>
    <row r="1007" spans="12:23" x14ac:dyDescent="0.25">
      <c r="L1007" s="4" t="str">
        <f>IF('[1]All Data '!BE1012="","",'[1]All Data '!BE1012)</f>
        <v/>
      </c>
      <c r="M1007" t="str">
        <f>IF('[1]All Data '!BF1012="","",'[1]All Data '!BF1012)</f>
        <v/>
      </c>
      <c r="N1007" s="5" t="str">
        <f>IF('[1]All Data '!BB1012="","",'[1]All Data '!BC1012/'[1]All Data '!BH1012)</f>
        <v/>
      </c>
      <c r="O1007" s="5" t="str">
        <f t="shared" si="17"/>
        <v/>
      </c>
      <c r="P1007" s="5" t="str">
        <f>IF(M1007="","",$C$2*(1-L1007)*907.2/0.621371*N1007*[1]Transportation!$M$40)</f>
        <v/>
      </c>
      <c r="Q1007" s="5" t="str">
        <f>IF(L1007="","",IF([1]Inputs_Outputs!$B$5="Herbaceous",(LCA!$E$29*'[1]LOCH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7" s="5" t="str">
        <f>IF(M1007="","",$E$2*1000*'[1]LOCH Calc COE Calc'!$C$44)</f>
        <v/>
      </c>
      <c r="S1007" s="6" t="str">
        <f>IF(N1007="","",SUM(O1007:R1007)/('[1]LOCH Calc COE Calc'!$C$28))</f>
        <v/>
      </c>
      <c r="T1007" t="str">
        <f>IF(L1007="","",O1007/'[1]LOCH Calc COE Calc'!$C$28)</f>
        <v/>
      </c>
      <c r="U1007" t="str">
        <f>IF(L1007="","",P1007/'[1]LOCH Calc COE Calc'!$C$28)</f>
        <v/>
      </c>
      <c r="V1007" t="str">
        <f>IF(L1007="","",Q1007/'[1]LOCH Calc COE Calc'!$C$28)</f>
        <v/>
      </c>
      <c r="W1007" t="str">
        <f>IF(L1007="","",R1007/'[1]LOCH Calc COE Calc'!$C$28)</f>
        <v/>
      </c>
    </row>
    <row r="1008" spans="12:23" x14ac:dyDescent="0.25">
      <c r="L1008" s="4" t="str">
        <f>IF('[1]All Data '!BE1013="","",'[1]All Data '!BE1013)</f>
        <v/>
      </c>
      <c r="M1008" t="str">
        <f>IF('[1]All Data '!BF1013="","",'[1]All Data '!BF1013)</f>
        <v/>
      </c>
      <c r="N1008" s="5" t="str">
        <f>IF('[1]All Data '!BB1013="","",'[1]All Data '!BC1013/'[1]All Data '!BH1013)</f>
        <v/>
      </c>
      <c r="O1008" s="5" t="str">
        <f t="shared" si="17"/>
        <v/>
      </c>
      <c r="P1008" s="5" t="str">
        <f>IF(M1008="","",$C$2*(1-L1008)*907.2/0.621371*N1008*[1]Transportation!$M$40)</f>
        <v/>
      </c>
      <c r="Q1008" s="5" t="str">
        <f>IF(L1008="","",IF([1]Inputs_Outputs!$B$5="Herbaceous",(LCA!$E$29*'[1]LOCH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8" s="5" t="str">
        <f>IF(M1008="","",$E$2*1000*'[1]LOCH Calc COE Calc'!$C$44)</f>
        <v/>
      </c>
      <c r="S1008" s="6" t="str">
        <f>IF(N1008="","",SUM(O1008:R1008)/('[1]LOCH Calc COE Calc'!$C$28))</f>
        <v/>
      </c>
      <c r="T1008" t="str">
        <f>IF(L1008="","",O1008/'[1]LOCH Calc COE Calc'!$C$28)</f>
        <v/>
      </c>
      <c r="U1008" t="str">
        <f>IF(L1008="","",P1008/'[1]LOCH Calc COE Calc'!$C$28)</f>
        <v/>
      </c>
      <c r="V1008" t="str">
        <f>IF(L1008="","",Q1008/'[1]LOCH Calc COE Calc'!$C$28)</f>
        <v/>
      </c>
      <c r="W1008" t="str">
        <f>IF(L1008="","",R1008/'[1]LOCH Calc COE Calc'!$C$28)</f>
        <v/>
      </c>
    </row>
    <row r="1009" spans="12:23" x14ac:dyDescent="0.25">
      <c r="L1009" s="4" t="str">
        <f>IF('[1]All Data '!BE1014="","",'[1]All Data '!BE1014)</f>
        <v/>
      </c>
      <c r="M1009" t="str">
        <f>IF('[1]All Data '!BF1014="","",'[1]All Data '!BF1014)</f>
        <v/>
      </c>
      <c r="N1009" s="5" t="str">
        <f>IF('[1]All Data '!BB1014="","",'[1]All Data '!BC1014/'[1]All Data '!BH1014)</f>
        <v/>
      </c>
      <c r="O1009" s="5" t="str">
        <f t="shared" si="17"/>
        <v/>
      </c>
      <c r="P1009" s="5" t="str">
        <f>IF(M1009="","",$C$2*(1-L1009)*907.2/0.621371*N1009*[1]Transportation!$M$40)</f>
        <v/>
      </c>
      <c r="Q1009" s="5" t="str">
        <f>IF(L1009="","",IF([1]Inputs_Outputs!$B$5="Herbaceous",(LCA!$E$29*'[1]LOCH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09" s="5" t="str">
        <f>IF(M1009="","",$E$2*1000*'[1]LOCH Calc COE Calc'!$C$44)</f>
        <v/>
      </c>
      <c r="S1009" s="6" t="str">
        <f>IF(N1009="","",SUM(O1009:R1009)/('[1]LOCH Calc COE Calc'!$C$28))</f>
        <v/>
      </c>
      <c r="T1009" t="str">
        <f>IF(L1009="","",O1009/'[1]LOCH Calc COE Calc'!$C$28)</f>
        <v/>
      </c>
      <c r="U1009" t="str">
        <f>IF(L1009="","",P1009/'[1]LOCH Calc COE Calc'!$C$28)</f>
        <v/>
      </c>
      <c r="V1009" t="str">
        <f>IF(L1009="","",Q1009/'[1]LOCH Calc COE Calc'!$C$28)</f>
        <v/>
      </c>
      <c r="W1009" t="str">
        <f>IF(L1009="","",R1009/'[1]LOCH Calc COE Calc'!$C$28)</f>
        <v/>
      </c>
    </row>
    <row r="1010" spans="12:23" x14ac:dyDescent="0.25">
      <c r="L1010" s="4" t="str">
        <f>IF('[1]All Data '!BE1015="","",'[1]All Data '!BE1015)</f>
        <v/>
      </c>
      <c r="M1010" t="str">
        <f>IF('[1]All Data '!BF1015="","",'[1]All Data '!BF1015)</f>
        <v/>
      </c>
      <c r="N1010" s="5" t="str">
        <f>IF('[1]All Data '!BB1015="","",'[1]All Data '!BC1015/'[1]All Data '!BH1015)</f>
        <v/>
      </c>
      <c r="O1010" s="5" t="str">
        <f t="shared" si="17"/>
        <v/>
      </c>
      <c r="P1010" s="5" t="str">
        <f>IF(M1010="","",$C$2*(1-L1010)*907.2/0.621371*N1010*[1]Transportation!$M$40)</f>
        <v/>
      </c>
      <c r="Q1010" s="5" t="str">
        <f>IF(L1010="","",IF([1]Inputs_Outputs!$B$5="Herbaceous",(LCA!$E$29*'[1]LOCH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0" s="5" t="str">
        <f>IF(M1010="","",$E$2*1000*'[1]LOCH Calc COE Calc'!$C$44)</f>
        <v/>
      </c>
      <c r="S1010" s="6" t="str">
        <f>IF(N1010="","",SUM(O1010:R1010)/('[1]LOCH Calc COE Calc'!$C$28))</f>
        <v/>
      </c>
      <c r="T1010" t="str">
        <f>IF(L1010="","",O1010/'[1]LOCH Calc COE Calc'!$C$28)</f>
        <v/>
      </c>
      <c r="U1010" t="str">
        <f>IF(L1010="","",P1010/'[1]LOCH Calc COE Calc'!$C$28)</f>
        <v/>
      </c>
      <c r="V1010" t="str">
        <f>IF(L1010="","",Q1010/'[1]LOCH Calc COE Calc'!$C$28)</f>
        <v/>
      </c>
      <c r="W1010" t="str">
        <f>IF(L1010="","",R1010/'[1]LOCH Calc COE Calc'!$C$28)</f>
        <v/>
      </c>
    </row>
    <row r="1011" spans="12:23" x14ac:dyDescent="0.25">
      <c r="L1011" s="4" t="str">
        <f>IF('[1]All Data '!BE1016="","",'[1]All Data '!BE1016)</f>
        <v/>
      </c>
      <c r="M1011" t="str">
        <f>IF('[1]All Data '!BF1016="","",'[1]All Data '!BF1016)</f>
        <v/>
      </c>
      <c r="N1011" s="5" t="str">
        <f>IF('[1]All Data '!BB1016="","",'[1]All Data '!BC1016/'[1]All Data '!BH1016)</f>
        <v/>
      </c>
      <c r="O1011" s="5" t="str">
        <f t="shared" si="17"/>
        <v/>
      </c>
      <c r="P1011" s="5" t="str">
        <f>IF(M1011="","",$C$2*(1-L1011)*907.2/0.621371*N1011*[1]Transportation!$M$40)</f>
        <v/>
      </c>
      <c r="Q1011" s="5" t="str">
        <f>IF(L1011="","",IF([1]Inputs_Outputs!$B$5="Herbaceous",(LCA!$E$29*'[1]LOCH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1" s="5" t="str">
        <f>IF(M1011="","",$E$2*1000*'[1]LOCH Calc COE Calc'!$C$44)</f>
        <v/>
      </c>
      <c r="S1011" s="6" t="str">
        <f>IF(N1011="","",SUM(O1011:R1011)/('[1]LOCH Calc COE Calc'!$C$28))</f>
        <v/>
      </c>
      <c r="T1011" t="str">
        <f>IF(L1011="","",O1011/'[1]LOCH Calc COE Calc'!$C$28)</f>
        <v/>
      </c>
      <c r="U1011" t="str">
        <f>IF(L1011="","",P1011/'[1]LOCH Calc COE Calc'!$C$28)</f>
        <v/>
      </c>
      <c r="V1011" t="str">
        <f>IF(L1011="","",Q1011/'[1]LOCH Calc COE Calc'!$C$28)</f>
        <v/>
      </c>
      <c r="W1011" t="str">
        <f>IF(L1011="","",R1011/'[1]LOCH Calc COE Calc'!$C$28)</f>
        <v/>
      </c>
    </row>
    <row r="1012" spans="12:23" x14ac:dyDescent="0.25">
      <c r="L1012" s="4" t="str">
        <f>IF('[1]All Data '!BE1017="","",'[1]All Data '!BE1017)</f>
        <v/>
      </c>
      <c r="M1012" t="str">
        <f>IF('[1]All Data '!BF1017="","",'[1]All Data '!BF1017)</f>
        <v/>
      </c>
      <c r="N1012" s="5" t="str">
        <f>IF('[1]All Data '!BB1017="","",'[1]All Data '!BC1017/'[1]All Data '!BH1017)</f>
        <v/>
      </c>
      <c r="O1012" s="5" t="str">
        <f t="shared" si="17"/>
        <v/>
      </c>
      <c r="P1012" s="5" t="str">
        <f>IF(M1012="","",$C$2*(1-L1012)*907.2/0.621371*N1012*[1]Transportation!$M$40)</f>
        <v/>
      </c>
      <c r="Q1012" s="5" t="str">
        <f>IF(L1012="","",IF([1]Inputs_Outputs!$B$5="Herbaceous",(LCA!$E$29*'[1]LOCH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2" s="5" t="str">
        <f>IF(M1012="","",$E$2*1000*'[1]LOCH Calc COE Calc'!$C$44)</f>
        <v/>
      </c>
      <c r="S1012" s="6" t="str">
        <f>IF(N1012="","",SUM(O1012:R1012)/('[1]LOCH Calc COE Calc'!$C$28))</f>
        <v/>
      </c>
      <c r="T1012" t="str">
        <f>IF(L1012="","",O1012/'[1]LOCH Calc COE Calc'!$C$28)</f>
        <v/>
      </c>
      <c r="U1012" t="str">
        <f>IF(L1012="","",P1012/'[1]LOCH Calc COE Calc'!$C$28)</f>
        <v/>
      </c>
      <c r="V1012" t="str">
        <f>IF(L1012="","",Q1012/'[1]LOCH Calc COE Calc'!$C$28)</f>
        <v/>
      </c>
      <c r="W1012" t="str">
        <f>IF(L1012="","",R1012/'[1]LOCH Calc COE Calc'!$C$28)</f>
        <v/>
      </c>
    </row>
    <row r="1013" spans="12:23" x14ac:dyDescent="0.25">
      <c r="L1013" s="4" t="str">
        <f>IF('[1]All Data '!BE1018="","",'[1]All Data '!BE1018)</f>
        <v/>
      </c>
      <c r="M1013" t="str">
        <f>IF('[1]All Data '!BF1018="","",'[1]All Data '!BF1018)</f>
        <v/>
      </c>
      <c r="N1013" s="5" t="str">
        <f>IF('[1]All Data '!BB1018="","",'[1]All Data '!BC1018/'[1]All Data '!BH1018)</f>
        <v/>
      </c>
      <c r="O1013" s="5" t="str">
        <f t="shared" si="17"/>
        <v/>
      </c>
      <c r="P1013" s="5" t="str">
        <f>IF(M1013="","",$C$2*(1-L1013)*907.2/0.621371*N1013*[1]Transportation!$M$40)</f>
        <v/>
      </c>
      <c r="Q1013" s="5" t="str">
        <f>IF(L1013="","",IF([1]Inputs_Outputs!$B$5="Herbaceous",(LCA!$E$29*'[1]LOCH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3" s="5" t="str">
        <f>IF(M1013="","",$E$2*1000*'[1]LOCH Calc COE Calc'!$C$44)</f>
        <v/>
      </c>
      <c r="S1013" s="6" t="str">
        <f>IF(N1013="","",SUM(O1013:R1013)/('[1]LOCH Calc COE Calc'!$C$28))</f>
        <v/>
      </c>
      <c r="T1013" t="str">
        <f>IF(L1013="","",O1013/'[1]LOCH Calc COE Calc'!$C$28)</f>
        <v/>
      </c>
      <c r="U1013" t="str">
        <f>IF(L1013="","",P1013/'[1]LOCH Calc COE Calc'!$C$28)</f>
        <v/>
      </c>
      <c r="V1013" t="str">
        <f>IF(L1013="","",Q1013/'[1]LOCH Calc COE Calc'!$C$28)</f>
        <v/>
      </c>
      <c r="W1013" t="str">
        <f>IF(L1013="","",R1013/'[1]LOCH Calc COE Calc'!$C$28)</f>
        <v/>
      </c>
    </row>
    <row r="1014" spans="12:23" x14ac:dyDescent="0.25">
      <c r="L1014" s="4" t="str">
        <f>IF('[1]All Data '!BE1019="","",'[1]All Data '!BE1019)</f>
        <v/>
      </c>
      <c r="M1014" t="str">
        <f>IF('[1]All Data '!BF1019="","",'[1]All Data '!BF1019)</f>
        <v/>
      </c>
      <c r="N1014" s="5" t="str">
        <f>IF('[1]All Data '!BB1019="","",'[1]All Data '!BC1019/'[1]All Data '!BH1019)</f>
        <v/>
      </c>
      <c r="O1014" s="5" t="str">
        <f t="shared" si="17"/>
        <v/>
      </c>
      <c r="P1014" s="5" t="str">
        <f>IF(M1014="","",$C$2*(1-L1014)*907.2/0.621371*N1014*[1]Transportation!$M$40)</f>
        <v/>
      </c>
      <c r="Q1014" s="5" t="str">
        <f>IF(L1014="","",IF([1]Inputs_Outputs!$B$5="Herbaceous",(LCA!$E$29*'[1]LOCH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4" s="5" t="str">
        <f>IF(M1014="","",$E$2*1000*'[1]LOCH Calc COE Calc'!$C$44)</f>
        <v/>
      </c>
      <c r="S1014" s="6" t="str">
        <f>IF(N1014="","",SUM(O1014:R1014)/('[1]LOCH Calc COE Calc'!$C$28))</f>
        <v/>
      </c>
      <c r="T1014" t="str">
        <f>IF(L1014="","",O1014/'[1]LOCH Calc COE Calc'!$C$28)</f>
        <v/>
      </c>
      <c r="U1014" t="str">
        <f>IF(L1014="","",P1014/'[1]LOCH Calc COE Calc'!$C$28)</f>
        <v/>
      </c>
      <c r="V1014" t="str">
        <f>IF(L1014="","",Q1014/'[1]LOCH Calc COE Calc'!$C$28)</f>
        <v/>
      </c>
      <c r="W1014" t="str">
        <f>IF(L1014="","",R1014/'[1]LOCH Calc COE Calc'!$C$28)</f>
        <v/>
      </c>
    </row>
    <row r="1015" spans="12:23" x14ac:dyDescent="0.25">
      <c r="L1015" s="4" t="str">
        <f>IF('[1]All Data '!BE1020="","",'[1]All Data '!BE1020)</f>
        <v/>
      </c>
      <c r="M1015" t="str">
        <f>IF('[1]All Data '!BF1020="","",'[1]All Data '!BF1020)</f>
        <v/>
      </c>
      <c r="N1015" s="5" t="str">
        <f>IF('[1]All Data '!BB1020="","",'[1]All Data '!BC1020/'[1]All Data '!BH1020)</f>
        <v/>
      </c>
      <c r="O1015" s="5" t="str">
        <f t="shared" si="17"/>
        <v/>
      </c>
      <c r="P1015" s="5" t="str">
        <f>IF(M1015="","",$C$2*(1-L1015)*907.2/0.621371*N1015*[1]Transportation!$M$40)</f>
        <v/>
      </c>
      <c r="Q1015" s="5" t="str">
        <f>IF(L1015="","",IF([1]Inputs_Outputs!$B$5="Herbaceous",(LCA!$E$29*'[1]LOCH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5" s="5" t="str">
        <f>IF(M1015="","",$E$2*1000*'[1]LOCH Calc COE Calc'!$C$44)</f>
        <v/>
      </c>
      <c r="S1015" s="6" t="str">
        <f>IF(N1015="","",SUM(O1015:R1015)/('[1]LOCH Calc COE Calc'!$C$28))</f>
        <v/>
      </c>
      <c r="T1015" t="str">
        <f>IF(L1015="","",O1015/'[1]LOCH Calc COE Calc'!$C$28)</f>
        <v/>
      </c>
      <c r="U1015" t="str">
        <f>IF(L1015="","",P1015/'[1]LOCH Calc COE Calc'!$C$28)</f>
        <v/>
      </c>
      <c r="V1015" t="str">
        <f>IF(L1015="","",Q1015/'[1]LOCH Calc COE Calc'!$C$28)</f>
        <v/>
      </c>
      <c r="W1015" t="str">
        <f>IF(L1015="","",R1015/'[1]LOCH Calc COE Calc'!$C$28)</f>
        <v/>
      </c>
    </row>
    <row r="1016" spans="12:23" x14ac:dyDescent="0.25">
      <c r="L1016" s="4" t="str">
        <f>IF('[1]All Data '!BE1021="","",'[1]All Data '!BE1021)</f>
        <v/>
      </c>
      <c r="M1016" t="str">
        <f>IF('[1]All Data '!BF1021="","",'[1]All Data '!BF1021)</f>
        <v/>
      </c>
      <c r="N1016" s="5" t="str">
        <f>IF('[1]All Data '!BB1021="","",'[1]All Data '!BC1021/'[1]All Data '!BH1021)</f>
        <v/>
      </c>
      <c r="O1016" s="5" t="str">
        <f t="shared" si="17"/>
        <v/>
      </c>
      <c r="P1016" s="5" t="str">
        <f>IF(M1016="","",$C$2*(1-L1016)*907.2/0.621371*N1016*[1]Transportation!$M$40)</f>
        <v/>
      </c>
      <c r="Q1016" s="5" t="str">
        <f>IF(L1016="","",IF([1]Inputs_Outputs!$B$5="Herbaceous",(LCA!$E$29*'[1]LOCH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6" s="5" t="str">
        <f>IF(M1016="","",$E$2*1000*'[1]LOCH Calc COE Calc'!$C$44)</f>
        <v/>
      </c>
      <c r="S1016" s="6" t="str">
        <f>IF(N1016="","",SUM(O1016:R1016)/('[1]LOCH Calc COE Calc'!$C$28))</f>
        <v/>
      </c>
      <c r="T1016" t="str">
        <f>IF(L1016="","",O1016/'[1]LOCH Calc COE Calc'!$C$28)</f>
        <v/>
      </c>
      <c r="U1016" t="str">
        <f>IF(L1016="","",P1016/'[1]LOCH Calc COE Calc'!$C$28)</f>
        <v/>
      </c>
      <c r="V1016" t="str">
        <f>IF(L1016="","",Q1016/'[1]LOCH Calc COE Calc'!$C$28)</f>
        <v/>
      </c>
      <c r="W1016" t="str">
        <f>IF(L1016="","",R1016/'[1]LOCH Calc COE Calc'!$C$28)</f>
        <v/>
      </c>
    </row>
    <row r="1017" spans="12:23" x14ac:dyDescent="0.25">
      <c r="L1017" s="4" t="str">
        <f>IF('[1]All Data '!BE1022="","",'[1]All Data '!BE1022)</f>
        <v/>
      </c>
      <c r="M1017" t="str">
        <f>IF('[1]All Data '!BF1022="","",'[1]All Data '!BF1022)</f>
        <v/>
      </c>
      <c r="N1017" s="5" t="str">
        <f>IF('[1]All Data '!BB1022="","",'[1]All Data '!BC1022/'[1]All Data '!BH1022)</f>
        <v/>
      </c>
      <c r="O1017" s="5" t="str">
        <f t="shared" si="17"/>
        <v/>
      </c>
      <c r="P1017" s="5" t="str">
        <f>IF(M1017="","",$C$2*(1-L1017)*907.2/0.621371*N1017*[1]Transportation!$M$40)</f>
        <v/>
      </c>
      <c r="Q1017" s="5" t="str">
        <f>IF(L1017="","",IF([1]Inputs_Outputs!$B$5="Herbaceous",(LCA!$E$29*'[1]LOCH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7" s="5" t="str">
        <f>IF(M1017="","",$E$2*1000*'[1]LOCH Calc COE Calc'!$C$44)</f>
        <v/>
      </c>
      <c r="S1017" s="6" t="str">
        <f>IF(N1017="","",SUM(O1017:R1017)/('[1]LOCH Calc COE Calc'!$C$28))</f>
        <v/>
      </c>
      <c r="T1017" t="str">
        <f>IF(L1017="","",O1017/'[1]LOCH Calc COE Calc'!$C$28)</f>
        <v/>
      </c>
      <c r="U1017" t="str">
        <f>IF(L1017="","",P1017/'[1]LOCH Calc COE Calc'!$C$28)</f>
        <v/>
      </c>
      <c r="V1017" t="str">
        <f>IF(L1017="","",Q1017/'[1]LOCH Calc COE Calc'!$C$28)</f>
        <v/>
      </c>
      <c r="W1017" t="str">
        <f>IF(L1017="","",R1017/'[1]LOCH Calc COE Calc'!$C$28)</f>
        <v/>
      </c>
    </row>
    <row r="1018" spans="12:23" x14ac:dyDescent="0.25">
      <c r="L1018" s="4" t="str">
        <f>IF('[1]All Data '!BE1023="","",'[1]All Data '!BE1023)</f>
        <v/>
      </c>
      <c r="M1018" t="str">
        <f>IF('[1]All Data '!BF1023="","",'[1]All Data '!BF1023)</f>
        <v/>
      </c>
      <c r="N1018" s="5" t="str">
        <f>IF('[1]All Data '!BB1023="","",'[1]All Data '!BC1023/'[1]All Data '!BH1023)</f>
        <v/>
      </c>
      <c r="O1018" s="5" t="str">
        <f t="shared" si="17"/>
        <v/>
      </c>
      <c r="P1018" s="5" t="str">
        <f>IF(M1018="","",$C$2*(1-L1018)*907.2/0.621371*N1018*[1]Transportation!$M$40)</f>
        <v/>
      </c>
      <c r="Q1018" s="5" t="str">
        <f>IF(L1018="","",IF([1]Inputs_Outputs!$B$5="Herbaceous",(LCA!$E$29*'[1]LOCH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8" s="5" t="str">
        <f>IF(M1018="","",$E$2*1000*'[1]LOCH Calc COE Calc'!$C$44)</f>
        <v/>
      </c>
      <c r="S1018" s="6" t="str">
        <f>IF(N1018="","",SUM(O1018:R1018)/('[1]LOCH Calc COE Calc'!$C$28))</f>
        <v/>
      </c>
      <c r="T1018" t="str">
        <f>IF(L1018="","",O1018/'[1]LOCH Calc COE Calc'!$C$28)</f>
        <v/>
      </c>
      <c r="U1018" t="str">
        <f>IF(L1018="","",P1018/'[1]LOCH Calc COE Calc'!$C$28)</f>
        <v/>
      </c>
      <c r="V1018" t="str">
        <f>IF(L1018="","",Q1018/'[1]LOCH Calc COE Calc'!$C$28)</f>
        <v/>
      </c>
      <c r="W1018" t="str">
        <f>IF(L1018="","",R1018/'[1]LOCH Calc COE Calc'!$C$28)</f>
        <v/>
      </c>
    </row>
    <row r="1019" spans="12:23" x14ac:dyDescent="0.25">
      <c r="L1019" s="4" t="str">
        <f>IF('[1]All Data '!BE1024="","",'[1]All Data '!BE1024)</f>
        <v/>
      </c>
      <c r="M1019" t="str">
        <f>IF('[1]All Data '!BF1024="","",'[1]All Data '!BF1024)</f>
        <v/>
      </c>
      <c r="N1019" s="5" t="str">
        <f>IF('[1]All Data '!BB1024="","",'[1]All Data '!BC1024/'[1]All Data '!BH1024)</f>
        <v/>
      </c>
      <c r="O1019" s="5" t="str">
        <f t="shared" si="17"/>
        <v/>
      </c>
      <c r="P1019" s="5" t="str">
        <f>IF(M1019="","",$C$2*(1-L1019)*907.2/0.621371*N1019*[1]Transportation!$M$40)</f>
        <v/>
      </c>
      <c r="Q1019" s="5" t="str">
        <f>IF(L1019="","",IF([1]Inputs_Outputs!$B$5="Herbaceous",(LCA!$E$29*'[1]LOCH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19" s="5" t="str">
        <f>IF(M1019="","",$E$2*1000*'[1]LOCH Calc COE Calc'!$C$44)</f>
        <v/>
      </c>
      <c r="S1019" s="6" t="str">
        <f>IF(N1019="","",SUM(O1019:R1019)/('[1]LOCH Calc COE Calc'!$C$28))</f>
        <v/>
      </c>
      <c r="T1019" t="str">
        <f>IF(L1019="","",O1019/'[1]LOCH Calc COE Calc'!$C$28)</f>
        <v/>
      </c>
      <c r="U1019" t="str">
        <f>IF(L1019="","",P1019/'[1]LOCH Calc COE Calc'!$C$28)</f>
        <v/>
      </c>
      <c r="V1019" t="str">
        <f>IF(L1019="","",Q1019/'[1]LOCH Calc COE Calc'!$C$28)</f>
        <v/>
      </c>
      <c r="W1019" t="str">
        <f>IF(L1019="","",R1019/'[1]LOCH Calc COE Calc'!$C$28)</f>
        <v/>
      </c>
    </row>
    <row r="1020" spans="12:23" x14ac:dyDescent="0.25">
      <c r="L1020" s="4" t="str">
        <f>IF('[1]All Data '!BE1025="","",'[1]All Data '!BE1025)</f>
        <v/>
      </c>
      <c r="M1020" t="str">
        <f>IF('[1]All Data '!BF1025="","",'[1]All Data '!BF1025)</f>
        <v/>
      </c>
      <c r="N1020" s="5" t="str">
        <f>IF('[1]All Data '!BB1025="","",'[1]All Data '!BC1025/'[1]All Data '!BH1025)</f>
        <v/>
      </c>
      <c r="O1020" s="5" t="str">
        <f t="shared" si="17"/>
        <v/>
      </c>
      <c r="P1020" s="5" t="str">
        <f>IF(M1020="","",$C$2*(1-L1020)*907.2/0.621371*N1020*[1]Transportation!$M$40)</f>
        <v/>
      </c>
      <c r="Q1020" s="5" t="str">
        <f>IF(L1020="","",IF([1]Inputs_Outputs!$B$5="Herbaceous",(LCA!$E$29*'[1]LOCH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0" s="5" t="str">
        <f>IF(M1020="","",$E$2*1000*'[1]LOCH Calc COE Calc'!$C$44)</f>
        <v/>
      </c>
      <c r="S1020" s="6" t="str">
        <f>IF(N1020="","",SUM(O1020:R1020)/('[1]LOCH Calc COE Calc'!$C$28))</f>
        <v/>
      </c>
      <c r="T1020" t="str">
        <f>IF(L1020="","",O1020/'[1]LOCH Calc COE Calc'!$C$28)</f>
        <v/>
      </c>
      <c r="U1020" t="str">
        <f>IF(L1020="","",P1020/'[1]LOCH Calc COE Calc'!$C$28)</f>
        <v/>
      </c>
      <c r="V1020" t="str">
        <f>IF(L1020="","",Q1020/'[1]LOCH Calc COE Calc'!$C$28)</f>
        <v/>
      </c>
      <c r="W1020" t="str">
        <f>IF(L1020="","",R1020/'[1]LOCH Calc COE Calc'!$C$28)</f>
        <v/>
      </c>
    </row>
    <row r="1021" spans="12:23" x14ac:dyDescent="0.25">
      <c r="L1021" s="4" t="str">
        <f>IF('[1]All Data '!BE1026="","",'[1]All Data '!BE1026)</f>
        <v/>
      </c>
      <c r="M1021" t="str">
        <f>IF('[1]All Data '!BF1026="","",'[1]All Data '!BF1026)</f>
        <v/>
      </c>
      <c r="N1021" s="5" t="str">
        <f>IF('[1]All Data '!BB1026="","",'[1]All Data '!BC1026/'[1]All Data '!BH1026)</f>
        <v/>
      </c>
      <c r="O1021" s="5" t="str">
        <f t="shared" si="17"/>
        <v/>
      </c>
      <c r="P1021" s="5" t="str">
        <f>IF(M1021="","",$C$2*(1-L1021)*907.2/0.621371*N1021*[1]Transportation!$M$40)</f>
        <v/>
      </c>
      <c r="Q1021" s="5" t="str">
        <f>IF(L1021="","",IF([1]Inputs_Outputs!$B$5="Herbaceous",(LCA!$E$29*'[1]LOCH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1" s="5" t="str">
        <f>IF(M1021="","",$E$2*1000*'[1]LOCH Calc COE Calc'!$C$44)</f>
        <v/>
      </c>
      <c r="S1021" s="6" t="str">
        <f>IF(N1021="","",SUM(O1021:R1021)/('[1]LOCH Calc COE Calc'!$C$28))</f>
        <v/>
      </c>
      <c r="T1021" t="str">
        <f>IF(L1021="","",O1021/'[1]LOCH Calc COE Calc'!$C$28)</f>
        <v/>
      </c>
      <c r="U1021" t="str">
        <f>IF(L1021="","",P1021/'[1]LOCH Calc COE Calc'!$C$28)</f>
        <v/>
      </c>
      <c r="V1021" t="str">
        <f>IF(L1021="","",Q1021/'[1]LOCH Calc COE Calc'!$C$28)</f>
        <v/>
      </c>
      <c r="W1021" t="str">
        <f>IF(L1021="","",R1021/'[1]LOCH Calc COE Calc'!$C$28)</f>
        <v/>
      </c>
    </row>
    <row r="1022" spans="12:23" x14ac:dyDescent="0.25">
      <c r="L1022" s="4" t="str">
        <f>IF('[1]All Data '!BE1027="","",'[1]All Data '!BE1027)</f>
        <v/>
      </c>
      <c r="M1022" t="str">
        <f>IF('[1]All Data '!BF1027="","",'[1]All Data '!BF1027)</f>
        <v/>
      </c>
      <c r="N1022" s="5" t="str">
        <f>IF('[1]All Data '!BB1027="","",'[1]All Data '!BC1027/'[1]All Data '!BH1027)</f>
        <v/>
      </c>
      <c r="O1022" s="5" t="str">
        <f t="shared" si="17"/>
        <v/>
      </c>
      <c r="P1022" s="5" t="str">
        <f>IF(M1022="","",$C$2*(1-L1022)*907.2/0.621371*N1022*[1]Transportation!$M$40)</f>
        <v/>
      </c>
      <c r="Q1022" s="5" t="str">
        <f>IF(L1022="","",IF([1]Inputs_Outputs!$B$5="Herbaceous",(LCA!$E$29*'[1]LOCH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2" s="5" t="str">
        <f>IF(M1022="","",$E$2*1000*'[1]LOCH Calc COE Calc'!$C$44)</f>
        <v/>
      </c>
      <c r="S1022" s="6" t="str">
        <f>IF(N1022="","",SUM(O1022:R1022)/('[1]LOCH Calc COE Calc'!$C$28))</f>
        <v/>
      </c>
      <c r="T1022" t="str">
        <f>IF(L1022="","",O1022/'[1]LOCH Calc COE Calc'!$C$28)</f>
        <v/>
      </c>
      <c r="U1022" t="str">
        <f>IF(L1022="","",P1022/'[1]LOCH Calc COE Calc'!$C$28)</f>
        <v/>
      </c>
      <c r="V1022" t="str">
        <f>IF(L1022="","",Q1022/'[1]LOCH Calc COE Calc'!$C$28)</f>
        <v/>
      </c>
      <c r="W1022" t="str">
        <f>IF(L1022="","",R1022/'[1]LOCH Calc COE Calc'!$C$28)</f>
        <v/>
      </c>
    </row>
    <row r="1023" spans="12:23" x14ac:dyDescent="0.25">
      <c r="L1023" s="4" t="str">
        <f>IF('[1]All Data '!BE1028="","",'[1]All Data '!BE1028)</f>
        <v/>
      </c>
      <c r="M1023" t="str">
        <f>IF('[1]All Data '!BF1028="","",'[1]All Data '!BF1028)</f>
        <v/>
      </c>
      <c r="N1023" s="5" t="str">
        <f>IF('[1]All Data '!BB1028="","",'[1]All Data '!BC1028/'[1]All Data '!BH1028)</f>
        <v/>
      </c>
      <c r="O1023" s="5" t="str">
        <f t="shared" si="17"/>
        <v/>
      </c>
      <c r="P1023" s="5" t="str">
        <f>IF(M1023="","",$C$2*(1-L1023)*907.2/0.621371*N1023*[1]Transportation!$M$40)</f>
        <v/>
      </c>
      <c r="Q1023" s="5" t="str">
        <f>IF(L1023="","",IF([1]Inputs_Outputs!$B$5="Herbaceous",(LCA!$E$29*'[1]LOCH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3" s="5" t="str">
        <f>IF(M1023="","",$E$2*1000*'[1]LOCH Calc COE Calc'!$C$44)</f>
        <v/>
      </c>
      <c r="S1023" s="6" t="str">
        <f>IF(N1023="","",SUM(O1023:R1023)/('[1]LOCH Calc COE Calc'!$C$28))</f>
        <v/>
      </c>
      <c r="T1023" t="str">
        <f>IF(L1023="","",O1023/'[1]LOCH Calc COE Calc'!$C$28)</f>
        <v/>
      </c>
      <c r="U1023" t="str">
        <f>IF(L1023="","",P1023/'[1]LOCH Calc COE Calc'!$C$28)</f>
        <v/>
      </c>
      <c r="V1023" t="str">
        <f>IF(L1023="","",Q1023/'[1]LOCH Calc COE Calc'!$C$28)</f>
        <v/>
      </c>
      <c r="W1023" t="str">
        <f>IF(L1023="","",R1023/'[1]LOCH Calc COE Calc'!$C$28)</f>
        <v/>
      </c>
    </row>
    <row r="1024" spans="12:23" x14ac:dyDescent="0.25">
      <c r="L1024" s="4" t="str">
        <f>IF('[1]All Data '!BE1029="","",'[1]All Data '!BE1029)</f>
        <v/>
      </c>
      <c r="M1024" t="str">
        <f>IF('[1]All Data '!BF1029="","",'[1]All Data '!BF1029)</f>
        <v/>
      </c>
      <c r="N1024" s="5" t="str">
        <f>IF('[1]All Data '!BB1029="","",'[1]All Data '!BC1029/'[1]All Data '!BH1029)</f>
        <v/>
      </c>
      <c r="O1024" s="5" t="str">
        <f t="shared" si="17"/>
        <v/>
      </c>
      <c r="P1024" s="5" t="str">
        <f>IF(M1024="","",$C$2*(1-L1024)*907.2/0.621371*N1024*[1]Transportation!$M$40)</f>
        <v/>
      </c>
      <c r="Q1024" s="5" t="str">
        <f>IF(L1024="","",IF([1]Inputs_Outputs!$B$5="Herbaceous",(LCA!$E$29*'[1]LOCH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4" s="5" t="str">
        <f>IF(M1024="","",$E$2*1000*'[1]LOCH Calc COE Calc'!$C$44)</f>
        <v/>
      </c>
      <c r="S1024" s="6" t="str">
        <f>IF(N1024="","",SUM(O1024:R1024)/('[1]LOCH Calc COE Calc'!$C$28))</f>
        <v/>
      </c>
      <c r="T1024" t="str">
        <f>IF(L1024="","",O1024/'[1]LOCH Calc COE Calc'!$C$28)</f>
        <v/>
      </c>
      <c r="U1024" t="str">
        <f>IF(L1024="","",P1024/'[1]LOCH Calc COE Calc'!$C$28)</f>
        <v/>
      </c>
      <c r="V1024" t="str">
        <f>IF(L1024="","",Q1024/'[1]LOCH Calc COE Calc'!$C$28)</f>
        <v/>
      </c>
      <c r="W1024" t="str">
        <f>IF(L1024="","",R1024/'[1]LOCH Calc COE Calc'!$C$28)</f>
        <v/>
      </c>
    </row>
    <row r="1025" spans="12:23" x14ac:dyDescent="0.25">
      <c r="L1025" s="4" t="str">
        <f>IF('[1]All Data '!BE1030="","",'[1]All Data '!BE1030)</f>
        <v/>
      </c>
      <c r="M1025" t="str">
        <f>IF('[1]All Data '!BF1030="","",'[1]All Data '!BF1030)</f>
        <v/>
      </c>
      <c r="N1025" s="5" t="str">
        <f>IF('[1]All Data '!BB1030="","",'[1]All Data '!BC1030/'[1]All Data '!BH1030)</f>
        <v/>
      </c>
      <c r="O1025" s="5" t="str">
        <f t="shared" si="17"/>
        <v/>
      </c>
      <c r="P1025" s="5" t="str">
        <f>IF(M1025="","",$C$2*(1-L1025)*907.2/0.621371*N1025*[1]Transportation!$M$40)</f>
        <v/>
      </c>
      <c r="Q1025" s="5" t="str">
        <f>IF(L1025="","",IF([1]Inputs_Outputs!$B$5="Herbaceous",(LCA!$E$29*'[1]LOCH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5" s="5" t="str">
        <f>IF(M1025="","",$E$2*1000*'[1]LOCH Calc COE Calc'!$C$44)</f>
        <v/>
      </c>
      <c r="S1025" s="6" t="str">
        <f>IF(N1025="","",SUM(O1025:R1025)/('[1]LOCH Calc COE Calc'!$C$28))</f>
        <v/>
      </c>
      <c r="T1025" t="str">
        <f>IF(L1025="","",O1025/'[1]LOCH Calc COE Calc'!$C$28)</f>
        <v/>
      </c>
      <c r="U1025" t="str">
        <f>IF(L1025="","",P1025/'[1]LOCH Calc COE Calc'!$C$28)</f>
        <v/>
      </c>
      <c r="V1025" t="str">
        <f>IF(L1025="","",Q1025/'[1]LOCH Calc COE Calc'!$C$28)</f>
        <v/>
      </c>
      <c r="W1025" t="str">
        <f>IF(L1025="","",R1025/'[1]LOCH Calc COE Calc'!$C$28)</f>
        <v/>
      </c>
    </row>
    <row r="1026" spans="12:23" x14ac:dyDescent="0.25">
      <c r="L1026" s="4" t="str">
        <f>IF('[1]All Data '!BE1031="","",'[1]All Data '!BE1031)</f>
        <v/>
      </c>
      <c r="M1026" t="str">
        <f>IF('[1]All Data '!BF1031="","",'[1]All Data '!BF1031)</f>
        <v/>
      </c>
      <c r="N1026" s="5" t="str">
        <f>IF('[1]All Data '!BB1031="","",'[1]All Data '!BC1031/'[1]All Data '!BH1031)</f>
        <v/>
      </c>
      <c r="O1026" s="5" t="str">
        <f t="shared" si="17"/>
        <v/>
      </c>
      <c r="P1026" s="5" t="str">
        <f>IF(M1026="","",$C$2*(1-L1026)*907.2/0.621371*N1026*[1]Transportation!$M$40)</f>
        <v/>
      </c>
      <c r="Q1026" s="5" t="str">
        <f>IF(L1026="","",IF([1]Inputs_Outputs!$B$5="Herbaceous",(LCA!$E$29*'[1]LOCH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6" s="5" t="str">
        <f>IF(M1026="","",$E$2*1000*'[1]LOCH Calc COE Calc'!$C$44)</f>
        <v/>
      </c>
      <c r="S1026" s="6" t="str">
        <f>IF(N1026="","",SUM(O1026:R1026)/('[1]LOCH Calc COE Calc'!$C$28))</f>
        <v/>
      </c>
      <c r="T1026" t="str">
        <f>IF(L1026="","",O1026/'[1]LOCH Calc COE Calc'!$C$28)</f>
        <v/>
      </c>
      <c r="U1026" t="str">
        <f>IF(L1026="","",P1026/'[1]LOCH Calc COE Calc'!$C$28)</f>
        <v/>
      </c>
      <c r="V1026" t="str">
        <f>IF(L1026="","",Q1026/'[1]LOCH Calc COE Calc'!$C$28)</f>
        <v/>
      </c>
      <c r="W1026" t="str">
        <f>IF(L1026="","",R1026/'[1]LOCH Calc COE Calc'!$C$28)</f>
        <v/>
      </c>
    </row>
    <row r="1027" spans="12:23" x14ac:dyDescent="0.25">
      <c r="L1027" s="4" t="str">
        <f>IF('[1]All Data '!BE1032="","",'[1]All Data '!BE1032)</f>
        <v/>
      </c>
      <c r="M1027" t="str">
        <f>IF('[1]All Data '!BF1032="","",'[1]All Data '!BF1032)</f>
        <v/>
      </c>
      <c r="N1027" s="5" t="str">
        <f>IF('[1]All Data '!BB1032="","",'[1]All Data '!BC1032/'[1]All Data '!BH1032)</f>
        <v/>
      </c>
      <c r="O1027" s="5" t="str">
        <f t="shared" si="17"/>
        <v/>
      </c>
      <c r="P1027" s="5" t="str">
        <f>IF(M1027="","",$C$2*(1-L1027)*907.2/0.621371*N1027*[1]Transportation!$M$40)</f>
        <v/>
      </c>
      <c r="Q1027" s="5" t="str">
        <f>IF(L1027="","",IF([1]Inputs_Outputs!$B$5="Herbaceous",(LCA!$E$29*'[1]LOCH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7" s="5" t="str">
        <f>IF(M1027="","",$E$2*1000*'[1]LOCH Calc COE Calc'!$C$44)</f>
        <v/>
      </c>
      <c r="S1027" s="6" t="str">
        <f>IF(N1027="","",SUM(O1027:R1027)/('[1]LOCH Calc COE Calc'!$C$28))</f>
        <v/>
      </c>
      <c r="T1027" t="str">
        <f>IF(L1027="","",O1027/'[1]LOCH Calc COE Calc'!$C$28)</f>
        <v/>
      </c>
      <c r="U1027" t="str">
        <f>IF(L1027="","",P1027/'[1]LOCH Calc COE Calc'!$C$28)</f>
        <v/>
      </c>
      <c r="V1027" t="str">
        <f>IF(L1027="","",Q1027/'[1]LOCH Calc COE Calc'!$C$28)</f>
        <v/>
      </c>
      <c r="W1027" t="str">
        <f>IF(L1027="","",R1027/'[1]LOCH Calc COE Calc'!$C$28)</f>
        <v/>
      </c>
    </row>
    <row r="1028" spans="12:23" x14ac:dyDescent="0.25">
      <c r="L1028" s="4" t="str">
        <f>IF('[1]All Data '!BE1033="","",'[1]All Data '!BE1033)</f>
        <v/>
      </c>
      <c r="M1028" t="str">
        <f>IF('[1]All Data '!BF1033="","",'[1]All Data '!BF1033)</f>
        <v/>
      </c>
      <c r="N1028" s="5" t="str">
        <f>IF('[1]All Data '!BB1033="","",'[1]All Data '!BC1033/'[1]All Data '!BH1033)</f>
        <v/>
      </c>
      <c r="O1028" s="5" t="str">
        <f t="shared" ref="O1028:O1091" si="18">IF(N1028="","",M1028*N1028)</f>
        <v/>
      </c>
      <c r="P1028" s="5" t="str">
        <f>IF(M1028="","",$C$2*(1-L1028)*907.2/0.621371*N1028*[1]Transportation!$M$40)</f>
        <v/>
      </c>
      <c r="Q1028" s="5" t="str">
        <f>IF(L1028="","",IF([1]Inputs_Outputs!$B$5="Herbaceous",(LCA!$E$29*'[1]LOCH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8" s="5" t="str">
        <f>IF(M1028="","",$E$2*1000*'[1]LOCH Calc COE Calc'!$C$44)</f>
        <v/>
      </c>
      <c r="S1028" s="6" t="str">
        <f>IF(N1028="","",SUM(O1028:R1028)/('[1]LOCH Calc COE Calc'!$C$28))</f>
        <v/>
      </c>
      <c r="T1028" t="str">
        <f>IF(L1028="","",O1028/'[1]LOCH Calc COE Calc'!$C$28)</f>
        <v/>
      </c>
      <c r="U1028" t="str">
        <f>IF(L1028="","",P1028/'[1]LOCH Calc COE Calc'!$C$28)</f>
        <v/>
      </c>
      <c r="V1028" t="str">
        <f>IF(L1028="","",Q1028/'[1]LOCH Calc COE Calc'!$C$28)</f>
        <v/>
      </c>
      <c r="W1028" t="str">
        <f>IF(L1028="","",R1028/'[1]LOCH Calc COE Calc'!$C$28)</f>
        <v/>
      </c>
    </row>
    <row r="1029" spans="12:23" x14ac:dyDescent="0.25">
      <c r="L1029" s="4" t="str">
        <f>IF('[1]All Data '!BE1034="","",'[1]All Data '!BE1034)</f>
        <v/>
      </c>
      <c r="M1029" t="str">
        <f>IF('[1]All Data '!BF1034="","",'[1]All Data '!BF1034)</f>
        <v/>
      </c>
      <c r="N1029" s="5" t="str">
        <f>IF('[1]All Data '!BB1034="","",'[1]All Data '!BC1034/'[1]All Data '!BH1034)</f>
        <v/>
      </c>
      <c r="O1029" s="5" t="str">
        <f t="shared" si="18"/>
        <v/>
      </c>
      <c r="P1029" s="5" t="str">
        <f>IF(M1029="","",$C$2*(1-L1029)*907.2/0.621371*N1029*[1]Transportation!$M$40)</f>
        <v/>
      </c>
      <c r="Q1029" s="5" t="str">
        <f>IF(L1029="","",IF([1]Inputs_Outputs!$B$5="Herbaceous",(LCA!$E$29*'[1]LOCH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29" s="5" t="str">
        <f>IF(M1029="","",$E$2*1000*'[1]LOCH Calc COE Calc'!$C$44)</f>
        <v/>
      </c>
      <c r="S1029" s="6" t="str">
        <f>IF(N1029="","",SUM(O1029:R1029)/('[1]LOCH Calc COE Calc'!$C$28))</f>
        <v/>
      </c>
      <c r="T1029" t="str">
        <f>IF(L1029="","",O1029/'[1]LOCH Calc COE Calc'!$C$28)</f>
        <v/>
      </c>
      <c r="U1029" t="str">
        <f>IF(L1029="","",P1029/'[1]LOCH Calc COE Calc'!$C$28)</f>
        <v/>
      </c>
      <c r="V1029" t="str">
        <f>IF(L1029="","",Q1029/'[1]LOCH Calc COE Calc'!$C$28)</f>
        <v/>
      </c>
      <c r="W1029" t="str">
        <f>IF(L1029="","",R1029/'[1]LOCH Calc COE Calc'!$C$28)</f>
        <v/>
      </c>
    </row>
    <row r="1030" spans="12:23" x14ac:dyDescent="0.25">
      <c r="L1030" s="4" t="str">
        <f>IF('[1]All Data '!BE1035="","",'[1]All Data '!BE1035)</f>
        <v/>
      </c>
      <c r="M1030" t="str">
        <f>IF('[1]All Data '!BF1035="","",'[1]All Data '!BF1035)</f>
        <v/>
      </c>
      <c r="N1030" s="5" t="str">
        <f>IF('[1]All Data '!BB1035="","",'[1]All Data '!BC1035/'[1]All Data '!BH1035)</f>
        <v/>
      </c>
      <c r="O1030" s="5" t="str">
        <f t="shared" si="18"/>
        <v/>
      </c>
      <c r="P1030" s="5" t="str">
        <f>IF(M1030="","",$C$2*(1-L1030)*907.2/0.621371*N1030*[1]Transportation!$M$40)</f>
        <v/>
      </c>
      <c r="Q1030" s="5" t="str">
        <f>IF(L1030="","",IF([1]Inputs_Outputs!$B$5="Herbaceous",(LCA!$E$29*'[1]LOCH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0" s="5" t="str">
        <f>IF(M1030="","",$E$2*1000*'[1]LOCH Calc COE Calc'!$C$44)</f>
        <v/>
      </c>
      <c r="S1030" s="6" t="str">
        <f>IF(N1030="","",SUM(O1030:R1030)/('[1]LOCH Calc COE Calc'!$C$28))</f>
        <v/>
      </c>
      <c r="T1030" t="str">
        <f>IF(L1030="","",O1030/'[1]LOCH Calc COE Calc'!$C$28)</f>
        <v/>
      </c>
      <c r="U1030" t="str">
        <f>IF(L1030="","",P1030/'[1]LOCH Calc COE Calc'!$C$28)</f>
        <v/>
      </c>
      <c r="V1030" t="str">
        <f>IF(L1030="","",Q1030/'[1]LOCH Calc COE Calc'!$C$28)</f>
        <v/>
      </c>
      <c r="W1030" t="str">
        <f>IF(L1030="","",R1030/'[1]LOCH Calc COE Calc'!$C$28)</f>
        <v/>
      </c>
    </row>
    <row r="1031" spans="12:23" x14ac:dyDescent="0.25">
      <c r="L1031" s="4" t="str">
        <f>IF('[1]All Data '!BE1036="","",'[1]All Data '!BE1036)</f>
        <v/>
      </c>
      <c r="M1031" t="str">
        <f>IF('[1]All Data '!BF1036="","",'[1]All Data '!BF1036)</f>
        <v/>
      </c>
      <c r="N1031" s="5" t="str">
        <f>IF('[1]All Data '!BB1036="","",'[1]All Data '!BC1036/'[1]All Data '!BH1036)</f>
        <v/>
      </c>
      <c r="O1031" s="5" t="str">
        <f t="shared" si="18"/>
        <v/>
      </c>
      <c r="P1031" s="5" t="str">
        <f>IF(M1031="","",$C$2*(1-L1031)*907.2/0.621371*N1031*[1]Transportation!$M$40)</f>
        <v/>
      </c>
      <c r="Q1031" s="5" t="str">
        <f>IF(L1031="","",IF([1]Inputs_Outputs!$B$5="Herbaceous",(LCA!$E$29*'[1]LOCH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1" s="5" t="str">
        <f>IF(M1031="","",$E$2*1000*'[1]LOCH Calc COE Calc'!$C$44)</f>
        <v/>
      </c>
      <c r="S1031" s="6" t="str">
        <f>IF(N1031="","",SUM(O1031:R1031)/('[1]LOCH Calc COE Calc'!$C$28))</f>
        <v/>
      </c>
      <c r="T1031" t="str">
        <f>IF(L1031="","",O1031/'[1]LOCH Calc COE Calc'!$C$28)</f>
        <v/>
      </c>
      <c r="U1031" t="str">
        <f>IF(L1031="","",P1031/'[1]LOCH Calc COE Calc'!$C$28)</f>
        <v/>
      </c>
      <c r="V1031" t="str">
        <f>IF(L1031="","",Q1031/'[1]LOCH Calc COE Calc'!$C$28)</f>
        <v/>
      </c>
      <c r="W1031" t="str">
        <f>IF(L1031="","",R1031/'[1]LOCH Calc COE Calc'!$C$28)</f>
        <v/>
      </c>
    </row>
    <row r="1032" spans="12:23" x14ac:dyDescent="0.25">
      <c r="L1032" s="4" t="str">
        <f>IF('[1]All Data '!BE1037="","",'[1]All Data '!BE1037)</f>
        <v/>
      </c>
      <c r="M1032" t="str">
        <f>IF('[1]All Data '!BF1037="","",'[1]All Data '!BF1037)</f>
        <v/>
      </c>
      <c r="N1032" s="5" t="str">
        <f>IF('[1]All Data '!BB1037="","",'[1]All Data '!BC1037/'[1]All Data '!BH1037)</f>
        <v/>
      </c>
      <c r="O1032" s="5" t="str">
        <f t="shared" si="18"/>
        <v/>
      </c>
      <c r="P1032" s="5" t="str">
        <f>IF(M1032="","",$C$2*(1-L1032)*907.2/0.621371*N1032*[1]Transportation!$M$40)</f>
        <v/>
      </c>
      <c r="Q1032" s="5" t="str">
        <f>IF(L1032="","",IF([1]Inputs_Outputs!$B$5="Herbaceous",(LCA!$E$29*'[1]LOCH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2" s="5" t="str">
        <f>IF(M1032="","",$E$2*1000*'[1]LOCH Calc COE Calc'!$C$44)</f>
        <v/>
      </c>
      <c r="S1032" s="6" t="str">
        <f>IF(N1032="","",SUM(O1032:R1032)/('[1]LOCH Calc COE Calc'!$C$28))</f>
        <v/>
      </c>
      <c r="T1032" t="str">
        <f>IF(L1032="","",O1032/'[1]LOCH Calc COE Calc'!$C$28)</f>
        <v/>
      </c>
      <c r="U1032" t="str">
        <f>IF(L1032="","",P1032/'[1]LOCH Calc COE Calc'!$C$28)</f>
        <v/>
      </c>
      <c r="V1032" t="str">
        <f>IF(L1032="","",Q1032/'[1]LOCH Calc COE Calc'!$C$28)</f>
        <v/>
      </c>
      <c r="W1032" t="str">
        <f>IF(L1032="","",R1032/'[1]LOCH Calc COE Calc'!$C$28)</f>
        <v/>
      </c>
    </row>
    <row r="1033" spans="12:23" x14ac:dyDescent="0.25">
      <c r="L1033" s="4" t="str">
        <f>IF('[1]All Data '!BE1038="","",'[1]All Data '!BE1038)</f>
        <v/>
      </c>
      <c r="M1033" t="str">
        <f>IF('[1]All Data '!BF1038="","",'[1]All Data '!BF1038)</f>
        <v/>
      </c>
      <c r="N1033" s="5" t="str">
        <f>IF('[1]All Data '!BB1038="","",'[1]All Data '!BC1038/'[1]All Data '!BH1038)</f>
        <v/>
      </c>
      <c r="O1033" s="5" t="str">
        <f t="shared" si="18"/>
        <v/>
      </c>
      <c r="P1033" s="5" t="str">
        <f>IF(M1033="","",$C$2*(1-L1033)*907.2/0.621371*N1033*[1]Transportation!$M$40)</f>
        <v/>
      </c>
      <c r="Q1033" s="5" t="str">
        <f>IF(L1033="","",IF([1]Inputs_Outputs!$B$5="Herbaceous",(LCA!$E$29*'[1]LOCH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3" s="5" t="str">
        <f>IF(M1033="","",$E$2*1000*'[1]LOCH Calc COE Calc'!$C$44)</f>
        <v/>
      </c>
      <c r="S1033" s="6" t="str">
        <f>IF(N1033="","",SUM(O1033:R1033)/('[1]LOCH Calc COE Calc'!$C$28))</f>
        <v/>
      </c>
      <c r="T1033" t="str">
        <f>IF(L1033="","",O1033/'[1]LOCH Calc COE Calc'!$C$28)</f>
        <v/>
      </c>
      <c r="U1033" t="str">
        <f>IF(L1033="","",P1033/'[1]LOCH Calc COE Calc'!$C$28)</f>
        <v/>
      </c>
      <c r="V1033" t="str">
        <f>IF(L1033="","",Q1033/'[1]LOCH Calc COE Calc'!$C$28)</f>
        <v/>
      </c>
      <c r="W1033" t="str">
        <f>IF(L1033="","",R1033/'[1]LOCH Calc COE Calc'!$C$28)</f>
        <v/>
      </c>
    </row>
    <row r="1034" spans="12:23" x14ac:dyDescent="0.25">
      <c r="L1034" s="4" t="str">
        <f>IF('[1]All Data '!BE1039="","",'[1]All Data '!BE1039)</f>
        <v/>
      </c>
      <c r="M1034" t="str">
        <f>IF('[1]All Data '!BF1039="","",'[1]All Data '!BF1039)</f>
        <v/>
      </c>
      <c r="N1034" s="5" t="str">
        <f>IF('[1]All Data '!BB1039="","",'[1]All Data '!BC1039/'[1]All Data '!BH1039)</f>
        <v/>
      </c>
      <c r="O1034" s="5" t="str">
        <f t="shared" si="18"/>
        <v/>
      </c>
      <c r="P1034" s="5" t="str">
        <f>IF(M1034="","",$C$2*(1-L1034)*907.2/0.621371*N1034*[1]Transportation!$M$40)</f>
        <v/>
      </c>
      <c r="Q1034" s="5" t="str">
        <f>IF(L1034="","",IF([1]Inputs_Outputs!$B$5="Herbaceous",(LCA!$E$29*'[1]LOCH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4" s="5" t="str">
        <f>IF(M1034="","",$E$2*1000*'[1]LOCH Calc COE Calc'!$C$44)</f>
        <v/>
      </c>
      <c r="S1034" s="6" t="str">
        <f>IF(N1034="","",SUM(O1034:R1034)/('[1]LOCH Calc COE Calc'!$C$28))</f>
        <v/>
      </c>
      <c r="T1034" t="str">
        <f>IF(L1034="","",O1034/'[1]LOCH Calc COE Calc'!$C$28)</f>
        <v/>
      </c>
      <c r="U1034" t="str">
        <f>IF(L1034="","",P1034/'[1]LOCH Calc COE Calc'!$C$28)</f>
        <v/>
      </c>
      <c r="V1034" t="str">
        <f>IF(L1034="","",Q1034/'[1]LOCH Calc COE Calc'!$C$28)</f>
        <v/>
      </c>
      <c r="W1034" t="str">
        <f>IF(L1034="","",R1034/'[1]LOCH Calc COE Calc'!$C$28)</f>
        <v/>
      </c>
    </row>
    <row r="1035" spans="12:23" x14ac:dyDescent="0.25">
      <c r="L1035" s="4" t="str">
        <f>IF('[1]All Data '!BE1040="","",'[1]All Data '!BE1040)</f>
        <v/>
      </c>
      <c r="M1035" t="str">
        <f>IF('[1]All Data '!BF1040="","",'[1]All Data '!BF1040)</f>
        <v/>
      </c>
      <c r="N1035" s="5" t="str">
        <f>IF('[1]All Data '!BB1040="","",'[1]All Data '!BC1040/'[1]All Data '!BH1040)</f>
        <v/>
      </c>
      <c r="O1035" s="5" t="str">
        <f t="shared" si="18"/>
        <v/>
      </c>
      <c r="P1035" s="5" t="str">
        <f>IF(M1035="","",$C$2*(1-L1035)*907.2/0.621371*N1035*[1]Transportation!$M$40)</f>
        <v/>
      </c>
      <c r="Q1035" s="5" t="str">
        <f>IF(L1035="","",IF([1]Inputs_Outputs!$B$5="Herbaceous",(LCA!$E$29*'[1]LOCH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5" s="5" t="str">
        <f>IF(M1035="","",$E$2*1000*'[1]LOCH Calc COE Calc'!$C$44)</f>
        <v/>
      </c>
      <c r="S1035" s="6" t="str">
        <f>IF(N1035="","",SUM(O1035:R1035)/('[1]LOCH Calc COE Calc'!$C$28))</f>
        <v/>
      </c>
      <c r="T1035" t="str">
        <f>IF(L1035="","",O1035/'[1]LOCH Calc COE Calc'!$C$28)</f>
        <v/>
      </c>
      <c r="U1035" t="str">
        <f>IF(L1035="","",P1035/'[1]LOCH Calc COE Calc'!$C$28)</f>
        <v/>
      </c>
      <c r="V1035" t="str">
        <f>IF(L1035="","",Q1035/'[1]LOCH Calc COE Calc'!$C$28)</f>
        <v/>
      </c>
      <c r="W1035" t="str">
        <f>IF(L1035="","",R1035/'[1]LOCH Calc COE Calc'!$C$28)</f>
        <v/>
      </c>
    </row>
    <row r="1036" spans="12:23" x14ac:dyDescent="0.25">
      <c r="L1036" s="4" t="str">
        <f>IF('[1]All Data '!BE1041="","",'[1]All Data '!BE1041)</f>
        <v/>
      </c>
      <c r="M1036" t="str">
        <f>IF('[1]All Data '!BF1041="","",'[1]All Data '!BF1041)</f>
        <v/>
      </c>
      <c r="N1036" s="5" t="str">
        <f>IF('[1]All Data '!BB1041="","",'[1]All Data '!BC1041/'[1]All Data '!BH1041)</f>
        <v/>
      </c>
      <c r="O1036" s="5" t="str">
        <f t="shared" si="18"/>
        <v/>
      </c>
      <c r="P1036" s="5" t="str">
        <f>IF(M1036="","",$C$2*(1-L1036)*907.2/0.621371*N1036*[1]Transportation!$M$40)</f>
        <v/>
      </c>
      <c r="Q1036" s="5" t="str">
        <f>IF(L1036="","",IF([1]Inputs_Outputs!$B$5="Herbaceous",(LCA!$E$29*'[1]LOCH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6" s="5" t="str">
        <f>IF(M1036="","",$E$2*1000*'[1]LOCH Calc COE Calc'!$C$44)</f>
        <v/>
      </c>
      <c r="S1036" s="6" t="str">
        <f>IF(N1036="","",SUM(O1036:R1036)/('[1]LOCH Calc COE Calc'!$C$28))</f>
        <v/>
      </c>
      <c r="T1036" t="str">
        <f>IF(L1036="","",O1036/'[1]LOCH Calc COE Calc'!$C$28)</f>
        <v/>
      </c>
      <c r="U1036" t="str">
        <f>IF(L1036="","",P1036/'[1]LOCH Calc COE Calc'!$C$28)</f>
        <v/>
      </c>
      <c r="V1036" t="str">
        <f>IF(L1036="","",Q1036/'[1]LOCH Calc COE Calc'!$C$28)</f>
        <v/>
      </c>
      <c r="W1036" t="str">
        <f>IF(L1036="","",R1036/'[1]LOCH Calc COE Calc'!$C$28)</f>
        <v/>
      </c>
    </row>
    <row r="1037" spans="12:23" x14ac:dyDescent="0.25">
      <c r="L1037" s="4" t="str">
        <f>IF('[1]All Data '!BE1042="","",'[1]All Data '!BE1042)</f>
        <v/>
      </c>
      <c r="M1037" t="str">
        <f>IF('[1]All Data '!BF1042="","",'[1]All Data '!BF1042)</f>
        <v/>
      </c>
      <c r="N1037" s="5" t="str">
        <f>IF('[1]All Data '!BB1042="","",'[1]All Data '!BC1042/'[1]All Data '!BH1042)</f>
        <v/>
      </c>
      <c r="O1037" s="5" t="str">
        <f t="shared" si="18"/>
        <v/>
      </c>
      <c r="P1037" s="5" t="str">
        <f>IF(M1037="","",$C$2*(1-L1037)*907.2/0.621371*N1037*[1]Transportation!$M$40)</f>
        <v/>
      </c>
      <c r="Q1037" s="5" t="str">
        <f>IF(L1037="","",IF([1]Inputs_Outputs!$B$5="Herbaceous",(LCA!$E$29*'[1]LOCH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7" s="5" t="str">
        <f>IF(M1037="","",$E$2*1000*'[1]LOCH Calc COE Calc'!$C$44)</f>
        <v/>
      </c>
      <c r="S1037" s="6" t="str">
        <f>IF(N1037="","",SUM(O1037:R1037)/('[1]LOCH Calc COE Calc'!$C$28))</f>
        <v/>
      </c>
      <c r="T1037" t="str">
        <f>IF(L1037="","",O1037/'[1]LOCH Calc COE Calc'!$C$28)</f>
        <v/>
      </c>
      <c r="U1037" t="str">
        <f>IF(L1037="","",P1037/'[1]LOCH Calc COE Calc'!$C$28)</f>
        <v/>
      </c>
      <c r="V1037" t="str">
        <f>IF(L1037="","",Q1037/'[1]LOCH Calc COE Calc'!$C$28)</f>
        <v/>
      </c>
      <c r="W1037" t="str">
        <f>IF(L1037="","",R1037/'[1]LOCH Calc COE Calc'!$C$28)</f>
        <v/>
      </c>
    </row>
    <row r="1038" spans="12:23" x14ac:dyDescent="0.25">
      <c r="L1038" s="4" t="str">
        <f>IF('[1]All Data '!BE1043="","",'[1]All Data '!BE1043)</f>
        <v/>
      </c>
      <c r="M1038" t="str">
        <f>IF('[1]All Data '!BF1043="","",'[1]All Data '!BF1043)</f>
        <v/>
      </c>
      <c r="N1038" s="5" t="str">
        <f>IF('[1]All Data '!BB1043="","",'[1]All Data '!BC1043/'[1]All Data '!BH1043)</f>
        <v/>
      </c>
      <c r="O1038" s="5" t="str">
        <f t="shared" si="18"/>
        <v/>
      </c>
      <c r="P1038" s="5" t="str">
        <f>IF(M1038="","",$C$2*(1-L1038)*907.2/0.621371*N1038*[1]Transportation!$M$40)</f>
        <v/>
      </c>
      <c r="Q1038" s="5" t="str">
        <f>IF(L1038="","",IF([1]Inputs_Outputs!$B$5="Herbaceous",(LCA!$E$29*'[1]LOCH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8" s="5" t="str">
        <f>IF(M1038="","",$E$2*1000*'[1]LOCH Calc COE Calc'!$C$44)</f>
        <v/>
      </c>
      <c r="S1038" s="6" t="str">
        <f>IF(N1038="","",SUM(O1038:R1038)/('[1]LOCH Calc COE Calc'!$C$28))</f>
        <v/>
      </c>
      <c r="T1038" t="str">
        <f>IF(L1038="","",O1038/'[1]LOCH Calc COE Calc'!$C$28)</f>
        <v/>
      </c>
      <c r="U1038" t="str">
        <f>IF(L1038="","",P1038/'[1]LOCH Calc COE Calc'!$C$28)</f>
        <v/>
      </c>
      <c r="V1038" t="str">
        <f>IF(L1038="","",Q1038/'[1]LOCH Calc COE Calc'!$C$28)</f>
        <v/>
      </c>
      <c r="W1038" t="str">
        <f>IF(L1038="","",R1038/'[1]LOCH Calc COE Calc'!$C$28)</f>
        <v/>
      </c>
    </row>
    <row r="1039" spans="12:23" x14ac:dyDescent="0.25">
      <c r="L1039" s="4" t="str">
        <f>IF('[1]All Data '!BE1044="","",'[1]All Data '!BE1044)</f>
        <v/>
      </c>
      <c r="M1039" t="str">
        <f>IF('[1]All Data '!BF1044="","",'[1]All Data '!BF1044)</f>
        <v/>
      </c>
      <c r="N1039" s="5" t="str">
        <f>IF('[1]All Data '!BB1044="","",'[1]All Data '!BC1044/'[1]All Data '!BH1044)</f>
        <v/>
      </c>
      <c r="O1039" s="5" t="str">
        <f t="shared" si="18"/>
        <v/>
      </c>
      <c r="P1039" s="5" t="str">
        <f>IF(M1039="","",$C$2*(1-L1039)*907.2/0.621371*N1039*[1]Transportation!$M$40)</f>
        <v/>
      </c>
      <c r="Q1039" s="5" t="str">
        <f>IF(L1039="","",IF([1]Inputs_Outputs!$B$5="Herbaceous",(LCA!$E$29*'[1]LOCH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39" s="5" t="str">
        <f>IF(M1039="","",$E$2*1000*'[1]LOCH Calc COE Calc'!$C$44)</f>
        <v/>
      </c>
      <c r="S1039" s="6" t="str">
        <f>IF(N1039="","",SUM(O1039:R1039)/('[1]LOCH Calc COE Calc'!$C$28))</f>
        <v/>
      </c>
      <c r="T1039" t="str">
        <f>IF(L1039="","",O1039/'[1]LOCH Calc COE Calc'!$C$28)</f>
        <v/>
      </c>
      <c r="U1039" t="str">
        <f>IF(L1039="","",P1039/'[1]LOCH Calc COE Calc'!$C$28)</f>
        <v/>
      </c>
      <c r="V1039" t="str">
        <f>IF(L1039="","",Q1039/'[1]LOCH Calc COE Calc'!$C$28)</f>
        <v/>
      </c>
      <c r="W1039" t="str">
        <f>IF(L1039="","",R1039/'[1]LOCH Calc COE Calc'!$C$28)</f>
        <v/>
      </c>
    </row>
    <row r="1040" spans="12:23" x14ac:dyDescent="0.25">
      <c r="L1040" s="4" t="str">
        <f>IF('[1]All Data '!BE1045="","",'[1]All Data '!BE1045)</f>
        <v/>
      </c>
      <c r="M1040" t="str">
        <f>IF('[1]All Data '!BF1045="","",'[1]All Data '!BF1045)</f>
        <v/>
      </c>
      <c r="N1040" s="5" t="str">
        <f>IF('[1]All Data '!BB1045="","",'[1]All Data '!BC1045/'[1]All Data '!BH1045)</f>
        <v/>
      </c>
      <c r="O1040" s="5" t="str">
        <f t="shared" si="18"/>
        <v/>
      </c>
      <c r="P1040" s="5" t="str">
        <f>IF(M1040="","",$C$2*(1-L1040)*907.2/0.621371*N1040*[1]Transportation!$M$40)</f>
        <v/>
      </c>
      <c r="Q1040" s="5" t="str">
        <f>IF(L1040="","",IF([1]Inputs_Outputs!$B$5="Herbaceous",(LCA!$E$29*'[1]LOCH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0" s="5" t="str">
        <f>IF(M1040="","",$E$2*1000*'[1]LOCH Calc COE Calc'!$C$44)</f>
        <v/>
      </c>
      <c r="S1040" s="6" t="str">
        <f>IF(N1040="","",SUM(O1040:R1040)/('[1]LOCH Calc COE Calc'!$C$28))</f>
        <v/>
      </c>
      <c r="T1040" t="str">
        <f>IF(L1040="","",O1040/'[1]LOCH Calc COE Calc'!$C$28)</f>
        <v/>
      </c>
      <c r="U1040" t="str">
        <f>IF(L1040="","",P1040/'[1]LOCH Calc COE Calc'!$C$28)</f>
        <v/>
      </c>
      <c r="V1040" t="str">
        <f>IF(L1040="","",Q1040/'[1]LOCH Calc COE Calc'!$C$28)</f>
        <v/>
      </c>
      <c r="W1040" t="str">
        <f>IF(L1040="","",R1040/'[1]LOCH Calc COE Calc'!$C$28)</f>
        <v/>
      </c>
    </row>
    <row r="1041" spans="12:23" x14ac:dyDescent="0.25">
      <c r="L1041" s="4" t="str">
        <f>IF('[1]All Data '!BE1046="","",'[1]All Data '!BE1046)</f>
        <v/>
      </c>
      <c r="M1041" t="str">
        <f>IF('[1]All Data '!BF1046="","",'[1]All Data '!BF1046)</f>
        <v/>
      </c>
      <c r="N1041" s="5" t="str">
        <f>IF('[1]All Data '!BB1046="","",'[1]All Data '!BC1046/'[1]All Data '!BH1046)</f>
        <v/>
      </c>
      <c r="O1041" s="5" t="str">
        <f t="shared" si="18"/>
        <v/>
      </c>
      <c r="P1041" s="5" t="str">
        <f>IF(M1041="","",$C$2*(1-L1041)*907.2/0.621371*N1041*[1]Transportation!$M$40)</f>
        <v/>
      </c>
      <c r="Q1041" s="5" t="str">
        <f>IF(L1041="","",IF([1]Inputs_Outputs!$B$5="Herbaceous",(LCA!$E$29*'[1]LOCH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1" s="5" t="str">
        <f>IF(M1041="","",$E$2*1000*'[1]LOCH Calc COE Calc'!$C$44)</f>
        <v/>
      </c>
      <c r="S1041" s="6" t="str">
        <f>IF(N1041="","",SUM(O1041:R1041)/('[1]LOCH Calc COE Calc'!$C$28))</f>
        <v/>
      </c>
      <c r="T1041" t="str">
        <f>IF(L1041="","",O1041/'[1]LOCH Calc COE Calc'!$C$28)</f>
        <v/>
      </c>
      <c r="U1041" t="str">
        <f>IF(L1041="","",P1041/'[1]LOCH Calc COE Calc'!$C$28)</f>
        <v/>
      </c>
      <c r="V1041" t="str">
        <f>IF(L1041="","",Q1041/'[1]LOCH Calc COE Calc'!$C$28)</f>
        <v/>
      </c>
      <c r="W1041" t="str">
        <f>IF(L1041="","",R1041/'[1]LOCH Calc COE Calc'!$C$28)</f>
        <v/>
      </c>
    </row>
    <row r="1042" spans="12:23" x14ac:dyDescent="0.25">
      <c r="L1042" s="4" t="str">
        <f>IF('[1]All Data '!BE1047="","",'[1]All Data '!BE1047)</f>
        <v/>
      </c>
      <c r="M1042" t="str">
        <f>IF('[1]All Data '!BF1047="","",'[1]All Data '!BF1047)</f>
        <v/>
      </c>
      <c r="N1042" s="5" t="str">
        <f>IF('[1]All Data '!BB1047="","",'[1]All Data '!BC1047/'[1]All Data '!BH1047)</f>
        <v/>
      </c>
      <c r="O1042" s="5" t="str">
        <f t="shared" si="18"/>
        <v/>
      </c>
      <c r="P1042" s="5" t="str">
        <f>IF(M1042="","",$C$2*(1-L1042)*907.2/0.621371*N1042*[1]Transportation!$M$40)</f>
        <v/>
      </c>
      <c r="Q1042" s="5" t="str">
        <f>IF(L1042="","",IF([1]Inputs_Outputs!$B$5="Herbaceous",(LCA!$E$29*'[1]LOCH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2" s="5" t="str">
        <f>IF(M1042="","",$E$2*1000*'[1]LOCH Calc COE Calc'!$C$44)</f>
        <v/>
      </c>
      <c r="S1042" s="6" t="str">
        <f>IF(N1042="","",SUM(O1042:R1042)/('[1]LOCH Calc COE Calc'!$C$28))</f>
        <v/>
      </c>
      <c r="T1042" t="str">
        <f>IF(L1042="","",O1042/'[1]LOCH Calc COE Calc'!$C$28)</f>
        <v/>
      </c>
      <c r="U1042" t="str">
        <f>IF(L1042="","",P1042/'[1]LOCH Calc COE Calc'!$C$28)</f>
        <v/>
      </c>
      <c r="V1042" t="str">
        <f>IF(L1042="","",Q1042/'[1]LOCH Calc COE Calc'!$C$28)</f>
        <v/>
      </c>
      <c r="W1042" t="str">
        <f>IF(L1042="","",R1042/'[1]LOCH Calc COE Calc'!$C$28)</f>
        <v/>
      </c>
    </row>
    <row r="1043" spans="12:23" x14ac:dyDescent="0.25">
      <c r="L1043" s="4" t="str">
        <f>IF('[1]All Data '!BE1048="","",'[1]All Data '!BE1048)</f>
        <v/>
      </c>
      <c r="M1043" t="str">
        <f>IF('[1]All Data '!BF1048="","",'[1]All Data '!BF1048)</f>
        <v/>
      </c>
      <c r="N1043" s="5" t="str">
        <f>IF('[1]All Data '!BB1048="","",'[1]All Data '!BC1048/'[1]All Data '!BH1048)</f>
        <v/>
      </c>
      <c r="O1043" s="5" t="str">
        <f t="shared" si="18"/>
        <v/>
      </c>
      <c r="P1043" s="5" t="str">
        <f>IF(M1043="","",$C$2*(1-L1043)*907.2/0.621371*N1043*[1]Transportation!$M$40)</f>
        <v/>
      </c>
      <c r="Q1043" s="5" t="str">
        <f>IF(L1043="","",IF([1]Inputs_Outputs!$B$5="Herbaceous",(LCA!$E$29*'[1]LOCH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3" s="5" t="str">
        <f>IF(M1043="","",$E$2*1000*'[1]LOCH Calc COE Calc'!$C$44)</f>
        <v/>
      </c>
      <c r="S1043" s="6" t="str">
        <f>IF(N1043="","",SUM(O1043:R1043)/('[1]LOCH Calc COE Calc'!$C$28))</f>
        <v/>
      </c>
      <c r="T1043" t="str">
        <f>IF(L1043="","",O1043/'[1]LOCH Calc COE Calc'!$C$28)</f>
        <v/>
      </c>
      <c r="U1043" t="str">
        <f>IF(L1043="","",P1043/'[1]LOCH Calc COE Calc'!$C$28)</f>
        <v/>
      </c>
      <c r="V1043" t="str">
        <f>IF(L1043="","",Q1043/'[1]LOCH Calc COE Calc'!$C$28)</f>
        <v/>
      </c>
      <c r="W1043" t="str">
        <f>IF(L1043="","",R1043/'[1]LOCH Calc COE Calc'!$C$28)</f>
        <v/>
      </c>
    </row>
    <row r="1044" spans="12:23" x14ac:dyDescent="0.25">
      <c r="L1044" s="4" t="str">
        <f>IF('[1]All Data '!BE1049="","",'[1]All Data '!BE1049)</f>
        <v/>
      </c>
      <c r="M1044" t="str">
        <f>IF('[1]All Data '!BF1049="","",'[1]All Data '!BF1049)</f>
        <v/>
      </c>
      <c r="N1044" s="5" t="str">
        <f>IF('[1]All Data '!BB1049="","",'[1]All Data '!BC1049/'[1]All Data '!BH1049)</f>
        <v/>
      </c>
      <c r="O1044" s="5" t="str">
        <f t="shared" si="18"/>
        <v/>
      </c>
      <c r="P1044" s="5" t="str">
        <f>IF(M1044="","",$C$2*(1-L1044)*907.2/0.621371*N1044*[1]Transportation!$M$40)</f>
        <v/>
      </c>
      <c r="Q1044" s="5" t="str">
        <f>IF(L1044="","",IF([1]Inputs_Outputs!$B$5="Herbaceous",(LCA!$E$29*'[1]LOCH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4" s="5" t="str">
        <f>IF(M1044="","",$E$2*1000*'[1]LOCH Calc COE Calc'!$C$44)</f>
        <v/>
      </c>
      <c r="S1044" s="6" t="str">
        <f>IF(N1044="","",SUM(O1044:R1044)/('[1]LOCH Calc COE Calc'!$C$28))</f>
        <v/>
      </c>
      <c r="T1044" t="str">
        <f>IF(L1044="","",O1044/'[1]LOCH Calc COE Calc'!$C$28)</f>
        <v/>
      </c>
      <c r="U1044" t="str">
        <f>IF(L1044="","",P1044/'[1]LOCH Calc COE Calc'!$C$28)</f>
        <v/>
      </c>
      <c r="V1044" t="str">
        <f>IF(L1044="","",Q1044/'[1]LOCH Calc COE Calc'!$C$28)</f>
        <v/>
      </c>
      <c r="W1044" t="str">
        <f>IF(L1044="","",R1044/'[1]LOCH Calc COE Calc'!$C$28)</f>
        <v/>
      </c>
    </row>
    <row r="1045" spans="12:23" x14ac:dyDescent="0.25">
      <c r="L1045" s="4" t="str">
        <f>IF('[1]All Data '!BE1050="","",'[1]All Data '!BE1050)</f>
        <v/>
      </c>
      <c r="M1045" t="str">
        <f>IF('[1]All Data '!BF1050="","",'[1]All Data '!BF1050)</f>
        <v/>
      </c>
      <c r="N1045" s="5" t="str">
        <f>IF('[1]All Data '!BB1050="","",'[1]All Data '!BC1050/'[1]All Data '!BH1050)</f>
        <v/>
      </c>
      <c r="O1045" s="5" t="str">
        <f t="shared" si="18"/>
        <v/>
      </c>
      <c r="P1045" s="5" t="str">
        <f>IF(M1045="","",$C$2*(1-L1045)*907.2/0.621371*N1045*[1]Transportation!$M$40)</f>
        <v/>
      </c>
      <c r="Q1045" s="5" t="str">
        <f>IF(L1045="","",IF([1]Inputs_Outputs!$B$5="Herbaceous",(LCA!$E$29*'[1]LOCH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5" s="5" t="str">
        <f>IF(M1045="","",$E$2*1000*'[1]LOCH Calc COE Calc'!$C$44)</f>
        <v/>
      </c>
      <c r="S1045" s="6" t="str">
        <f>IF(N1045="","",SUM(O1045:R1045)/('[1]LOCH Calc COE Calc'!$C$28))</f>
        <v/>
      </c>
      <c r="T1045" t="str">
        <f>IF(L1045="","",O1045/'[1]LOCH Calc COE Calc'!$C$28)</f>
        <v/>
      </c>
      <c r="U1045" t="str">
        <f>IF(L1045="","",P1045/'[1]LOCH Calc COE Calc'!$C$28)</f>
        <v/>
      </c>
      <c r="V1045" t="str">
        <f>IF(L1045="","",Q1045/'[1]LOCH Calc COE Calc'!$C$28)</f>
        <v/>
      </c>
      <c r="W1045" t="str">
        <f>IF(L1045="","",R1045/'[1]LOCH Calc COE Calc'!$C$28)</f>
        <v/>
      </c>
    </row>
    <row r="1046" spans="12:23" x14ac:dyDescent="0.25">
      <c r="L1046" s="4" t="str">
        <f>IF('[1]All Data '!BE1051="","",'[1]All Data '!BE1051)</f>
        <v/>
      </c>
      <c r="M1046" t="str">
        <f>IF('[1]All Data '!BF1051="","",'[1]All Data '!BF1051)</f>
        <v/>
      </c>
      <c r="N1046" s="5" t="str">
        <f>IF('[1]All Data '!BB1051="","",'[1]All Data '!BC1051/'[1]All Data '!BH1051)</f>
        <v/>
      </c>
      <c r="O1046" s="5" t="str">
        <f t="shared" si="18"/>
        <v/>
      </c>
      <c r="P1046" s="5" t="str">
        <f>IF(M1046="","",$C$2*(1-L1046)*907.2/0.621371*N1046*[1]Transportation!$M$40)</f>
        <v/>
      </c>
      <c r="Q1046" s="5" t="str">
        <f>IF(L1046="","",IF([1]Inputs_Outputs!$B$5="Herbaceous",(LCA!$E$29*'[1]LOCH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6" s="5" t="str">
        <f>IF(M1046="","",$E$2*1000*'[1]LOCH Calc COE Calc'!$C$44)</f>
        <v/>
      </c>
      <c r="S1046" s="6" t="str">
        <f>IF(N1046="","",SUM(O1046:R1046)/('[1]LOCH Calc COE Calc'!$C$28))</f>
        <v/>
      </c>
      <c r="T1046" t="str">
        <f>IF(L1046="","",O1046/'[1]LOCH Calc COE Calc'!$C$28)</f>
        <v/>
      </c>
      <c r="U1046" t="str">
        <f>IF(L1046="","",P1046/'[1]LOCH Calc COE Calc'!$C$28)</f>
        <v/>
      </c>
      <c r="V1046" t="str">
        <f>IF(L1046="","",Q1046/'[1]LOCH Calc COE Calc'!$C$28)</f>
        <v/>
      </c>
      <c r="W1046" t="str">
        <f>IF(L1046="","",R1046/'[1]LOCH Calc COE Calc'!$C$28)</f>
        <v/>
      </c>
    </row>
    <row r="1047" spans="12:23" x14ac:dyDescent="0.25">
      <c r="L1047" s="4" t="str">
        <f>IF('[1]All Data '!BE1052="","",'[1]All Data '!BE1052)</f>
        <v/>
      </c>
      <c r="M1047" t="str">
        <f>IF('[1]All Data '!BF1052="","",'[1]All Data '!BF1052)</f>
        <v/>
      </c>
      <c r="N1047" s="5" t="str">
        <f>IF('[1]All Data '!BB1052="","",'[1]All Data '!BC1052/'[1]All Data '!BH1052)</f>
        <v/>
      </c>
      <c r="O1047" s="5" t="str">
        <f t="shared" si="18"/>
        <v/>
      </c>
      <c r="P1047" s="5" t="str">
        <f>IF(M1047="","",$C$2*(1-L1047)*907.2/0.621371*N1047*[1]Transportation!$M$40)</f>
        <v/>
      </c>
      <c r="Q1047" s="5" t="str">
        <f>IF(L1047="","",IF([1]Inputs_Outputs!$B$5="Herbaceous",(LCA!$E$29*'[1]LOCH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7" s="5" t="str">
        <f>IF(M1047="","",$E$2*1000*'[1]LOCH Calc COE Calc'!$C$44)</f>
        <v/>
      </c>
      <c r="S1047" s="6" t="str">
        <f>IF(N1047="","",SUM(O1047:R1047)/('[1]LOCH Calc COE Calc'!$C$28))</f>
        <v/>
      </c>
      <c r="T1047" t="str">
        <f>IF(L1047="","",O1047/'[1]LOCH Calc COE Calc'!$C$28)</f>
        <v/>
      </c>
      <c r="U1047" t="str">
        <f>IF(L1047="","",P1047/'[1]LOCH Calc COE Calc'!$C$28)</f>
        <v/>
      </c>
      <c r="V1047" t="str">
        <f>IF(L1047="","",Q1047/'[1]LOCH Calc COE Calc'!$C$28)</f>
        <v/>
      </c>
      <c r="W1047" t="str">
        <f>IF(L1047="","",R1047/'[1]LOCH Calc COE Calc'!$C$28)</f>
        <v/>
      </c>
    </row>
    <row r="1048" spans="12:23" x14ac:dyDescent="0.25">
      <c r="L1048" s="4" t="str">
        <f>IF('[1]All Data '!BE1053="","",'[1]All Data '!BE1053)</f>
        <v/>
      </c>
      <c r="M1048" t="str">
        <f>IF('[1]All Data '!BF1053="","",'[1]All Data '!BF1053)</f>
        <v/>
      </c>
      <c r="N1048" s="5" t="str">
        <f>IF('[1]All Data '!BB1053="","",'[1]All Data '!BC1053/'[1]All Data '!BH1053)</f>
        <v/>
      </c>
      <c r="O1048" s="5" t="str">
        <f t="shared" si="18"/>
        <v/>
      </c>
      <c r="P1048" s="5" t="str">
        <f>IF(M1048="","",$C$2*(1-L1048)*907.2/0.621371*N1048*[1]Transportation!$M$40)</f>
        <v/>
      </c>
      <c r="Q1048" s="5" t="str">
        <f>IF(L1048="","",IF([1]Inputs_Outputs!$B$5="Herbaceous",(LCA!$E$29*'[1]LOCH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8" s="5" t="str">
        <f>IF(M1048="","",$E$2*1000*'[1]LOCH Calc COE Calc'!$C$44)</f>
        <v/>
      </c>
      <c r="S1048" s="6" t="str">
        <f>IF(N1048="","",SUM(O1048:R1048)/('[1]LOCH Calc COE Calc'!$C$28))</f>
        <v/>
      </c>
      <c r="T1048" t="str">
        <f>IF(L1048="","",O1048/'[1]LOCH Calc COE Calc'!$C$28)</f>
        <v/>
      </c>
      <c r="U1048" t="str">
        <f>IF(L1048="","",P1048/'[1]LOCH Calc COE Calc'!$C$28)</f>
        <v/>
      </c>
      <c r="V1048" t="str">
        <f>IF(L1048="","",Q1048/'[1]LOCH Calc COE Calc'!$C$28)</f>
        <v/>
      </c>
      <c r="W1048" t="str">
        <f>IF(L1048="","",R1048/'[1]LOCH Calc COE Calc'!$C$28)</f>
        <v/>
      </c>
    </row>
    <row r="1049" spans="12:23" x14ac:dyDescent="0.25">
      <c r="L1049" s="4" t="str">
        <f>IF('[1]All Data '!BE1054="","",'[1]All Data '!BE1054)</f>
        <v/>
      </c>
      <c r="M1049" t="str">
        <f>IF('[1]All Data '!BF1054="","",'[1]All Data '!BF1054)</f>
        <v/>
      </c>
      <c r="N1049" s="5" t="str">
        <f>IF('[1]All Data '!BB1054="","",'[1]All Data '!BC1054/'[1]All Data '!BH1054)</f>
        <v/>
      </c>
      <c r="O1049" s="5" t="str">
        <f t="shared" si="18"/>
        <v/>
      </c>
      <c r="P1049" s="5" t="str">
        <f>IF(M1049="","",$C$2*(1-L1049)*907.2/0.621371*N1049*[1]Transportation!$M$40)</f>
        <v/>
      </c>
      <c r="Q1049" s="5" t="str">
        <f>IF(L1049="","",IF([1]Inputs_Outputs!$B$5="Herbaceous",(LCA!$E$29*'[1]LOCH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49" s="5" t="str">
        <f>IF(M1049="","",$E$2*1000*'[1]LOCH Calc COE Calc'!$C$44)</f>
        <v/>
      </c>
      <c r="S1049" s="6" t="str">
        <f>IF(N1049="","",SUM(O1049:R1049)/('[1]LOCH Calc COE Calc'!$C$28))</f>
        <v/>
      </c>
      <c r="T1049" t="str">
        <f>IF(L1049="","",O1049/'[1]LOCH Calc COE Calc'!$C$28)</f>
        <v/>
      </c>
      <c r="U1049" t="str">
        <f>IF(L1049="","",P1049/'[1]LOCH Calc COE Calc'!$C$28)</f>
        <v/>
      </c>
      <c r="V1049" t="str">
        <f>IF(L1049="","",Q1049/'[1]LOCH Calc COE Calc'!$C$28)</f>
        <v/>
      </c>
      <c r="W1049" t="str">
        <f>IF(L1049="","",R1049/'[1]LOCH Calc COE Calc'!$C$28)</f>
        <v/>
      </c>
    </row>
    <row r="1050" spans="12:23" x14ac:dyDescent="0.25">
      <c r="L1050" s="4" t="str">
        <f>IF('[1]All Data '!BE1055="","",'[1]All Data '!BE1055)</f>
        <v/>
      </c>
      <c r="M1050" t="str">
        <f>IF('[1]All Data '!BF1055="","",'[1]All Data '!BF1055)</f>
        <v/>
      </c>
      <c r="N1050" s="5" t="str">
        <f>IF('[1]All Data '!BB1055="","",'[1]All Data '!BC1055/'[1]All Data '!BH1055)</f>
        <v/>
      </c>
      <c r="O1050" s="5" t="str">
        <f t="shared" si="18"/>
        <v/>
      </c>
      <c r="P1050" s="5" t="str">
        <f>IF(M1050="","",$C$2*(1-L1050)*907.2/0.621371*N1050*[1]Transportation!$M$40)</f>
        <v/>
      </c>
      <c r="Q1050" s="5" t="str">
        <f>IF(L1050="","",IF([1]Inputs_Outputs!$B$5="Herbaceous",(LCA!$E$29*'[1]LOCH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0" s="5" t="str">
        <f>IF(M1050="","",$E$2*1000*'[1]LOCH Calc COE Calc'!$C$44)</f>
        <v/>
      </c>
      <c r="S1050" s="6" t="str">
        <f>IF(N1050="","",SUM(O1050:R1050)/('[1]LOCH Calc COE Calc'!$C$28))</f>
        <v/>
      </c>
      <c r="T1050" t="str">
        <f>IF(L1050="","",O1050/'[1]LOCH Calc COE Calc'!$C$28)</f>
        <v/>
      </c>
      <c r="U1050" t="str">
        <f>IF(L1050="","",P1050/'[1]LOCH Calc COE Calc'!$C$28)</f>
        <v/>
      </c>
      <c r="V1050" t="str">
        <f>IF(L1050="","",Q1050/'[1]LOCH Calc COE Calc'!$C$28)</f>
        <v/>
      </c>
      <c r="W1050" t="str">
        <f>IF(L1050="","",R1050/'[1]LOCH Calc COE Calc'!$C$28)</f>
        <v/>
      </c>
    </row>
    <row r="1051" spans="12:23" x14ac:dyDescent="0.25">
      <c r="L1051" s="4" t="str">
        <f>IF('[1]All Data '!BE1056="","",'[1]All Data '!BE1056)</f>
        <v/>
      </c>
      <c r="M1051" t="str">
        <f>IF('[1]All Data '!BF1056="","",'[1]All Data '!BF1056)</f>
        <v/>
      </c>
      <c r="N1051" s="5" t="str">
        <f>IF('[1]All Data '!BB1056="","",'[1]All Data '!BC1056/'[1]All Data '!BH1056)</f>
        <v/>
      </c>
      <c r="O1051" s="5" t="str">
        <f t="shared" si="18"/>
        <v/>
      </c>
      <c r="P1051" s="5" t="str">
        <f>IF(M1051="","",$C$2*(1-L1051)*907.2/0.621371*N1051*[1]Transportation!$M$40)</f>
        <v/>
      </c>
      <c r="Q1051" s="5" t="str">
        <f>IF(L1051="","",IF([1]Inputs_Outputs!$B$5="Herbaceous",(LCA!$E$29*'[1]LOCH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1" s="5" t="str">
        <f>IF(M1051="","",$E$2*1000*'[1]LOCH Calc COE Calc'!$C$44)</f>
        <v/>
      </c>
      <c r="S1051" s="6" t="str">
        <f>IF(N1051="","",SUM(O1051:R1051)/('[1]LOCH Calc COE Calc'!$C$28))</f>
        <v/>
      </c>
      <c r="T1051" t="str">
        <f>IF(L1051="","",O1051/'[1]LOCH Calc COE Calc'!$C$28)</f>
        <v/>
      </c>
      <c r="U1051" t="str">
        <f>IF(L1051="","",P1051/'[1]LOCH Calc COE Calc'!$C$28)</f>
        <v/>
      </c>
      <c r="V1051" t="str">
        <f>IF(L1051="","",Q1051/'[1]LOCH Calc COE Calc'!$C$28)</f>
        <v/>
      </c>
      <c r="W1051" t="str">
        <f>IF(L1051="","",R1051/'[1]LOCH Calc COE Calc'!$C$28)</f>
        <v/>
      </c>
    </row>
    <row r="1052" spans="12:23" x14ac:dyDescent="0.25">
      <c r="L1052" s="4" t="str">
        <f>IF('[1]All Data '!BE1057="","",'[1]All Data '!BE1057)</f>
        <v/>
      </c>
      <c r="M1052" t="str">
        <f>IF('[1]All Data '!BF1057="","",'[1]All Data '!BF1057)</f>
        <v/>
      </c>
      <c r="N1052" s="5" t="str">
        <f>IF('[1]All Data '!BB1057="","",'[1]All Data '!BC1057/'[1]All Data '!BH1057)</f>
        <v/>
      </c>
      <c r="O1052" s="5" t="str">
        <f t="shared" si="18"/>
        <v/>
      </c>
      <c r="P1052" s="5" t="str">
        <f>IF(M1052="","",$C$2*(1-L1052)*907.2/0.621371*N1052*[1]Transportation!$M$40)</f>
        <v/>
      </c>
      <c r="Q1052" s="5" t="str">
        <f>IF(L1052="","",IF([1]Inputs_Outputs!$B$5="Herbaceous",(LCA!$E$29*'[1]LOCH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2" s="5" t="str">
        <f>IF(M1052="","",$E$2*1000*'[1]LOCH Calc COE Calc'!$C$44)</f>
        <v/>
      </c>
      <c r="S1052" s="6" t="str">
        <f>IF(N1052="","",SUM(O1052:R1052)/('[1]LOCH Calc COE Calc'!$C$28))</f>
        <v/>
      </c>
      <c r="T1052" t="str">
        <f>IF(L1052="","",O1052/'[1]LOCH Calc COE Calc'!$C$28)</f>
        <v/>
      </c>
      <c r="U1052" t="str">
        <f>IF(L1052="","",P1052/'[1]LOCH Calc COE Calc'!$C$28)</f>
        <v/>
      </c>
      <c r="V1052" t="str">
        <f>IF(L1052="","",Q1052/'[1]LOCH Calc COE Calc'!$C$28)</f>
        <v/>
      </c>
      <c r="W1052" t="str">
        <f>IF(L1052="","",R1052/'[1]LOCH Calc COE Calc'!$C$28)</f>
        <v/>
      </c>
    </row>
    <row r="1053" spans="12:23" x14ac:dyDescent="0.25">
      <c r="L1053" s="4" t="str">
        <f>IF('[1]All Data '!BE1058="","",'[1]All Data '!BE1058)</f>
        <v/>
      </c>
      <c r="M1053" t="str">
        <f>IF('[1]All Data '!BF1058="","",'[1]All Data '!BF1058)</f>
        <v/>
      </c>
      <c r="N1053" s="5" t="str">
        <f>IF('[1]All Data '!BB1058="","",'[1]All Data '!BC1058/'[1]All Data '!BH1058)</f>
        <v/>
      </c>
      <c r="O1053" s="5" t="str">
        <f t="shared" si="18"/>
        <v/>
      </c>
      <c r="P1053" s="5" t="str">
        <f>IF(M1053="","",$C$2*(1-L1053)*907.2/0.621371*N1053*[1]Transportation!$M$40)</f>
        <v/>
      </c>
      <c r="Q1053" s="5" t="str">
        <f>IF(L1053="","",IF([1]Inputs_Outputs!$B$5="Herbaceous",(LCA!$E$29*'[1]LOCH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3" s="5" t="str">
        <f>IF(M1053="","",$E$2*1000*'[1]LOCH Calc COE Calc'!$C$44)</f>
        <v/>
      </c>
      <c r="S1053" s="6" t="str">
        <f>IF(N1053="","",SUM(O1053:R1053)/('[1]LOCH Calc COE Calc'!$C$28))</f>
        <v/>
      </c>
      <c r="T1053" t="str">
        <f>IF(L1053="","",O1053/'[1]LOCH Calc COE Calc'!$C$28)</f>
        <v/>
      </c>
      <c r="U1053" t="str">
        <f>IF(L1053="","",P1053/'[1]LOCH Calc COE Calc'!$C$28)</f>
        <v/>
      </c>
      <c r="V1053" t="str">
        <f>IF(L1053="","",Q1053/'[1]LOCH Calc COE Calc'!$C$28)</f>
        <v/>
      </c>
      <c r="W1053" t="str">
        <f>IF(L1053="","",R1053/'[1]LOCH Calc COE Calc'!$C$28)</f>
        <v/>
      </c>
    </row>
    <row r="1054" spans="12:23" x14ac:dyDescent="0.25">
      <c r="L1054" s="4" t="str">
        <f>IF('[1]All Data '!BE1059="","",'[1]All Data '!BE1059)</f>
        <v/>
      </c>
      <c r="M1054" t="str">
        <f>IF('[1]All Data '!BF1059="","",'[1]All Data '!BF1059)</f>
        <v/>
      </c>
      <c r="N1054" s="5" t="str">
        <f>IF('[1]All Data '!BB1059="","",'[1]All Data '!BC1059/'[1]All Data '!BH1059)</f>
        <v/>
      </c>
      <c r="O1054" s="5" t="str">
        <f t="shared" si="18"/>
        <v/>
      </c>
      <c r="P1054" s="5" t="str">
        <f>IF(M1054="","",$C$2*(1-L1054)*907.2/0.621371*N1054*[1]Transportation!$M$40)</f>
        <v/>
      </c>
      <c r="Q1054" s="5" t="str">
        <f>IF(L1054="","",IF([1]Inputs_Outputs!$B$5="Herbaceous",(LCA!$E$29*'[1]LOCH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4" s="5" t="str">
        <f>IF(M1054="","",$E$2*1000*'[1]LOCH Calc COE Calc'!$C$44)</f>
        <v/>
      </c>
      <c r="S1054" s="6" t="str">
        <f>IF(N1054="","",SUM(O1054:R1054)/('[1]LOCH Calc COE Calc'!$C$28))</f>
        <v/>
      </c>
      <c r="T1054" t="str">
        <f>IF(L1054="","",O1054/'[1]LOCH Calc COE Calc'!$C$28)</f>
        <v/>
      </c>
      <c r="U1054" t="str">
        <f>IF(L1054="","",P1054/'[1]LOCH Calc COE Calc'!$C$28)</f>
        <v/>
      </c>
      <c r="V1054" t="str">
        <f>IF(L1054="","",Q1054/'[1]LOCH Calc COE Calc'!$C$28)</f>
        <v/>
      </c>
      <c r="W1054" t="str">
        <f>IF(L1054="","",R1054/'[1]LOCH Calc COE Calc'!$C$28)</f>
        <v/>
      </c>
    </row>
    <row r="1055" spans="12:23" x14ac:dyDescent="0.25">
      <c r="L1055" s="4" t="str">
        <f>IF('[1]All Data '!BE1060="","",'[1]All Data '!BE1060)</f>
        <v/>
      </c>
      <c r="M1055" t="str">
        <f>IF('[1]All Data '!BF1060="","",'[1]All Data '!BF1060)</f>
        <v/>
      </c>
      <c r="N1055" s="5" t="str">
        <f>IF('[1]All Data '!BB1060="","",'[1]All Data '!BC1060/'[1]All Data '!BH1060)</f>
        <v/>
      </c>
      <c r="O1055" s="5" t="str">
        <f t="shared" si="18"/>
        <v/>
      </c>
      <c r="P1055" s="5" t="str">
        <f>IF(M1055="","",$C$2*(1-L1055)*907.2/0.621371*N1055*[1]Transportation!$M$40)</f>
        <v/>
      </c>
      <c r="Q1055" s="5" t="str">
        <f>IF(L1055="","",IF([1]Inputs_Outputs!$B$5="Herbaceous",(LCA!$E$29*'[1]LOCH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5" s="5" t="str">
        <f>IF(M1055="","",$E$2*1000*'[1]LOCH Calc COE Calc'!$C$44)</f>
        <v/>
      </c>
      <c r="S1055" s="6" t="str">
        <f>IF(N1055="","",SUM(O1055:R1055)/('[1]LOCH Calc COE Calc'!$C$28))</f>
        <v/>
      </c>
      <c r="T1055" t="str">
        <f>IF(L1055="","",O1055/'[1]LOCH Calc COE Calc'!$C$28)</f>
        <v/>
      </c>
      <c r="U1055" t="str">
        <f>IF(L1055="","",P1055/'[1]LOCH Calc COE Calc'!$C$28)</f>
        <v/>
      </c>
      <c r="V1055" t="str">
        <f>IF(L1055="","",Q1055/'[1]LOCH Calc COE Calc'!$C$28)</f>
        <v/>
      </c>
      <c r="W1055" t="str">
        <f>IF(L1055="","",R1055/'[1]LOCH Calc COE Calc'!$C$28)</f>
        <v/>
      </c>
    </row>
    <row r="1056" spans="12:23" x14ac:dyDescent="0.25">
      <c r="L1056" s="4" t="str">
        <f>IF('[1]All Data '!BE1061="","",'[1]All Data '!BE1061)</f>
        <v/>
      </c>
      <c r="M1056" t="str">
        <f>IF('[1]All Data '!BF1061="","",'[1]All Data '!BF1061)</f>
        <v/>
      </c>
      <c r="N1056" s="5" t="str">
        <f>IF('[1]All Data '!BB1061="","",'[1]All Data '!BC1061/'[1]All Data '!BH1061)</f>
        <v/>
      </c>
      <c r="O1056" s="5" t="str">
        <f t="shared" si="18"/>
        <v/>
      </c>
      <c r="P1056" s="5" t="str">
        <f>IF(M1056="","",$C$2*(1-L1056)*907.2/0.621371*N1056*[1]Transportation!$M$40)</f>
        <v/>
      </c>
      <c r="Q1056" s="5" t="str">
        <f>IF(L1056="","",IF([1]Inputs_Outputs!$B$5="Herbaceous",(LCA!$E$29*'[1]LOCH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6" s="5" t="str">
        <f>IF(M1056="","",$E$2*1000*'[1]LOCH Calc COE Calc'!$C$44)</f>
        <v/>
      </c>
      <c r="S1056" s="6" t="str">
        <f>IF(N1056="","",SUM(O1056:R1056)/('[1]LOCH Calc COE Calc'!$C$28))</f>
        <v/>
      </c>
      <c r="T1056" t="str">
        <f>IF(L1056="","",O1056/'[1]LOCH Calc COE Calc'!$C$28)</f>
        <v/>
      </c>
      <c r="U1056" t="str">
        <f>IF(L1056="","",P1056/'[1]LOCH Calc COE Calc'!$C$28)</f>
        <v/>
      </c>
      <c r="V1056" t="str">
        <f>IF(L1056="","",Q1056/'[1]LOCH Calc COE Calc'!$C$28)</f>
        <v/>
      </c>
      <c r="W1056" t="str">
        <f>IF(L1056="","",R1056/'[1]LOCH Calc COE Calc'!$C$28)</f>
        <v/>
      </c>
    </row>
    <row r="1057" spans="12:23" x14ac:dyDescent="0.25">
      <c r="L1057" s="4" t="str">
        <f>IF('[1]All Data '!BE1062="","",'[1]All Data '!BE1062)</f>
        <v/>
      </c>
      <c r="M1057" t="str">
        <f>IF('[1]All Data '!BF1062="","",'[1]All Data '!BF1062)</f>
        <v/>
      </c>
      <c r="N1057" s="5" t="str">
        <f>IF('[1]All Data '!BB1062="","",'[1]All Data '!BC1062/'[1]All Data '!BH1062)</f>
        <v/>
      </c>
      <c r="O1057" s="5" t="str">
        <f t="shared" si="18"/>
        <v/>
      </c>
      <c r="P1057" s="5" t="str">
        <f>IF(M1057="","",$C$2*(1-L1057)*907.2/0.621371*N1057*[1]Transportation!$M$40)</f>
        <v/>
      </c>
      <c r="Q1057" s="5" t="str">
        <f>IF(L1057="","",IF([1]Inputs_Outputs!$B$5="Herbaceous",(LCA!$E$29*'[1]LOCH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7" s="5" t="str">
        <f>IF(M1057="","",$E$2*1000*'[1]LOCH Calc COE Calc'!$C$44)</f>
        <v/>
      </c>
      <c r="S1057" s="6" t="str">
        <f>IF(N1057="","",SUM(O1057:R1057)/('[1]LOCH Calc COE Calc'!$C$28))</f>
        <v/>
      </c>
      <c r="T1057" t="str">
        <f>IF(L1057="","",O1057/'[1]LOCH Calc COE Calc'!$C$28)</f>
        <v/>
      </c>
      <c r="U1057" t="str">
        <f>IF(L1057="","",P1057/'[1]LOCH Calc COE Calc'!$C$28)</f>
        <v/>
      </c>
      <c r="V1057" t="str">
        <f>IF(L1057="","",Q1057/'[1]LOCH Calc COE Calc'!$C$28)</f>
        <v/>
      </c>
      <c r="W1057" t="str">
        <f>IF(L1057="","",R1057/'[1]LOCH Calc COE Calc'!$C$28)</f>
        <v/>
      </c>
    </row>
    <row r="1058" spans="12:23" x14ac:dyDescent="0.25">
      <c r="L1058" s="4" t="str">
        <f>IF('[1]All Data '!BE1063="","",'[1]All Data '!BE1063)</f>
        <v/>
      </c>
      <c r="M1058" t="str">
        <f>IF('[1]All Data '!BF1063="","",'[1]All Data '!BF1063)</f>
        <v/>
      </c>
      <c r="N1058" s="5" t="str">
        <f>IF('[1]All Data '!BB1063="","",'[1]All Data '!BC1063/'[1]All Data '!BH1063)</f>
        <v/>
      </c>
      <c r="O1058" s="5" t="str">
        <f t="shared" si="18"/>
        <v/>
      </c>
      <c r="P1058" s="5" t="str">
        <f>IF(M1058="","",$C$2*(1-L1058)*907.2/0.621371*N1058*[1]Transportation!$M$40)</f>
        <v/>
      </c>
      <c r="Q1058" s="5" t="str">
        <f>IF(L1058="","",IF([1]Inputs_Outputs!$B$5="Herbaceous",(LCA!$E$29*'[1]LOCH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8" s="5" t="str">
        <f>IF(M1058="","",$E$2*1000*'[1]LOCH Calc COE Calc'!$C$44)</f>
        <v/>
      </c>
      <c r="S1058" s="6" t="str">
        <f>IF(N1058="","",SUM(O1058:R1058)/('[1]LOCH Calc COE Calc'!$C$28))</f>
        <v/>
      </c>
      <c r="T1058" t="str">
        <f>IF(L1058="","",O1058/'[1]LOCH Calc COE Calc'!$C$28)</f>
        <v/>
      </c>
      <c r="U1058" t="str">
        <f>IF(L1058="","",P1058/'[1]LOCH Calc COE Calc'!$C$28)</f>
        <v/>
      </c>
      <c r="V1058" t="str">
        <f>IF(L1058="","",Q1058/'[1]LOCH Calc COE Calc'!$C$28)</f>
        <v/>
      </c>
      <c r="W1058" t="str">
        <f>IF(L1058="","",R1058/'[1]LOCH Calc COE Calc'!$C$28)</f>
        <v/>
      </c>
    </row>
    <row r="1059" spans="12:23" x14ac:dyDescent="0.25">
      <c r="L1059" s="4" t="str">
        <f>IF('[1]All Data '!BE1064="","",'[1]All Data '!BE1064)</f>
        <v/>
      </c>
      <c r="M1059" t="str">
        <f>IF('[1]All Data '!BF1064="","",'[1]All Data '!BF1064)</f>
        <v/>
      </c>
      <c r="N1059" s="5" t="str">
        <f>IF('[1]All Data '!BB1064="","",'[1]All Data '!BC1064/'[1]All Data '!BH1064)</f>
        <v/>
      </c>
      <c r="O1059" s="5" t="str">
        <f t="shared" si="18"/>
        <v/>
      </c>
      <c r="P1059" s="5" t="str">
        <f>IF(M1059="","",$C$2*(1-L1059)*907.2/0.621371*N1059*[1]Transportation!$M$40)</f>
        <v/>
      </c>
      <c r="Q1059" s="5" t="str">
        <f>IF(L1059="","",IF([1]Inputs_Outputs!$B$5="Herbaceous",(LCA!$E$29*'[1]LOCH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59" s="5" t="str">
        <f>IF(M1059="","",$E$2*1000*'[1]LOCH Calc COE Calc'!$C$44)</f>
        <v/>
      </c>
      <c r="S1059" s="6" t="str">
        <f>IF(N1059="","",SUM(O1059:R1059)/('[1]LOCH Calc COE Calc'!$C$28))</f>
        <v/>
      </c>
      <c r="T1059" t="str">
        <f>IF(L1059="","",O1059/'[1]LOCH Calc COE Calc'!$C$28)</f>
        <v/>
      </c>
      <c r="U1059" t="str">
        <f>IF(L1059="","",P1059/'[1]LOCH Calc COE Calc'!$C$28)</f>
        <v/>
      </c>
      <c r="V1059" t="str">
        <f>IF(L1059="","",Q1059/'[1]LOCH Calc COE Calc'!$C$28)</f>
        <v/>
      </c>
      <c r="W1059" t="str">
        <f>IF(L1059="","",R1059/'[1]LOCH Calc COE Calc'!$C$28)</f>
        <v/>
      </c>
    </row>
    <row r="1060" spans="12:23" x14ac:dyDescent="0.25">
      <c r="L1060" s="4" t="str">
        <f>IF('[1]All Data '!BE1065="","",'[1]All Data '!BE1065)</f>
        <v/>
      </c>
      <c r="M1060" t="str">
        <f>IF('[1]All Data '!BF1065="","",'[1]All Data '!BF1065)</f>
        <v/>
      </c>
      <c r="N1060" s="5" t="str">
        <f>IF('[1]All Data '!BB1065="","",'[1]All Data '!BC1065/'[1]All Data '!BH1065)</f>
        <v/>
      </c>
      <c r="O1060" s="5" t="str">
        <f t="shared" si="18"/>
        <v/>
      </c>
      <c r="P1060" s="5" t="str">
        <f>IF(M1060="","",$C$2*(1-L1060)*907.2/0.621371*N1060*[1]Transportation!$M$40)</f>
        <v/>
      </c>
      <c r="Q1060" s="5" t="str">
        <f>IF(L1060="","",IF([1]Inputs_Outputs!$B$5="Herbaceous",(LCA!$E$29*'[1]LOCH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0" s="5" t="str">
        <f>IF(M1060="","",$E$2*1000*'[1]LOCH Calc COE Calc'!$C$44)</f>
        <v/>
      </c>
      <c r="S1060" s="6" t="str">
        <f>IF(N1060="","",SUM(O1060:R1060)/('[1]LOCH Calc COE Calc'!$C$28))</f>
        <v/>
      </c>
      <c r="T1060" t="str">
        <f>IF(L1060="","",O1060/'[1]LOCH Calc COE Calc'!$C$28)</f>
        <v/>
      </c>
      <c r="U1060" t="str">
        <f>IF(L1060="","",P1060/'[1]LOCH Calc COE Calc'!$C$28)</f>
        <v/>
      </c>
      <c r="V1060" t="str">
        <f>IF(L1060="","",Q1060/'[1]LOCH Calc COE Calc'!$C$28)</f>
        <v/>
      </c>
      <c r="W1060" t="str">
        <f>IF(L1060="","",R1060/'[1]LOCH Calc COE Calc'!$C$28)</f>
        <v/>
      </c>
    </row>
    <row r="1061" spans="12:23" x14ac:dyDescent="0.25">
      <c r="L1061" s="4" t="str">
        <f>IF('[1]All Data '!BE1066="","",'[1]All Data '!BE1066)</f>
        <v/>
      </c>
      <c r="M1061" t="str">
        <f>IF('[1]All Data '!BF1066="","",'[1]All Data '!BF1066)</f>
        <v/>
      </c>
      <c r="N1061" s="5" t="str">
        <f>IF('[1]All Data '!BB1066="","",'[1]All Data '!BC1066/'[1]All Data '!BH1066)</f>
        <v/>
      </c>
      <c r="O1061" s="5" t="str">
        <f t="shared" si="18"/>
        <v/>
      </c>
      <c r="P1061" s="5" t="str">
        <f>IF(M1061="","",$C$2*(1-L1061)*907.2/0.621371*N1061*[1]Transportation!$M$40)</f>
        <v/>
      </c>
      <c r="Q1061" s="5" t="str">
        <f>IF(L1061="","",IF([1]Inputs_Outputs!$B$5="Herbaceous",(LCA!$E$29*'[1]LOCH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1" s="5" t="str">
        <f>IF(M1061="","",$E$2*1000*'[1]LOCH Calc COE Calc'!$C$44)</f>
        <v/>
      </c>
      <c r="S1061" s="6" t="str">
        <f>IF(N1061="","",SUM(O1061:R1061)/('[1]LOCH Calc COE Calc'!$C$28))</f>
        <v/>
      </c>
      <c r="T1061" t="str">
        <f>IF(L1061="","",O1061/'[1]LOCH Calc COE Calc'!$C$28)</f>
        <v/>
      </c>
      <c r="U1061" t="str">
        <f>IF(L1061="","",P1061/'[1]LOCH Calc COE Calc'!$C$28)</f>
        <v/>
      </c>
      <c r="V1061" t="str">
        <f>IF(L1061="","",Q1061/'[1]LOCH Calc COE Calc'!$C$28)</f>
        <v/>
      </c>
      <c r="W1061" t="str">
        <f>IF(L1061="","",R1061/'[1]LOCH Calc COE Calc'!$C$28)</f>
        <v/>
      </c>
    </row>
    <row r="1062" spans="12:23" x14ac:dyDescent="0.25">
      <c r="L1062" s="4" t="str">
        <f>IF('[1]All Data '!BE1067="","",'[1]All Data '!BE1067)</f>
        <v/>
      </c>
      <c r="M1062" t="str">
        <f>IF('[1]All Data '!BF1067="","",'[1]All Data '!BF1067)</f>
        <v/>
      </c>
      <c r="N1062" s="5" t="str">
        <f>IF('[1]All Data '!BB1067="","",'[1]All Data '!BC1067/'[1]All Data '!BH1067)</f>
        <v/>
      </c>
      <c r="O1062" s="5" t="str">
        <f t="shared" si="18"/>
        <v/>
      </c>
      <c r="P1062" s="5" t="str">
        <f>IF(M1062="","",$C$2*(1-L1062)*907.2/0.621371*N1062*[1]Transportation!$M$40)</f>
        <v/>
      </c>
      <c r="Q1062" s="5" t="str">
        <f>IF(L1062="","",IF([1]Inputs_Outputs!$B$5="Herbaceous",(LCA!$E$29*'[1]LOCH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2" s="5" t="str">
        <f>IF(M1062="","",$E$2*1000*'[1]LOCH Calc COE Calc'!$C$44)</f>
        <v/>
      </c>
      <c r="S1062" s="6" t="str">
        <f>IF(N1062="","",SUM(O1062:R1062)/('[1]LOCH Calc COE Calc'!$C$28))</f>
        <v/>
      </c>
      <c r="T1062" t="str">
        <f>IF(L1062="","",O1062/'[1]LOCH Calc COE Calc'!$C$28)</f>
        <v/>
      </c>
      <c r="U1062" t="str">
        <f>IF(L1062="","",P1062/'[1]LOCH Calc COE Calc'!$C$28)</f>
        <v/>
      </c>
      <c r="V1062" t="str">
        <f>IF(L1062="","",Q1062/'[1]LOCH Calc COE Calc'!$C$28)</f>
        <v/>
      </c>
      <c r="W1062" t="str">
        <f>IF(L1062="","",R1062/'[1]LOCH Calc COE Calc'!$C$28)</f>
        <v/>
      </c>
    </row>
    <row r="1063" spans="12:23" x14ac:dyDescent="0.25">
      <c r="L1063" s="4" t="str">
        <f>IF('[1]All Data '!BE1068="","",'[1]All Data '!BE1068)</f>
        <v/>
      </c>
      <c r="M1063" t="str">
        <f>IF('[1]All Data '!BF1068="","",'[1]All Data '!BF1068)</f>
        <v/>
      </c>
      <c r="N1063" s="5" t="str">
        <f>IF('[1]All Data '!BB1068="","",'[1]All Data '!BC1068/'[1]All Data '!BH1068)</f>
        <v/>
      </c>
      <c r="O1063" s="5" t="str">
        <f t="shared" si="18"/>
        <v/>
      </c>
      <c r="P1063" s="5" t="str">
        <f>IF(M1063="","",$C$2*(1-L1063)*907.2/0.621371*N1063*[1]Transportation!$M$40)</f>
        <v/>
      </c>
      <c r="Q1063" s="5" t="str">
        <f>IF(L1063="","",IF([1]Inputs_Outputs!$B$5="Herbaceous",(LCA!$E$29*'[1]LOCH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3" s="5" t="str">
        <f>IF(M1063="","",$E$2*1000*'[1]LOCH Calc COE Calc'!$C$44)</f>
        <v/>
      </c>
      <c r="S1063" s="6" t="str">
        <f>IF(N1063="","",SUM(O1063:R1063)/('[1]LOCH Calc COE Calc'!$C$28))</f>
        <v/>
      </c>
      <c r="T1063" t="str">
        <f>IF(L1063="","",O1063/'[1]LOCH Calc COE Calc'!$C$28)</f>
        <v/>
      </c>
      <c r="U1063" t="str">
        <f>IF(L1063="","",P1063/'[1]LOCH Calc COE Calc'!$C$28)</f>
        <v/>
      </c>
      <c r="V1063" t="str">
        <f>IF(L1063="","",Q1063/'[1]LOCH Calc COE Calc'!$C$28)</f>
        <v/>
      </c>
      <c r="W1063" t="str">
        <f>IF(L1063="","",R1063/'[1]LOCH Calc COE Calc'!$C$28)</f>
        <v/>
      </c>
    </row>
    <row r="1064" spans="12:23" x14ac:dyDescent="0.25">
      <c r="L1064" s="4" t="str">
        <f>IF('[1]All Data '!BE1069="","",'[1]All Data '!BE1069)</f>
        <v/>
      </c>
      <c r="M1064" t="str">
        <f>IF('[1]All Data '!BF1069="","",'[1]All Data '!BF1069)</f>
        <v/>
      </c>
      <c r="N1064" s="5" t="str">
        <f>IF('[1]All Data '!BB1069="","",'[1]All Data '!BC1069/'[1]All Data '!BH1069)</f>
        <v/>
      </c>
      <c r="O1064" s="5" t="str">
        <f t="shared" si="18"/>
        <v/>
      </c>
      <c r="P1064" s="5" t="str">
        <f>IF(M1064="","",$C$2*(1-L1064)*907.2/0.621371*N1064*[1]Transportation!$M$40)</f>
        <v/>
      </c>
      <c r="Q1064" s="5" t="str">
        <f>IF(L1064="","",IF([1]Inputs_Outputs!$B$5="Herbaceous",(LCA!$E$29*'[1]LOCH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4" s="5" t="str">
        <f>IF(M1064="","",$E$2*1000*'[1]LOCH Calc COE Calc'!$C$44)</f>
        <v/>
      </c>
      <c r="S1064" s="6" t="str">
        <f>IF(N1064="","",SUM(O1064:R1064)/('[1]LOCH Calc COE Calc'!$C$28))</f>
        <v/>
      </c>
      <c r="T1064" t="str">
        <f>IF(L1064="","",O1064/'[1]LOCH Calc COE Calc'!$C$28)</f>
        <v/>
      </c>
      <c r="U1064" t="str">
        <f>IF(L1064="","",P1064/'[1]LOCH Calc COE Calc'!$C$28)</f>
        <v/>
      </c>
      <c r="V1064" t="str">
        <f>IF(L1064="","",Q1064/'[1]LOCH Calc COE Calc'!$C$28)</f>
        <v/>
      </c>
      <c r="W1064" t="str">
        <f>IF(L1064="","",R1064/'[1]LOCH Calc COE Calc'!$C$28)</f>
        <v/>
      </c>
    </row>
    <row r="1065" spans="12:23" x14ac:dyDescent="0.25">
      <c r="L1065" s="4" t="str">
        <f>IF('[1]All Data '!BE1070="","",'[1]All Data '!BE1070)</f>
        <v/>
      </c>
      <c r="M1065" t="str">
        <f>IF('[1]All Data '!BF1070="","",'[1]All Data '!BF1070)</f>
        <v/>
      </c>
      <c r="N1065" s="5" t="str">
        <f>IF('[1]All Data '!BB1070="","",'[1]All Data '!BC1070/'[1]All Data '!BH1070)</f>
        <v/>
      </c>
      <c r="O1065" s="5" t="str">
        <f t="shared" si="18"/>
        <v/>
      </c>
      <c r="P1065" s="5" t="str">
        <f>IF(M1065="","",$C$2*(1-L1065)*907.2/0.621371*N1065*[1]Transportation!$M$40)</f>
        <v/>
      </c>
      <c r="Q1065" s="5" t="str">
        <f>IF(L1065="","",IF([1]Inputs_Outputs!$B$5="Herbaceous",(LCA!$E$29*'[1]LOCH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5" s="5" t="str">
        <f>IF(M1065="","",$E$2*1000*'[1]LOCH Calc COE Calc'!$C$44)</f>
        <v/>
      </c>
      <c r="S1065" s="6" t="str">
        <f>IF(N1065="","",SUM(O1065:R1065)/('[1]LOCH Calc COE Calc'!$C$28))</f>
        <v/>
      </c>
      <c r="T1065" t="str">
        <f>IF(L1065="","",O1065/'[1]LOCH Calc COE Calc'!$C$28)</f>
        <v/>
      </c>
      <c r="U1065" t="str">
        <f>IF(L1065="","",P1065/'[1]LOCH Calc COE Calc'!$C$28)</f>
        <v/>
      </c>
      <c r="V1065" t="str">
        <f>IF(L1065="","",Q1065/'[1]LOCH Calc COE Calc'!$C$28)</f>
        <v/>
      </c>
      <c r="W1065" t="str">
        <f>IF(L1065="","",R1065/'[1]LOCH Calc COE Calc'!$C$28)</f>
        <v/>
      </c>
    </row>
    <row r="1066" spans="12:23" x14ac:dyDescent="0.25">
      <c r="L1066" s="4" t="str">
        <f>IF('[1]All Data '!BE1071="","",'[1]All Data '!BE1071)</f>
        <v/>
      </c>
      <c r="M1066" t="str">
        <f>IF('[1]All Data '!BF1071="","",'[1]All Data '!BF1071)</f>
        <v/>
      </c>
      <c r="N1066" s="5" t="str">
        <f>IF('[1]All Data '!BB1071="","",'[1]All Data '!BC1071/'[1]All Data '!BH1071)</f>
        <v/>
      </c>
      <c r="O1066" s="5" t="str">
        <f t="shared" si="18"/>
        <v/>
      </c>
      <c r="P1066" s="5" t="str">
        <f>IF(M1066="","",$C$2*(1-L1066)*907.2/0.621371*N1066*[1]Transportation!$M$40)</f>
        <v/>
      </c>
      <c r="Q1066" s="5" t="str">
        <f>IF(L1066="","",IF([1]Inputs_Outputs!$B$5="Herbaceous",(LCA!$E$29*'[1]LOCH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6" s="5" t="str">
        <f>IF(M1066="","",$E$2*1000*'[1]LOCH Calc COE Calc'!$C$44)</f>
        <v/>
      </c>
      <c r="S1066" s="6" t="str">
        <f>IF(N1066="","",SUM(O1066:R1066)/('[1]LOCH Calc COE Calc'!$C$28))</f>
        <v/>
      </c>
      <c r="T1066" t="str">
        <f>IF(L1066="","",O1066/'[1]LOCH Calc COE Calc'!$C$28)</f>
        <v/>
      </c>
      <c r="U1066" t="str">
        <f>IF(L1066="","",P1066/'[1]LOCH Calc COE Calc'!$C$28)</f>
        <v/>
      </c>
      <c r="V1066" t="str">
        <f>IF(L1066="","",Q1066/'[1]LOCH Calc COE Calc'!$C$28)</f>
        <v/>
      </c>
      <c r="W1066" t="str">
        <f>IF(L1066="","",R1066/'[1]LOCH Calc COE Calc'!$C$28)</f>
        <v/>
      </c>
    </row>
    <row r="1067" spans="12:23" x14ac:dyDescent="0.25">
      <c r="L1067" s="4" t="str">
        <f>IF('[1]All Data '!BE1072="","",'[1]All Data '!BE1072)</f>
        <v/>
      </c>
      <c r="M1067" t="str">
        <f>IF('[1]All Data '!BF1072="","",'[1]All Data '!BF1072)</f>
        <v/>
      </c>
      <c r="N1067" s="5" t="str">
        <f>IF('[1]All Data '!BB1072="","",'[1]All Data '!BC1072/'[1]All Data '!BH1072)</f>
        <v/>
      </c>
      <c r="O1067" s="5" t="str">
        <f t="shared" si="18"/>
        <v/>
      </c>
      <c r="P1067" s="5" t="str">
        <f>IF(M1067="","",$C$2*(1-L1067)*907.2/0.621371*N1067*[1]Transportation!$M$40)</f>
        <v/>
      </c>
      <c r="Q1067" s="5" t="str">
        <f>IF(L1067="","",IF([1]Inputs_Outputs!$B$5="Herbaceous",(LCA!$E$29*'[1]LOCH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7" s="5" t="str">
        <f>IF(M1067="","",$E$2*1000*'[1]LOCH Calc COE Calc'!$C$44)</f>
        <v/>
      </c>
      <c r="S1067" s="6" t="str">
        <f>IF(N1067="","",SUM(O1067:R1067)/('[1]LOCH Calc COE Calc'!$C$28))</f>
        <v/>
      </c>
      <c r="T1067" t="str">
        <f>IF(L1067="","",O1067/'[1]LOCH Calc COE Calc'!$C$28)</f>
        <v/>
      </c>
      <c r="U1067" t="str">
        <f>IF(L1067="","",P1067/'[1]LOCH Calc COE Calc'!$C$28)</f>
        <v/>
      </c>
      <c r="V1067" t="str">
        <f>IF(L1067="","",Q1067/'[1]LOCH Calc COE Calc'!$C$28)</f>
        <v/>
      </c>
      <c r="W1067" t="str">
        <f>IF(L1067="","",R1067/'[1]LOCH Calc COE Calc'!$C$28)</f>
        <v/>
      </c>
    </row>
    <row r="1068" spans="12:23" x14ac:dyDescent="0.25">
      <c r="L1068" s="4" t="str">
        <f>IF('[1]All Data '!BE1073="","",'[1]All Data '!BE1073)</f>
        <v/>
      </c>
      <c r="M1068" t="str">
        <f>IF('[1]All Data '!BF1073="","",'[1]All Data '!BF1073)</f>
        <v/>
      </c>
      <c r="N1068" s="5" t="str">
        <f>IF('[1]All Data '!BB1073="","",'[1]All Data '!BC1073/'[1]All Data '!BH1073)</f>
        <v/>
      </c>
      <c r="O1068" s="5" t="str">
        <f t="shared" si="18"/>
        <v/>
      </c>
      <c r="P1068" s="5" t="str">
        <f>IF(M1068="","",$C$2*(1-L1068)*907.2/0.621371*N1068*[1]Transportation!$M$40)</f>
        <v/>
      </c>
      <c r="Q1068" s="5" t="str">
        <f>IF(L1068="","",IF([1]Inputs_Outputs!$B$5="Herbaceous",(LCA!$E$29*'[1]LOCH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8" s="5" t="str">
        <f>IF(M1068="","",$E$2*1000*'[1]LOCH Calc COE Calc'!$C$44)</f>
        <v/>
      </c>
      <c r="S1068" s="6" t="str">
        <f>IF(N1068="","",SUM(O1068:R1068)/('[1]LOCH Calc COE Calc'!$C$28))</f>
        <v/>
      </c>
      <c r="T1068" t="str">
        <f>IF(L1068="","",O1068/'[1]LOCH Calc COE Calc'!$C$28)</f>
        <v/>
      </c>
      <c r="U1068" t="str">
        <f>IF(L1068="","",P1068/'[1]LOCH Calc COE Calc'!$C$28)</f>
        <v/>
      </c>
      <c r="V1068" t="str">
        <f>IF(L1068="","",Q1068/'[1]LOCH Calc COE Calc'!$C$28)</f>
        <v/>
      </c>
      <c r="W1068" t="str">
        <f>IF(L1068="","",R1068/'[1]LOCH Calc COE Calc'!$C$28)</f>
        <v/>
      </c>
    </row>
    <row r="1069" spans="12:23" x14ac:dyDescent="0.25">
      <c r="L1069" s="4" t="str">
        <f>IF('[1]All Data '!BE1074="","",'[1]All Data '!BE1074)</f>
        <v/>
      </c>
      <c r="M1069" t="str">
        <f>IF('[1]All Data '!BF1074="","",'[1]All Data '!BF1074)</f>
        <v/>
      </c>
      <c r="N1069" s="5" t="str">
        <f>IF('[1]All Data '!BB1074="","",'[1]All Data '!BC1074/'[1]All Data '!BH1074)</f>
        <v/>
      </c>
      <c r="O1069" s="5" t="str">
        <f t="shared" si="18"/>
        <v/>
      </c>
      <c r="P1069" s="5" t="str">
        <f>IF(M1069="","",$C$2*(1-L1069)*907.2/0.621371*N1069*[1]Transportation!$M$40)</f>
        <v/>
      </c>
      <c r="Q1069" s="5" t="str">
        <f>IF(L1069="","",IF([1]Inputs_Outputs!$B$5="Herbaceous",(LCA!$E$29*'[1]LOCH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69" s="5" t="str">
        <f>IF(M1069="","",$E$2*1000*'[1]LOCH Calc COE Calc'!$C$44)</f>
        <v/>
      </c>
      <c r="S1069" s="6" t="str">
        <f>IF(N1069="","",SUM(O1069:R1069)/('[1]LOCH Calc COE Calc'!$C$28))</f>
        <v/>
      </c>
      <c r="T1069" t="str">
        <f>IF(L1069="","",O1069/'[1]LOCH Calc COE Calc'!$C$28)</f>
        <v/>
      </c>
      <c r="U1069" t="str">
        <f>IF(L1069="","",P1069/'[1]LOCH Calc COE Calc'!$C$28)</f>
        <v/>
      </c>
      <c r="V1069" t="str">
        <f>IF(L1069="","",Q1069/'[1]LOCH Calc COE Calc'!$C$28)</f>
        <v/>
      </c>
      <c r="W1069" t="str">
        <f>IF(L1069="","",R1069/'[1]LOCH Calc COE Calc'!$C$28)</f>
        <v/>
      </c>
    </row>
    <row r="1070" spans="12:23" x14ac:dyDescent="0.25">
      <c r="L1070" s="4" t="str">
        <f>IF('[1]All Data '!BE1075="","",'[1]All Data '!BE1075)</f>
        <v/>
      </c>
      <c r="M1070" t="str">
        <f>IF('[1]All Data '!BF1075="","",'[1]All Data '!BF1075)</f>
        <v/>
      </c>
      <c r="N1070" s="5" t="str">
        <f>IF('[1]All Data '!BB1075="","",'[1]All Data '!BC1075/'[1]All Data '!BH1075)</f>
        <v/>
      </c>
      <c r="O1070" s="5" t="str">
        <f t="shared" si="18"/>
        <v/>
      </c>
      <c r="P1070" s="5" t="str">
        <f>IF(M1070="","",$C$2*(1-L1070)*907.2/0.621371*N1070*[1]Transportation!$M$40)</f>
        <v/>
      </c>
      <c r="Q1070" s="5" t="str">
        <f>IF(L1070="","",IF([1]Inputs_Outputs!$B$5="Herbaceous",(LCA!$E$29*'[1]LOCH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0" s="5" t="str">
        <f>IF(M1070="","",$E$2*1000*'[1]LOCH Calc COE Calc'!$C$44)</f>
        <v/>
      </c>
      <c r="S1070" s="6" t="str">
        <f>IF(N1070="","",SUM(O1070:R1070)/('[1]LOCH Calc COE Calc'!$C$28))</f>
        <v/>
      </c>
      <c r="T1070" t="str">
        <f>IF(L1070="","",O1070/'[1]LOCH Calc COE Calc'!$C$28)</f>
        <v/>
      </c>
      <c r="U1070" t="str">
        <f>IF(L1070="","",P1070/'[1]LOCH Calc COE Calc'!$C$28)</f>
        <v/>
      </c>
      <c r="V1070" t="str">
        <f>IF(L1070="","",Q1070/'[1]LOCH Calc COE Calc'!$C$28)</f>
        <v/>
      </c>
      <c r="W1070" t="str">
        <f>IF(L1070="","",R1070/'[1]LOCH Calc COE Calc'!$C$28)</f>
        <v/>
      </c>
    </row>
    <row r="1071" spans="12:23" x14ac:dyDescent="0.25">
      <c r="L1071" s="4" t="str">
        <f>IF('[1]All Data '!BE1076="","",'[1]All Data '!BE1076)</f>
        <v/>
      </c>
      <c r="M1071" t="str">
        <f>IF('[1]All Data '!BF1076="","",'[1]All Data '!BF1076)</f>
        <v/>
      </c>
      <c r="N1071" s="5" t="str">
        <f>IF('[1]All Data '!BB1076="","",'[1]All Data '!BC1076/'[1]All Data '!BH1076)</f>
        <v/>
      </c>
      <c r="O1071" s="5" t="str">
        <f t="shared" si="18"/>
        <v/>
      </c>
      <c r="P1071" s="5" t="str">
        <f>IF(M1071="","",$C$2*(1-L1071)*907.2/0.621371*N1071*[1]Transportation!$M$40)</f>
        <v/>
      </c>
      <c r="Q1071" s="5" t="str">
        <f>IF(L1071="","",IF([1]Inputs_Outputs!$B$5="Herbaceous",(LCA!$E$29*'[1]LOCH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1" s="5" t="str">
        <f>IF(M1071="","",$E$2*1000*'[1]LOCH Calc COE Calc'!$C$44)</f>
        <v/>
      </c>
      <c r="S1071" s="6" t="str">
        <f>IF(N1071="","",SUM(O1071:R1071)/('[1]LOCH Calc COE Calc'!$C$28))</f>
        <v/>
      </c>
      <c r="T1071" t="str">
        <f>IF(L1071="","",O1071/'[1]LOCH Calc COE Calc'!$C$28)</f>
        <v/>
      </c>
      <c r="U1071" t="str">
        <f>IF(L1071="","",P1071/'[1]LOCH Calc COE Calc'!$C$28)</f>
        <v/>
      </c>
      <c r="V1071" t="str">
        <f>IF(L1071="","",Q1071/'[1]LOCH Calc COE Calc'!$C$28)</f>
        <v/>
      </c>
      <c r="W1071" t="str">
        <f>IF(L1071="","",R1071/'[1]LOCH Calc COE Calc'!$C$28)</f>
        <v/>
      </c>
    </row>
    <row r="1072" spans="12:23" x14ac:dyDescent="0.25">
      <c r="L1072" s="4" t="str">
        <f>IF('[1]All Data '!BE1077="","",'[1]All Data '!BE1077)</f>
        <v/>
      </c>
      <c r="M1072" t="str">
        <f>IF('[1]All Data '!BF1077="","",'[1]All Data '!BF1077)</f>
        <v/>
      </c>
      <c r="N1072" s="5" t="str">
        <f>IF('[1]All Data '!BB1077="","",'[1]All Data '!BC1077/'[1]All Data '!BH1077)</f>
        <v/>
      </c>
      <c r="O1072" s="5" t="str">
        <f t="shared" si="18"/>
        <v/>
      </c>
      <c r="P1072" s="5" t="str">
        <f>IF(M1072="","",$C$2*(1-L1072)*907.2/0.621371*N1072*[1]Transportation!$M$40)</f>
        <v/>
      </c>
      <c r="Q1072" s="5" t="str">
        <f>IF(L1072="","",IF([1]Inputs_Outputs!$B$5="Herbaceous",(LCA!$E$29*'[1]LOCH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2" s="5" t="str">
        <f>IF(M1072="","",$E$2*1000*'[1]LOCH Calc COE Calc'!$C$44)</f>
        <v/>
      </c>
      <c r="S1072" s="6" t="str">
        <f>IF(N1072="","",SUM(O1072:R1072)/('[1]LOCH Calc COE Calc'!$C$28))</f>
        <v/>
      </c>
      <c r="T1072" t="str">
        <f>IF(L1072="","",O1072/'[1]LOCH Calc COE Calc'!$C$28)</f>
        <v/>
      </c>
      <c r="U1072" t="str">
        <f>IF(L1072="","",P1072/'[1]LOCH Calc COE Calc'!$C$28)</f>
        <v/>
      </c>
      <c r="V1072" t="str">
        <f>IF(L1072="","",Q1072/'[1]LOCH Calc COE Calc'!$C$28)</f>
        <v/>
      </c>
      <c r="W1072" t="str">
        <f>IF(L1072="","",R1072/'[1]LOCH Calc COE Calc'!$C$28)</f>
        <v/>
      </c>
    </row>
    <row r="1073" spans="12:23" x14ac:dyDescent="0.25">
      <c r="L1073" s="4" t="str">
        <f>IF('[1]All Data '!BE1078="","",'[1]All Data '!BE1078)</f>
        <v/>
      </c>
      <c r="M1073" t="str">
        <f>IF('[1]All Data '!BF1078="","",'[1]All Data '!BF1078)</f>
        <v/>
      </c>
      <c r="N1073" s="5" t="str">
        <f>IF('[1]All Data '!BB1078="","",'[1]All Data '!BC1078/'[1]All Data '!BH1078)</f>
        <v/>
      </c>
      <c r="O1073" s="5" t="str">
        <f t="shared" si="18"/>
        <v/>
      </c>
      <c r="P1073" s="5" t="str">
        <f>IF(M1073="","",$C$2*(1-L1073)*907.2/0.621371*N1073*[1]Transportation!$M$40)</f>
        <v/>
      </c>
      <c r="Q1073" s="5" t="str">
        <f>IF(L1073="","",IF([1]Inputs_Outputs!$B$5="Herbaceous",(LCA!$E$29*'[1]LOCH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3" s="5" t="str">
        <f>IF(M1073="","",$E$2*1000*'[1]LOCH Calc COE Calc'!$C$44)</f>
        <v/>
      </c>
      <c r="S1073" s="6" t="str">
        <f>IF(N1073="","",SUM(O1073:R1073)/('[1]LOCH Calc COE Calc'!$C$28))</f>
        <v/>
      </c>
      <c r="T1073" t="str">
        <f>IF(L1073="","",O1073/'[1]LOCH Calc COE Calc'!$C$28)</f>
        <v/>
      </c>
      <c r="U1073" t="str">
        <f>IF(L1073="","",P1073/'[1]LOCH Calc COE Calc'!$C$28)</f>
        <v/>
      </c>
      <c r="V1073" t="str">
        <f>IF(L1073="","",Q1073/'[1]LOCH Calc COE Calc'!$C$28)</f>
        <v/>
      </c>
      <c r="W1073" t="str">
        <f>IF(L1073="","",R1073/'[1]LOCH Calc COE Calc'!$C$28)</f>
        <v/>
      </c>
    </row>
    <row r="1074" spans="12:23" x14ac:dyDescent="0.25">
      <c r="L1074" s="4" t="str">
        <f>IF('[1]All Data '!BE1079="","",'[1]All Data '!BE1079)</f>
        <v/>
      </c>
      <c r="M1074" t="str">
        <f>IF('[1]All Data '!BF1079="","",'[1]All Data '!BF1079)</f>
        <v/>
      </c>
      <c r="N1074" s="5" t="str">
        <f>IF('[1]All Data '!BB1079="","",'[1]All Data '!BC1079/'[1]All Data '!BH1079)</f>
        <v/>
      </c>
      <c r="O1074" s="5" t="str">
        <f t="shared" si="18"/>
        <v/>
      </c>
      <c r="P1074" s="5" t="str">
        <f>IF(M1074="","",$C$2*(1-L1074)*907.2/0.621371*N1074*[1]Transportation!$M$40)</f>
        <v/>
      </c>
      <c r="Q1074" s="5" t="str">
        <f>IF(L1074="","",IF([1]Inputs_Outputs!$B$5="Herbaceous",(LCA!$E$29*'[1]LOCH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4" s="5" t="str">
        <f>IF(M1074="","",$E$2*1000*'[1]LOCH Calc COE Calc'!$C$44)</f>
        <v/>
      </c>
      <c r="S1074" s="6" t="str">
        <f>IF(N1074="","",SUM(O1074:R1074)/('[1]LOCH Calc COE Calc'!$C$28))</f>
        <v/>
      </c>
      <c r="T1074" t="str">
        <f>IF(L1074="","",O1074/'[1]LOCH Calc COE Calc'!$C$28)</f>
        <v/>
      </c>
      <c r="U1074" t="str">
        <f>IF(L1074="","",P1074/'[1]LOCH Calc COE Calc'!$C$28)</f>
        <v/>
      </c>
      <c r="V1074" t="str">
        <f>IF(L1074="","",Q1074/'[1]LOCH Calc COE Calc'!$C$28)</f>
        <v/>
      </c>
      <c r="W1074" t="str">
        <f>IF(L1074="","",R1074/'[1]LOCH Calc COE Calc'!$C$28)</f>
        <v/>
      </c>
    </row>
    <row r="1075" spans="12:23" x14ac:dyDescent="0.25">
      <c r="L1075" s="4" t="str">
        <f>IF('[1]All Data '!BE1080="","",'[1]All Data '!BE1080)</f>
        <v/>
      </c>
      <c r="M1075" t="str">
        <f>IF('[1]All Data '!BF1080="","",'[1]All Data '!BF1080)</f>
        <v/>
      </c>
      <c r="N1075" s="5" t="str">
        <f>IF('[1]All Data '!BB1080="","",'[1]All Data '!BC1080/'[1]All Data '!BH1080)</f>
        <v/>
      </c>
      <c r="O1075" s="5" t="str">
        <f t="shared" si="18"/>
        <v/>
      </c>
      <c r="P1075" s="5" t="str">
        <f>IF(M1075="","",$C$2*(1-L1075)*907.2/0.621371*N1075*[1]Transportation!$M$40)</f>
        <v/>
      </c>
      <c r="Q1075" s="5" t="str">
        <f>IF(L1075="","",IF([1]Inputs_Outputs!$B$5="Herbaceous",(LCA!$E$29*'[1]LOCH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5" s="5" t="str">
        <f>IF(M1075="","",$E$2*1000*'[1]LOCH Calc COE Calc'!$C$44)</f>
        <v/>
      </c>
      <c r="S1075" s="6" t="str">
        <f>IF(N1075="","",SUM(O1075:R1075)/('[1]LOCH Calc COE Calc'!$C$28))</f>
        <v/>
      </c>
      <c r="T1075" t="str">
        <f>IF(L1075="","",O1075/'[1]LOCH Calc COE Calc'!$C$28)</f>
        <v/>
      </c>
      <c r="U1075" t="str">
        <f>IF(L1075="","",P1075/'[1]LOCH Calc COE Calc'!$C$28)</f>
        <v/>
      </c>
      <c r="V1075" t="str">
        <f>IF(L1075="","",Q1075/'[1]LOCH Calc COE Calc'!$C$28)</f>
        <v/>
      </c>
      <c r="W1075" t="str">
        <f>IF(L1075="","",R1075/'[1]LOCH Calc COE Calc'!$C$28)</f>
        <v/>
      </c>
    </row>
    <row r="1076" spans="12:23" x14ac:dyDescent="0.25">
      <c r="L1076" s="4" t="str">
        <f>IF('[1]All Data '!BE1081="","",'[1]All Data '!BE1081)</f>
        <v/>
      </c>
      <c r="M1076" t="str">
        <f>IF('[1]All Data '!BF1081="","",'[1]All Data '!BF1081)</f>
        <v/>
      </c>
      <c r="N1076" s="5" t="str">
        <f>IF('[1]All Data '!BB1081="","",'[1]All Data '!BC1081/'[1]All Data '!BH1081)</f>
        <v/>
      </c>
      <c r="O1076" s="5" t="str">
        <f t="shared" si="18"/>
        <v/>
      </c>
      <c r="P1076" s="5" t="str">
        <f>IF(M1076="","",$C$2*(1-L1076)*907.2/0.621371*N1076*[1]Transportation!$M$40)</f>
        <v/>
      </c>
      <c r="Q1076" s="5" t="str">
        <f>IF(L1076="","",IF([1]Inputs_Outputs!$B$5="Herbaceous",(LCA!$E$29*'[1]LOCH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6" s="5" t="str">
        <f>IF(M1076="","",$E$2*1000*'[1]LOCH Calc COE Calc'!$C$44)</f>
        <v/>
      </c>
      <c r="S1076" s="6" t="str">
        <f>IF(N1076="","",SUM(O1076:R1076)/('[1]LOCH Calc COE Calc'!$C$28))</f>
        <v/>
      </c>
      <c r="T1076" t="str">
        <f>IF(L1076="","",O1076/'[1]LOCH Calc COE Calc'!$C$28)</f>
        <v/>
      </c>
      <c r="U1076" t="str">
        <f>IF(L1076="","",P1076/'[1]LOCH Calc COE Calc'!$C$28)</f>
        <v/>
      </c>
      <c r="V1076" t="str">
        <f>IF(L1076="","",Q1076/'[1]LOCH Calc COE Calc'!$C$28)</f>
        <v/>
      </c>
      <c r="W1076" t="str">
        <f>IF(L1076="","",R1076/'[1]LOCH Calc COE Calc'!$C$28)</f>
        <v/>
      </c>
    </row>
    <row r="1077" spans="12:23" x14ac:dyDescent="0.25">
      <c r="L1077" s="4" t="str">
        <f>IF('[1]All Data '!BE1082="","",'[1]All Data '!BE1082)</f>
        <v/>
      </c>
      <c r="M1077" t="str">
        <f>IF('[1]All Data '!BF1082="","",'[1]All Data '!BF1082)</f>
        <v/>
      </c>
      <c r="N1077" s="5" t="str">
        <f>IF('[1]All Data '!BB1082="","",'[1]All Data '!BC1082/'[1]All Data '!BH1082)</f>
        <v/>
      </c>
      <c r="O1077" s="5" t="str">
        <f t="shared" si="18"/>
        <v/>
      </c>
      <c r="P1077" s="5" t="str">
        <f>IF(M1077="","",$C$2*(1-L1077)*907.2/0.621371*N1077*[1]Transportation!$M$40)</f>
        <v/>
      </c>
      <c r="Q1077" s="5" t="str">
        <f>IF(L1077="","",IF([1]Inputs_Outputs!$B$5="Herbaceous",(LCA!$E$29*'[1]LOCH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7" s="5" t="str">
        <f>IF(M1077="","",$E$2*1000*'[1]LOCH Calc COE Calc'!$C$44)</f>
        <v/>
      </c>
      <c r="S1077" s="6" t="str">
        <f>IF(N1077="","",SUM(O1077:R1077)/('[1]LOCH Calc COE Calc'!$C$28))</f>
        <v/>
      </c>
      <c r="T1077" t="str">
        <f>IF(L1077="","",O1077/'[1]LOCH Calc COE Calc'!$C$28)</f>
        <v/>
      </c>
      <c r="U1077" t="str">
        <f>IF(L1077="","",P1077/'[1]LOCH Calc COE Calc'!$C$28)</f>
        <v/>
      </c>
      <c r="V1077" t="str">
        <f>IF(L1077="","",Q1077/'[1]LOCH Calc COE Calc'!$C$28)</f>
        <v/>
      </c>
      <c r="W1077" t="str">
        <f>IF(L1077="","",R1077/'[1]LOCH Calc COE Calc'!$C$28)</f>
        <v/>
      </c>
    </row>
    <row r="1078" spans="12:23" x14ac:dyDescent="0.25">
      <c r="L1078" s="4" t="str">
        <f>IF('[1]All Data '!BE1083="","",'[1]All Data '!BE1083)</f>
        <v/>
      </c>
      <c r="M1078" t="str">
        <f>IF('[1]All Data '!BF1083="","",'[1]All Data '!BF1083)</f>
        <v/>
      </c>
      <c r="N1078" s="5" t="str">
        <f>IF('[1]All Data '!BB1083="","",'[1]All Data '!BC1083/'[1]All Data '!BH1083)</f>
        <v/>
      </c>
      <c r="O1078" s="5" t="str">
        <f t="shared" si="18"/>
        <v/>
      </c>
      <c r="P1078" s="5" t="str">
        <f>IF(M1078="","",$C$2*(1-L1078)*907.2/0.621371*N1078*[1]Transportation!$M$40)</f>
        <v/>
      </c>
      <c r="Q1078" s="5" t="str">
        <f>IF(L1078="","",IF([1]Inputs_Outputs!$B$5="Herbaceous",(LCA!$E$29*'[1]LOCH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8" s="5" t="str">
        <f>IF(M1078="","",$E$2*1000*'[1]LOCH Calc COE Calc'!$C$44)</f>
        <v/>
      </c>
      <c r="S1078" s="6" t="str">
        <f>IF(N1078="","",SUM(O1078:R1078)/('[1]LOCH Calc COE Calc'!$C$28))</f>
        <v/>
      </c>
      <c r="T1078" t="str">
        <f>IF(L1078="","",O1078/'[1]LOCH Calc COE Calc'!$C$28)</f>
        <v/>
      </c>
      <c r="U1078" t="str">
        <f>IF(L1078="","",P1078/'[1]LOCH Calc COE Calc'!$C$28)</f>
        <v/>
      </c>
      <c r="V1078" t="str">
        <f>IF(L1078="","",Q1078/'[1]LOCH Calc COE Calc'!$C$28)</f>
        <v/>
      </c>
      <c r="W1078" t="str">
        <f>IF(L1078="","",R1078/'[1]LOCH Calc COE Calc'!$C$28)</f>
        <v/>
      </c>
    </row>
    <row r="1079" spans="12:23" x14ac:dyDescent="0.25">
      <c r="L1079" s="4" t="str">
        <f>IF('[1]All Data '!BE1084="","",'[1]All Data '!BE1084)</f>
        <v/>
      </c>
      <c r="M1079" t="str">
        <f>IF('[1]All Data '!BF1084="","",'[1]All Data '!BF1084)</f>
        <v/>
      </c>
      <c r="N1079" s="5" t="str">
        <f>IF('[1]All Data '!BB1084="","",'[1]All Data '!BC1084/'[1]All Data '!BH1084)</f>
        <v/>
      </c>
      <c r="O1079" s="5" t="str">
        <f t="shared" si="18"/>
        <v/>
      </c>
      <c r="P1079" s="5" t="str">
        <f>IF(M1079="","",$C$2*(1-L1079)*907.2/0.621371*N1079*[1]Transportation!$M$40)</f>
        <v/>
      </c>
      <c r="Q1079" s="5" t="str">
        <f>IF(L1079="","",IF([1]Inputs_Outputs!$B$5="Herbaceous",(LCA!$E$29*'[1]LOCH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79" s="5" t="str">
        <f>IF(M1079="","",$E$2*1000*'[1]LOCH Calc COE Calc'!$C$44)</f>
        <v/>
      </c>
      <c r="S1079" s="6" t="str">
        <f>IF(N1079="","",SUM(O1079:R1079)/('[1]LOCH Calc COE Calc'!$C$28))</f>
        <v/>
      </c>
      <c r="T1079" t="str">
        <f>IF(L1079="","",O1079/'[1]LOCH Calc COE Calc'!$C$28)</f>
        <v/>
      </c>
      <c r="U1079" t="str">
        <f>IF(L1079="","",P1079/'[1]LOCH Calc COE Calc'!$C$28)</f>
        <v/>
      </c>
      <c r="V1079" t="str">
        <f>IF(L1079="","",Q1079/'[1]LOCH Calc COE Calc'!$C$28)</f>
        <v/>
      </c>
      <c r="W1079" t="str">
        <f>IF(L1079="","",R1079/'[1]LOCH Calc COE Calc'!$C$28)</f>
        <v/>
      </c>
    </row>
    <row r="1080" spans="12:23" x14ac:dyDescent="0.25">
      <c r="L1080" s="4" t="str">
        <f>IF('[1]All Data '!BE1085="","",'[1]All Data '!BE1085)</f>
        <v/>
      </c>
      <c r="M1080" t="str">
        <f>IF('[1]All Data '!BF1085="","",'[1]All Data '!BF1085)</f>
        <v/>
      </c>
      <c r="N1080" s="5" t="str">
        <f>IF('[1]All Data '!BB1085="","",'[1]All Data '!BC1085/'[1]All Data '!BH1085)</f>
        <v/>
      </c>
      <c r="O1080" s="5" t="str">
        <f t="shared" si="18"/>
        <v/>
      </c>
      <c r="P1080" s="5" t="str">
        <f>IF(M1080="","",$C$2*(1-L1080)*907.2/0.621371*N1080*[1]Transportation!$M$40)</f>
        <v/>
      </c>
      <c r="Q1080" s="5" t="str">
        <f>IF(L1080="","",IF([1]Inputs_Outputs!$B$5="Herbaceous",(LCA!$E$29*'[1]LOCH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0" s="5" t="str">
        <f>IF(M1080="","",$E$2*1000*'[1]LOCH Calc COE Calc'!$C$44)</f>
        <v/>
      </c>
      <c r="S1080" s="6" t="str">
        <f>IF(N1080="","",SUM(O1080:R1080)/('[1]LOCH Calc COE Calc'!$C$28))</f>
        <v/>
      </c>
      <c r="T1080" t="str">
        <f>IF(L1080="","",O1080/'[1]LOCH Calc COE Calc'!$C$28)</f>
        <v/>
      </c>
      <c r="U1080" t="str">
        <f>IF(L1080="","",P1080/'[1]LOCH Calc COE Calc'!$C$28)</f>
        <v/>
      </c>
      <c r="V1080" t="str">
        <f>IF(L1080="","",Q1080/'[1]LOCH Calc COE Calc'!$C$28)</f>
        <v/>
      </c>
      <c r="W1080" t="str">
        <f>IF(L1080="","",R1080/'[1]LOCH Calc COE Calc'!$C$28)</f>
        <v/>
      </c>
    </row>
    <row r="1081" spans="12:23" x14ac:dyDescent="0.25">
      <c r="L1081" s="4" t="str">
        <f>IF('[1]All Data '!BE1086="","",'[1]All Data '!BE1086)</f>
        <v/>
      </c>
      <c r="M1081" t="str">
        <f>IF('[1]All Data '!BF1086="","",'[1]All Data '!BF1086)</f>
        <v/>
      </c>
      <c r="N1081" s="5" t="str">
        <f>IF('[1]All Data '!BB1086="","",'[1]All Data '!BC1086/'[1]All Data '!BH1086)</f>
        <v/>
      </c>
      <c r="O1081" s="5" t="str">
        <f t="shared" si="18"/>
        <v/>
      </c>
      <c r="P1081" s="5" t="str">
        <f>IF(M1081="","",$C$2*(1-L1081)*907.2/0.621371*N1081*[1]Transportation!$M$40)</f>
        <v/>
      </c>
      <c r="Q1081" s="5" t="str">
        <f>IF(L1081="","",IF([1]Inputs_Outputs!$B$5="Herbaceous",(LCA!$E$29*'[1]LOCH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1" s="5" t="str">
        <f>IF(M1081="","",$E$2*1000*'[1]LOCH Calc COE Calc'!$C$44)</f>
        <v/>
      </c>
      <c r="S1081" s="6" t="str">
        <f>IF(N1081="","",SUM(O1081:R1081)/('[1]LOCH Calc COE Calc'!$C$28))</f>
        <v/>
      </c>
      <c r="T1081" t="str">
        <f>IF(L1081="","",O1081/'[1]LOCH Calc COE Calc'!$C$28)</f>
        <v/>
      </c>
      <c r="U1081" t="str">
        <f>IF(L1081="","",P1081/'[1]LOCH Calc COE Calc'!$C$28)</f>
        <v/>
      </c>
      <c r="V1081" t="str">
        <f>IF(L1081="","",Q1081/'[1]LOCH Calc COE Calc'!$C$28)</f>
        <v/>
      </c>
      <c r="W1081" t="str">
        <f>IF(L1081="","",R1081/'[1]LOCH Calc COE Calc'!$C$28)</f>
        <v/>
      </c>
    </row>
    <row r="1082" spans="12:23" x14ac:dyDescent="0.25">
      <c r="L1082" s="4" t="str">
        <f>IF('[1]All Data '!BE1087="","",'[1]All Data '!BE1087)</f>
        <v/>
      </c>
      <c r="M1082" t="str">
        <f>IF('[1]All Data '!BF1087="","",'[1]All Data '!BF1087)</f>
        <v/>
      </c>
      <c r="N1082" s="5" t="str">
        <f>IF('[1]All Data '!BB1087="","",'[1]All Data '!BC1087/'[1]All Data '!BH1087)</f>
        <v/>
      </c>
      <c r="O1082" s="5" t="str">
        <f t="shared" si="18"/>
        <v/>
      </c>
      <c r="P1082" s="5" t="str">
        <f>IF(M1082="","",$C$2*(1-L1082)*907.2/0.621371*N1082*[1]Transportation!$M$40)</f>
        <v/>
      </c>
      <c r="Q1082" s="5" t="str">
        <f>IF(L1082="","",IF([1]Inputs_Outputs!$B$5="Herbaceous",(LCA!$E$29*'[1]LOCH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2" s="5" t="str">
        <f>IF(M1082="","",$E$2*1000*'[1]LOCH Calc COE Calc'!$C$44)</f>
        <v/>
      </c>
      <c r="S1082" s="6" t="str">
        <f>IF(N1082="","",SUM(O1082:R1082)/('[1]LOCH Calc COE Calc'!$C$28))</f>
        <v/>
      </c>
      <c r="T1082" t="str">
        <f>IF(L1082="","",O1082/'[1]LOCH Calc COE Calc'!$C$28)</f>
        <v/>
      </c>
      <c r="U1082" t="str">
        <f>IF(L1082="","",P1082/'[1]LOCH Calc COE Calc'!$C$28)</f>
        <v/>
      </c>
      <c r="V1082" t="str">
        <f>IF(L1082="","",Q1082/'[1]LOCH Calc COE Calc'!$C$28)</f>
        <v/>
      </c>
      <c r="W1082" t="str">
        <f>IF(L1082="","",R1082/'[1]LOCH Calc COE Calc'!$C$28)</f>
        <v/>
      </c>
    </row>
    <row r="1083" spans="12:23" x14ac:dyDescent="0.25">
      <c r="L1083" s="4" t="str">
        <f>IF('[1]All Data '!BE1088="","",'[1]All Data '!BE1088)</f>
        <v/>
      </c>
      <c r="M1083" t="str">
        <f>IF('[1]All Data '!BF1088="","",'[1]All Data '!BF1088)</f>
        <v/>
      </c>
      <c r="N1083" s="5" t="str">
        <f>IF('[1]All Data '!BB1088="","",'[1]All Data '!BC1088/'[1]All Data '!BH1088)</f>
        <v/>
      </c>
      <c r="O1083" s="5" t="str">
        <f t="shared" si="18"/>
        <v/>
      </c>
      <c r="P1083" s="5" t="str">
        <f>IF(M1083="","",$C$2*(1-L1083)*907.2/0.621371*N1083*[1]Transportation!$M$40)</f>
        <v/>
      </c>
      <c r="Q1083" s="5" t="str">
        <f>IF(L1083="","",IF([1]Inputs_Outputs!$B$5="Herbaceous",(LCA!$E$29*'[1]LOCH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3" s="5" t="str">
        <f>IF(M1083="","",$E$2*1000*'[1]LOCH Calc COE Calc'!$C$44)</f>
        <v/>
      </c>
      <c r="S1083" s="6" t="str">
        <f>IF(N1083="","",SUM(O1083:R1083)/('[1]LOCH Calc COE Calc'!$C$28))</f>
        <v/>
      </c>
      <c r="T1083" t="str">
        <f>IF(L1083="","",O1083/'[1]LOCH Calc COE Calc'!$C$28)</f>
        <v/>
      </c>
      <c r="U1083" t="str">
        <f>IF(L1083="","",P1083/'[1]LOCH Calc COE Calc'!$C$28)</f>
        <v/>
      </c>
      <c r="V1083" t="str">
        <f>IF(L1083="","",Q1083/'[1]LOCH Calc COE Calc'!$C$28)</f>
        <v/>
      </c>
      <c r="W1083" t="str">
        <f>IF(L1083="","",R1083/'[1]LOCH Calc COE Calc'!$C$28)</f>
        <v/>
      </c>
    </row>
    <row r="1084" spans="12:23" x14ac:dyDescent="0.25">
      <c r="L1084" s="4" t="str">
        <f>IF('[1]All Data '!BE1089="","",'[1]All Data '!BE1089)</f>
        <v/>
      </c>
      <c r="M1084" t="str">
        <f>IF('[1]All Data '!BF1089="","",'[1]All Data '!BF1089)</f>
        <v/>
      </c>
      <c r="N1084" s="5" t="str">
        <f>IF('[1]All Data '!BB1089="","",'[1]All Data '!BC1089/'[1]All Data '!BH1089)</f>
        <v/>
      </c>
      <c r="O1084" s="5" t="str">
        <f t="shared" si="18"/>
        <v/>
      </c>
      <c r="P1084" s="5" t="str">
        <f>IF(M1084="","",$C$2*(1-L1084)*907.2/0.621371*N1084*[1]Transportation!$M$40)</f>
        <v/>
      </c>
      <c r="Q1084" s="5" t="str">
        <f>IF(L1084="","",IF([1]Inputs_Outputs!$B$5="Herbaceous",(LCA!$E$29*'[1]LOCH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4" s="5" t="str">
        <f>IF(M1084="","",$E$2*1000*'[1]LOCH Calc COE Calc'!$C$44)</f>
        <v/>
      </c>
      <c r="S1084" s="6" t="str">
        <f>IF(N1084="","",SUM(O1084:R1084)/('[1]LOCH Calc COE Calc'!$C$28))</f>
        <v/>
      </c>
      <c r="T1084" t="str">
        <f>IF(L1084="","",O1084/'[1]LOCH Calc COE Calc'!$C$28)</f>
        <v/>
      </c>
      <c r="U1084" t="str">
        <f>IF(L1084="","",P1084/'[1]LOCH Calc COE Calc'!$C$28)</f>
        <v/>
      </c>
      <c r="V1084" t="str">
        <f>IF(L1084="","",Q1084/'[1]LOCH Calc COE Calc'!$C$28)</f>
        <v/>
      </c>
      <c r="W1084" t="str">
        <f>IF(L1084="","",R1084/'[1]LOCH Calc COE Calc'!$C$28)</f>
        <v/>
      </c>
    </row>
    <row r="1085" spans="12:23" x14ac:dyDescent="0.25">
      <c r="L1085" s="4" t="str">
        <f>IF('[1]All Data '!BE1090="","",'[1]All Data '!BE1090)</f>
        <v/>
      </c>
      <c r="M1085" t="str">
        <f>IF('[1]All Data '!BF1090="","",'[1]All Data '!BF1090)</f>
        <v/>
      </c>
      <c r="N1085" s="5" t="str">
        <f>IF('[1]All Data '!BB1090="","",'[1]All Data '!BC1090/'[1]All Data '!BH1090)</f>
        <v/>
      </c>
      <c r="O1085" s="5" t="str">
        <f t="shared" si="18"/>
        <v/>
      </c>
      <c r="P1085" s="5" t="str">
        <f>IF(M1085="","",$C$2*(1-L1085)*907.2/0.621371*N1085*[1]Transportation!$M$40)</f>
        <v/>
      </c>
      <c r="Q1085" s="5" t="str">
        <f>IF(L1085="","",IF([1]Inputs_Outputs!$B$5="Herbaceous",(LCA!$E$29*'[1]LOCH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5" s="5" t="str">
        <f>IF(M1085="","",$E$2*1000*'[1]LOCH Calc COE Calc'!$C$44)</f>
        <v/>
      </c>
      <c r="S1085" s="6" t="str">
        <f>IF(N1085="","",SUM(O1085:R1085)/('[1]LOCH Calc COE Calc'!$C$28))</f>
        <v/>
      </c>
      <c r="T1085" t="str">
        <f>IF(L1085="","",O1085/'[1]LOCH Calc COE Calc'!$C$28)</f>
        <v/>
      </c>
      <c r="U1085" t="str">
        <f>IF(L1085="","",P1085/'[1]LOCH Calc COE Calc'!$C$28)</f>
        <v/>
      </c>
      <c r="V1085" t="str">
        <f>IF(L1085="","",Q1085/'[1]LOCH Calc COE Calc'!$C$28)</f>
        <v/>
      </c>
      <c r="W1085" t="str">
        <f>IF(L1085="","",R1085/'[1]LOCH Calc COE Calc'!$C$28)</f>
        <v/>
      </c>
    </row>
    <row r="1086" spans="12:23" x14ac:dyDescent="0.25">
      <c r="L1086" s="4" t="str">
        <f>IF('[1]All Data '!BE1091="","",'[1]All Data '!BE1091)</f>
        <v/>
      </c>
      <c r="M1086" t="str">
        <f>IF('[1]All Data '!BF1091="","",'[1]All Data '!BF1091)</f>
        <v/>
      </c>
      <c r="N1086" s="5" t="str">
        <f>IF('[1]All Data '!BB1091="","",'[1]All Data '!BC1091/'[1]All Data '!BH1091)</f>
        <v/>
      </c>
      <c r="O1086" s="5" t="str">
        <f t="shared" si="18"/>
        <v/>
      </c>
      <c r="P1086" s="5" t="str">
        <f>IF(M1086="","",$C$2*(1-L1086)*907.2/0.621371*N1086*[1]Transportation!$M$40)</f>
        <v/>
      </c>
      <c r="Q1086" s="5" t="str">
        <f>IF(L1086="","",IF([1]Inputs_Outputs!$B$5="Herbaceous",(LCA!$E$29*'[1]LOCH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6" s="5" t="str">
        <f>IF(M1086="","",$E$2*1000*'[1]LOCH Calc COE Calc'!$C$44)</f>
        <v/>
      </c>
      <c r="S1086" s="6" t="str">
        <f>IF(N1086="","",SUM(O1086:R1086)/('[1]LOCH Calc COE Calc'!$C$28))</f>
        <v/>
      </c>
      <c r="T1086" t="str">
        <f>IF(L1086="","",O1086/'[1]LOCH Calc COE Calc'!$C$28)</f>
        <v/>
      </c>
      <c r="U1086" t="str">
        <f>IF(L1086="","",P1086/'[1]LOCH Calc COE Calc'!$C$28)</f>
        <v/>
      </c>
      <c r="V1086" t="str">
        <f>IF(L1086="","",Q1086/'[1]LOCH Calc COE Calc'!$C$28)</f>
        <v/>
      </c>
      <c r="W1086" t="str">
        <f>IF(L1086="","",R1086/'[1]LOCH Calc COE Calc'!$C$28)</f>
        <v/>
      </c>
    </row>
    <row r="1087" spans="12:23" x14ac:dyDescent="0.25">
      <c r="L1087" s="4" t="str">
        <f>IF('[1]All Data '!BE1092="","",'[1]All Data '!BE1092)</f>
        <v/>
      </c>
      <c r="M1087" t="str">
        <f>IF('[1]All Data '!BF1092="","",'[1]All Data '!BF1092)</f>
        <v/>
      </c>
      <c r="N1087" s="5" t="str">
        <f>IF('[1]All Data '!BB1092="","",'[1]All Data '!BC1092/'[1]All Data '!BH1092)</f>
        <v/>
      </c>
      <c r="O1087" s="5" t="str">
        <f t="shared" si="18"/>
        <v/>
      </c>
      <c r="P1087" s="5" t="str">
        <f>IF(M1087="","",$C$2*(1-L1087)*907.2/0.621371*N1087*[1]Transportation!$M$40)</f>
        <v/>
      </c>
      <c r="Q1087" s="5" t="str">
        <f>IF(L1087="","",IF([1]Inputs_Outputs!$B$5="Herbaceous",(LCA!$E$29*'[1]LOCH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7" s="5" t="str">
        <f>IF(M1087="","",$E$2*1000*'[1]LOCH Calc COE Calc'!$C$44)</f>
        <v/>
      </c>
      <c r="S1087" s="6" t="str">
        <f>IF(N1087="","",SUM(O1087:R1087)/('[1]LOCH Calc COE Calc'!$C$28))</f>
        <v/>
      </c>
      <c r="T1087" t="str">
        <f>IF(L1087="","",O1087/'[1]LOCH Calc COE Calc'!$C$28)</f>
        <v/>
      </c>
      <c r="U1087" t="str">
        <f>IF(L1087="","",P1087/'[1]LOCH Calc COE Calc'!$C$28)</f>
        <v/>
      </c>
      <c r="V1087" t="str">
        <f>IF(L1087="","",Q1087/'[1]LOCH Calc COE Calc'!$C$28)</f>
        <v/>
      </c>
      <c r="W1087" t="str">
        <f>IF(L1087="","",R1087/'[1]LOCH Calc COE Calc'!$C$28)</f>
        <v/>
      </c>
    </row>
    <row r="1088" spans="12:23" x14ac:dyDescent="0.25">
      <c r="L1088" s="4" t="str">
        <f>IF('[1]All Data '!BE1093="","",'[1]All Data '!BE1093)</f>
        <v/>
      </c>
      <c r="M1088" t="str">
        <f>IF('[1]All Data '!BF1093="","",'[1]All Data '!BF1093)</f>
        <v/>
      </c>
      <c r="N1088" s="5" t="str">
        <f>IF('[1]All Data '!BB1093="","",'[1]All Data '!BC1093/'[1]All Data '!BH1093)</f>
        <v/>
      </c>
      <c r="O1088" s="5" t="str">
        <f t="shared" si="18"/>
        <v/>
      </c>
      <c r="P1088" s="5" t="str">
        <f>IF(M1088="","",$C$2*(1-L1088)*907.2/0.621371*N1088*[1]Transportation!$M$40)</f>
        <v/>
      </c>
      <c r="Q1088" s="5" t="str">
        <f>IF(L1088="","",IF([1]Inputs_Outputs!$B$5="Herbaceous",(LCA!$E$29*'[1]LOCH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8" s="5" t="str">
        <f>IF(M1088="","",$E$2*1000*'[1]LOCH Calc COE Calc'!$C$44)</f>
        <v/>
      </c>
      <c r="S1088" s="6" t="str">
        <f>IF(N1088="","",SUM(O1088:R1088)/('[1]LOCH Calc COE Calc'!$C$28))</f>
        <v/>
      </c>
      <c r="T1088" t="str">
        <f>IF(L1088="","",O1088/'[1]LOCH Calc COE Calc'!$C$28)</f>
        <v/>
      </c>
      <c r="U1088" t="str">
        <f>IF(L1088="","",P1088/'[1]LOCH Calc COE Calc'!$C$28)</f>
        <v/>
      </c>
      <c r="V1088" t="str">
        <f>IF(L1088="","",Q1088/'[1]LOCH Calc COE Calc'!$C$28)</f>
        <v/>
      </c>
      <c r="W1088" t="str">
        <f>IF(L1088="","",R1088/'[1]LOCH Calc COE Calc'!$C$28)</f>
        <v/>
      </c>
    </row>
    <row r="1089" spans="12:23" x14ac:dyDescent="0.25">
      <c r="L1089" s="4" t="str">
        <f>IF('[1]All Data '!BE1094="","",'[1]All Data '!BE1094)</f>
        <v/>
      </c>
      <c r="M1089" t="str">
        <f>IF('[1]All Data '!BF1094="","",'[1]All Data '!BF1094)</f>
        <v/>
      </c>
      <c r="N1089" s="5" t="str">
        <f>IF('[1]All Data '!BB1094="","",'[1]All Data '!BC1094/'[1]All Data '!BH1094)</f>
        <v/>
      </c>
      <c r="O1089" s="5" t="str">
        <f t="shared" si="18"/>
        <v/>
      </c>
      <c r="P1089" s="5" t="str">
        <f>IF(M1089="","",$C$2*(1-L1089)*907.2/0.621371*N1089*[1]Transportation!$M$40)</f>
        <v/>
      </c>
      <c r="Q1089" s="5" t="str">
        <f>IF(L1089="","",IF([1]Inputs_Outputs!$B$5="Herbaceous",(LCA!$E$29*'[1]LOCH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89" s="5" t="str">
        <f>IF(M1089="","",$E$2*1000*'[1]LOCH Calc COE Calc'!$C$44)</f>
        <v/>
      </c>
      <c r="S1089" s="6" t="str">
        <f>IF(N1089="","",SUM(O1089:R1089)/('[1]LOCH Calc COE Calc'!$C$28))</f>
        <v/>
      </c>
      <c r="T1089" t="str">
        <f>IF(L1089="","",O1089/'[1]LOCH Calc COE Calc'!$C$28)</f>
        <v/>
      </c>
      <c r="U1089" t="str">
        <f>IF(L1089="","",P1089/'[1]LOCH Calc COE Calc'!$C$28)</f>
        <v/>
      </c>
      <c r="V1089" t="str">
        <f>IF(L1089="","",Q1089/'[1]LOCH Calc COE Calc'!$C$28)</f>
        <v/>
      </c>
      <c r="W1089" t="str">
        <f>IF(L1089="","",R1089/'[1]LOCH Calc COE Calc'!$C$28)</f>
        <v/>
      </c>
    </row>
    <row r="1090" spans="12:23" x14ac:dyDescent="0.25">
      <c r="L1090" s="4" t="str">
        <f>IF('[1]All Data '!BE1095="","",'[1]All Data '!BE1095)</f>
        <v/>
      </c>
      <c r="M1090" t="str">
        <f>IF('[1]All Data '!BF1095="","",'[1]All Data '!BF1095)</f>
        <v/>
      </c>
      <c r="N1090" s="5" t="str">
        <f>IF('[1]All Data '!BB1095="","",'[1]All Data '!BC1095/'[1]All Data '!BH1095)</f>
        <v/>
      </c>
      <c r="O1090" s="5" t="str">
        <f t="shared" si="18"/>
        <v/>
      </c>
      <c r="P1090" s="5" t="str">
        <f>IF(M1090="","",$C$2*(1-L1090)*907.2/0.621371*N1090*[1]Transportation!$M$40)</f>
        <v/>
      </c>
      <c r="Q1090" s="5" t="str">
        <f>IF(L1090="","",IF([1]Inputs_Outputs!$B$5="Herbaceous",(LCA!$E$29*'[1]LOCH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0" s="5" t="str">
        <f>IF(M1090="","",$E$2*1000*'[1]LOCH Calc COE Calc'!$C$44)</f>
        <v/>
      </c>
      <c r="S1090" s="6" t="str">
        <f>IF(N1090="","",SUM(O1090:R1090)/('[1]LOCH Calc COE Calc'!$C$28))</f>
        <v/>
      </c>
      <c r="T1090" t="str">
        <f>IF(L1090="","",O1090/'[1]LOCH Calc COE Calc'!$C$28)</f>
        <v/>
      </c>
      <c r="U1090" t="str">
        <f>IF(L1090="","",P1090/'[1]LOCH Calc COE Calc'!$C$28)</f>
        <v/>
      </c>
      <c r="V1090" t="str">
        <f>IF(L1090="","",Q1090/'[1]LOCH Calc COE Calc'!$C$28)</f>
        <v/>
      </c>
      <c r="W1090" t="str">
        <f>IF(L1090="","",R1090/'[1]LOCH Calc COE Calc'!$C$28)</f>
        <v/>
      </c>
    </row>
    <row r="1091" spans="12:23" x14ac:dyDescent="0.25">
      <c r="L1091" s="4" t="str">
        <f>IF('[1]All Data '!BE1096="","",'[1]All Data '!BE1096)</f>
        <v/>
      </c>
      <c r="M1091" t="str">
        <f>IF('[1]All Data '!BF1096="","",'[1]All Data '!BF1096)</f>
        <v/>
      </c>
      <c r="N1091" s="5" t="str">
        <f>IF('[1]All Data '!BB1096="","",'[1]All Data '!BC1096/'[1]All Data '!BH1096)</f>
        <v/>
      </c>
      <c r="O1091" s="5" t="str">
        <f t="shared" si="18"/>
        <v/>
      </c>
      <c r="P1091" s="5" t="str">
        <f>IF(M1091="","",$C$2*(1-L1091)*907.2/0.621371*N1091*[1]Transportation!$M$40)</f>
        <v/>
      </c>
      <c r="Q1091" s="5" t="str">
        <f>IF(L1091="","",IF([1]Inputs_Outputs!$B$5="Herbaceous",(LCA!$E$29*'[1]LOCH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1" s="5" t="str">
        <f>IF(M1091="","",$E$2*1000*'[1]LOCH Calc COE Calc'!$C$44)</f>
        <v/>
      </c>
      <c r="S1091" s="6" t="str">
        <f>IF(N1091="","",SUM(O1091:R1091)/('[1]LOCH Calc COE Calc'!$C$28))</f>
        <v/>
      </c>
      <c r="T1091" t="str">
        <f>IF(L1091="","",O1091/'[1]LOCH Calc COE Calc'!$C$28)</f>
        <v/>
      </c>
      <c r="U1091" t="str">
        <f>IF(L1091="","",P1091/'[1]LOCH Calc COE Calc'!$C$28)</f>
        <v/>
      </c>
      <c r="V1091" t="str">
        <f>IF(L1091="","",Q1091/'[1]LOCH Calc COE Calc'!$C$28)</f>
        <v/>
      </c>
      <c r="W1091" t="str">
        <f>IF(L1091="","",R1091/'[1]LOCH Calc COE Calc'!$C$28)</f>
        <v/>
      </c>
    </row>
    <row r="1092" spans="12:23" x14ac:dyDescent="0.25">
      <c r="L1092" s="4" t="str">
        <f>IF('[1]All Data '!BE1097="","",'[1]All Data '!BE1097)</f>
        <v/>
      </c>
      <c r="M1092" t="str">
        <f>IF('[1]All Data '!BF1097="","",'[1]All Data '!BF1097)</f>
        <v/>
      </c>
      <c r="N1092" s="5" t="str">
        <f>IF('[1]All Data '!BB1097="","",'[1]All Data '!BC1097/'[1]All Data '!BH1097)</f>
        <v/>
      </c>
      <c r="O1092" s="5" t="str">
        <f t="shared" ref="O1092:O1155" si="19">IF(N1092="","",M1092*N1092)</f>
        <v/>
      </c>
      <c r="P1092" s="5" t="str">
        <f>IF(M1092="","",$C$2*(1-L1092)*907.2/0.621371*N1092*[1]Transportation!$M$40)</f>
        <v/>
      </c>
      <c r="Q1092" s="5" t="str">
        <f>IF(L1092="","",IF([1]Inputs_Outputs!$B$5="Herbaceous",(LCA!$E$29*'[1]LOCH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2" s="5" t="str">
        <f>IF(M1092="","",$E$2*1000*'[1]LOCH Calc COE Calc'!$C$44)</f>
        <v/>
      </c>
      <c r="S1092" s="6" t="str">
        <f>IF(N1092="","",SUM(O1092:R1092)/('[1]LOCH Calc COE Calc'!$C$28))</f>
        <v/>
      </c>
      <c r="T1092" t="str">
        <f>IF(L1092="","",O1092/'[1]LOCH Calc COE Calc'!$C$28)</f>
        <v/>
      </c>
      <c r="U1092" t="str">
        <f>IF(L1092="","",P1092/'[1]LOCH Calc COE Calc'!$C$28)</f>
        <v/>
      </c>
      <c r="V1092" t="str">
        <f>IF(L1092="","",Q1092/'[1]LOCH Calc COE Calc'!$C$28)</f>
        <v/>
      </c>
      <c r="W1092" t="str">
        <f>IF(L1092="","",R1092/'[1]LOCH Calc COE Calc'!$C$28)</f>
        <v/>
      </c>
    </row>
    <row r="1093" spans="12:23" x14ac:dyDescent="0.25">
      <c r="L1093" s="4" t="str">
        <f>IF('[1]All Data '!BE1098="","",'[1]All Data '!BE1098)</f>
        <v/>
      </c>
      <c r="M1093" t="str">
        <f>IF('[1]All Data '!BF1098="","",'[1]All Data '!BF1098)</f>
        <v/>
      </c>
      <c r="N1093" s="5" t="str">
        <f>IF('[1]All Data '!BB1098="","",'[1]All Data '!BC1098/'[1]All Data '!BH1098)</f>
        <v/>
      </c>
      <c r="O1093" s="5" t="str">
        <f t="shared" si="19"/>
        <v/>
      </c>
      <c r="P1093" s="5" t="str">
        <f>IF(M1093="","",$C$2*(1-L1093)*907.2/0.621371*N1093*[1]Transportation!$M$40)</f>
        <v/>
      </c>
      <c r="Q1093" s="5" t="str">
        <f>IF(L1093="","",IF([1]Inputs_Outputs!$B$5="Herbaceous",(LCA!$E$29*'[1]LOCH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3" s="5" t="str">
        <f>IF(M1093="","",$E$2*1000*'[1]LOCH Calc COE Calc'!$C$44)</f>
        <v/>
      </c>
      <c r="S1093" s="6" t="str">
        <f>IF(N1093="","",SUM(O1093:R1093)/('[1]LOCH Calc COE Calc'!$C$28))</f>
        <v/>
      </c>
      <c r="T1093" t="str">
        <f>IF(L1093="","",O1093/'[1]LOCH Calc COE Calc'!$C$28)</f>
        <v/>
      </c>
      <c r="U1093" t="str">
        <f>IF(L1093="","",P1093/'[1]LOCH Calc COE Calc'!$C$28)</f>
        <v/>
      </c>
      <c r="V1093" t="str">
        <f>IF(L1093="","",Q1093/'[1]LOCH Calc COE Calc'!$C$28)</f>
        <v/>
      </c>
      <c r="W1093" t="str">
        <f>IF(L1093="","",R1093/'[1]LOCH Calc COE Calc'!$C$28)</f>
        <v/>
      </c>
    </row>
    <row r="1094" spans="12:23" x14ac:dyDescent="0.25">
      <c r="L1094" s="4" t="str">
        <f>IF('[1]All Data '!BE1099="","",'[1]All Data '!BE1099)</f>
        <v/>
      </c>
      <c r="M1094" t="str">
        <f>IF('[1]All Data '!BF1099="","",'[1]All Data '!BF1099)</f>
        <v/>
      </c>
      <c r="N1094" s="5" t="str">
        <f>IF('[1]All Data '!BB1099="","",'[1]All Data '!BC1099/'[1]All Data '!BH1099)</f>
        <v/>
      </c>
      <c r="O1094" s="5" t="str">
        <f t="shared" si="19"/>
        <v/>
      </c>
      <c r="P1094" s="5" t="str">
        <f>IF(M1094="","",$C$2*(1-L1094)*907.2/0.621371*N1094*[1]Transportation!$M$40)</f>
        <v/>
      </c>
      <c r="Q1094" s="5" t="str">
        <f>IF(L1094="","",IF([1]Inputs_Outputs!$B$5="Herbaceous",(LCA!$E$29*'[1]LOCH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4" s="5" t="str">
        <f>IF(M1094="","",$E$2*1000*'[1]LOCH Calc COE Calc'!$C$44)</f>
        <v/>
      </c>
      <c r="S1094" s="6" t="str">
        <f>IF(N1094="","",SUM(O1094:R1094)/('[1]LOCH Calc COE Calc'!$C$28))</f>
        <v/>
      </c>
      <c r="T1094" t="str">
        <f>IF(L1094="","",O1094/'[1]LOCH Calc COE Calc'!$C$28)</f>
        <v/>
      </c>
      <c r="U1094" t="str">
        <f>IF(L1094="","",P1094/'[1]LOCH Calc COE Calc'!$C$28)</f>
        <v/>
      </c>
      <c r="V1094" t="str">
        <f>IF(L1094="","",Q1094/'[1]LOCH Calc COE Calc'!$C$28)</f>
        <v/>
      </c>
      <c r="W1094" t="str">
        <f>IF(L1094="","",R1094/'[1]LOCH Calc COE Calc'!$C$28)</f>
        <v/>
      </c>
    </row>
    <row r="1095" spans="12:23" x14ac:dyDescent="0.25">
      <c r="L1095" s="4" t="str">
        <f>IF('[1]All Data '!BE1100="","",'[1]All Data '!BE1100)</f>
        <v/>
      </c>
      <c r="M1095" t="str">
        <f>IF('[1]All Data '!BF1100="","",'[1]All Data '!BF1100)</f>
        <v/>
      </c>
      <c r="N1095" s="5" t="str">
        <f>IF('[1]All Data '!BB1100="","",'[1]All Data '!BC1100/'[1]All Data '!BH1100)</f>
        <v/>
      </c>
      <c r="O1095" s="5" t="str">
        <f t="shared" si="19"/>
        <v/>
      </c>
      <c r="P1095" s="5" t="str">
        <f>IF(M1095="","",$C$2*(1-L1095)*907.2/0.621371*N1095*[1]Transportation!$M$40)</f>
        <v/>
      </c>
      <c r="Q1095" s="5" t="str">
        <f>IF(L1095="","",IF([1]Inputs_Outputs!$B$5="Herbaceous",(LCA!$E$29*'[1]LOCH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5" s="5" t="str">
        <f>IF(M1095="","",$E$2*1000*'[1]LOCH Calc COE Calc'!$C$44)</f>
        <v/>
      </c>
      <c r="S1095" s="6" t="str">
        <f>IF(N1095="","",SUM(O1095:R1095)/('[1]LOCH Calc COE Calc'!$C$28))</f>
        <v/>
      </c>
      <c r="T1095" t="str">
        <f>IF(L1095="","",O1095/'[1]LOCH Calc COE Calc'!$C$28)</f>
        <v/>
      </c>
      <c r="U1095" t="str">
        <f>IF(L1095="","",P1095/'[1]LOCH Calc COE Calc'!$C$28)</f>
        <v/>
      </c>
      <c r="V1095" t="str">
        <f>IF(L1095="","",Q1095/'[1]LOCH Calc COE Calc'!$C$28)</f>
        <v/>
      </c>
      <c r="W1095" t="str">
        <f>IF(L1095="","",R1095/'[1]LOCH Calc COE Calc'!$C$28)</f>
        <v/>
      </c>
    </row>
    <row r="1096" spans="12:23" x14ac:dyDescent="0.25">
      <c r="L1096" s="4" t="str">
        <f>IF('[1]All Data '!BE1101="","",'[1]All Data '!BE1101)</f>
        <v/>
      </c>
      <c r="M1096" t="str">
        <f>IF('[1]All Data '!BF1101="","",'[1]All Data '!BF1101)</f>
        <v/>
      </c>
      <c r="N1096" s="5" t="str">
        <f>IF('[1]All Data '!BB1101="","",'[1]All Data '!BC1101/'[1]All Data '!BH1101)</f>
        <v/>
      </c>
      <c r="O1096" s="5" t="str">
        <f t="shared" si="19"/>
        <v/>
      </c>
      <c r="P1096" s="5" t="str">
        <f>IF(M1096="","",$C$2*(1-L1096)*907.2/0.621371*N1096*[1]Transportation!$M$40)</f>
        <v/>
      </c>
      <c r="Q1096" s="5" t="str">
        <f>IF(L1096="","",IF([1]Inputs_Outputs!$B$5="Herbaceous",(LCA!$E$29*'[1]LOCH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6" s="5" t="str">
        <f>IF(M1096="","",$E$2*1000*'[1]LOCH Calc COE Calc'!$C$44)</f>
        <v/>
      </c>
      <c r="S1096" s="6" t="str">
        <f>IF(N1096="","",SUM(O1096:R1096)/('[1]LOCH Calc COE Calc'!$C$28))</f>
        <v/>
      </c>
      <c r="T1096" t="str">
        <f>IF(L1096="","",O1096/'[1]LOCH Calc COE Calc'!$C$28)</f>
        <v/>
      </c>
      <c r="U1096" t="str">
        <f>IF(L1096="","",P1096/'[1]LOCH Calc COE Calc'!$C$28)</f>
        <v/>
      </c>
      <c r="V1096" t="str">
        <f>IF(L1096="","",Q1096/'[1]LOCH Calc COE Calc'!$C$28)</f>
        <v/>
      </c>
      <c r="W1096" t="str">
        <f>IF(L1096="","",R1096/'[1]LOCH Calc COE Calc'!$C$28)</f>
        <v/>
      </c>
    </row>
    <row r="1097" spans="12:23" x14ac:dyDescent="0.25">
      <c r="L1097" s="4" t="str">
        <f>IF('[1]All Data '!BE1102="","",'[1]All Data '!BE1102)</f>
        <v/>
      </c>
      <c r="M1097" t="str">
        <f>IF('[1]All Data '!BF1102="","",'[1]All Data '!BF1102)</f>
        <v/>
      </c>
      <c r="N1097" s="5" t="str">
        <f>IF('[1]All Data '!BB1102="","",'[1]All Data '!BC1102/'[1]All Data '!BH1102)</f>
        <v/>
      </c>
      <c r="O1097" s="5" t="str">
        <f t="shared" si="19"/>
        <v/>
      </c>
      <c r="P1097" s="5" t="str">
        <f>IF(M1097="","",$C$2*(1-L1097)*907.2/0.621371*N1097*[1]Transportation!$M$40)</f>
        <v/>
      </c>
      <c r="Q1097" s="5" t="str">
        <f>IF(L1097="","",IF([1]Inputs_Outputs!$B$5="Herbaceous",(LCA!$E$29*'[1]LOCH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7" s="5" t="str">
        <f>IF(M1097="","",$E$2*1000*'[1]LOCH Calc COE Calc'!$C$44)</f>
        <v/>
      </c>
      <c r="S1097" s="6" t="str">
        <f>IF(N1097="","",SUM(O1097:R1097)/('[1]LOCH Calc COE Calc'!$C$28))</f>
        <v/>
      </c>
      <c r="T1097" t="str">
        <f>IF(L1097="","",O1097/'[1]LOCH Calc COE Calc'!$C$28)</f>
        <v/>
      </c>
      <c r="U1097" t="str">
        <f>IF(L1097="","",P1097/'[1]LOCH Calc COE Calc'!$C$28)</f>
        <v/>
      </c>
      <c r="V1097" t="str">
        <f>IF(L1097="","",Q1097/'[1]LOCH Calc COE Calc'!$C$28)</f>
        <v/>
      </c>
      <c r="W1097" t="str">
        <f>IF(L1097="","",R1097/'[1]LOCH Calc COE Calc'!$C$28)</f>
        <v/>
      </c>
    </row>
    <row r="1098" spans="12:23" x14ac:dyDescent="0.25">
      <c r="L1098" s="4" t="str">
        <f>IF('[1]All Data '!BE1103="","",'[1]All Data '!BE1103)</f>
        <v/>
      </c>
      <c r="M1098" t="str">
        <f>IF('[1]All Data '!BF1103="","",'[1]All Data '!BF1103)</f>
        <v/>
      </c>
      <c r="N1098" s="5" t="str">
        <f>IF('[1]All Data '!BB1103="","",'[1]All Data '!BC1103/'[1]All Data '!BH1103)</f>
        <v/>
      </c>
      <c r="O1098" s="5" t="str">
        <f t="shared" si="19"/>
        <v/>
      </c>
      <c r="P1098" s="5" t="str">
        <f>IF(M1098="","",$C$2*(1-L1098)*907.2/0.621371*N1098*[1]Transportation!$M$40)</f>
        <v/>
      </c>
      <c r="Q1098" s="5" t="str">
        <f>IF(L1098="","",IF([1]Inputs_Outputs!$B$5="Herbaceous",(LCA!$E$29*'[1]LOCH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8" s="5" t="str">
        <f>IF(M1098="","",$E$2*1000*'[1]LOCH Calc COE Calc'!$C$44)</f>
        <v/>
      </c>
      <c r="S1098" s="6" t="str">
        <f>IF(N1098="","",SUM(O1098:R1098)/('[1]LOCH Calc COE Calc'!$C$28))</f>
        <v/>
      </c>
      <c r="T1098" t="str">
        <f>IF(L1098="","",O1098/'[1]LOCH Calc COE Calc'!$C$28)</f>
        <v/>
      </c>
      <c r="U1098" t="str">
        <f>IF(L1098="","",P1098/'[1]LOCH Calc COE Calc'!$C$28)</f>
        <v/>
      </c>
      <c r="V1098" t="str">
        <f>IF(L1098="","",Q1098/'[1]LOCH Calc COE Calc'!$C$28)</f>
        <v/>
      </c>
      <c r="W1098" t="str">
        <f>IF(L1098="","",R1098/'[1]LOCH Calc COE Calc'!$C$28)</f>
        <v/>
      </c>
    </row>
    <row r="1099" spans="12:23" x14ac:dyDescent="0.25">
      <c r="L1099" s="4" t="str">
        <f>IF('[1]All Data '!BE1104="","",'[1]All Data '!BE1104)</f>
        <v/>
      </c>
      <c r="M1099" t="str">
        <f>IF('[1]All Data '!BF1104="","",'[1]All Data '!BF1104)</f>
        <v/>
      </c>
      <c r="N1099" s="5" t="str">
        <f>IF('[1]All Data '!BB1104="","",'[1]All Data '!BC1104/'[1]All Data '!BH1104)</f>
        <v/>
      </c>
      <c r="O1099" s="5" t="str">
        <f t="shared" si="19"/>
        <v/>
      </c>
      <c r="P1099" s="5" t="str">
        <f>IF(M1099="","",$C$2*(1-L1099)*907.2/0.621371*N1099*[1]Transportation!$M$40)</f>
        <v/>
      </c>
      <c r="Q1099" s="5" t="str">
        <f>IF(L1099="","",IF([1]Inputs_Outputs!$B$5="Herbaceous",(LCA!$E$29*'[1]LOCH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099" s="5" t="str">
        <f>IF(M1099="","",$E$2*1000*'[1]LOCH Calc COE Calc'!$C$44)</f>
        <v/>
      </c>
      <c r="S1099" s="6" t="str">
        <f>IF(N1099="","",SUM(O1099:R1099)/('[1]LOCH Calc COE Calc'!$C$28))</f>
        <v/>
      </c>
      <c r="T1099" t="str">
        <f>IF(L1099="","",O1099/'[1]LOCH Calc COE Calc'!$C$28)</f>
        <v/>
      </c>
      <c r="U1099" t="str">
        <f>IF(L1099="","",P1099/'[1]LOCH Calc COE Calc'!$C$28)</f>
        <v/>
      </c>
      <c r="V1099" t="str">
        <f>IF(L1099="","",Q1099/'[1]LOCH Calc COE Calc'!$C$28)</f>
        <v/>
      </c>
      <c r="W1099" t="str">
        <f>IF(L1099="","",R1099/'[1]LOCH Calc COE Calc'!$C$28)</f>
        <v/>
      </c>
    </row>
    <row r="1100" spans="12:23" x14ac:dyDescent="0.25">
      <c r="L1100" s="4" t="str">
        <f>IF('[1]All Data '!BE1105="","",'[1]All Data '!BE1105)</f>
        <v/>
      </c>
      <c r="M1100" t="str">
        <f>IF('[1]All Data '!BF1105="","",'[1]All Data '!BF1105)</f>
        <v/>
      </c>
      <c r="N1100" s="5" t="str">
        <f>IF('[1]All Data '!BB1105="","",'[1]All Data '!BC1105/'[1]All Data '!BH1105)</f>
        <v/>
      </c>
      <c r="O1100" s="5" t="str">
        <f t="shared" si="19"/>
        <v/>
      </c>
      <c r="P1100" s="5" t="str">
        <f>IF(M1100="","",$C$2*(1-L1100)*907.2/0.621371*N1100*[1]Transportation!$M$40)</f>
        <v/>
      </c>
      <c r="Q1100" s="5" t="str">
        <f>IF(L1100="","",IF([1]Inputs_Outputs!$B$5="Herbaceous",(LCA!$E$29*'[1]LOCH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0" s="5" t="str">
        <f>IF(M1100="","",$E$2*1000*'[1]LOCH Calc COE Calc'!$C$44)</f>
        <v/>
      </c>
      <c r="S1100" s="6" t="str">
        <f>IF(N1100="","",SUM(O1100:R1100)/('[1]LOCH Calc COE Calc'!$C$28))</f>
        <v/>
      </c>
      <c r="T1100" t="str">
        <f>IF(L1100="","",O1100/'[1]LOCH Calc COE Calc'!$C$28)</f>
        <v/>
      </c>
      <c r="U1100" t="str">
        <f>IF(L1100="","",P1100/'[1]LOCH Calc COE Calc'!$C$28)</f>
        <v/>
      </c>
      <c r="V1100" t="str">
        <f>IF(L1100="","",Q1100/'[1]LOCH Calc COE Calc'!$C$28)</f>
        <v/>
      </c>
      <c r="W1100" t="str">
        <f>IF(L1100="","",R1100/'[1]LOCH Calc COE Calc'!$C$28)</f>
        <v/>
      </c>
    </row>
    <row r="1101" spans="12:23" x14ac:dyDescent="0.25">
      <c r="L1101" s="4" t="str">
        <f>IF('[1]All Data '!BE1106="","",'[1]All Data '!BE1106)</f>
        <v/>
      </c>
      <c r="M1101" t="str">
        <f>IF('[1]All Data '!BF1106="","",'[1]All Data '!BF1106)</f>
        <v/>
      </c>
      <c r="N1101" s="5" t="str">
        <f>IF('[1]All Data '!BB1106="","",'[1]All Data '!BC1106/'[1]All Data '!BH1106)</f>
        <v/>
      </c>
      <c r="O1101" s="5" t="str">
        <f t="shared" si="19"/>
        <v/>
      </c>
      <c r="P1101" s="5" t="str">
        <f>IF(M1101="","",$C$2*(1-L1101)*907.2/0.621371*N1101*[1]Transportation!$M$40)</f>
        <v/>
      </c>
      <c r="Q1101" s="5" t="str">
        <f>IF(L1101="","",IF([1]Inputs_Outputs!$B$5="Herbaceous",(LCA!$E$29*'[1]LOCH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1" s="5" t="str">
        <f>IF(M1101="","",$E$2*1000*'[1]LOCH Calc COE Calc'!$C$44)</f>
        <v/>
      </c>
      <c r="S1101" s="6" t="str">
        <f>IF(N1101="","",SUM(O1101:R1101)/('[1]LOCH Calc COE Calc'!$C$28))</f>
        <v/>
      </c>
      <c r="T1101" t="str">
        <f>IF(L1101="","",O1101/'[1]LOCH Calc COE Calc'!$C$28)</f>
        <v/>
      </c>
      <c r="U1101" t="str">
        <f>IF(L1101="","",P1101/'[1]LOCH Calc COE Calc'!$C$28)</f>
        <v/>
      </c>
      <c r="V1101" t="str">
        <f>IF(L1101="","",Q1101/'[1]LOCH Calc COE Calc'!$C$28)</f>
        <v/>
      </c>
      <c r="W1101" t="str">
        <f>IF(L1101="","",R1101/'[1]LOCH Calc COE Calc'!$C$28)</f>
        <v/>
      </c>
    </row>
    <row r="1102" spans="12:23" x14ac:dyDescent="0.25">
      <c r="L1102" s="4" t="str">
        <f>IF('[1]All Data '!BE1107="","",'[1]All Data '!BE1107)</f>
        <v/>
      </c>
      <c r="M1102" t="str">
        <f>IF('[1]All Data '!BF1107="","",'[1]All Data '!BF1107)</f>
        <v/>
      </c>
      <c r="N1102" s="5" t="str">
        <f>IF('[1]All Data '!BB1107="","",'[1]All Data '!BC1107/'[1]All Data '!BH1107)</f>
        <v/>
      </c>
      <c r="O1102" s="5" t="str">
        <f t="shared" si="19"/>
        <v/>
      </c>
      <c r="P1102" s="5" t="str">
        <f>IF(M1102="","",$C$2*(1-L1102)*907.2/0.621371*N1102*[1]Transportation!$M$40)</f>
        <v/>
      </c>
      <c r="Q1102" s="5" t="str">
        <f>IF(L1102="","",IF([1]Inputs_Outputs!$B$5="Herbaceous",(LCA!$E$29*'[1]LOCH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2" s="5" t="str">
        <f>IF(M1102="","",$E$2*1000*'[1]LOCH Calc COE Calc'!$C$44)</f>
        <v/>
      </c>
      <c r="S1102" s="6" t="str">
        <f>IF(N1102="","",SUM(O1102:R1102)/('[1]LOCH Calc COE Calc'!$C$28))</f>
        <v/>
      </c>
      <c r="T1102" t="str">
        <f>IF(L1102="","",O1102/'[1]LOCH Calc COE Calc'!$C$28)</f>
        <v/>
      </c>
      <c r="U1102" t="str">
        <f>IF(L1102="","",P1102/'[1]LOCH Calc COE Calc'!$C$28)</f>
        <v/>
      </c>
      <c r="V1102" t="str">
        <f>IF(L1102="","",Q1102/'[1]LOCH Calc COE Calc'!$C$28)</f>
        <v/>
      </c>
      <c r="W1102" t="str">
        <f>IF(L1102="","",R1102/'[1]LOCH Calc COE Calc'!$C$28)</f>
        <v/>
      </c>
    </row>
    <row r="1103" spans="12:23" x14ac:dyDescent="0.25">
      <c r="L1103" s="4" t="str">
        <f>IF('[1]All Data '!BE1108="","",'[1]All Data '!BE1108)</f>
        <v/>
      </c>
      <c r="M1103" t="str">
        <f>IF('[1]All Data '!BF1108="","",'[1]All Data '!BF1108)</f>
        <v/>
      </c>
      <c r="N1103" s="5" t="str">
        <f>IF('[1]All Data '!BB1108="","",'[1]All Data '!BC1108/'[1]All Data '!BH1108)</f>
        <v/>
      </c>
      <c r="O1103" s="5" t="str">
        <f t="shared" si="19"/>
        <v/>
      </c>
      <c r="P1103" s="5" t="str">
        <f>IF(M1103="","",$C$2*(1-L1103)*907.2/0.621371*N1103*[1]Transportation!$M$40)</f>
        <v/>
      </c>
      <c r="Q1103" s="5" t="str">
        <f>IF(L1103="","",IF([1]Inputs_Outputs!$B$5="Herbaceous",(LCA!$E$29*'[1]LOCH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3" s="5" t="str">
        <f>IF(M1103="","",$E$2*1000*'[1]LOCH Calc COE Calc'!$C$44)</f>
        <v/>
      </c>
      <c r="S1103" s="6" t="str">
        <f>IF(N1103="","",SUM(O1103:R1103)/('[1]LOCH Calc COE Calc'!$C$28))</f>
        <v/>
      </c>
      <c r="T1103" t="str">
        <f>IF(L1103="","",O1103/'[1]LOCH Calc COE Calc'!$C$28)</f>
        <v/>
      </c>
      <c r="U1103" t="str">
        <f>IF(L1103="","",P1103/'[1]LOCH Calc COE Calc'!$C$28)</f>
        <v/>
      </c>
      <c r="V1103" t="str">
        <f>IF(L1103="","",Q1103/'[1]LOCH Calc COE Calc'!$C$28)</f>
        <v/>
      </c>
      <c r="W1103" t="str">
        <f>IF(L1103="","",R1103/'[1]LOCH Calc COE Calc'!$C$28)</f>
        <v/>
      </c>
    </row>
    <row r="1104" spans="12:23" x14ac:dyDescent="0.25">
      <c r="L1104" s="4" t="str">
        <f>IF('[1]All Data '!BE1109="","",'[1]All Data '!BE1109)</f>
        <v/>
      </c>
      <c r="M1104" t="str">
        <f>IF('[1]All Data '!BF1109="","",'[1]All Data '!BF1109)</f>
        <v/>
      </c>
      <c r="N1104" s="5" t="str">
        <f>IF('[1]All Data '!BB1109="","",'[1]All Data '!BC1109/'[1]All Data '!BH1109)</f>
        <v/>
      </c>
      <c r="O1104" s="5" t="str">
        <f t="shared" si="19"/>
        <v/>
      </c>
      <c r="P1104" s="5" t="str">
        <f>IF(M1104="","",$C$2*(1-L1104)*907.2/0.621371*N1104*[1]Transportation!$M$40)</f>
        <v/>
      </c>
      <c r="Q1104" s="5" t="str">
        <f>IF(L1104="","",IF([1]Inputs_Outputs!$B$5="Herbaceous",(LCA!$E$29*'[1]LOCH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4" s="5" t="str">
        <f>IF(M1104="","",$E$2*1000*'[1]LOCH Calc COE Calc'!$C$44)</f>
        <v/>
      </c>
      <c r="S1104" s="6" t="str">
        <f>IF(N1104="","",SUM(O1104:R1104)/('[1]LOCH Calc COE Calc'!$C$28))</f>
        <v/>
      </c>
      <c r="T1104" t="str">
        <f>IF(L1104="","",O1104/'[1]LOCH Calc COE Calc'!$C$28)</f>
        <v/>
      </c>
      <c r="U1104" t="str">
        <f>IF(L1104="","",P1104/'[1]LOCH Calc COE Calc'!$C$28)</f>
        <v/>
      </c>
      <c r="V1104" t="str">
        <f>IF(L1104="","",Q1104/'[1]LOCH Calc COE Calc'!$C$28)</f>
        <v/>
      </c>
      <c r="W1104" t="str">
        <f>IF(L1104="","",R1104/'[1]LOCH Calc COE Calc'!$C$28)</f>
        <v/>
      </c>
    </row>
    <row r="1105" spans="12:23" x14ac:dyDescent="0.25">
      <c r="L1105" s="4" t="str">
        <f>IF('[1]All Data '!BE1110="","",'[1]All Data '!BE1110)</f>
        <v/>
      </c>
      <c r="M1105" t="str">
        <f>IF('[1]All Data '!BF1110="","",'[1]All Data '!BF1110)</f>
        <v/>
      </c>
      <c r="N1105" s="5" t="str">
        <f>IF('[1]All Data '!BB1110="","",'[1]All Data '!BC1110/'[1]All Data '!BH1110)</f>
        <v/>
      </c>
      <c r="O1105" s="5" t="str">
        <f t="shared" si="19"/>
        <v/>
      </c>
      <c r="P1105" s="5" t="str">
        <f>IF(M1105="","",$C$2*(1-L1105)*907.2/0.621371*N1105*[1]Transportation!$M$40)</f>
        <v/>
      </c>
      <c r="Q1105" s="5" t="str">
        <f>IF(L1105="","",IF([1]Inputs_Outputs!$B$5="Herbaceous",(LCA!$E$29*'[1]LOCH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5" s="5" t="str">
        <f>IF(M1105="","",$E$2*1000*'[1]LOCH Calc COE Calc'!$C$44)</f>
        <v/>
      </c>
      <c r="S1105" s="6" t="str">
        <f>IF(N1105="","",SUM(O1105:R1105)/('[1]LOCH Calc COE Calc'!$C$28))</f>
        <v/>
      </c>
      <c r="T1105" t="str">
        <f>IF(L1105="","",O1105/'[1]LOCH Calc COE Calc'!$C$28)</f>
        <v/>
      </c>
      <c r="U1105" t="str">
        <f>IF(L1105="","",P1105/'[1]LOCH Calc COE Calc'!$C$28)</f>
        <v/>
      </c>
      <c r="V1105" t="str">
        <f>IF(L1105="","",Q1105/'[1]LOCH Calc COE Calc'!$C$28)</f>
        <v/>
      </c>
      <c r="W1105" t="str">
        <f>IF(L1105="","",R1105/'[1]LOCH Calc COE Calc'!$C$28)</f>
        <v/>
      </c>
    </row>
    <row r="1106" spans="12:23" x14ac:dyDescent="0.25">
      <c r="L1106" s="4" t="str">
        <f>IF('[1]All Data '!BE1111="","",'[1]All Data '!BE1111)</f>
        <v/>
      </c>
      <c r="M1106" t="str">
        <f>IF('[1]All Data '!BF1111="","",'[1]All Data '!BF1111)</f>
        <v/>
      </c>
      <c r="N1106" s="5" t="str">
        <f>IF('[1]All Data '!BB1111="","",'[1]All Data '!BC1111/'[1]All Data '!BH1111)</f>
        <v/>
      </c>
      <c r="O1106" s="5" t="str">
        <f t="shared" si="19"/>
        <v/>
      </c>
      <c r="P1106" s="5" t="str">
        <f>IF(M1106="","",$C$2*(1-L1106)*907.2/0.621371*N1106*[1]Transportation!$M$40)</f>
        <v/>
      </c>
      <c r="Q1106" s="5" t="str">
        <f>IF(L1106="","",IF([1]Inputs_Outputs!$B$5="Herbaceous",(LCA!$E$29*'[1]LOCH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6" s="5" t="str">
        <f>IF(M1106="","",$E$2*1000*'[1]LOCH Calc COE Calc'!$C$44)</f>
        <v/>
      </c>
      <c r="S1106" s="6" t="str">
        <f>IF(N1106="","",SUM(O1106:R1106)/('[1]LOCH Calc COE Calc'!$C$28))</f>
        <v/>
      </c>
      <c r="T1106" t="str">
        <f>IF(L1106="","",O1106/'[1]LOCH Calc COE Calc'!$C$28)</f>
        <v/>
      </c>
      <c r="U1106" t="str">
        <f>IF(L1106="","",P1106/'[1]LOCH Calc COE Calc'!$C$28)</f>
        <v/>
      </c>
      <c r="V1106" t="str">
        <f>IF(L1106="","",Q1106/'[1]LOCH Calc COE Calc'!$C$28)</f>
        <v/>
      </c>
      <c r="W1106" t="str">
        <f>IF(L1106="","",R1106/'[1]LOCH Calc COE Calc'!$C$28)</f>
        <v/>
      </c>
    </row>
    <row r="1107" spans="12:23" x14ac:dyDescent="0.25">
      <c r="L1107" s="4" t="str">
        <f>IF('[1]All Data '!BE1112="","",'[1]All Data '!BE1112)</f>
        <v/>
      </c>
      <c r="M1107" t="str">
        <f>IF('[1]All Data '!BF1112="","",'[1]All Data '!BF1112)</f>
        <v/>
      </c>
      <c r="N1107" s="5" t="str">
        <f>IF('[1]All Data '!BB1112="","",'[1]All Data '!BC1112/'[1]All Data '!BH1112)</f>
        <v/>
      </c>
      <c r="O1107" s="5" t="str">
        <f t="shared" si="19"/>
        <v/>
      </c>
      <c r="P1107" s="5" t="str">
        <f>IF(M1107="","",$C$2*(1-L1107)*907.2/0.621371*N1107*[1]Transportation!$M$40)</f>
        <v/>
      </c>
      <c r="Q1107" s="5" t="str">
        <f>IF(L1107="","",IF([1]Inputs_Outputs!$B$5="Herbaceous",(LCA!$E$29*'[1]LOCH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7" s="5" t="str">
        <f>IF(M1107="","",$E$2*1000*'[1]LOCH Calc COE Calc'!$C$44)</f>
        <v/>
      </c>
      <c r="S1107" s="6" t="str">
        <f>IF(N1107="","",SUM(O1107:R1107)/('[1]LOCH Calc COE Calc'!$C$28))</f>
        <v/>
      </c>
      <c r="T1107" t="str">
        <f>IF(L1107="","",O1107/'[1]LOCH Calc COE Calc'!$C$28)</f>
        <v/>
      </c>
      <c r="U1107" t="str">
        <f>IF(L1107="","",P1107/'[1]LOCH Calc COE Calc'!$C$28)</f>
        <v/>
      </c>
      <c r="V1107" t="str">
        <f>IF(L1107="","",Q1107/'[1]LOCH Calc COE Calc'!$C$28)</f>
        <v/>
      </c>
      <c r="W1107" t="str">
        <f>IF(L1107="","",R1107/'[1]LOCH Calc COE Calc'!$C$28)</f>
        <v/>
      </c>
    </row>
    <row r="1108" spans="12:23" x14ac:dyDescent="0.25">
      <c r="L1108" s="4" t="str">
        <f>IF('[1]All Data '!BE1113="","",'[1]All Data '!BE1113)</f>
        <v/>
      </c>
      <c r="M1108" t="str">
        <f>IF('[1]All Data '!BF1113="","",'[1]All Data '!BF1113)</f>
        <v/>
      </c>
      <c r="N1108" s="5" t="str">
        <f>IF('[1]All Data '!BB1113="","",'[1]All Data '!BC1113/'[1]All Data '!BH1113)</f>
        <v/>
      </c>
      <c r="O1108" s="5" t="str">
        <f t="shared" si="19"/>
        <v/>
      </c>
      <c r="P1108" s="5" t="str">
        <f>IF(M1108="","",$C$2*(1-L1108)*907.2/0.621371*N1108*[1]Transportation!$M$40)</f>
        <v/>
      </c>
      <c r="Q1108" s="5" t="str">
        <f>IF(L1108="","",IF([1]Inputs_Outputs!$B$5="Herbaceous",(LCA!$E$29*'[1]LOCH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8" s="5" t="str">
        <f>IF(M1108="","",$E$2*1000*'[1]LOCH Calc COE Calc'!$C$44)</f>
        <v/>
      </c>
      <c r="S1108" s="6" t="str">
        <f>IF(N1108="","",SUM(O1108:R1108)/('[1]LOCH Calc COE Calc'!$C$28))</f>
        <v/>
      </c>
      <c r="T1108" t="str">
        <f>IF(L1108="","",O1108/'[1]LOCH Calc COE Calc'!$C$28)</f>
        <v/>
      </c>
      <c r="U1108" t="str">
        <f>IF(L1108="","",P1108/'[1]LOCH Calc COE Calc'!$C$28)</f>
        <v/>
      </c>
      <c r="V1108" t="str">
        <f>IF(L1108="","",Q1108/'[1]LOCH Calc COE Calc'!$C$28)</f>
        <v/>
      </c>
      <c r="W1108" t="str">
        <f>IF(L1108="","",R1108/'[1]LOCH Calc COE Calc'!$C$28)</f>
        <v/>
      </c>
    </row>
    <row r="1109" spans="12:23" x14ac:dyDescent="0.25">
      <c r="L1109" s="4" t="str">
        <f>IF('[1]All Data '!BE1114="","",'[1]All Data '!BE1114)</f>
        <v/>
      </c>
      <c r="M1109" t="str">
        <f>IF('[1]All Data '!BF1114="","",'[1]All Data '!BF1114)</f>
        <v/>
      </c>
      <c r="N1109" s="5" t="str">
        <f>IF('[1]All Data '!BB1114="","",'[1]All Data '!BC1114/'[1]All Data '!BH1114)</f>
        <v/>
      </c>
      <c r="O1109" s="5" t="str">
        <f t="shared" si="19"/>
        <v/>
      </c>
      <c r="P1109" s="5" t="str">
        <f>IF(M1109="","",$C$2*(1-L1109)*907.2/0.621371*N1109*[1]Transportation!$M$40)</f>
        <v/>
      </c>
      <c r="Q1109" s="5" t="str">
        <f>IF(L1109="","",IF([1]Inputs_Outputs!$B$5="Herbaceous",(LCA!$E$29*'[1]LOCH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09" s="5" t="str">
        <f>IF(M1109="","",$E$2*1000*'[1]LOCH Calc COE Calc'!$C$44)</f>
        <v/>
      </c>
      <c r="S1109" s="6" t="str">
        <f>IF(N1109="","",SUM(O1109:R1109)/('[1]LOCH Calc COE Calc'!$C$28))</f>
        <v/>
      </c>
      <c r="T1109" t="str">
        <f>IF(L1109="","",O1109/'[1]LOCH Calc COE Calc'!$C$28)</f>
        <v/>
      </c>
      <c r="U1109" t="str">
        <f>IF(L1109="","",P1109/'[1]LOCH Calc COE Calc'!$C$28)</f>
        <v/>
      </c>
      <c r="V1109" t="str">
        <f>IF(L1109="","",Q1109/'[1]LOCH Calc COE Calc'!$C$28)</f>
        <v/>
      </c>
      <c r="W1109" t="str">
        <f>IF(L1109="","",R1109/'[1]LOCH Calc COE Calc'!$C$28)</f>
        <v/>
      </c>
    </row>
    <row r="1110" spans="12:23" x14ac:dyDescent="0.25">
      <c r="L1110" s="4" t="str">
        <f>IF('[1]All Data '!BE1115="","",'[1]All Data '!BE1115)</f>
        <v/>
      </c>
      <c r="M1110" t="str">
        <f>IF('[1]All Data '!BF1115="","",'[1]All Data '!BF1115)</f>
        <v/>
      </c>
      <c r="N1110" s="5" t="str">
        <f>IF('[1]All Data '!BB1115="","",'[1]All Data '!BC1115/'[1]All Data '!BH1115)</f>
        <v/>
      </c>
      <c r="O1110" s="5" t="str">
        <f t="shared" si="19"/>
        <v/>
      </c>
      <c r="P1110" s="5" t="str">
        <f>IF(M1110="","",$C$2*(1-L1110)*907.2/0.621371*N1110*[1]Transportation!$M$40)</f>
        <v/>
      </c>
      <c r="Q1110" s="5" t="str">
        <f>IF(L1110="","",IF([1]Inputs_Outputs!$B$5="Herbaceous",(LCA!$E$29*'[1]LOCH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0" s="5" t="str">
        <f>IF(M1110="","",$E$2*1000*'[1]LOCH Calc COE Calc'!$C$44)</f>
        <v/>
      </c>
      <c r="S1110" s="6" t="str">
        <f>IF(N1110="","",SUM(O1110:R1110)/('[1]LOCH Calc COE Calc'!$C$28))</f>
        <v/>
      </c>
      <c r="T1110" t="str">
        <f>IF(L1110="","",O1110/'[1]LOCH Calc COE Calc'!$C$28)</f>
        <v/>
      </c>
      <c r="U1110" t="str">
        <f>IF(L1110="","",P1110/'[1]LOCH Calc COE Calc'!$C$28)</f>
        <v/>
      </c>
      <c r="V1110" t="str">
        <f>IF(L1110="","",Q1110/'[1]LOCH Calc COE Calc'!$C$28)</f>
        <v/>
      </c>
      <c r="W1110" t="str">
        <f>IF(L1110="","",R1110/'[1]LOCH Calc COE Calc'!$C$28)</f>
        <v/>
      </c>
    </row>
    <row r="1111" spans="12:23" x14ac:dyDescent="0.25">
      <c r="L1111" s="4" t="str">
        <f>IF('[1]All Data '!BE1116="","",'[1]All Data '!BE1116)</f>
        <v/>
      </c>
      <c r="M1111" t="str">
        <f>IF('[1]All Data '!BF1116="","",'[1]All Data '!BF1116)</f>
        <v/>
      </c>
      <c r="N1111" s="5" t="str">
        <f>IF('[1]All Data '!BB1116="","",'[1]All Data '!BC1116/'[1]All Data '!BH1116)</f>
        <v/>
      </c>
      <c r="O1111" s="5" t="str">
        <f t="shared" si="19"/>
        <v/>
      </c>
      <c r="P1111" s="5" t="str">
        <f>IF(M1111="","",$C$2*(1-L1111)*907.2/0.621371*N1111*[1]Transportation!$M$40)</f>
        <v/>
      </c>
      <c r="Q1111" s="5" t="str">
        <f>IF(L1111="","",IF([1]Inputs_Outputs!$B$5="Herbaceous",(LCA!$E$29*'[1]LOCH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1" s="5" t="str">
        <f>IF(M1111="","",$E$2*1000*'[1]LOCH Calc COE Calc'!$C$44)</f>
        <v/>
      </c>
      <c r="S1111" s="6" t="str">
        <f>IF(N1111="","",SUM(O1111:R1111)/('[1]LOCH Calc COE Calc'!$C$28))</f>
        <v/>
      </c>
      <c r="T1111" t="str">
        <f>IF(L1111="","",O1111/'[1]LOCH Calc COE Calc'!$C$28)</f>
        <v/>
      </c>
      <c r="U1111" t="str">
        <f>IF(L1111="","",P1111/'[1]LOCH Calc COE Calc'!$C$28)</f>
        <v/>
      </c>
      <c r="V1111" t="str">
        <f>IF(L1111="","",Q1111/'[1]LOCH Calc COE Calc'!$C$28)</f>
        <v/>
      </c>
      <c r="W1111" t="str">
        <f>IF(L1111="","",R1111/'[1]LOCH Calc COE Calc'!$C$28)</f>
        <v/>
      </c>
    </row>
    <row r="1112" spans="12:23" x14ac:dyDescent="0.25">
      <c r="L1112" s="4" t="str">
        <f>IF('[1]All Data '!BE1117="","",'[1]All Data '!BE1117)</f>
        <v/>
      </c>
      <c r="M1112" t="str">
        <f>IF('[1]All Data '!BF1117="","",'[1]All Data '!BF1117)</f>
        <v/>
      </c>
      <c r="N1112" s="5" t="str">
        <f>IF('[1]All Data '!BB1117="","",'[1]All Data '!BC1117/'[1]All Data '!BH1117)</f>
        <v/>
      </c>
      <c r="O1112" s="5" t="str">
        <f t="shared" si="19"/>
        <v/>
      </c>
      <c r="P1112" s="5" t="str">
        <f>IF(M1112="","",$C$2*(1-L1112)*907.2/0.621371*N1112*[1]Transportation!$M$40)</f>
        <v/>
      </c>
      <c r="Q1112" s="5" t="str">
        <f>IF(L1112="","",IF([1]Inputs_Outputs!$B$5="Herbaceous",(LCA!$E$29*'[1]LOCH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2" s="5" t="str">
        <f>IF(M1112="","",$E$2*1000*'[1]LOCH Calc COE Calc'!$C$44)</f>
        <v/>
      </c>
      <c r="S1112" s="6" t="str">
        <f>IF(N1112="","",SUM(O1112:R1112)/('[1]LOCH Calc COE Calc'!$C$28))</f>
        <v/>
      </c>
      <c r="T1112" t="str">
        <f>IF(L1112="","",O1112/'[1]LOCH Calc COE Calc'!$C$28)</f>
        <v/>
      </c>
      <c r="U1112" t="str">
        <f>IF(L1112="","",P1112/'[1]LOCH Calc COE Calc'!$C$28)</f>
        <v/>
      </c>
      <c r="V1112" t="str">
        <f>IF(L1112="","",Q1112/'[1]LOCH Calc COE Calc'!$C$28)</f>
        <v/>
      </c>
      <c r="W1112" t="str">
        <f>IF(L1112="","",R1112/'[1]LOCH Calc COE Calc'!$C$28)</f>
        <v/>
      </c>
    </row>
    <row r="1113" spans="12:23" x14ac:dyDescent="0.25">
      <c r="L1113" s="4" t="str">
        <f>IF('[1]All Data '!BE1118="","",'[1]All Data '!BE1118)</f>
        <v/>
      </c>
      <c r="M1113" t="str">
        <f>IF('[1]All Data '!BF1118="","",'[1]All Data '!BF1118)</f>
        <v/>
      </c>
      <c r="N1113" s="5" t="str">
        <f>IF('[1]All Data '!BB1118="","",'[1]All Data '!BC1118/'[1]All Data '!BH1118)</f>
        <v/>
      </c>
      <c r="O1113" s="5" t="str">
        <f t="shared" si="19"/>
        <v/>
      </c>
      <c r="P1113" s="5" t="str">
        <f>IF(M1113="","",$C$2*(1-L1113)*907.2/0.621371*N1113*[1]Transportation!$M$40)</f>
        <v/>
      </c>
      <c r="Q1113" s="5" t="str">
        <f>IF(L1113="","",IF([1]Inputs_Outputs!$B$5="Herbaceous",(LCA!$E$29*'[1]LOCH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3" s="5" t="str">
        <f>IF(M1113="","",$E$2*1000*'[1]LOCH Calc COE Calc'!$C$44)</f>
        <v/>
      </c>
      <c r="S1113" s="6" t="str">
        <f>IF(N1113="","",SUM(O1113:R1113)/('[1]LOCH Calc COE Calc'!$C$28))</f>
        <v/>
      </c>
      <c r="T1113" t="str">
        <f>IF(L1113="","",O1113/'[1]LOCH Calc COE Calc'!$C$28)</f>
        <v/>
      </c>
      <c r="U1113" t="str">
        <f>IF(L1113="","",P1113/'[1]LOCH Calc COE Calc'!$C$28)</f>
        <v/>
      </c>
      <c r="V1113" t="str">
        <f>IF(L1113="","",Q1113/'[1]LOCH Calc COE Calc'!$C$28)</f>
        <v/>
      </c>
      <c r="W1113" t="str">
        <f>IF(L1113="","",R1113/'[1]LOCH Calc COE Calc'!$C$28)</f>
        <v/>
      </c>
    </row>
    <row r="1114" spans="12:23" x14ac:dyDescent="0.25">
      <c r="L1114" s="4" t="str">
        <f>IF('[1]All Data '!BE1119="","",'[1]All Data '!BE1119)</f>
        <v/>
      </c>
      <c r="M1114" t="str">
        <f>IF('[1]All Data '!BF1119="","",'[1]All Data '!BF1119)</f>
        <v/>
      </c>
      <c r="N1114" s="5" t="str">
        <f>IF('[1]All Data '!BB1119="","",'[1]All Data '!BC1119/'[1]All Data '!BH1119)</f>
        <v/>
      </c>
      <c r="O1114" s="5" t="str">
        <f t="shared" si="19"/>
        <v/>
      </c>
      <c r="P1114" s="5" t="str">
        <f>IF(M1114="","",$C$2*(1-L1114)*907.2/0.621371*N1114*[1]Transportation!$M$40)</f>
        <v/>
      </c>
      <c r="Q1114" s="5" t="str">
        <f>IF(L1114="","",IF([1]Inputs_Outputs!$B$5="Herbaceous",(LCA!$E$29*'[1]LOCH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4" s="5" t="str">
        <f>IF(M1114="","",$E$2*1000*'[1]LOCH Calc COE Calc'!$C$44)</f>
        <v/>
      </c>
      <c r="S1114" s="6" t="str">
        <f>IF(N1114="","",SUM(O1114:R1114)/('[1]LOCH Calc COE Calc'!$C$28))</f>
        <v/>
      </c>
      <c r="T1114" t="str">
        <f>IF(L1114="","",O1114/'[1]LOCH Calc COE Calc'!$C$28)</f>
        <v/>
      </c>
      <c r="U1114" t="str">
        <f>IF(L1114="","",P1114/'[1]LOCH Calc COE Calc'!$C$28)</f>
        <v/>
      </c>
      <c r="V1114" t="str">
        <f>IF(L1114="","",Q1114/'[1]LOCH Calc COE Calc'!$C$28)</f>
        <v/>
      </c>
      <c r="W1114" t="str">
        <f>IF(L1114="","",R1114/'[1]LOCH Calc COE Calc'!$C$28)</f>
        <v/>
      </c>
    </row>
    <row r="1115" spans="12:23" x14ac:dyDescent="0.25">
      <c r="L1115" s="4" t="str">
        <f>IF('[1]All Data '!BE1120="","",'[1]All Data '!BE1120)</f>
        <v/>
      </c>
      <c r="M1115" t="str">
        <f>IF('[1]All Data '!BF1120="","",'[1]All Data '!BF1120)</f>
        <v/>
      </c>
      <c r="N1115" s="5" t="str">
        <f>IF('[1]All Data '!BB1120="","",'[1]All Data '!BC1120/'[1]All Data '!BH1120)</f>
        <v/>
      </c>
      <c r="O1115" s="5" t="str">
        <f t="shared" si="19"/>
        <v/>
      </c>
      <c r="P1115" s="5" t="str">
        <f>IF(M1115="","",$C$2*(1-L1115)*907.2/0.621371*N1115*[1]Transportation!$M$40)</f>
        <v/>
      </c>
      <c r="Q1115" s="5" t="str">
        <f>IF(L1115="","",IF([1]Inputs_Outputs!$B$5="Herbaceous",(LCA!$E$29*'[1]LOCH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5" s="5" t="str">
        <f>IF(M1115="","",$E$2*1000*'[1]LOCH Calc COE Calc'!$C$44)</f>
        <v/>
      </c>
      <c r="S1115" s="6" t="str">
        <f>IF(N1115="","",SUM(O1115:R1115)/('[1]LOCH Calc COE Calc'!$C$28))</f>
        <v/>
      </c>
      <c r="T1115" t="str">
        <f>IF(L1115="","",O1115/'[1]LOCH Calc COE Calc'!$C$28)</f>
        <v/>
      </c>
      <c r="U1115" t="str">
        <f>IF(L1115="","",P1115/'[1]LOCH Calc COE Calc'!$C$28)</f>
        <v/>
      </c>
      <c r="V1115" t="str">
        <f>IF(L1115="","",Q1115/'[1]LOCH Calc COE Calc'!$C$28)</f>
        <v/>
      </c>
      <c r="W1115" t="str">
        <f>IF(L1115="","",R1115/'[1]LOCH Calc COE Calc'!$C$28)</f>
        <v/>
      </c>
    </row>
    <row r="1116" spans="12:23" x14ac:dyDescent="0.25">
      <c r="L1116" s="4" t="str">
        <f>IF('[1]All Data '!BE1121="","",'[1]All Data '!BE1121)</f>
        <v/>
      </c>
      <c r="M1116" t="str">
        <f>IF('[1]All Data '!BF1121="","",'[1]All Data '!BF1121)</f>
        <v/>
      </c>
      <c r="N1116" s="5" t="str">
        <f>IF('[1]All Data '!BB1121="","",'[1]All Data '!BC1121/'[1]All Data '!BH1121)</f>
        <v/>
      </c>
      <c r="O1116" s="5" t="str">
        <f t="shared" si="19"/>
        <v/>
      </c>
      <c r="P1116" s="5" t="str">
        <f>IF(M1116="","",$C$2*(1-L1116)*907.2/0.621371*N1116*[1]Transportation!$M$40)</f>
        <v/>
      </c>
      <c r="Q1116" s="5" t="str">
        <f>IF(L1116="","",IF([1]Inputs_Outputs!$B$5="Herbaceous",(LCA!$E$29*'[1]LOCH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6" s="5" t="str">
        <f>IF(M1116="","",$E$2*1000*'[1]LOCH Calc COE Calc'!$C$44)</f>
        <v/>
      </c>
      <c r="S1116" s="6" t="str">
        <f>IF(N1116="","",SUM(O1116:R1116)/('[1]LOCH Calc COE Calc'!$C$28))</f>
        <v/>
      </c>
      <c r="T1116" t="str">
        <f>IF(L1116="","",O1116/'[1]LOCH Calc COE Calc'!$C$28)</f>
        <v/>
      </c>
      <c r="U1116" t="str">
        <f>IF(L1116="","",P1116/'[1]LOCH Calc COE Calc'!$C$28)</f>
        <v/>
      </c>
      <c r="V1116" t="str">
        <f>IF(L1116="","",Q1116/'[1]LOCH Calc COE Calc'!$C$28)</f>
        <v/>
      </c>
      <c r="W1116" t="str">
        <f>IF(L1116="","",R1116/'[1]LOCH Calc COE Calc'!$C$28)</f>
        <v/>
      </c>
    </row>
    <row r="1117" spans="12:23" x14ac:dyDescent="0.25">
      <c r="L1117" s="4" t="str">
        <f>IF('[1]All Data '!BE1122="","",'[1]All Data '!BE1122)</f>
        <v/>
      </c>
      <c r="M1117" t="str">
        <f>IF('[1]All Data '!BF1122="","",'[1]All Data '!BF1122)</f>
        <v/>
      </c>
      <c r="N1117" s="5" t="str">
        <f>IF('[1]All Data '!BB1122="","",'[1]All Data '!BC1122/'[1]All Data '!BH1122)</f>
        <v/>
      </c>
      <c r="O1117" s="5" t="str">
        <f t="shared" si="19"/>
        <v/>
      </c>
      <c r="P1117" s="5" t="str">
        <f>IF(M1117="","",$C$2*(1-L1117)*907.2/0.621371*N1117*[1]Transportation!$M$40)</f>
        <v/>
      </c>
      <c r="Q1117" s="5" t="str">
        <f>IF(L1117="","",IF([1]Inputs_Outputs!$B$5="Herbaceous",(LCA!$E$29*'[1]LOCH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7" s="5" t="str">
        <f>IF(M1117="","",$E$2*1000*'[1]LOCH Calc COE Calc'!$C$44)</f>
        <v/>
      </c>
      <c r="S1117" s="6" t="str">
        <f>IF(N1117="","",SUM(O1117:R1117)/('[1]LOCH Calc COE Calc'!$C$28))</f>
        <v/>
      </c>
      <c r="T1117" t="str">
        <f>IF(L1117="","",O1117/'[1]LOCH Calc COE Calc'!$C$28)</f>
        <v/>
      </c>
      <c r="U1117" t="str">
        <f>IF(L1117="","",P1117/'[1]LOCH Calc COE Calc'!$C$28)</f>
        <v/>
      </c>
      <c r="V1117" t="str">
        <f>IF(L1117="","",Q1117/'[1]LOCH Calc COE Calc'!$C$28)</f>
        <v/>
      </c>
      <c r="W1117" t="str">
        <f>IF(L1117="","",R1117/'[1]LOCH Calc COE Calc'!$C$28)</f>
        <v/>
      </c>
    </row>
    <row r="1118" spans="12:23" x14ac:dyDescent="0.25">
      <c r="L1118" s="4" t="str">
        <f>IF('[1]All Data '!BE1123="","",'[1]All Data '!BE1123)</f>
        <v/>
      </c>
      <c r="M1118" t="str">
        <f>IF('[1]All Data '!BF1123="","",'[1]All Data '!BF1123)</f>
        <v/>
      </c>
      <c r="N1118" s="5" t="str">
        <f>IF('[1]All Data '!BB1123="","",'[1]All Data '!BC1123/'[1]All Data '!BH1123)</f>
        <v/>
      </c>
      <c r="O1118" s="5" t="str">
        <f t="shared" si="19"/>
        <v/>
      </c>
      <c r="P1118" s="5" t="str">
        <f>IF(M1118="","",$C$2*(1-L1118)*907.2/0.621371*N1118*[1]Transportation!$M$40)</f>
        <v/>
      </c>
      <c r="Q1118" s="5" t="str">
        <f>IF(L1118="","",IF([1]Inputs_Outputs!$B$5="Herbaceous",(LCA!$E$29*'[1]LOCH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8" s="5" t="str">
        <f>IF(M1118="","",$E$2*1000*'[1]LOCH Calc COE Calc'!$C$44)</f>
        <v/>
      </c>
      <c r="S1118" s="6" t="str">
        <f>IF(N1118="","",SUM(O1118:R1118)/('[1]LOCH Calc COE Calc'!$C$28))</f>
        <v/>
      </c>
      <c r="T1118" t="str">
        <f>IF(L1118="","",O1118/'[1]LOCH Calc COE Calc'!$C$28)</f>
        <v/>
      </c>
      <c r="U1118" t="str">
        <f>IF(L1118="","",P1118/'[1]LOCH Calc COE Calc'!$C$28)</f>
        <v/>
      </c>
      <c r="V1118" t="str">
        <f>IF(L1118="","",Q1118/'[1]LOCH Calc COE Calc'!$C$28)</f>
        <v/>
      </c>
      <c r="W1118" t="str">
        <f>IF(L1118="","",R1118/'[1]LOCH Calc COE Calc'!$C$28)</f>
        <v/>
      </c>
    </row>
    <row r="1119" spans="12:23" x14ac:dyDescent="0.25">
      <c r="L1119" s="4" t="str">
        <f>IF('[1]All Data '!BE1124="","",'[1]All Data '!BE1124)</f>
        <v/>
      </c>
      <c r="M1119" t="str">
        <f>IF('[1]All Data '!BF1124="","",'[1]All Data '!BF1124)</f>
        <v/>
      </c>
      <c r="N1119" s="5" t="str">
        <f>IF('[1]All Data '!BB1124="","",'[1]All Data '!BC1124/'[1]All Data '!BH1124)</f>
        <v/>
      </c>
      <c r="O1119" s="5" t="str">
        <f t="shared" si="19"/>
        <v/>
      </c>
      <c r="P1119" s="5" t="str">
        <f>IF(M1119="","",$C$2*(1-L1119)*907.2/0.621371*N1119*[1]Transportation!$M$40)</f>
        <v/>
      </c>
      <c r="Q1119" s="5" t="str">
        <f>IF(L1119="","",IF([1]Inputs_Outputs!$B$5="Herbaceous",(LCA!$E$29*'[1]LOCH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19" s="5" t="str">
        <f>IF(M1119="","",$E$2*1000*'[1]LOCH Calc COE Calc'!$C$44)</f>
        <v/>
      </c>
      <c r="S1119" s="6" t="str">
        <f>IF(N1119="","",SUM(O1119:R1119)/('[1]LOCH Calc COE Calc'!$C$28))</f>
        <v/>
      </c>
      <c r="T1119" t="str">
        <f>IF(L1119="","",O1119/'[1]LOCH Calc COE Calc'!$C$28)</f>
        <v/>
      </c>
      <c r="U1119" t="str">
        <f>IF(L1119="","",P1119/'[1]LOCH Calc COE Calc'!$C$28)</f>
        <v/>
      </c>
      <c r="V1119" t="str">
        <f>IF(L1119="","",Q1119/'[1]LOCH Calc COE Calc'!$C$28)</f>
        <v/>
      </c>
      <c r="W1119" t="str">
        <f>IF(L1119="","",R1119/'[1]LOCH Calc COE Calc'!$C$28)</f>
        <v/>
      </c>
    </row>
    <row r="1120" spans="12:23" x14ac:dyDescent="0.25">
      <c r="L1120" s="4" t="str">
        <f>IF('[1]All Data '!BE1125="","",'[1]All Data '!BE1125)</f>
        <v/>
      </c>
      <c r="M1120" t="str">
        <f>IF('[1]All Data '!BF1125="","",'[1]All Data '!BF1125)</f>
        <v/>
      </c>
      <c r="N1120" s="5" t="str">
        <f>IF('[1]All Data '!BB1125="","",'[1]All Data '!BC1125/'[1]All Data '!BH1125)</f>
        <v/>
      </c>
      <c r="O1120" s="5" t="str">
        <f t="shared" si="19"/>
        <v/>
      </c>
      <c r="P1120" s="5" t="str">
        <f>IF(M1120="","",$C$2*(1-L1120)*907.2/0.621371*N1120*[1]Transportation!$M$40)</f>
        <v/>
      </c>
      <c r="Q1120" s="5" t="str">
        <f>IF(L1120="","",IF([1]Inputs_Outputs!$B$5="Herbaceous",(LCA!$E$29*'[1]LOCH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0" s="5" t="str">
        <f>IF(M1120="","",$E$2*1000*'[1]LOCH Calc COE Calc'!$C$44)</f>
        <v/>
      </c>
      <c r="S1120" s="6" t="str">
        <f>IF(N1120="","",SUM(O1120:R1120)/('[1]LOCH Calc COE Calc'!$C$28))</f>
        <v/>
      </c>
      <c r="T1120" t="str">
        <f>IF(L1120="","",O1120/'[1]LOCH Calc COE Calc'!$C$28)</f>
        <v/>
      </c>
      <c r="U1120" t="str">
        <f>IF(L1120="","",P1120/'[1]LOCH Calc COE Calc'!$C$28)</f>
        <v/>
      </c>
      <c r="V1120" t="str">
        <f>IF(L1120="","",Q1120/'[1]LOCH Calc COE Calc'!$C$28)</f>
        <v/>
      </c>
      <c r="W1120" t="str">
        <f>IF(L1120="","",R1120/'[1]LOCH Calc COE Calc'!$C$28)</f>
        <v/>
      </c>
    </row>
    <row r="1121" spans="12:23" x14ac:dyDescent="0.25">
      <c r="L1121" s="4" t="str">
        <f>IF('[1]All Data '!BE1126="","",'[1]All Data '!BE1126)</f>
        <v/>
      </c>
      <c r="M1121" t="str">
        <f>IF('[1]All Data '!BF1126="","",'[1]All Data '!BF1126)</f>
        <v/>
      </c>
      <c r="N1121" s="5" t="str">
        <f>IF('[1]All Data '!BB1126="","",'[1]All Data '!BC1126/'[1]All Data '!BH1126)</f>
        <v/>
      </c>
      <c r="O1121" s="5" t="str">
        <f t="shared" si="19"/>
        <v/>
      </c>
      <c r="P1121" s="5" t="str">
        <f>IF(M1121="","",$C$2*(1-L1121)*907.2/0.621371*N1121*[1]Transportation!$M$40)</f>
        <v/>
      </c>
      <c r="Q1121" s="5" t="str">
        <f>IF(L1121="","",IF([1]Inputs_Outputs!$B$5="Herbaceous",(LCA!$E$29*'[1]LOCH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1" s="5" t="str">
        <f>IF(M1121="","",$E$2*1000*'[1]LOCH Calc COE Calc'!$C$44)</f>
        <v/>
      </c>
      <c r="S1121" s="6" t="str">
        <f>IF(N1121="","",SUM(O1121:R1121)/('[1]LOCH Calc COE Calc'!$C$28))</f>
        <v/>
      </c>
      <c r="T1121" t="str">
        <f>IF(L1121="","",O1121/'[1]LOCH Calc COE Calc'!$C$28)</f>
        <v/>
      </c>
      <c r="U1121" t="str">
        <f>IF(L1121="","",P1121/'[1]LOCH Calc COE Calc'!$C$28)</f>
        <v/>
      </c>
      <c r="V1121" t="str">
        <f>IF(L1121="","",Q1121/'[1]LOCH Calc COE Calc'!$C$28)</f>
        <v/>
      </c>
      <c r="W1121" t="str">
        <f>IF(L1121="","",R1121/'[1]LOCH Calc COE Calc'!$C$28)</f>
        <v/>
      </c>
    </row>
    <row r="1122" spans="12:23" x14ac:dyDescent="0.25">
      <c r="L1122" s="4" t="str">
        <f>IF('[1]All Data '!BE1127="","",'[1]All Data '!BE1127)</f>
        <v/>
      </c>
      <c r="M1122" t="str">
        <f>IF('[1]All Data '!BF1127="","",'[1]All Data '!BF1127)</f>
        <v/>
      </c>
      <c r="N1122" s="5" t="str">
        <f>IF('[1]All Data '!BB1127="","",'[1]All Data '!BC1127/'[1]All Data '!BH1127)</f>
        <v/>
      </c>
      <c r="O1122" s="5" t="str">
        <f t="shared" si="19"/>
        <v/>
      </c>
      <c r="P1122" s="5" t="str">
        <f>IF(M1122="","",$C$2*(1-L1122)*907.2/0.621371*N1122*[1]Transportation!$M$40)</f>
        <v/>
      </c>
      <c r="Q1122" s="5" t="str">
        <f>IF(L1122="","",IF([1]Inputs_Outputs!$B$5="Herbaceous",(LCA!$E$29*'[1]LOCH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2" s="5" t="str">
        <f>IF(M1122="","",$E$2*1000*'[1]LOCH Calc COE Calc'!$C$44)</f>
        <v/>
      </c>
      <c r="S1122" s="6" t="str">
        <f>IF(N1122="","",SUM(O1122:R1122)/('[1]LOCH Calc COE Calc'!$C$28))</f>
        <v/>
      </c>
      <c r="T1122" t="str">
        <f>IF(L1122="","",O1122/'[1]LOCH Calc COE Calc'!$C$28)</f>
        <v/>
      </c>
      <c r="U1122" t="str">
        <f>IF(L1122="","",P1122/'[1]LOCH Calc COE Calc'!$C$28)</f>
        <v/>
      </c>
      <c r="V1122" t="str">
        <f>IF(L1122="","",Q1122/'[1]LOCH Calc COE Calc'!$C$28)</f>
        <v/>
      </c>
      <c r="W1122" t="str">
        <f>IF(L1122="","",R1122/'[1]LOCH Calc COE Calc'!$C$28)</f>
        <v/>
      </c>
    </row>
    <row r="1123" spans="12:23" x14ac:dyDescent="0.25">
      <c r="L1123" s="4" t="str">
        <f>IF('[1]All Data '!BE1128="","",'[1]All Data '!BE1128)</f>
        <v/>
      </c>
      <c r="M1123" t="str">
        <f>IF('[1]All Data '!BF1128="","",'[1]All Data '!BF1128)</f>
        <v/>
      </c>
      <c r="N1123" s="5" t="str">
        <f>IF('[1]All Data '!BB1128="","",'[1]All Data '!BC1128/'[1]All Data '!BH1128)</f>
        <v/>
      </c>
      <c r="O1123" s="5" t="str">
        <f t="shared" si="19"/>
        <v/>
      </c>
      <c r="P1123" s="5" t="str">
        <f>IF(M1123="","",$C$2*(1-L1123)*907.2/0.621371*N1123*[1]Transportation!$M$40)</f>
        <v/>
      </c>
      <c r="Q1123" s="5" t="str">
        <f>IF(L1123="","",IF([1]Inputs_Outputs!$B$5="Herbaceous",(LCA!$E$29*'[1]LOCH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3" s="5" t="str">
        <f>IF(M1123="","",$E$2*1000*'[1]LOCH Calc COE Calc'!$C$44)</f>
        <v/>
      </c>
      <c r="S1123" s="6" t="str">
        <f>IF(N1123="","",SUM(O1123:R1123)/('[1]LOCH Calc COE Calc'!$C$28))</f>
        <v/>
      </c>
      <c r="T1123" t="str">
        <f>IF(L1123="","",O1123/'[1]LOCH Calc COE Calc'!$C$28)</f>
        <v/>
      </c>
      <c r="U1123" t="str">
        <f>IF(L1123="","",P1123/'[1]LOCH Calc COE Calc'!$C$28)</f>
        <v/>
      </c>
      <c r="V1123" t="str">
        <f>IF(L1123="","",Q1123/'[1]LOCH Calc COE Calc'!$C$28)</f>
        <v/>
      </c>
      <c r="W1123" t="str">
        <f>IF(L1123="","",R1123/'[1]LOCH Calc COE Calc'!$C$28)</f>
        <v/>
      </c>
    </row>
    <row r="1124" spans="12:23" x14ac:dyDescent="0.25">
      <c r="L1124" s="4" t="str">
        <f>IF('[1]All Data '!BE1129="","",'[1]All Data '!BE1129)</f>
        <v/>
      </c>
      <c r="M1124" t="str">
        <f>IF('[1]All Data '!BF1129="","",'[1]All Data '!BF1129)</f>
        <v/>
      </c>
      <c r="N1124" s="5" t="str">
        <f>IF('[1]All Data '!BB1129="","",'[1]All Data '!BC1129/'[1]All Data '!BH1129)</f>
        <v/>
      </c>
      <c r="O1124" s="5" t="str">
        <f t="shared" si="19"/>
        <v/>
      </c>
      <c r="P1124" s="5" t="str">
        <f>IF(M1124="","",$C$2*(1-L1124)*907.2/0.621371*N1124*[1]Transportation!$M$40)</f>
        <v/>
      </c>
      <c r="Q1124" s="5" t="str">
        <f>IF(L1124="","",IF([1]Inputs_Outputs!$B$5="Herbaceous",(LCA!$E$29*'[1]LOCH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4" s="5" t="str">
        <f>IF(M1124="","",$E$2*1000*'[1]LOCH Calc COE Calc'!$C$44)</f>
        <v/>
      </c>
      <c r="S1124" s="6" t="str">
        <f>IF(N1124="","",SUM(O1124:R1124)/('[1]LOCH Calc COE Calc'!$C$28))</f>
        <v/>
      </c>
      <c r="T1124" t="str">
        <f>IF(L1124="","",O1124/'[1]LOCH Calc COE Calc'!$C$28)</f>
        <v/>
      </c>
      <c r="U1124" t="str">
        <f>IF(L1124="","",P1124/'[1]LOCH Calc COE Calc'!$C$28)</f>
        <v/>
      </c>
      <c r="V1124" t="str">
        <f>IF(L1124="","",Q1124/'[1]LOCH Calc COE Calc'!$C$28)</f>
        <v/>
      </c>
      <c r="W1124" t="str">
        <f>IF(L1124="","",R1124/'[1]LOCH Calc COE Calc'!$C$28)</f>
        <v/>
      </c>
    </row>
    <row r="1125" spans="12:23" x14ac:dyDescent="0.25">
      <c r="L1125" s="4" t="str">
        <f>IF('[1]All Data '!BE1130="","",'[1]All Data '!BE1130)</f>
        <v/>
      </c>
      <c r="M1125" t="str">
        <f>IF('[1]All Data '!BF1130="","",'[1]All Data '!BF1130)</f>
        <v/>
      </c>
      <c r="N1125" s="5" t="str">
        <f>IF('[1]All Data '!BB1130="","",'[1]All Data '!BC1130/'[1]All Data '!BH1130)</f>
        <v/>
      </c>
      <c r="O1125" s="5" t="str">
        <f t="shared" si="19"/>
        <v/>
      </c>
      <c r="P1125" s="5" t="str">
        <f>IF(M1125="","",$C$2*(1-L1125)*907.2/0.621371*N1125*[1]Transportation!$M$40)</f>
        <v/>
      </c>
      <c r="Q1125" s="5" t="str">
        <f>IF(L1125="","",IF([1]Inputs_Outputs!$B$5="Herbaceous",(LCA!$E$29*'[1]LOCH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5" s="5" t="str">
        <f>IF(M1125="","",$E$2*1000*'[1]LOCH Calc COE Calc'!$C$44)</f>
        <v/>
      </c>
      <c r="S1125" s="6" t="str">
        <f>IF(N1125="","",SUM(O1125:R1125)/('[1]LOCH Calc COE Calc'!$C$28))</f>
        <v/>
      </c>
      <c r="T1125" t="str">
        <f>IF(L1125="","",O1125/'[1]LOCH Calc COE Calc'!$C$28)</f>
        <v/>
      </c>
      <c r="U1125" t="str">
        <f>IF(L1125="","",P1125/'[1]LOCH Calc COE Calc'!$C$28)</f>
        <v/>
      </c>
      <c r="V1125" t="str">
        <f>IF(L1125="","",Q1125/'[1]LOCH Calc COE Calc'!$C$28)</f>
        <v/>
      </c>
      <c r="W1125" t="str">
        <f>IF(L1125="","",R1125/'[1]LOCH Calc COE Calc'!$C$28)</f>
        <v/>
      </c>
    </row>
    <row r="1126" spans="12:23" x14ac:dyDescent="0.25">
      <c r="L1126" s="4" t="str">
        <f>IF('[1]All Data '!BE1131="","",'[1]All Data '!BE1131)</f>
        <v/>
      </c>
      <c r="M1126" t="str">
        <f>IF('[1]All Data '!BF1131="","",'[1]All Data '!BF1131)</f>
        <v/>
      </c>
      <c r="N1126" s="5" t="str">
        <f>IF('[1]All Data '!BB1131="","",'[1]All Data '!BC1131/'[1]All Data '!BH1131)</f>
        <v/>
      </c>
      <c r="O1126" s="5" t="str">
        <f t="shared" si="19"/>
        <v/>
      </c>
      <c r="P1126" s="5" t="str">
        <f>IF(M1126="","",$C$2*(1-L1126)*907.2/0.621371*N1126*[1]Transportation!$M$40)</f>
        <v/>
      </c>
      <c r="Q1126" s="5" t="str">
        <f>IF(L1126="","",IF([1]Inputs_Outputs!$B$5="Herbaceous",(LCA!$E$29*'[1]LOCH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6" s="5" t="str">
        <f>IF(M1126="","",$E$2*1000*'[1]LOCH Calc COE Calc'!$C$44)</f>
        <v/>
      </c>
      <c r="S1126" s="6" t="str">
        <f>IF(N1126="","",SUM(O1126:R1126)/('[1]LOCH Calc COE Calc'!$C$28))</f>
        <v/>
      </c>
      <c r="T1126" t="str">
        <f>IF(L1126="","",O1126/'[1]LOCH Calc COE Calc'!$C$28)</f>
        <v/>
      </c>
      <c r="U1126" t="str">
        <f>IF(L1126="","",P1126/'[1]LOCH Calc COE Calc'!$C$28)</f>
        <v/>
      </c>
      <c r="V1126" t="str">
        <f>IF(L1126="","",Q1126/'[1]LOCH Calc COE Calc'!$C$28)</f>
        <v/>
      </c>
      <c r="W1126" t="str">
        <f>IF(L1126="","",R1126/'[1]LOCH Calc COE Calc'!$C$28)</f>
        <v/>
      </c>
    </row>
    <row r="1127" spans="12:23" x14ac:dyDescent="0.25">
      <c r="L1127" s="4" t="str">
        <f>IF('[1]All Data '!BE1132="","",'[1]All Data '!BE1132)</f>
        <v/>
      </c>
      <c r="M1127" t="str">
        <f>IF('[1]All Data '!BF1132="","",'[1]All Data '!BF1132)</f>
        <v/>
      </c>
      <c r="N1127" s="5" t="str">
        <f>IF('[1]All Data '!BB1132="","",'[1]All Data '!BC1132/'[1]All Data '!BH1132)</f>
        <v/>
      </c>
      <c r="O1127" s="5" t="str">
        <f t="shared" si="19"/>
        <v/>
      </c>
      <c r="P1127" s="5" t="str">
        <f>IF(M1127="","",$C$2*(1-L1127)*907.2/0.621371*N1127*[1]Transportation!$M$40)</f>
        <v/>
      </c>
      <c r="Q1127" s="5" t="str">
        <f>IF(L1127="","",IF([1]Inputs_Outputs!$B$5="Herbaceous",(LCA!$E$29*'[1]LOCH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7" s="5" t="str">
        <f>IF(M1127="","",$E$2*1000*'[1]LOCH Calc COE Calc'!$C$44)</f>
        <v/>
      </c>
      <c r="S1127" s="6" t="str">
        <f>IF(N1127="","",SUM(O1127:R1127)/('[1]LOCH Calc COE Calc'!$C$28))</f>
        <v/>
      </c>
      <c r="T1127" t="str">
        <f>IF(L1127="","",O1127/'[1]LOCH Calc COE Calc'!$C$28)</f>
        <v/>
      </c>
      <c r="U1127" t="str">
        <f>IF(L1127="","",P1127/'[1]LOCH Calc COE Calc'!$C$28)</f>
        <v/>
      </c>
      <c r="V1127" t="str">
        <f>IF(L1127="","",Q1127/'[1]LOCH Calc COE Calc'!$C$28)</f>
        <v/>
      </c>
      <c r="W1127" t="str">
        <f>IF(L1127="","",R1127/'[1]LOCH Calc COE Calc'!$C$28)</f>
        <v/>
      </c>
    </row>
    <row r="1128" spans="12:23" x14ac:dyDescent="0.25">
      <c r="L1128" s="4" t="str">
        <f>IF('[1]All Data '!BE1133="","",'[1]All Data '!BE1133)</f>
        <v/>
      </c>
      <c r="M1128" t="str">
        <f>IF('[1]All Data '!BF1133="","",'[1]All Data '!BF1133)</f>
        <v/>
      </c>
      <c r="N1128" s="5" t="str">
        <f>IF('[1]All Data '!BB1133="","",'[1]All Data '!BC1133/'[1]All Data '!BH1133)</f>
        <v/>
      </c>
      <c r="O1128" s="5" t="str">
        <f t="shared" si="19"/>
        <v/>
      </c>
      <c r="P1128" s="5" t="str">
        <f>IF(M1128="","",$C$2*(1-L1128)*907.2/0.621371*N1128*[1]Transportation!$M$40)</f>
        <v/>
      </c>
      <c r="Q1128" s="5" t="str">
        <f>IF(L1128="","",IF([1]Inputs_Outputs!$B$5="Herbaceous",(LCA!$E$29*'[1]LOCH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8" s="5" t="str">
        <f>IF(M1128="","",$E$2*1000*'[1]LOCH Calc COE Calc'!$C$44)</f>
        <v/>
      </c>
      <c r="S1128" s="6" t="str">
        <f>IF(N1128="","",SUM(O1128:R1128)/('[1]LOCH Calc COE Calc'!$C$28))</f>
        <v/>
      </c>
      <c r="T1128" t="str">
        <f>IF(L1128="","",O1128/'[1]LOCH Calc COE Calc'!$C$28)</f>
        <v/>
      </c>
      <c r="U1128" t="str">
        <f>IF(L1128="","",P1128/'[1]LOCH Calc COE Calc'!$C$28)</f>
        <v/>
      </c>
      <c r="V1128" t="str">
        <f>IF(L1128="","",Q1128/'[1]LOCH Calc COE Calc'!$C$28)</f>
        <v/>
      </c>
      <c r="W1128" t="str">
        <f>IF(L1128="","",R1128/'[1]LOCH Calc COE Calc'!$C$28)</f>
        <v/>
      </c>
    </row>
    <row r="1129" spans="12:23" x14ac:dyDescent="0.25">
      <c r="L1129" s="4" t="str">
        <f>IF('[1]All Data '!BE1134="","",'[1]All Data '!BE1134)</f>
        <v/>
      </c>
      <c r="M1129" t="str">
        <f>IF('[1]All Data '!BF1134="","",'[1]All Data '!BF1134)</f>
        <v/>
      </c>
      <c r="N1129" s="5" t="str">
        <f>IF('[1]All Data '!BB1134="","",'[1]All Data '!BC1134/'[1]All Data '!BH1134)</f>
        <v/>
      </c>
      <c r="O1129" s="5" t="str">
        <f t="shared" si="19"/>
        <v/>
      </c>
      <c r="P1129" s="5" t="str">
        <f>IF(M1129="","",$C$2*(1-L1129)*907.2/0.621371*N1129*[1]Transportation!$M$40)</f>
        <v/>
      </c>
      <c r="Q1129" s="5" t="str">
        <f>IF(L1129="","",IF([1]Inputs_Outputs!$B$5="Herbaceous",(LCA!$E$29*'[1]LOCH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29" s="5" t="str">
        <f>IF(M1129="","",$E$2*1000*'[1]LOCH Calc COE Calc'!$C$44)</f>
        <v/>
      </c>
      <c r="S1129" s="6" t="str">
        <f>IF(N1129="","",SUM(O1129:R1129)/('[1]LOCH Calc COE Calc'!$C$28))</f>
        <v/>
      </c>
      <c r="T1129" t="str">
        <f>IF(L1129="","",O1129/'[1]LOCH Calc COE Calc'!$C$28)</f>
        <v/>
      </c>
      <c r="U1129" t="str">
        <f>IF(L1129="","",P1129/'[1]LOCH Calc COE Calc'!$C$28)</f>
        <v/>
      </c>
      <c r="V1129" t="str">
        <f>IF(L1129="","",Q1129/'[1]LOCH Calc COE Calc'!$C$28)</f>
        <v/>
      </c>
      <c r="W1129" t="str">
        <f>IF(L1129="","",R1129/'[1]LOCH Calc COE Calc'!$C$28)</f>
        <v/>
      </c>
    </row>
    <row r="1130" spans="12:23" x14ac:dyDescent="0.25">
      <c r="L1130" s="4" t="str">
        <f>IF('[1]All Data '!BE1135="","",'[1]All Data '!BE1135)</f>
        <v/>
      </c>
      <c r="M1130" t="str">
        <f>IF('[1]All Data '!BF1135="","",'[1]All Data '!BF1135)</f>
        <v/>
      </c>
      <c r="N1130" s="5" t="str">
        <f>IF('[1]All Data '!BB1135="","",'[1]All Data '!BC1135/'[1]All Data '!BH1135)</f>
        <v/>
      </c>
      <c r="O1130" s="5" t="str">
        <f t="shared" si="19"/>
        <v/>
      </c>
      <c r="P1130" s="5" t="str">
        <f>IF(M1130="","",$C$2*(1-L1130)*907.2/0.621371*N1130*[1]Transportation!$M$40)</f>
        <v/>
      </c>
      <c r="Q1130" s="5" t="str">
        <f>IF(L1130="","",IF([1]Inputs_Outputs!$B$5="Herbaceous",(LCA!$E$29*'[1]LOCH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0" s="5" t="str">
        <f>IF(M1130="","",$E$2*1000*'[1]LOCH Calc COE Calc'!$C$44)</f>
        <v/>
      </c>
      <c r="S1130" s="6" t="str">
        <f>IF(N1130="","",SUM(O1130:R1130)/('[1]LOCH Calc COE Calc'!$C$28))</f>
        <v/>
      </c>
      <c r="T1130" t="str">
        <f>IF(L1130="","",O1130/'[1]LOCH Calc COE Calc'!$C$28)</f>
        <v/>
      </c>
      <c r="U1130" t="str">
        <f>IF(L1130="","",P1130/'[1]LOCH Calc COE Calc'!$C$28)</f>
        <v/>
      </c>
      <c r="V1130" t="str">
        <f>IF(L1130="","",Q1130/'[1]LOCH Calc COE Calc'!$C$28)</f>
        <v/>
      </c>
      <c r="W1130" t="str">
        <f>IF(L1130="","",R1130/'[1]LOCH Calc COE Calc'!$C$28)</f>
        <v/>
      </c>
    </row>
    <row r="1131" spans="12:23" x14ac:dyDescent="0.25">
      <c r="L1131" s="4" t="str">
        <f>IF('[1]All Data '!BE1136="","",'[1]All Data '!BE1136)</f>
        <v/>
      </c>
      <c r="M1131" t="str">
        <f>IF('[1]All Data '!BF1136="","",'[1]All Data '!BF1136)</f>
        <v/>
      </c>
      <c r="N1131" s="5" t="str">
        <f>IF('[1]All Data '!BB1136="","",'[1]All Data '!BC1136/'[1]All Data '!BH1136)</f>
        <v/>
      </c>
      <c r="O1131" s="5" t="str">
        <f t="shared" si="19"/>
        <v/>
      </c>
      <c r="P1131" s="5" t="str">
        <f>IF(M1131="","",$C$2*(1-L1131)*907.2/0.621371*N1131*[1]Transportation!$M$40)</f>
        <v/>
      </c>
      <c r="Q1131" s="5" t="str">
        <f>IF(L1131="","",IF([1]Inputs_Outputs!$B$5="Herbaceous",(LCA!$E$29*'[1]LOCH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1" s="5" t="str">
        <f>IF(M1131="","",$E$2*1000*'[1]LOCH Calc COE Calc'!$C$44)</f>
        <v/>
      </c>
      <c r="S1131" s="6" t="str">
        <f>IF(N1131="","",SUM(O1131:R1131)/('[1]LOCH Calc COE Calc'!$C$28))</f>
        <v/>
      </c>
      <c r="T1131" t="str">
        <f>IF(L1131="","",O1131/'[1]LOCH Calc COE Calc'!$C$28)</f>
        <v/>
      </c>
      <c r="U1131" t="str">
        <f>IF(L1131="","",P1131/'[1]LOCH Calc COE Calc'!$C$28)</f>
        <v/>
      </c>
      <c r="V1131" t="str">
        <f>IF(L1131="","",Q1131/'[1]LOCH Calc COE Calc'!$C$28)</f>
        <v/>
      </c>
      <c r="W1131" t="str">
        <f>IF(L1131="","",R1131/'[1]LOCH Calc COE Calc'!$C$28)</f>
        <v/>
      </c>
    </row>
    <row r="1132" spans="12:23" x14ac:dyDescent="0.25">
      <c r="L1132" s="4" t="str">
        <f>IF('[1]All Data '!BE1137="","",'[1]All Data '!BE1137)</f>
        <v/>
      </c>
      <c r="M1132" t="str">
        <f>IF('[1]All Data '!BF1137="","",'[1]All Data '!BF1137)</f>
        <v/>
      </c>
      <c r="N1132" s="5" t="str">
        <f>IF('[1]All Data '!BB1137="","",'[1]All Data '!BC1137/'[1]All Data '!BH1137)</f>
        <v/>
      </c>
      <c r="O1132" s="5" t="str">
        <f t="shared" si="19"/>
        <v/>
      </c>
      <c r="P1132" s="5" t="str">
        <f>IF(M1132="","",$C$2*(1-L1132)*907.2/0.621371*N1132*[1]Transportation!$M$40)</f>
        <v/>
      </c>
      <c r="Q1132" s="5" t="str">
        <f>IF(L1132="","",IF([1]Inputs_Outputs!$B$5="Herbaceous",(LCA!$E$29*'[1]LOCH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2" s="5" t="str">
        <f>IF(M1132="","",$E$2*1000*'[1]LOCH Calc COE Calc'!$C$44)</f>
        <v/>
      </c>
      <c r="S1132" s="6" t="str">
        <f>IF(N1132="","",SUM(O1132:R1132)/('[1]LOCH Calc COE Calc'!$C$28))</f>
        <v/>
      </c>
      <c r="T1132" t="str">
        <f>IF(L1132="","",O1132/'[1]LOCH Calc COE Calc'!$C$28)</f>
        <v/>
      </c>
      <c r="U1132" t="str">
        <f>IF(L1132="","",P1132/'[1]LOCH Calc COE Calc'!$C$28)</f>
        <v/>
      </c>
      <c r="V1132" t="str">
        <f>IF(L1132="","",Q1132/'[1]LOCH Calc COE Calc'!$C$28)</f>
        <v/>
      </c>
      <c r="W1132" t="str">
        <f>IF(L1132="","",R1132/'[1]LOCH Calc COE Calc'!$C$28)</f>
        <v/>
      </c>
    </row>
    <row r="1133" spans="12:23" x14ac:dyDescent="0.25">
      <c r="L1133" s="4" t="str">
        <f>IF('[1]All Data '!BE1138="","",'[1]All Data '!BE1138)</f>
        <v/>
      </c>
      <c r="M1133" t="str">
        <f>IF('[1]All Data '!BF1138="","",'[1]All Data '!BF1138)</f>
        <v/>
      </c>
      <c r="N1133" s="5" t="str">
        <f>IF('[1]All Data '!BB1138="","",'[1]All Data '!BC1138/'[1]All Data '!BH1138)</f>
        <v/>
      </c>
      <c r="O1133" s="5" t="str">
        <f t="shared" si="19"/>
        <v/>
      </c>
      <c r="P1133" s="5" t="str">
        <f>IF(M1133="","",$C$2*(1-L1133)*907.2/0.621371*N1133*[1]Transportation!$M$40)</f>
        <v/>
      </c>
      <c r="Q1133" s="5" t="str">
        <f>IF(L1133="","",IF([1]Inputs_Outputs!$B$5="Herbaceous",(LCA!$E$29*'[1]LOCH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3" s="5" t="str">
        <f>IF(M1133="","",$E$2*1000*'[1]LOCH Calc COE Calc'!$C$44)</f>
        <v/>
      </c>
      <c r="S1133" s="6" t="str">
        <f>IF(N1133="","",SUM(O1133:R1133)/('[1]LOCH Calc COE Calc'!$C$28))</f>
        <v/>
      </c>
      <c r="T1133" t="str">
        <f>IF(L1133="","",O1133/'[1]LOCH Calc COE Calc'!$C$28)</f>
        <v/>
      </c>
      <c r="U1133" t="str">
        <f>IF(L1133="","",P1133/'[1]LOCH Calc COE Calc'!$C$28)</f>
        <v/>
      </c>
      <c r="V1133" t="str">
        <f>IF(L1133="","",Q1133/'[1]LOCH Calc COE Calc'!$C$28)</f>
        <v/>
      </c>
      <c r="W1133" t="str">
        <f>IF(L1133="","",R1133/'[1]LOCH Calc COE Calc'!$C$28)</f>
        <v/>
      </c>
    </row>
    <row r="1134" spans="12:23" x14ac:dyDescent="0.25">
      <c r="L1134" s="4" t="str">
        <f>IF('[1]All Data '!BE1139="","",'[1]All Data '!BE1139)</f>
        <v/>
      </c>
      <c r="M1134" t="str">
        <f>IF('[1]All Data '!BF1139="","",'[1]All Data '!BF1139)</f>
        <v/>
      </c>
      <c r="N1134" s="5" t="str">
        <f>IF('[1]All Data '!BB1139="","",'[1]All Data '!BC1139/'[1]All Data '!BH1139)</f>
        <v/>
      </c>
      <c r="O1134" s="5" t="str">
        <f t="shared" si="19"/>
        <v/>
      </c>
      <c r="P1134" s="5" t="str">
        <f>IF(M1134="","",$C$2*(1-L1134)*907.2/0.621371*N1134*[1]Transportation!$M$40)</f>
        <v/>
      </c>
      <c r="Q1134" s="5" t="str">
        <f>IF(L1134="","",IF([1]Inputs_Outputs!$B$5="Herbaceous",(LCA!$E$29*'[1]LOCH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4" s="5" t="str">
        <f>IF(M1134="","",$E$2*1000*'[1]LOCH Calc COE Calc'!$C$44)</f>
        <v/>
      </c>
      <c r="S1134" s="6" t="str">
        <f>IF(N1134="","",SUM(O1134:R1134)/('[1]LOCH Calc COE Calc'!$C$28))</f>
        <v/>
      </c>
      <c r="T1134" t="str">
        <f>IF(L1134="","",O1134/'[1]LOCH Calc COE Calc'!$C$28)</f>
        <v/>
      </c>
      <c r="U1134" t="str">
        <f>IF(L1134="","",P1134/'[1]LOCH Calc COE Calc'!$C$28)</f>
        <v/>
      </c>
      <c r="V1134" t="str">
        <f>IF(L1134="","",Q1134/'[1]LOCH Calc COE Calc'!$C$28)</f>
        <v/>
      </c>
      <c r="W1134" t="str">
        <f>IF(L1134="","",R1134/'[1]LOCH Calc COE Calc'!$C$28)</f>
        <v/>
      </c>
    </row>
    <row r="1135" spans="12:23" x14ac:dyDescent="0.25">
      <c r="L1135" s="4" t="str">
        <f>IF('[1]All Data '!BE1140="","",'[1]All Data '!BE1140)</f>
        <v/>
      </c>
      <c r="M1135" t="str">
        <f>IF('[1]All Data '!BF1140="","",'[1]All Data '!BF1140)</f>
        <v/>
      </c>
      <c r="N1135" s="5" t="str">
        <f>IF('[1]All Data '!BB1140="","",'[1]All Data '!BC1140/'[1]All Data '!BH1140)</f>
        <v/>
      </c>
      <c r="O1135" s="5" t="str">
        <f t="shared" si="19"/>
        <v/>
      </c>
      <c r="P1135" s="5" t="str">
        <f>IF(M1135="","",$C$2*(1-L1135)*907.2/0.621371*N1135*[1]Transportation!$M$40)</f>
        <v/>
      </c>
      <c r="Q1135" s="5" t="str">
        <f>IF(L1135="","",IF([1]Inputs_Outputs!$B$5="Herbaceous",(LCA!$E$29*'[1]LOCH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5" s="5" t="str">
        <f>IF(M1135="","",$E$2*1000*'[1]LOCH Calc COE Calc'!$C$44)</f>
        <v/>
      </c>
      <c r="S1135" s="6" t="str">
        <f>IF(N1135="","",SUM(O1135:R1135)/('[1]LOCH Calc COE Calc'!$C$28))</f>
        <v/>
      </c>
      <c r="T1135" t="str">
        <f>IF(L1135="","",O1135/'[1]LOCH Calc COE Calc'!$C$28)</f>
        <v/>
      </c>
      <c r="U1135" t="str">
        <f>IF(L1135="","",P1135/'[1]LOCH Calc COE Calc'!$C$28)</f>
        <v/>
      </c>
      <c r="V1135" t="str">
        <f>IF(L1135="","",Q1135/'[1]LOCH Calc COE Calc'!$C$28)</f>
        <v/>
      </c>
      <c r="W1135" t="str">
        <f>IF(L1135="","",R1135/'[1]LOCH Calc COE Calc'!$C$28)</f>
        <v/>
      </c>
    </row>
    <row r="1136" spans="12:23" x14ac:dyDescent="0.25">
      <c r="L1136" s="4" t="str">
        <f>IF('[1]All Data '!BE1141="","",'[1]All Data '!BE1141)</f>
        <v/>
      </c>
      <c r="M1136" t="str">
        <f>IF('[1]All Data '!BF1141="","",'[1]All Data '!BF1141)</f>
        <v/>
      </c>
      <c r="N1136" s="5" t="str">
        <f>IF('[1]All Data '!BB1141="","",'[1]All Data '!BC1141/'[1]All Data '!BH1141)</f>
        <v/>
      </c>
      <c r="O1136" s="5" t="str">
        <f t="shared" si="19"/>
        <v/>
      </c>
      <c r="P1136" s="5" t="str">
        <f>IF(M1136="","",$C$2*(1-L1136)*907.2/0.621371*N1136*[1]Transportation!$M$40)</f>
        <v/>
      </c>
      <c r="Q1136" s="5" t="str">
        <f>IF(L1136="","",IF([1]Inputs_Outputs!$B$5="Herbaceous",(LCA!$E$29*'[1]LOCH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6" s="5" t="str">
        <f>IF(M1136="","",$E$2*1000*'[1]LOCH Calc COE Calc'!$C$44)</f>
        <v/>
      </c>
      <c r="S1136" s="6" t="str">
        <f>IF(N1136="","",SUM(O1136:R1136)/('[1]LOCH Calc COE Calc'!$C$28))</f>
        <v/>
      </c>
      <c r="T1136" t="str">
        <f>IF(L1136="","",O1136/'[1]LOCH Calc COE Calc'!$C$28)</f>
        <v/>
      </c>
      <c r="U1136" t="str">
        <f>IF(L1136="","",P1136/'[1]LOCH Calc COE Calc'!$C$28)</f>
        <v/>
      </c>
      <c r="V1136" t="str">
        <f>IF(L1136="","",Q1136/'[1]LOCH Calc COE Calc'!$C$28)</f>
        <v/>
      </c>
      <c r="W1136" t="str">
        <f>IF(L1136="","",R1136/'[1]LOCH Calc COE Calc'!$C$28)</f>
        <v/>
      </c>
    </row>
    <row r="1137" spans="12:23" x14ac:dyDescent="0.25">
      <c r="L1137" s="4" t="str">
        <f>IF('[1]All Data '!BE1142="","",'[1]All Data '!BE1142)</f>
        <v/>
      </c>
      <c r="M1137" t="str">
        <f>IF('[1]All Data '!BF1142="","",'[1]All Data '!BF1142)</f>
        <v/>
      </c>
      <c r="N1137" s="5" t="str">
        <f>IF('[1]All Data '!BB1142="","",'[1]All Data '!BC1142/'[1]All Data '!BH1142)</f>
        <v/>
      </c>
      <c r="O1137" s="5" t="str">
        <f t="shared" si="19"/>
        <v/>
      </c>
      <c r="P1137" s="5" t="str">
        <f>IF(M1137="","",$C$2*(1-L1137)*907.2/0.621371*N1137*[1]Transportation!$M$40)</f>
        <v/>
      </c>
      <c r="Q1137" s="5" t="str">
        <f>IF(L1137="","",IF([1]Inputs_Outputs!$B$5="Herbaceous",(LCA!$E$29*'[1]LOCH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7" s="5" t="str">
        <f>IF(M1137="","",$E$2*1000*'[1]LOCH Calc COE Calc'!$C$44)</f>
        <v/>
      </c>
      <c r="S1137" s="6" t="str">
        <f>IF(N1137="","",SUM(O1137:R1137)/('[1]LOCH Calc COE Calc'!$C$28))</f>
        <v/>
      </c>
      <c r="T1137" t="str">
        <f>IF(L1137="","",O1137/'[1]LOCH Calc COE Calc'!$C$28)</f>
        <v/>
      </c>
      <c r="U1137" t="str">
        <f>IF(L1137="","",P1137/'[1]LOCH Calc COE Calc'!$C$28)</f>
        <v/>
      </c>
      <c r="V1137" t="str">
        <f>IF(L1137="","",Q1137/'[1]LOCH Calc COE Calc'!$C$28)</f>
        <v/>
      </c>
      <c r="W1137" t="str">
        <f>IF(L1137="","",R1137/'[1]LOCH Calc COE Calc'!$C$28)</f>
        <v/>
      </c>
    </row>
    <row r="1138" spans="12:23" x14ac:dyDescent="0.25">
      <c r="L1138" s="4" t="str">
        <f>IF('[1]All Data '!BE1143="","",'[1]All Data '!BE1143)</f>
        <v/>
      </c>
      <c r="M1138" t="str">
        <f>IF('[1]All Data '!BF1143="","",'[1]All Data '!BF1143)</f>
        <v/>
      </c>
      <c r="N1138" s="5" t="str">
        <f>IF('[1]All Data '!BB1143="","",'[1]All Data '!BC1143/'[1]All Data '!BH1143)</f>
        <v/>
      </c>
      <c r="O1138" s="5" t="str">
        <f t="shared" si="19"/>
        <v/>
      </c>
      <c r="P1138" s="5" t="str">
        <f>IF(M1138="","",$C$2*(1-L1138)*907.2/0.621371*N1138*[1]Transportation!$M$40)</f>
        <v/>
      </c>
      <c r="Q1138" s="5" t="str">
        <f>IF(L1138="","",IF([1]Inputs_Outputs!$B$5="Herbaceous",(LCA!$E$29*'[1]LOCH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8" s="5" t="str">
        <f>IF(M1138="","",$E$2*1000*'[1]LOCH Calc COE Calc'!$C$44)</f>
        <v/>
      </c>
      <c r="S1138" s="6" t="str">
        <f>IF(N1138="","",SUM(O1138:R1138)/('[1]LOCH Calc COE Calc'!$C$28))</f>
        <v/>
      </c>
      <c r="T1138" t="str">
        <f>IF(L1138="","",O1138/'[1]LOCH Calc COE Calc'!$C$28)</f>
        <v/>
      </c>
      <c r="U1138" t="str">
        <f>IF(L1138="","",P1138/'[1]LOCH Calc COE Calc'!$C$28)</f>
        <v/>
      </c>
      <c r="V1138" t="str">
        <f>IF(L1138="","",Q1138/'[1]LOCH Calc COE Calc'!$C$28)</f>
        <v/>
      </c>
      <c r="W1138" t="str">
        <f>IF(L1138="","",R1138/'[1]LOCH Calc COE Calc'!$C$28)</f>
        <v/>
      </c>
    </row>
    <row r="1139" spans="12:23" x14ac:dyDescent="0.25">
      <c r="L1139" s="4" t="str">
        <f>IF('[1]All Data '!BE1144="","",'[1]All Data '!BE1144)</f>
        <v/>
      </c>
      <c r="M1139" t="str">
        <f>IF('[1]All Data '!BF1144="","",'[1]All Data '!BF1144)</f>
        <v/>
      </c>
      <c r="N1139" s="5" t="str">
        <f>IF('[1]All Data '!BB1144="","",'[1]All Data '!BC1144/'[1]All Data '!BH1144)</f>
        <v/>
      </c>
      <c r="O1139" s="5" t="str">
        <f t="shared" si="19"/>
        <v/>
      </c>
      <c r="P1139" s="5" t="str">
        <f>IF(M1139="","",$C$2*(1-L1139)*907.2/0.621371*N1139*[1]Transportation!$M$40)</f>
        <v/>
      </c>
      <c r="Q1139" s="5" t="str">
        <f>IF(L1139="","",IF([1]Inputs_Outputs!$B$5="Herbaceous",(LCA!$E$29*'[1]LOCH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39" s="5" t="str">
        <f>IF(M1139="","",$E$2*1000*'[1]LOCH Calc COE Calc'!$C$44)</f>
        <v/>
      </c>
      <c r="S1139" s="6" t="str">
        <f>IF(N1139="","",SUM(O1139:R1139)/('[1]LOCH Calc COE Calc'!$C$28))</f>
        <v/>
      </c>
      <c r="T1139" t="str">
        <f>IF(L1139="","",O1139/'[1]LOCH Calc COE Calc'!$C$28)</f>
        <v/>
      </c>
      <c r="U1139" t="str">
        <f>IF(L1139="","",P1139/'[1]LOCH Calc COE Calc'!$C$28)</f>
        <v/>
      </c>
      <c r="V1139" t="str">
        <f>IF(L1139="","",Q1139/'[1]LOCH Calc COE Calc'!$C$28)</f>
        <v/>
      </c>
      <c r="W1139" t="str">
        <f>IF(L1139="","",R1139/'[1]LOCH Calc COE Calc'!$C$28)</f>
        <v/>
      </c>
    </row>
    <row r="1140" spans="12:23" x14ac:dyDescent="0.25">
      <c r="L1140" s="4" t="str">
        <f>IF('[1]All Data '!BE1145="","",'[1]All Data '!BE1145)</f>
        <v/>
      </c>
      <c r="M1140" t="str">
        <f>IF('[1]All Data '!BF1145="","",'[1]All Data '!BF1145)</f>
        <v/>
      </c>
      <c r="N1140" s="5" t="str">
        <f>IF('[1]All Data '!BB1145="","",'[1]All Data '!BC1145/'[1]All Data '!BH1145)</f>
        <v/>
      </c>
      <c r="O1140" s="5" t="str">
        <f t="shared" si="19"/>
        <v/>
      </c>
      <c r="P1140" s="5" t="str">
        <f>IF(M1140="","",$C$2*(1-L1140)*907.2/0.621371*N1140*[1]Transportation!$M$40)</f>
        <v/>
      </c>
      <c r="Q1140" s="5" t="str">
        <f>IF(L1140="","",IF([1]Inputs_Outputs!$B$5="Herbaceous",(LCA!$E$29*'[1]LOCH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0" s="5" t="str">
        <f>IF(M1140="","",$E$2*1000*'[1]LOCH Calc COE Calc'!$C$44)</f>
        <v/>
      </c>
      <c r="S1140" s="6" t="str">
        <f>IF(N1140="","",SUM(O1140:R1140)/('[1]LOCH Calc COE Calc'!$C$28))</f>
        <v/>
      </c>
      <c r="T1140" t="str">
        <f>IF(L1140="","",O1140/'[1]LOCH Calc COE Calc'!$C$28)</f>
        <v/>
      </c>
      <c r="U1140" t="str">
        <f>IF(L1140="","",P1140/'[1]LOCH Calc COE Calc'!$C$28)</f>
        <v/>
      </c>
      <c r="V1140" t="str">
        <f>IF(L1140="","",Q1140/'[1]LOCH Calc COE Calc'!$C$28)</f>
        <v/>
      </c>
      <c r="W1140" t="str">
        <f>IF(L1140="","",R1140/'[1]LOCH Calc COE Calc'!$C$28)</f>
        <v/>
      </c>
    </row>
    <row r="1141" spans="12:23" x14ac:dyDescent="0.25">
      <c r="L1141" s="4" t="str">
        <f>IF('[1]All Data '!BE1146="","",'[1]All Data '!BE1146)</f>
        <v/>
      </c>
      <c r="M1141" t="str">
        <f>IF('[1]All Data '!BF1146="","",'[1]All Data '!BF1146)</f>
        <v/>
      </c>
      <c r="N1141" s="5" t="str">
        <f>IF('[1]All Data '!BB1146="","",'[1]All Data '!BC1146/'[1]All Data '!BH1146)</f>
        <v/>
      </c>
      <c r="O1141" s="5" t="str">
        <f t="shared" si="19"/>
        <v/>
      </c>
      <c r="P1141" s="5" t="str">
        <f>IF(M1141="","",$C$2*(1-L1141)*907.2/0.621371*N1141*[1]Transportation!$M$40)</f>
        <v/>
      </c>
      <c r="Q1141" s="5" t="str">
        <f>IF(L1141="","",IF([1]Inputs_Outputs!$B$5="Herbaceous",(LCA!$E$29*'[1]LOCH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1" s="5" t="str">
        <f>IF(M1141="","",$E$2*1000*'[1]LOCH Calc COE Calc'!$C$44)</f>
        <v/>
      </c>
      <c r="S1141" s="6" t="str">
        <f>IF(N1141="","",SUM(O1141:R1141)/('[1]LOCH Calc COE Calc'!$C$28))</f>
        <v/>
      </c>
      <c r="T1141" t="str">
        <f>IF(L1141="","",O1141/'[1]LOCH Calc COE Calc'!$C$28)</f>
        <v/>
      </c>
      <c r="U1141" t="str">
        <f>IF(L1141="","",P1141/'[1]LOCH Calc COE Calc'!$C$28)</f>
        <v/>
      </c>
      <c r="V1141" t="str">
        <f>IF(L1141="","",Q1141/'[1]LOCH Calc COE Calc'!$C$28)</f>
        <v/>
      </c>
      <c r="W1141" t="str">
        <f>IF(L1141="","",R1141/'[1]LOCH Calc COE Calc'!$C$28)</f>
        <v/>
      </c>
    </row>
    <row r="1142" spans="12:23" x14ac:dyDescent="0.25">
      <c r="L1142" s="4" t="str">
        <f>IF('[1]All Data '!BE1147="","",'[1]All Data '!BE1147)</f>
        <v/>
      </c>
      <c r="M1142" t="str">
        <f>IF('[1]All Data '!BF1147="","",'[1]All Data '!BF1147)</f>
        <v/>
      </c>
      <c r="N1142" s="5" t="str">
        <f>IF('[1]All Data '!BB1147="","",'[1]All Data '!BC1147/'[1]All Data '!BH1147)</f>
        <v/>
      </c>
      <c r="O1142" s="5" t="str">
        <f t="shared" si="19"/>
        <v/>
      </c>
      <c r="P1142" s="5" t="str">
        <f>IF(M1142="","",$C$2*(1-L1142)*907.2/0.621371*N1142*[1]Transportation!$M$40)</f>
        <v/>
      </c>
      <c r="Q1142" s="5" t="str">
        <f>IF(L1142="","",IF([1]Inputs_Outputs!$B$5="Herbaceous",(LCA!$E$29*'[1]LOCH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2" s="5" t="str">
        <f>IF(M1142="","",$E$2*1000*'[1]LOCH Calc COE Calc'!$C$44)</f>
        <v/>
      </c>
      <c r="S1142" s="6" t="str">
        <f>IF(N1142="","",SUM(O1142:R1142)/('[1]LOCH Calc COE Calc'!$C$28))</f>
        <v/>
      </c>
      <c r="T1142" t="str">
        <f>IF(L1142="","",O1142/'[1]LOCH Calc COE Calc'!$C$28)</f>
        <v/>
      </c>
      <c r="U1142" t="str">
        <f>IF(L1142="","",P1142/'[1]LOCH Calc COE Calc'!$C$28)</f>
        <v/>
      </c>
      <c r="V1142" t="str">
        <f>IF(L1142="","",Q1142/'[1]LOCH Calc COE Calc'!$C$28)</f>
        <v/>
      </c>
      <c r="W1142" t="str">
        <f>IF(L1142="","",R1142/'[1]LOCH Calc COE Calc'!$C$28)</f>
        <v/>
      </c>
    </row>
    <row r="1143" spans="12:23" x14ac:dyDescent="0.25">
      <c r="L1143" s="4" t="str">
        <f>IF('[1]All Data '!BE1148="","",'[1]All Data '!BE1148)</f>
        <v/>
      </c>
      <c r="M1143" t="str">
        <f>IF('[1]All Data '!BF1148="","",'[1]All Data '!BF1148)</f>
        <v/>
      </c>
      <c r="N1143" s="5" t="str">
        <f>IF('[1]All Data '!BB1148="","",'[1]All Data '!BC1148/'[1]All Data '!BH1148)</f>
        <v/>
      </c>
      <c r="O1143" s="5" t="str">
        <f t="shared" si="19"/>
        <v/>
      </c>
      <c r="P1143" s="5" t="str">
        <f>IF(M1143="","",$C$2*(1-L1143)*907.2/0.621371*N1143*[1]Transportation!$M$40)</f>
        <v/>
      </c>
      <c r="Q1143" s="5" t="str">
        <f>IF(L1143="","",IF([1]Inputs_Outputs!$B$5="Herbaceous",(LCA!$E$29*'[1]LOCH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3" s="5" t="str">
        <f>IF(M1143="","",$E$2*1000*'[1]LOCH Calc COE Calc'!$C$44)</f>
        <v/>
      </c>
      <c r="S1143" s="6" t="str">
        <f>IF(N1143="","",SUM(O1143:R1143)/('[1]LOCH Calc COE Calc'!$C$28))</f>
        <v/>
      </c>
      <c r="T1143" t="str">
        <f>IF(L1143="","",O1143/'[1]LOCH Calc COE Calc'!$C$28)</f>
        <v/>
      </c>
      <c r="U1143" t="str">
        <f>IF(L1143="","",P1143/'[1]LOCH Calc COE Calc'!$C$28)</f>
        <v/>
      </c>
      <c r="V1143" t="str">
        <f>IF(L1143="","",Q1143/'[1]LOCH Calc COE Calc'!$C$28)</f>
        <v/>
      </c>
      <c r="W1143" t="str">
        <f>IF(L1143="","",R1143/'[1]LOCH Calc COE Calc'!$C$28)</f>
        <v/>
      </c>
    </row>
    <row r="1144" spans="12:23" x14ac:dyDescent="0.25">
      <c r="L1144" s="4" t="str">
        <f>IF('[1]All Data '!BE1149="","",'[1]All Data '!BE1149)</f>
        <v/>
      </c>
      <c r="M1144" t="str">
        <f>IF('[1]All Data '!BF1149="","",'[1]All Data '!BF1149)</f>
        <v/>
      </c>
      <c r="N1144" s="5" t="str">
        <f>IF('[1]All Data '!BB1149="","",'[1]All Data '!BC1149/'[1]All Data '!BH1149)</f>
        <v/>
      </c>
      <c r="O1144" s="5" t="str">
        <f t="shared" si="19"/>
        <v/>
      </c>
      <c r="P1144" s="5" t="str">
        <f>IF(M1144="","",$C$2*(1-L1144)*907.2/0.621371*N1144*[1]Transportation!$M$40)</f>
        <v/>
      </c>
      <c r="Q1144" s="5" t="str">
        <f>IF(L1144="","",IF([1]Inputs_Outputs!$B$5="Herbaceous",(LCA!$E$29*'[1]LOCH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4" s="5" t="str">
        <f>IF(M1144="","",$E$2*1000*'[1]LOCH Calc COE Calc'!$C$44)</f>
        <v/>
      </c>
      <c r="S1144" s="6" t="str">
        <f>IF(N1144="","",SUM(O1144:R1144)/('[1]LOCH Calc COE Calc'!$C$28))</f>
        <v/>
      </c>
      <c r="T1144" t="str">
        <f>IF(L1144="","",O1144/'[1]LOCH Calc COE Calc'!$C$28)</f>
        <v/>
      </c>
      <c r="U1144" t="str">
        <f>IF(L1144="","",P1144/'[1]LOCH Calc COE Calc'!$C$28)</f>
        <v/>
      </c>
      <c r="V1144" t="str">
        <f>IF(L1144="","",Q1144/'[1]LOCH Calc COE Calc'!$C$28)</f>
        <v/>
      </c>
      <c r="W1144" t="str">
        <f>IF(L1144="","",R1144/'[1]LOCH Calc COE Calc'!$C$28)</f>
        <v/>
      </c>
    </row>
    <row r="1145" spans="12:23" x14ac:dyDescent="0.25">
      <c r="L1145" s="4" t="str">
        <f>IF('[1]All Data '!BE1150="","",'[1]All Data '!BE1150)</f>
        <v/>
      </c>
      <c r="M1145" t="str">
        <f>IF('[1]All Data '!BF1150="","",'[1]All Data '!BF1150)</f>
        <v/>
      </c>
      <c r="N1145" s="5" t="str">
        <f>IF('[1]All Data '!BB1150="","",'[1]All Data '!BC1150/'[1]All Data '!BH1150)</f>
        <v/>
      </c>
      <c r="O1145" s="5" t="str">
        <f t="shared" si="19"/>
        <v/>
      </c>
      <c r="P1145" s="5" t="str">
        <f>IF(M1145="","",$C$2*(1-L1145)*907.2/0.621371*N1145*[1]Transportation!$M$40)</f>
        <v/>
      </c>
      <c r="Q1145" s="5" t="str">
        <f>IF(L1145="","",IF([1]Inputs_Outputs!$B$5="Herbaceous",(LCA!$E$29*'[1]LOCH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5" s="5" t="str">
        <f>IF(M1145="","",$E$2*1000*'[1]LOCH Calc COE Calc'!$C$44)</f>
        <v/>
      </c>
      <c r="S1145" s="6" t="str">
        <f>IF(N1145="","",SUM(O1145:R1145)/('[1]LOCH Calc COE Calc'!$C$28))</f>
        <v/>
      </c>
      <c r="T1145" t="str">
        <f>IF(L1145="","",O1145/'[1]LOCH Calc COE Calc'!$C$28)</f>
        <v/>
      </c>
      <c r="U1145" t="str">
        <f>IF(L1145="","",P1145/'[1]LOCH Calc COE Calc'!$C$28)</f>
        <v/>
      </c>
      <c r="V1145" t="str">
        <f>IF(L1145="","",Q1145/'[1]LOCH Calc COE Calc'!$C$28)</f>
        <v/>
      </c>
      <c r="W1145" t="str">
        <f>IF(L1145="","",R1145/'[1]LOCH Calc COE Calc'!$C$28)</f>
        <v/>
      </c>
    </row>
    <row r="1146" spans="12:23" x14ac:dyDescent="0.25">
      <c r="L1146" s="4" t="str">
        <f>IF('[1]All Data '!BE1151="","",'[1]All Data '!BE1151)</f>
        <v/>
      </c>
      <c r="M1146" t="str">
        <f>IF('[1]All Data '!BF1151="","",'[1]All Data '!BF1151)</f>
        <v/>
      </c>
      <c r="N1146" s="5" t="str">
        <f>IF('[1]All Data '!BB1151="","",'[1]All Data '!BC1151/'[1]All Data '!BH1151)</f>
        <v/>
      </c>
      <c r="O1146" s="5" t="str">
        <f t="shared" si="19"/>
        <v/>
      </c>
      <c r="P1146" s="5" t="str">
        <f>IF(M1146="","",$C$2*(1-L1146)*907.2/0.621371*N1146*[1]Transportation!$M$40)</f>
        <v/>
      </c>
      <c r="Q1146" s="5" t="str">
        <f>IF(L1146="","",IF([1]Inputs_Outputs!$B$5="Herbaceous",(LCA!$E$29*'[1]LOCH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6" s="5" t="str">
        <f>IF(M1146="","",$E$2*1000*'[1]LOCH Calc COE Calc'!$C$44)</f>
        <v/>
      </c>
      <c r="S1146" s="6" t="str">
        <f>IF(N1146="","",SUM(O1146:R1146)/('[1]LOCH Calc COE Calc'!$C$28))</f>
        <v/>
      </c>
      <c r="T1146" t="str">
        <f>IF(L1146="","",O1146/'[1]LOCH Calc COE Calc'!$C$28)</f>
        <v/>
      </c>
      <c r="U1146" t="str">
        <f>IF(L1146="","",P1146/'[1]LOCH Calc COE Calc'!$C$28)</f>
        <v/>
      </c>
      <c r="V1146" t="str">
        <f>IF(L1146="","",Q1146/'[1]LOCH Calc COE Calc'!$C$28)</f>
        <v/>
      </c>
      <c r="W1146" t="str">
        <f>IF(L1146="","",R1146/'[1]LOCH Calc COE Calc'!$C$28)</f>
        <v/>
      </c>
    </row>
    <row r="1147" spans="12:23" x14ac:dyDescent="0.25">
      <c r="L1147" s="4" t="str">
        <f>IF('[1]All Data '!BE1152="","",'[1]All Data '!BE1152)</f>
        <v/>
      </c>
      <c r="M1147" t="str">
        <f>IF('[1]All Data '!BF1152="","",'[1]All Data '!BF1152)</f>
        <v/>
      </c>
      <c r="N1147" s="5" t="str">
        <f>IF('[1]All Data '!BB1152="","",'[1]All Data '!BC1152/'[1]All Data '!BH1152)</f>
        <v/>
      </c>
      <c r="O1147" s="5" t="str">
        <f t="shared" si="19"/>
        <v/>
      </c>
      <c r="P1147" s="5" t="str">
        <f>IF(M1147="","",$C$2*(1-L1147)*907.2/0.621371*N1147*[1]Transportation!$M$40)</f>
        <v/>
      </c>
      <c r="Q1147" s="5" t="str">
        <f>IF(L1147="","",IF([1]Inputs_Outputs!$B$5="Herbaceous",(LCA!$E$29*'[1]LOCH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7" s="5" t="str">
        <f>IF(M1147="","",$E$2*1000*'[1]LOCH Calc COE Calc'!$C$44)</f>
        <v/>
      </c>
      <c r="S1147" s="6" t="str">
        <f>IF(N1147="","",SUM(O1147:R1147)/('[1]LOCH Calc COE Calc'!$C$28))</f>
        <v/>
      </c>
      <c r="T1147" t="str">
        <f>IF(L1147="","",O1147/'[1]LOCH Calc COE Calc'!$C$28)</f>
        <v/>
      </c>
      <c r="U1147" t="str">
        <f>IF(L1147="","",P1147/'[1]LOCH Calc COE Calc'!$C$28)</f>
        <v/>
      </c>
      <c r="V1147" t="str">
        <f>IF(L1147="","",Q1147/'[1]LOCH Calc COE Calc'!$C$28)</f>
        <v/>
      </c>
      <c r="W1147" t="str">
        <f>IF(L1147="","",R1147/'[1]LOCH Calc COE Calc'!$C$28)</f>
        <v/>
      </c>
    </row>
    <row r="1148" spans="12:23" x14ac:dyDescent="0.25">
      <c r="L1148" s="4" t="str">
        <f>IF('[1]All Data '!BE1153="","",'[1]All Data '!BE1153)</f>
        <v/>
      </c>
      <c r="M1148" t="str">
        <f>IF('[1]All Data '!BF1153="","",'[1]All Data '!BF1153)</f>
        <v/>
      </c>
      <c r="N1148" s="5" t="str">
        <f>IF('[1]All Data '!BB1153="","",'[1]All Data '!BC1153/'[1]All Data '!BH1153)</f>
        <v/>
      </c>
      <c r="O1148" s="5" t="str">
        <f t="shared" si="19"/>
        <v/>
      </c>
      <c r="P1148" s="5" t="str">
        <f>IF(M1148="","",$C$2*(1-L1148)*907.2/0.621371*N1148*[1]Transportation!$M$40)</f>
        <v/>
      </c>
      <c r="Q1148" s="5" t="str">
        <f>IF(L1148="","",IF([1]Inputs_Outputs!$B$5="Herbaceous",(LCA!$E$29*'[1]LOCH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8" s="5" t="str">
        <f>IF(M1148="","",$E$2*1000*'[1]LOCH Calc COE Calc'!$C$44)</f>
        <v/>
      </c>
      <c r="S1148" s="6" t="str">
        <f>IF(N1148="","",SUM(O1148:R1148)/('[1]LOCH Calc COE Calc'!$C$28))</f>
        <v/>
      </c>
      <c r="T1148" t="str">
        <f>IF(L1148="","",O1148/'[1]LOCH Calc COE Calc'!$C$28)</f>
        <v/>
      </c>
      <c r="U1148" t="str">
        <f>IF(L1148="","",P1148/'[1]LOCH Calc COE Calc'!$C$28)</f>
        <v/>
      </c>
      <c r="V1148" t="str">
        <f>IF(L1148="","",Q1148/'[1]LOCH Calc COE Calc'!$C$28)</f>
        <v/>
      </c>
      <c r="W1148" t="str">
        <f>IF(L1148="","",R1148/'[1]LOCH Calc COE Calc'!$C$28)</f>
        <v/>
      </c>
    </row>
    <row r="1149" spans="12:23" x14ac:dyDescent="0.25">
      <c r="L1149" s="4" t="str">
        <f>IF('[1]All Data '!BE1154="","",'[1]All Data '!BE1154)</f>
        <v/>
      </c>
      <c r="M1149" t="str">
        <f>IF('[1]All Data '!BF1154="","",'[1]All Data '!BF1154)</f>
        <v/>
      </c>
      <c r="N1149" s="5" t="str">
        <f>IF('[1]All Data '!BB1154="","",'[1]All Data '!BC1154/'[1]All Data '!BH1154)</f>
        <v/>
      </c>
      <c r="O1149" s="5" t="str">
        <f t="shared" si="19"/>
        <v/>
      </c>
      <c r="P1149" s="5" t="str">
        <f>IF(M1149="","",$C$2*(1-L1149)*907.2/0.621371*N1149*[1]Transportation!$M$40)</f>
        <v/>
      </c>
      <c r="Q1149" s="5" t="str">
        <f>IF(L1149="","",IF([1]Inputs_Outputs!$B$5="Herbaceous",(LCA!$E$29*'[1]LOCH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49" s="5" t="str">
        <f>IF(M1149="","",$E$2*1000*'[1]LOCH Calc COE Calc'!$C$44)</f>
        <v/>
      </c>
      <c r="S1149" s="6" t="str">
        <f>IF(N1149="","",SUM(O1149:R1149)/('[1]LOCH Calc COE Calc'!$C$28))</f>
        <v/>
      </c>
      <c r="T1149" t="str">
        <f>IF(L1149="","",O1149/'[1]LOCH Calc COE Calc'!$C$28)</f>
        <v/>
      </c>
      <c r="U1149" t="str">
        <f>IF(L1149="","",P1149/'[1]LOCH Calc COE Calc'!$C$28)</f>
        <v/>
      </c>
      <c r="V1149" t="str">
        <f>IF(L1149="","",Q1149/'[1]LOCH Calc COE Calc'!$C$28)</f>
        <v/>
      </c>
      <c r="W1149" t="str">
        <f>IF(L1149="","",R1149/'[1]LOCH Calc COE Calc'!$C$28)</f>
        <v/>
      </c>
    </row>
    <row r="1150" spans="12:23" x14ac:dyDescent="0.25">
      <c r="L1150" s="4" t="str">
        <f>IF('[1]All Data '!BE1155="","",'[1]All Data '!BE1155)</f>
        <v/>
      </c>
      <c r="M1150" t="str">
        <f>IF('[1]All Data '!BF1155="","",'[1]All Data '!BF1155)</f>
        <v/>
      </c>
      <c r="N1150" s="5" t="str">
        <f>IF('[1]All Data '!BB1155="","",'[1]All Data '!BC1155/'[1]All Data '!BH1155)</f>
        <v/>
      </c>
      <c r="O1150" s="5" t="str">
        <f t="shared" si="19"/>
        <v/>
      </c>
      <c r="P1150" s="5" t="str">
        <f>IF(M1150="","",$C$2*(1-L1150)*907.2/0.621371*N1150*[1]Transportation!$M$40)</f>
        <v/>
      </c>
      <c r="Q1150" s="5" t="str">
        <f>IF(L1150="","",IF([1]Inputs_Outputs!$B$5="Herbaceous",(LCA!$E$29*'[1]LOCH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0" s="5" t="str">
        <f>IF(M1150="","",$E$2*1000*'[1]LOCH Calc COE Calc'!$C$44)</f>
        <v/>
      </c>
      <c r="S1150" s="6" t="str">
        <f>IF(N1150="","",SUM(O1150:R1150)/('[1]LOCH Calc COE Calc'!$C$28))</f>
        <v/>
      </c>
      <c r="T1150" t="str">
        <f>IF(L1150="","",O1150/'[1]LOCH Calc COE Calc'!$C$28)</f>
        <v/>
      </c>
      <c r="U1150" t="str">
        <f>IF(L1150="","",P1150/'[1]LOCH Calc COE Calc'!$C$28)</f>
        <v/>
      </c>
      <c r="V1150" t="str">
        <f>IF(L1150="","",Q1150/'[1]LOCH Calc COE Calc'!$C$28)</f>
        <v/>
      </c>
      <c r="W1150" t="str">
        <f>IF(L1150="","",R1150/'[1]LOCH Calc COE Calc'!$C$28)</f>
        <v/>
      </c>
    </row>
    <row r="1151" spans="12:23" x14ac:dyDescent="0.25">
      <c r="L1151" s="4" t="str">
        <f>IF('[1]All Data '!BE1156="","",'[1]All Data '!BE1156)</f>
        <v/>
      </c>
      <c r="M1151" t="str">
        <f>IF('[1]All Data '!BF1156="","",'[1]All Data '!BF1156)</f>
        <v/>
      </c>
      <c r="N1151" s="5" t="str">
        <f>IF('[1]All Data '!BB1156="","",'[1]All Data '!BC1156/'[1]All Data '!BH1156)</f>
        <v/>
      </c>
      <c r="O1151" s="5" t="str">
        <f t="shared" si="19"/>
        <v/>
      </c>
      <c r="P1151" s="5" t="str">
        <f>IF(M1151="","",$C$2*(1-L1151)*907.2/0.621371*N1151*[1]Transportation!$M$40)</f>
        <v/>
      </c>
      <c r="Q1151" s="5" t="str">
        <f>IF(L1151="","",IF([1]Inputs_Outputs!$B$5="Herbaceous",(LCA!$E$29*'[1]LOCH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1" s="5" t="str">
        <f>IF(M1151="","",$E$2*1000*'[1]LOCH Calc COE Calc'!$C$44)</f>
        <v/>
      </c>
      <c r="S1151" s="6" t="str">
        <f>IF(N1151="","",SUM(O1151:R1151)/('[1]LOCH Calc COE Calc'!$C$28))</f>
        <v/>
      </c>
      <c r="T1151" t="str">
        <f>IF(L1151="","",O1151/'[1]LOCH Calc COE Calc'!$C$28)</f>
        <v/>
      </c>
      <c r="U1151" t="str">
        <f>IF(L1151="","",P1151/'[1]LOCH Calc COE Calc'!$C$28)</f>
        <v/>
      </c>
      <c r="V1151" t="str">
        <f>IF(L1151="","",Q1151/'[1]LOCH Calc COE Calc'!$C$28)</f>
        <v/>
      </c>
      <c r="W1151" t="str">
        <f>IF(L1151="","",R1151/'[1]LOCH Calc COE Calc'!$C$28)</f>
        <v/>
      </c>
    </row>
    <row r="1152" spans="12:23" x14ac:dyDescent="0.25">
      <c r="L1152" s="4" t="str">
        <f>IF('[1]All Data '!BE1157="","",'[1]All Data '!BE1157)</f>
        <v/>
      </c>
      <c r="M1152" t="str">
        <f>IF('[1]All Data '!BF1157="","",'[1]All Data '!BF1157)</f>
        <v/>
      </c>
      <c r="N1152" s="5" t="str">
        <f>IF('[1]All Data '!BB1157="","",'[1]All Data '!BC1157/'[1]All Data '!BH1157)</f>
        <v/>
      </c>
      <c r="O1152" s="5" t="str">
        <f t="shared" si="19"/>
        <v/>
      </c>
      <c r="P1152" s="5" t="str">
        <f>IF(M1152="","",$C$2*(1-L1152)*907.2/0.621371*N1152*[1]Transportation!$M$40)</f>
        <v/>
      </c>
      <c r="Q1152" s="5" t="str">
        <f>IF(L1152="","",IF([1]Inputs_Outputs!$B$5="Herbaceous",(LCA!$E$29*'[1]LOCH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2" s="5" t="str">
        <f>IF(M1152="","",$E$2*1000*'[1]LOCH Calc COE Calc'!$C$44)</f>
        <v/>
      </c>
      <c r="S1152" s="6" t="str">
        <f>IF(N1152="","",SUM(O1152:R1152)/('[1]LOCH Calc COE Calc'!$C$28))</f>
        <v/>
      </c>
      <c r="T1152" t="str">
        <f>IF(L1152="","",O1152/'[1]LOCH Calc COE Calc'!$C$28)</f>
        <v/>
      </c>
      <c r="U1152" t="str">
        <f>IF(L1152="","",P1152/'[1]LOCH Calc COE Calc'!$C$28)</f>
        <v/>
      </c>
      <c r="V1152" t="str">
        <f>IF(L1152="","",Q1152/'[1]LOCH Calc COE Calc'!$C$28)</f>
        <v/>
      </c>
      <c r="W1152" t="str">
        <f>IF(L1152="","",R1152/'[1]LOCH Calc COE Calc'!$C$28)</f>
        <v/>
      </c>
    </row>
    <row r="1153" spans="12:23" x14ac:dyDescent="0.25">
      <c r="L1153" s="4" t="str">
        <f>IF('[1]All Data '!BE1158="","",'[1]All Data '!BE1158)</f>
        <v/>
      </c>
      <c r="M1153" t="str">
        <f>IF('[1]All Data '!BF1158="","",'[1]All Data '!BF1158)</f>
        <v/>
      </c>
      <c r="N1153" s="5" t="str">
        <f>IF('[1]All Data '!BB1158="","",'[1]All Data '!BC1158/'[1]All Data '!BH1158)</f>
        <v/>
      </c>
      <c r="O1153" s="5" t="str">
        <f t="shared" si="19"/>
        <v/>
      </c>
      <c r="P1153" s="5" t="str">
        <f>IF(M1153="","",$C$2*(1-L1153)*907.2/0.621371*N1153*[1]Transportation!$M$40)</f>
        <v/>
      </c>
      <c r="Q1153" s="5" t="str">
        <f>IF(L1153="","",IF([1]Inputs_Outputs!$B$5="Herbaceous",(LCA!$E$29*'[1]LOCH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3" s="5" t="str">
        <f>IF(M1153="","",$E$2*1000*'[1]LOCH Calc COE Calc'!$C$44)</f>
        <v/>
      </c>
      <c r="S1153" s="6" t="str">
        <f>IF(N1153="","",SUM(O1153:R1153)/('[1]LOCH Calc COE Calc'!$C$28))</f>
        <v/>
      </c>
      <c r="T1153" t="str">
        <f>IF(L1153="","",O1153/'[1]LOCH Calc COE Calc'!$C$28)</f>
        <v/>
      </c>
      <c r="U1153" t="str">
        <f>IF(L1153="","",P1153/'[1]LOCH Calc COE Calc'!$C$28)</f>
        <v/>
      </c>
      <c r="V1153" t="str">
        <f>IF(L1153="","",Q1153/'[1]LOCH Calc COE Calc'!$C$28)</f>
        <v/>
      </c>
      <c r="W1153" t="str">
        <f>IF(L1153="","",R1153/'[1]LOCH Calc COE Calc'!$C$28)</f>
        <v/>
      </c>
    </row>
    <row r="1154" spans="12:23" x14ac:dyDescent="0.25">
      <c r="L1154" s="4" t="str">
        <f>IF('[1]All Data '!BE1159="","",'[1]All Data '!BE1159)</f>
        <v/>
      </c>
      <c r="M1154" t="str">
        <f>IF('[1]All Data '!BF1159="","",'[1]All Data '!BF1159)</f>
        <v/>
      </c>
      <c r="N1154" s="5" t="str">
        <f>IF('[1]All Data '!BB1159="","",'[1]All Data '!BC1159/'[1]All Data '!BH1159)</f>
        <v/>
      </c>
      <c r="O1154" s="5" t="str">
        <f t="shared" si="19"/>
        <v/>
      </c>
      <c r="P1154" s="5" t="str">
        <f>IF(M1154="","",$C$2*(1-L1154)*907.2/0.621371*N1154*[1]Transportation!$M$40)</f>
        <v/>
      </c>
      <c r="Q1154" s="5" t="str">
        <f>IF(L1154="","",IF([1]Inputs_Outputs!$B$5="Herbaceous",(LCA!$E$29*'[1]LOCH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4" s="5" t="str">
        <f>IF(M1154="","",$E$2*1000*'[1]LOCH Calc COE Calc'!$C$44)</f>
        <v/>
      </c>
      <c r="S1154" s="6" t="str">
        <f>IF(N1154="","",SUM(O1154:R1154)/('[1]LOCH Calc COE Calc'!$C$28))</f>
        <v/>
      </c>
      <c r="T1154" t="str">
        <f>IF(L1154="","",O1154/'[1]LOCH Calc COE Calc'!$C$28)</f>
        <v/>
      </c>
      <c r="U1154" t="str">
        <f>IF(L1154="","",P1154/'[1]LOCH Calc COE Calc'!$C$28)</f>
        <v/>
      </c>
      <c r="V1154" t="str">
        <f>IF(L1154="","",Q1154/'[1]LOCH Calc COE Calc'!$C$28)</f>
        <v/>
      </c>
      <c r="W1154" t="str">
        <f>IF(L1154="","",R1154/'[1]LOCH Calc COE Calc'!$C$28)</f>
        <v/>
      </c>
    </row>
    <row r="1155" spans="12:23" x14ac:dyDescent="0.25">
      <c r="L1155" s="4" t="str">
        <f>IF('[1]All Data '!BE1160="","",'[1]All Data '!BE1160)</f>
        <v/>
      </c>
      <c r="M1155" t="str">
        <f>IF('[1]All Data '!BF1160="","",'[1]All Data '!BF1160)</f>
        <v/>
      </c>
      <c r="N1155" s="5" t="str">
        <f>IF('[1]All Data '!BB1160="","",'[1]All Data '!BC1160/'[1]All Data '!BH1160)</f>
        <v/>
      </c>
      <c r="O1155" s="5" t="str">
        <f t="shared" si="19"/>
        <v/>
      </c>
      <c r="P1155" s="5" t="str">
        <f>IF(M1155="","",$C$2*(1-L1155)*907.2/0.621371*N1155*[1]Transportation!$M$40)</f>
        <v/>
      </c>
      <c r="Q1155" s="5" t="str">
        <f>IF(L1155="","",IF([1]Inputs_Outputs!$B$5="Herbaceous",(LCA!$E$29*'[1]LOCH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5" s="5" t="str">
        <f>IF(M1155="","",$E$2*1000*'[1]LOCH Calc COE Calc'!$C$44)</f>
        <v/>
      </c>
      <c r="S1155" s="6" t="str">
        <f>IF(N1155="","",SUM(O1155:R1155)/('[1]LOCH Calc COE Calc'!$C$28))</f>
        <v/>
      </c>
      <c r="T1155" t="str">
        <f>IF(L1155="","",O1155/'[1]LOCH Calc COE Calc'!$C$28)</f>
        <v/>
      </c>
      <c r="U1155" t="str">
        <f>IF(L1155="","",P1155/'[1]LOCH Calc COE Calc'!$C$28)</f>
        <v/>
      </c>
      <c r="V1155" t="str">
        <f>IF(L1155="","",Q1155/'[1]LOCH Calc COE Calc'!$C$28)</f>
        <v/>
      </c>
      <c r="W1155" t="str">
        <f>IF(L1155="","",R1155/'[1]LOCH Calc COE Calc'!$C$28)</f>
        <v/>
      </c>
    </row>
    <row r="1156" spans="12:23" x14ac:dyDescent="0.25">
      <c r="L1156" s="4" t="str">
        <f>IF('[1]All Data '!BE1161="","",'[1]All Data '!BE1161)</f>
        <v/>
      </c>
      <c r="M1156" t="str">
        <f>IF('[1]All Data '!BF1161="","",'[1]All Data '!BF1161)</f>
        <v/>
      </c>
      <c r="N1156" s="5" t="str">
        <f>IF('[1]All Data '!BB1161="","",'[1]All Data '!BC1161/'[1]All Data '!BH1161)</f>
        <v/>
      </c>
      <c r="O1156" s="5" t="str">
        <f t="shared" ref="O1156:O1219" si="20">IF(N1156="","",M1156*N1156)</f>
        <v/>
      </c>
      <c r="P1156" s="5" t="str">
        <f>IF(M1156="","",$C$2*(1-L1156)*907.2/0.621371*N1156*[1]Transportation!$M$40)</f>
        <v/>
      </c>
      <c r="Q1156" s="5" t="str">
        <f>IF(L1156="","",IF([1]Inputs_Outputs!$B$5="Herbaceous",(LCA!$E$29*'[1]LOCH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6" s="5" t="str">
        <f>IF(M1156="","",$E$2*1000*'[1]LOCH Calc COE Calc'!$C$44)</f>
        <v/>
      </c>
      <c r="S1156" s="6" t="str">
        <f>IF(N1156="","",SUM(O1156:R1156)/('[1]LOCH Calc COE Calc'!$C$28))</f>
        <v/>
      </c>
      <c r="T1156" t="str">
        <f>IF(L1156="","",O1156/'[1]LOCH Calc COE Calc'!$C$28)</f>
        <v/>
      </c>
      <c r="U1156" t="str">
        <f>IF(L1156="","",P1156/'[1]LOCH Calc COE Calc'!$C$28)</f>
        <v/>
      </c>
      <c r="V1156" t="str">
        <f>IF(L1156="","",Q1156/'[1]LOCH Calc COE Calc'!$C$28)</f>
        <v/>
      </c>
      <c r="W1156" t="str">
        <f>IF(L1156="","",R1156/'[1]LOCH Calc COE Calc'!$C$28)</f>
        <v/>
      </c>
    </row>
    <row r="1157" spans="12:23" x14ac:dyDescent="0.25">
      <c r="L1157" s="4" t="str">
        <f>IF('[1]All Data '!BE1162="","",'[1]All Data '!BE1162)</f>
        <v/>
      </c>
      <c r="M1157" t="str">
        <f>IF('[1]All Data '!BF1162="","",'[1]All Data '!BF1162)</f>
        <v/>
      </c>
      <c r="N1157" s="5" t="str">
        <f>IF('[1]All Data '!BB1162="","",'[1]All Data '!BC1162/'[1]All Data '!BH1162)</f>
        <v/>
      </c>
      <c r="O1157" s="5" t="str">
        <f t="shared" si="20"/>
        <v/>
      </c>
      <c r="P1157" s="5" t="str">
        <f>IF(M1157="","",$C$2*(1-L1157)*907.2/0.621371*N1157*[1]Transportation!$M$40)</f>
        <v/>
      </c>
      <c r="Q1157" s="5" t="str">
        <f>IF(L1157="","",IF([1]Inputs_Outputs!$B$5="Herbaceous",(LCA!$E$29*'[1]LOCH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7" s="5" t="str">
        <f>IF(M1157="","",$E$2*1000*'[1]LOCH Calc COE Calc'!$C$44)</f>
        <v/>
      </c>
      <c r="S1157" s="6" t="str">
        <f>IF(N1157="","",SUM(O1157:R1157)/('[1]LOCH Calc COE Calc'!$C$28))</f>
        <v/>
      </c>
      <c r="T1157" t="str">
        <f>IF(L1157="","",O1157/'[1]LOCH Calc COE Calc'!$C$28)</f>
        <v/>
      </c>
      <c r="U1157" t="str">
        <f>IF(L1157="","",P1157/'[1]LOCH Calc COE Calc'!$C$28)</f>
        <v/>
      </c>
      <c r="V1157" t="str">
        <f>IF(L1157="","",Q1157/'[1]LOCH Calc COE Calc'!$C$28)</f>
        <v/>
      </c>
      <c r="W1157" t="str">
        <f>IF(L1157="","",R1157/'[1]LOCH Calc COE Calc'!$C$28)</f>
        <v/>
      </c>
    </row>
    <row r="1158" spans="12:23" x14ac:dyDescent="0.25">
      <c r="L1158" s="4" t="str">
        <f>IF('[1]All Data '!BE1163="","",'[1]All Data '!BE1163)</f>
        <v/>
      </c>
      <c r="M1158" t="str">
        <f>IF('[1]All Data '!BF1163="","",'[1]All Data '!BF1163)</f>
        <v/>
      </c>
      <c r="N1158" s="5" t="str">
        <f>IF('[1]All Data '!BB1163="","",'[1]All Data '!BC1163/'[1]All Data '!BH1163)</f>
        <v/>
      </c>
      <c r="O1158" s="5" t="str">
        <f t="shared" si="20"/>
        <v/>
      </c>
      <c r="P1158" s="5" t="str">
        <f>IF(M1158="","",$C$2*(1-L1158)*907.2/0.621371*N1158*[1]Transportation!$M$40)</f>
        <v/>
      </c>
      <c r="Q1158" s="5" t="str">
        <f>IF(L1158="","",IF([1]Inputs_Outputs!$B$5="Herbaceous",(LCA!$E$29*'[1]LOCH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8" s="5" t="str">
        <f>IF(M1158="","",$E$2*1000*'[1]LOCH Calc COE Calc'!$C$44)</f>
        <v/>
      </c>
      <c r="S1158" s="6" t="str">
        <f>IF(N1158="","",SUM(O1158:R1158)/('[1]LOCH Calc COE Calc'!$C$28))</f>
        <v/>
      </c>
      <c r="T1158" t="str">
        <f>IF(L1158="","",O1158/'[1]LOCH Calc COE Calc'!$C$28)</f>
        <v/>
      </c>
      <c r="U1158" t="str">
        <f>IF(L1158="","",P1158/'[1]LOCH Calc COE Calc'!$C$28)</f>
        <v/>
      </c>
      <c r="V1158" t="str">
        <f>IF(L1158="","",Q1158/'[1]LOCH Calc COE Calc'!$C$28)</f>
        <v/>
      </c>
      <c r="W1158" t="str">
        <f>IF(L1158="","",R1158/'[1]LOCH Calc COE Calc'!$C$28)</f>
        <v/>
      </c>
    </row>
    <row r="1159" spans="12:23" x14ac:dyDescent="0.25">
      <c r="L1159" s="4" t="str">
        <f>IF('[1]All Data '!BE1164="","",'[1]All Data '!BE1164)</f>
        <v/>
      </c>
      <c r="M1159" t="str">
        <f>IF('[1]All Data '!BF1164="","",'[1]All Data '!BF1164)</f>
        <v/>
      </c>
      <c r="N1159" s="5" t="str">
        <f>IF('[1]All Data '!BB1164="","",'[1]All Data '!BC1164/'[1]All Data '!BH1164)</f>
        <v/>
      </c>
      <c r="O1159" s="5" t="str">
        <f t="shared" si="20"/>
        <v/>
      </c>
      <c r="P1159" s="5" t="str">
        <f>IF(M1159="","",$C$2*(1-L1159)*907.2/0.621371*N1159*[1]Transportation!$M$40)</f>
        <v/>
      </c>
      <c r="Q1159" s="5" t="str">
        <f>IF(L1159="","",IF([1]Inputs_Outputs!$B$5="Herbaceous",(LCA!$E$29*'[1]LOCH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59" s="5" t="str">
        <f>IF(M1159="","",$E$2*1000*'[1]LOCH Calc COE Calc'!$C$44)</f>
        <v/>
      </c>
      <c r="S1159" s="6" t="str">
        <f>IF(N1159="","",SUM(O1159:R1159)/('[1]LOCH Calc COE Calc'!$C$28))</f>
        <v/>
      </c>
      <c r="T1159" t="str">
        <f>IF(L1159="","",O1159/'[1]LOCH Calc COE Calc'!$C$28)</f>
        <v/>
      </c>
      <c r="U1159" t="str">
        <f>IF(L1159="","",P1159/'[1]LOCH Calc COE Calc'!$C$28)</f>
        <v/>
      </c>
      <c r="V1159" t="str">
        <f>IF(L1159="","",Q1159/'[1]LOCH Calc COE Calc'!$C$28)</f>
        <v/>
      </c>
      <c r="W1159" t="str">
        <f>IF(L1159="","",R1159/'[1]LOCH Calc COE Calc'!$C$28)</f>
        <v/>
      </c>
    </row>
    <row r="1160" spans="12:23" x14ac:dyDescent="0.25">
      <c r="L1160" s="4" t="str">
        <f>IF('[1]All Data '!BE1165="","",'[1]All Data '!BE1165)</f>
        <v/>
      </c>
      <c r="M1160" t="str">
        <f>IF('[1]All Data '!BF1165="","",'[1]All Data '!BF1165)</f>
        <v/>
      </c>
      <c r="N1160" s="5" t="str">
        <f>IF('[1]All Data '!BB1165="","",'[1]All Data '!BC1165/'[1]All Data '!BH1165)</f>
        <v/>
      </c>
      <c r="O1160" s="5" t="str">
        <f t="shared" si="20"/>
        <v/>
      </c>
      <c r="P1160" s="5" t="str">
        <f>IF(M1160="","",$C$2*(1-L1160)*907.2/0.621371*N1160*[1]Transportation!$M$40)</f>
        <v/>
      </c>
      <c r="Q1160" s="5" t="str">
        <f>IF(L1160="","",IF([1]Inputs_Outputs!$B$5="Herbaceous",(LCA!$E$29*'[1]LOCH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0" s="5" t="str">
        <f>IF(M1160="","",$E$2*1000*'[1]LOCH Calc COE Calc'!$C$44)</f>
        <v/>
      </c>
      <c r="S1160" s="6" t="str">
        <f>IF(N1160="","",SUM(O1160:R1160)/('[1]LOCH Calc COE Calc'!$C$28))</f>
        <v/>
      </c>
      <c r="T1160" t="str">
        <f>IF(L1160="","",O1160/'[1]LOCH Calc COE Calc'!$C$28)</f>
        <v/>
      </c>
      <c r="U1160" t="str">
        <f>IF(L1160="","",P1160/'[1]LOCH Calc COE Calc'!$C$28)</f>
        <v/>
      </c>
      <c r="V1160" t="str">
        <f>IF(L1160="","",Q1160/'[1]LOCH Calc COE Calc'!$C$28)</f>
        <v/>
      </c>
      <c r="W1160" t="str">
        <f>IF(L1160="","",R1160/'[1]LOCH Calc COE Calc'!$C$28)</f>
        <v/>
      </c>
    </row>
    <row r="1161" spans="12:23" x14ac:dyDescent="0.25">
      <c r="L1161" s="4" t="str">
        <f>IF('[1]All Data '!BE1166="","",'[1]All Data '!BE1166)</f>
        <v/>
      </c>
      <c r="M1161" t="str">
        <f>IF('[1]All Data '!BF1166="","",'[1]All Data '!BF1166)</f>
        <v/>
      </c>
      <c r="N1161" s="5" t="str">
        <f>IF('[1]All Data '!BB1166="","",'[1]All Data '!BC1166/'[1]All Data '!BH1166)</f>
        <v/>
      </c>
      <c r="O1161" s="5" t="str">
        <f t="shared" si="20"/>
        <v/>
      </c>
      <c r="P1161" s="5" t="str">
        <f>IF(M1161="","",$C$2*(1-L1161)*907.2/0.621371*N1161*[1]Transportation!$M$40)</f>
        <v/>
      </c>
      <c r="Q1161" s="5" t="str">
        <f>IF(L1161="","",IF([1]Inputs_Outputs!$B$5="Herbaceous",(LCA!$E$29*'[1]LOCH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1" s="5" t="str">
        <f>IF(M1161="","",$E$2*1000*'[1]LOCH Calc COE Calc'!$C$44)</f>
        <v/>
      </c>
      <c r="S1161" s="6" t="str">
        <f>IF(N1161="","",SUM(O1161:R1161)/('[1]LOCH Calc COE Calc'!$C$28))</f>
        <v/>
      </c>
      <c r="T1161" t="str">
        <f>IF(L1161="","",O1161/'[1]LOCH Calc COE Calc'!$C$28)</f>
        <v/>
      </c>
      <c r="U1161" t="str">
        <f>IF(L1161="","",P1161/'[1]LOCH Calc COE Calc'!$C$28)</f>
        <v/>
      </c>
      <c r="V1161" t="str">
        <f>IF(L1161="","",Q1161/'[1]LOCH Calc COE Calc'!$C$28)</f>
        <v/>
      </c>
      <c r="W1161" t="str">
        <f>IF(L1161="","",R1161/'[1]LOCH Calc COE Calc'!$C$28)</f>
        <v/>
      </c>
    </row>
    <row r="1162" spans="12:23" x14ac:dyDescent="0.25">
      <c r="L1162" s="4" t="str">
        <f>IF('[1]All Data '!BE1167="","",'[1]All Data '!BE1167)</f>
        <v/>
      </c>
      <c r="M1162" t="str">
        <f>IF('[1]All Data '!BF1167="","",'[1]All Data '!BF1167)</f>
        <v/>
      </c>
      <c r="N1162" s="5" t="str">
        <f>IF('[1]All Data '!BB1167="","",'[1]All Data '!BC1167/'[1]All Data '!BH1167)</f>
        <v/>
      </c>
      <c r="O1162" s="5" t="str">
        <f t="shared" si="20"/>
        <v/>
      </c>
      <c r="P1162" s="5" t="str">
        <f>IF(M1162="","",$C$2*(1-L1162)*907.2/0.621371*N1162*[1]Transportation!$M$40)</f>
        <v/>
      </c>
      <c r="Q1162" s="5" t="str">
        <f>IF(L1162="","",IF([1]Inputs_Outputs!$B$5="Herbaceous",(LCA!$E$29*'[1]LOCH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2" s="5" t="str">
        <f>IF(M1162="","",$E$2*1000*'[1]LOCH Calc COE Calc'!$C$44)</f>
        <v/>
      </c>
      <c r="S1162" s="6" t="str">
        <f>IF(N1162="","",SUM(O1162:R1162)/('[1]LOCH Calc COE Calc'!$C$28))</f>
        <v/>
      </c>
      <c r="T1162" t="str">
        <f>IF(L1162="","",O1162/'[1]LOCH Calc COE Calc'!$C$28)</f>
        <v/>
      </c>
      <c r="U1162" t="str">
        <f>IF(L1162="","",P1162/'[1]LOCH Calc COE Calc'!$C$28)</f>
        <v/>
      </c>
      <c r="V1162" t="str">
        <f>IF(L1162="","",Q1162/'[1]LOCH Calc COE Calc'!$C$28)</f>
        <v/>
      </c>
      <c r="W1162" t="str">
        <f>IF(L1162="","",R1162/'[1]LOCH Calc COE Calc'!$C$28)</f>
        <v/>
      </c>
    </row>
    <row r="1163" spans="12:23" x14ac:dyDescent="0.25">
      <c r="L1163" s="4" t="str">
        <f>IF('[1]All Data '!BE1168="","",'[1]All Data '!BE1168)</f>
        <v/>
      </c>
      <c r="M1163" t="str">
        <f>IF('[1]All Data '!BF1168="","",'[1]All Data '!BF1168)</f>
        <v/>
      </c>
      <c r="N1163" s="5" t="str">
        <f>IF('[1]All Data '!BB1168="","",'[1]All Data '!BC1168/'[1]All Data '!BH1168)</f>
        <v/>
      </c>
      <c r="O1163" s="5" t="str">
        <f t="shared" si="20"/>
        <v/>
      </c>
      <c r="P1163" s="5" t="str">
        <f>IF(M1163="","",$C$2*(1-L1163)*907.2/0.621371*N1163*[1]Transportation!$M$40)</f>
        <v/>
      </c>
      <c r="Q1163" s="5" t="str">
        <f>IF(L1163="","",IF([1]Inputs_Outputs!$B$5="Herbaceous",(LCA!$E$29*'[1]LOCH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3" s="5" t="str">
        <f>IF(M1163="","",$E$2*1000*'[1]LOCH Calc COE Calc'!$C$44)</f>
        <v/>
      </c>
      <c r="S1163" s="6" t="str">
        <f>IF(N1163="","",SUM(O1163:R1163)/('[1]LOCH Calc COE Calc'!$C$28))</f>
        <v/>
      </c>
      <c r="T1163" t="str">
        <f>IF(L1163="","",O1163/'[1]LOCH Calc COE Calc'!$C$28)</f>
        <v/>
      </c>
      <c r="U1163" t="str">
        <f>IF(L1163="","",P1163/'[1]LOCH Calc COE Calc'!$C$28)</f>
        <v/>
      </c>
      <c r="V1163" t="str">
        <f>IF(L1163="","",Q1163/'[1]LOCH Calc COE Calc'!$C$28)</f>
        <v/>
      </c>
      <c r="W1163" t="str">
        <f>IF(L1163="","",R1163/'[1]LOCH Calc COE Calc'!$C$28)</f>
        <v/>
      </c>
    </row>
    <row r="1164" spans="12:23" x14ac:dyDescent="0.25">
      <c r="L1164" s="4" t="str">
        <f>IF('[1]All Data '!BE1169="","",'[1]All Data '!BE1169)</f>
        <v/>
      </c>
      <c r="M1164" t="str">
        <f>IF('[1]All Data '!BF1169="","",'[1]All Data '!BF1169)</f>
        <v/>
      </c>
      <c r="N1164" s="5" t="str">
        <f>IF('[1]All Data '!BB1169="","",'[1]All Data '!BC1169/'[1]All Data '!BH1169)</f>
        <v/>
      </c>
      <c r="O1164" s="5" t="str">
        <f t="shared" si="20"/>
        <v/>
      </c>
      <c r="P1164" s="5" t="str">
        <f>IF(M1164="","",$C$2*(1-L1164)*907.2/0.621371*N1164*[1]Transportation!$M$40)</f>
        <v/>
      </c>
      <c r="Q1164" s="5" t="str">
        <f>IF(L1164="","",IF([1]Inputs_Outputs!$B$5="Herbaceous",(LCA!$E$29*'[1]LOCH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4" s="5" t="str">
        <f>IF(M1164="","",$E$2*1000*'[1]LOCH Calc COE Calc'!$C$44)</f>
        <v/>
      </c>
      <c r="S1164" s="6" t="str">
        <f>IF(N1164="","",SUM(O1164:R1164)/('[1]LOCH Calc COE Calc'!$C$28))</f>
        <v/>
      </c>
      <c r="T1164" t="str">
        <f>IF(L1164="","",O1164/'[1]LOCH Calc COE Calc'!$C$28)</f>
        <v/>
      </c>
      <c r="U1164" t="str">
        <f>IF(L1164="","",P1164/'[1]LOCH Calc COE Calc'!$C$28)</f>
        <v/>
      </c>
      <c r="V1164" t="str">
        <f>IF(L1164="","",Q1164/'[1]LOCH Calc COE Calc'!$C$28)</f>
        <v/>
      </c>
      <c r="W1164" t="str">
        <f>IF(L1164="","",R1164/'[1]LOCH Calc COE Calc'!$C$28)</f>
        <v/>
      </c>
    </row>
    <row r="1165" spans="12:23" x14ac:dyDescent="0.25">
      <c r="L1165" s="4" t="str">
        <f>IF('[1]All Data '!BE1170="","",'[1]All Data '!BE1170)</f>
        <v/>
      </c>
      <c r="M1165" t="str">
        <f>IF('[1]All Data '!BF1170="","",'[1]All Data '!BF1170)</f>
        <v/>
      </c>
      <c r="N1165" s="5" t="str">
        <f>IF('[1]All Data '!BB1170="","",'[1]All Data '!BC1170/'[1]All Data '!BH1170)</f>
        <v/>
      </c>
      <c r="O1165" s="5" t="str">
        <f t="shared" si="20"/>
        <v/>
      </c>
      <c r="P1165" s="5" t="str">
        <f>IF(M1165="","",$C$2*(1-L1165)*907.2/0.621371*N1165*[1]Transportation!$M$40)</f>
        <v/>
      </c>
      <c r="Q1165" s="5" t="str">
        <f>IF(L1165="","",IF([1]Inputs_Outputs!$B$5="Herbaceous",(LCA!$E$29*'[1]LOCH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5" s="5" t="str">
        <f>IF(M1165="","",$E$2*1000*'[1]LOCH Calc COE Calc'!$C$44)</f>
        <v/>
      </c>
      <c r="S1165" s="6" t="str">
        <f>IF(N1165="","",SUM(O1165:R1165)/('[1]LOCH Calc COE Calc'!$C$28))</f>
        <v/>
      </c>
      <c r="T1165" t="str">
        <f>IF(L1165="","",O1165/'[1]LOCH Calc COE Calc'!$C$28)</f>
        <v/>
      </c>
      <c r="U1165" t="str">
        <f>IF(L1165="","",P1165/'[1]LOCH Calc COE Calc'!$C$28)</f>
        <v/>
      </c>
      <c r="V1165" t="str">
        <f>IF(L1165="","",Q1165/'[1]LOCH Calc COE Calc'!$C$28)</f>
        <v/>
      </c>
      <c r="W1165" t="str">
        <f>IF(L1165="","",R1165/'[1]LOCH Calc COE Calc'!$C$28)</f>
        <v/>
      </c>
    </row>
    <row r="1166" spans="12:23" x14ac:dyDescent="0.25">
      <c r="L1166" s="4" t="str">
        <f>IF('[1]All Data '!BE1171="","",'[1]All Data '!BE1171)</f>
        <v/>
      </c>
      <c r="M1166" t="str">
        <f>IF('[1]All Data '!BF1171="","",'[1]All Data '!BF1171)</f>
        <v/>
      </c>
      <c r="N1166" s="5" t="str">
        <f>IF('[1]All Data '!BB1171="","",'[1]All Data '!BC1171/'[1]All Data '!BH1171)</f>
        <v/>
      </c>
      <c r="O1166" s="5" t="str">
        <f t="shared" si="20"/>
        <v/>
      </c>
      <c r="P1166" s="5" t="str">
        <f>IF(M1166="","",$C$2*(1-L1166)*907.2/0.621371*N1166*[1]Transportation!$M$40)</f>
        <v/>
      </c>
      <c r="Q1166" s="5" t="str">
        <f>IF(L1166="","",IF([1]Inputs_Outputs!$B$5="Herbaceous",(LCA!$E$29*'[1]LOCH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6" s="5" t="str">
        <f>IF(M1166="","",$E$2*1000*'[1]LOCH Calc COE Calc'!$C$44)</f>
        <v/>
      </c>
      <c r="S1166" s="6" t="str">
        <f>IF(N1166="","",SUM(O1166:R1166)/('[1]LOCH Calc COE Calc'!$C$28))</f>
        <v/>
      </c>
      <c r="T1166" t="str">
        <f>IF(L1166="","",O1166/'[1]LOCH Calc COE Calc'!$C$28)</f>
        <v/>
      </c>
      <c r="U1166" t="str">
        <f>IF(L1166="","",P1166/'[1]LOCH Calc COE Calc'!$C$28)</f>
        <v/>
      </c>
      <c r="V1166" t="str">
        <f>IF(L1166="","",Q1166/'[1]LOCH Calc COE Calc'!$C$28)</f>
        <v/>
      </c>
      <c r="W1166" t="str">
        <f>IF(L1166="","",R1166/'[1]LOCH Calc COE Calc'!$C$28)</f>
        <v/>
      </c>
    </row>
    <row r="1167" spans="12:23" x14ac:dyDescent="0.25">
      <c r="L1167" s="4" t="str">
        <f>IF('[1]All Data '!BE1172="","",'[1]All Data '!BE1172)</f>
        <v/>
      </c>
      <c r="M1167" t="str">
        <f>IF('[1]All Data '!BF1172="","",'[1]All Data '!BF1172)</f>
        <v/>
      </c>
      <c r="N1167" s="5" t="str">
        <f>IF('[1]All Data '!BB1172="","",'[1]All Data '!BC1172/'[1]All Data '!BH1172)</f>
        <v/>
      </c>
      <c r="O1167" s="5" t="str">
        <f t="shared" si="20"/>
        <v/>
      </c>
      <c r="P1167" s="5" t="str">
        <f>IF(M1167="","",$C$2*(1-L1167)*907.2/0.621371*N1167*[1]Transportation!$M$40)</f>
        <v/>
      </c>
      <c r="Q1167" s="5" t="str">
        <f>IF(L1167="","",IF([1]Inputs_Outputs!$B$5="Herbaceous",(LCA!$E$29*'[1]LOCH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7" s="5" t="str">
        <f>IF(M1167="","",$E$2*1000*'[1]LOCH Calc COE Calc'!$C$44)</f>
        <v/>
      </c>
      <c r="S1167" s="6" t="str">
        <f>IF(N1167="","",SUM(O1167:R1167)/('[1]LOCH Calc COE Calc'!$C$28))</f>
        <v/>
      </c>
      <c r="T1167" t="str">
        <f>IF(L1167="","",O1167/'[1]LOCH Calc COE Calc'!$C$28)</f>
        <v/>
      </c>
      <c r="U1167" t="str">
        <f>IF(L1167="","",P1167/'[1]LOCH Calc COE Calc'!$C$28)</f>
        <v/>
      </c>
      <c r="V1167" t="str">
        <f>IF(L1167="","",Q1167/'[1]LOCH Calc COE Calc'!$C$28)</f>
        <v/>
      </c>
      <c r="W1167" t="str">
        <f>IF(L1167="","",R1167/'[1]LOCH Calc COE Calc'!$C$28)</f>
        <v/>
      </c>
    </row>
    <row r="1168" spans="12:23" x14ac:dyDescent="0.25">
      <c r="L1168" s="4" t="str">
        <f>IF('[1]All Data '!BE1173="","",'[1]All Data '!BE1173)</f>
        <v/>
      </c>
      <c r="M1168" t="str">
        <f>IF('[1]All Data '!BF1173="","",'[1]All Data '!BF1173)</f>
        <v/>
      </c>
      <c r="N1168" s="5" t="str">
        <f>IF('[1]All Data '!BB1173="","",'[1]All Data '!BC1173/'[1]All Data '!BH1173)</f>
        <v/>
      </c>
      <c r="O1168" s="5" t="str">
        <f t="shared" si="20"/>
        <v/>
      </c>
      <c r="P1168" s="5" t="str">
        <f>IF(M1168="","",$C$2*(1-L1168)*907.2/0.621371*N1168*[1]Transportation!$M$40)</f>
        <v/>
      </c>
      <c r="Q1168" s="5" t="str">
        <f>IF(L1168="","",IF([1]Inputs_Outputs!$B$5="Herbaceous",(LCA!$E$29*'[1]LOCH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8" s="5" t="str">
        <f>IF(M1168="","",$E$2*1000*'[1]LOCH Calc COE Calc'!$C$44)</f>
        <v/>
      </c>
      <c r="S1168" s="6" t="str">
        <f>IF(N1168="","",SUM(O1168:R1168)/('[1]LOCH Calc COE Calc'!$C$28))</f>
        <v/>
      </c>
      <c r="T1168" t="str">
        <f>IF(L1168="","",O1168/'[1]LOCH Calc COE Calc'!$C$28)</f>
        <v/>
      </c>
      <c r="U1168" t="str">
        <f>IF(L1168="","",P1168/'[1]LOCH Calc COE Calc'!$C$28)</f>
        <v/>
      </c>
      <c r="V1168" t="str">
        <f>IF(L1168="","",Q1168/'[1]LOCH Calc COE Calc'!$C$28)</f>
        <v/>
      </c>
      <c r="W1168" t="str">
        <f>IF(L1168="","",R1168/'[1]LOCH Calc COE Calc'!$C$28)</f>
        <v/>
      </c>
    </row>
    <row r="1169" spans="12:23" x14ac:dyDescent="0.25">
      <c r="L1169" s="4" t="str">
        <f>IF('[1]All Data '!BE1174="","",'[1]All Data '!BE1174)</f>
        <v/>
      </c>
      <c r="M1169" t="str">
        <f>IF('[1]All Data '!BF1174="","",'[1]All Data '!BF1174)</f>
        <v/>
      </c>
      <c r="N1169" s="5" t="str">
        <f>IF('[1]All Data '!BB1174="","",'[1]All Data '!BC1174/'[1]All Data '!BH1174)</f>
        <v/>
      </c>
      <c r="O1169" s="5" t="str">
        <f t="shared" si="20"/>
        <v/>
      </c>
      <c r="P1169" s="5" t="str">
        <f>IF(M1169="","",$C$2*(1-L1169)*907.2/0.621371*N1169*[1]Transportation!$M$40)</f>
        <v/>
      </c>
      <c r="Q1169" s="5" t="str">
        <f>IF(L1169="","",IF([1]Inputs_Outputs!$B$5="Herbaceous",(LCA!$E$29*'[1]LOCH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69" s="5" t="str">
        <f>IF(M1169="","",$E$2*1000*'[1]LOCH Calc COE Calc'!$C$44)</f>
        <v/>
      </c>
      <c r="S1169" s="6" t="str">
        <f>IF(N1169="","",SUM(O1169:R1169)/('[1]LOCH Calc COE Calc'!$C$28))</f>
        <v/>
      </c>
      <c r="T1169" t="str">
        <f>IF(L1169="","",O1169/'[1]LOCH Calc COE Calc'!$C$28)</f>
        <v/>
      </c>
      <c r="U1169" t="str">
        <f>IF(L1169="","",P1169/'[1]LOCH Calc COE Calc'!$C$28)</f>
        <v/>
      </c>
      <c r="V1169" t="str">
        <f>IF(L1169="","",Q1169/'[1]LOCH Calc COE Calc'!$C$28)</f>
        <v/>
      </c>
      <c r="W1169" t="str">
        <f>IF(L1169="","",R1169/'[1]LOCH Calc COE Calc'!$C$28)</f>
        <v/>
      </c>
    </row>
    <row r="1170" spans="12:23" x14ac:dyDescent="0.25">
      <c r="L1170" s="4" t="str">
        <f>IF('[1]All Data '!BE1175="","",'[1]All Data '!BE1175)</f>
        <v/>
      </c>
      <c r="M1170" t="str">
        <f>IF('[1]All Data '!BF1175="","",'[1]All Data '!BF1175)</f>
        <v/>
      </c>
      <c r="N1170" s="5" t="str">
        <f>IF('[1]All Data '!BB1175="","",'[1]All Data '!BC1175/'[1]All Data '!BH1175)</f>
        <v/>
      </c>
      <c r="O1170" s="5" t="str">
        <f t="shared" si="20"/>
        <v/>
      </c>
      <c r="P1170" s="5" t="str">
        <f>IF(M1170="","",$C$2*(1-L1170)*907.2/0.621371*N1170*[1]Transportation!$M$40)</f>
        <v/>
      </c>
      <c r="Q1170" s="5" t="str">
        <f>IF(L1170="","",IF([1]Inputs_Outputs!$B$5="Herbaceous",(LCA!$E$29*'[1]LOCH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0" s="5" t="str">
        <f>IF(M1170="","",$E$2*1000*'[1]LOCH Calc COE Calc'!$C$44)</f>
        <v/>
      </c>
      <c r="S1170" s="6" t="str">
        <f>IF(N1170="","",SUM(O1170:R1170)/('[1]LOCH Calc COE Calc'!$C$28))</f>
        <v/>
      </c>
      <c r="T1170" t="str">
        <f>IF(L1170="","",O1170/'[1]LOCH Calc COE Calc'!$C$28)</f>
        <v/>
      </c>
      <c r="U1170" t="str">
        <f>IF(L1170="","",P1170/'[1]LOCH Calc COE Calc'!$C$28)</f>
        <v/>
      </c>
      <c r="V1170" t="str">
        <f>IF(L1170="","",Q1170/'[1]LOCH Calc COE Calc'!$C$28)</f>
        <v/>
      </c>
      <c r="W1170" t="str">
        <f>IF(L1170="","",R1170/'[1]LOCH Calc COE Calc'!$C$28)</f>
        <v/>
      </c>
    </row>
    <row r="1171" spans="12:23" x14ac:dyDescent="0.25">
      <c r="L1171" s="4" t="str">
        <f>IF('[1]All Data '!BE1176="","",'[1]All Data '!BE1176)</f>
        <v/>
      </c>
      <c r="M1171" t="str">
        <f>IF('[1]All Data '!BF1176="","",'[1]All Data '!BF1176)</f>
        <v/>
      </c>
      <c r="N1171" s="5" t="str">
        <f>IF('[1]All Data '!BB1176="","",'[1]All Data '!BC1176/'[1]All Data '!BH1176)</f>
        <v/>
      </c>
      <c r="O1171" s="5" t="str">
        <f t="shared" si="20"/>
        <v/>
      </c>
      <c r="P1171" s="5" t="str">
        <f>IF(M1171="","",$C$2*(1-L1171)*907.2/0.621371*N1171*[1]Transportation!$M$40)</f>
        <v/>
      </c>
      <c r="Q1171" s="5" t="str">
        <f>IF(L1171="","",IF([1]Inputs_Outputs!$B$5="Herbaceous",(LCA!$E$29*'[1]LOCH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1" s="5" t="str">
        <f>IF(M1171="","",$E$2*1000*'[1]LOCH Calc COE Calc'!$C$44)</f>
        <v/>
      </c>
      <c r="S1171" s="6" t="str">
        <f>IF(N1171="","",SUM(O1171:R1171)/('[1]LOCH Calc COE Calc'!$C$28))</f>
        <v/>
      </c>
      <c r="T1171" t="str">
        <f>IF(L1171="","",O1171/'[1]LOCH Calc COE Calc'!$C$28)</f>
        <v/>
      </c>
      <c r="U1171" t="str">
        <f>IF(L1171="","",P1171/'[1]LOCH Calc COE Calc'!$C$28)</f>
        <v/>
      </c>
      <c r="V1171" t="str">
        <f>IF(L1171="","",Q1171/'[1]LOCH Calc COE Calc'!$C$28)</f>
        <v/>
      </c>
      <c r="W1171" t="str">
        <f>IF(L1171="","",R1171/'[1]LOCH Calc COE Calc'!$C$28)</f>
        <v/>
      </c>
    </row>
    <row r="1172" spans="12:23" x14ac:dyDescent="0.25">
      <c r="L1172" s="4" t="str">
        <f>IF('[1]All Data '!BE1177="","",'[1]All Data '!BE1177)</f>
        <v/>
      </c>
      <c r="M1172" t="str">
        <f>IF('[1]All Data '!BF1177="","",'[1]All Data '!BF1177)</f>
        <v/>
      </c>
      <c r="N1172" s="5" t="str">
        <f>IF('[1]All Data '!BB1177="","",'[1]All Data '!BC1177/'[1]All Data '!BH1177)</f>
        <v/>
      </c>
      <c r="O1172" s="5" t="str">
        <f t="shared" si="20"/>
        <v/>
      </c>
      <c r="P1172" s="5" t="str">
        <f>IF(M1172="","",$C$2*(1-L1172)*907.2/0.621371*N1172*[1]Transportation!$M$40)</f>
        <v/>
      </c>
      <c r="Q1172" s="5" t="str">
        <f>IF(L1172="","",IF([1]Inputs_Outputs!$B$5="Herbaceous",(LCA!$E$29*'[1]LOCH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2" s="5" t="str">
        <f>IF(M1172="","",$E$2*1000*'[1]LOCH Calc COE Calc'!$C$44)</f>
        <v/>
      </c>
      <c r="S1172" s="6" t="str">
        <f>IF(N1172="","",SUM(O1172:R1172)/('[1]LOCH Calc COE Calc'!$C$28))</f>
        <v/>
      </c>
      <c r="T1172" t="str">
        <f>IF(L1172="","",O1172/'[1]LOCH Calc COE Calc'!$C$28)</f>
        <v/>
      </c>
      <c r="U1172" t="str">
        <f>IF(L1172="","",P1172/'[1]LOCH Calc COE Calc'!$C$28)</f>
        <v/>
      </c>
      <c r="V1172" t="str">
        <f>IF(L1172="","",Q1172/'[1]LOCH Calc COE Calc'!$C$28)</f>
        <v/>
      </c>
      <c r="W1172" t="str">
        <f>IF(L1172="","",R1172/'[1]LOCH Calc COE Calc'!$C$28)</f>
        <v/>
      </c>
    </row>
    <row r="1173" spans="12:23" x14ac:dyDescent="0.25">
      <c r="L1173" s="4" t="str">
        <f>IF('[1]All Data '!BE1178="","",'[1]All Data '!BE1178)</f>
        <v/>
      </c>
      <c r="M1173" t="str">
        <f>IF('[1]All Data '!BF1178="","",'[1]All Data '!BF1178)</f>
        <v/>
      </c>
      <c r="N1173" s="5" t="str">
        <f>IF('[1]All Data '!BB1178="","",'[1]All Data '!BC1178/'[1]All Data '!BH1178)</f>
        <v/>
      </c>
      <c r="O1173" s="5" t="str">
        <f t="shared" si="20"/>
        <v/>
      </c>
      <c r="P1173" s="5" t="str">
        <f>IF(M1173="","",$C$2*(1-L1173)*907.2/0.621371*N1173*[1]Transportation!$M$40)</f>
        <v/>
      </c>
      <c r="Q1173" s="5" t="str">
        <f>IF(L1173="","",IF([1]Inputs_Outputs!$B$5="Herbaceous",(LCA!$E$29*'[1]LOCH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3" s="5" t="str">
        <f>IF(M1173="","",$E$2*1000*'[1]LOCH Calc COE Calc'!$C$44)</f>
        <v/>
      </c>
      <c r="S1173" s="6" t="str">
        <f>IF(N1173="","",SUM(O1173:R1173)/('[1]LOCH Calc COE Calc'!$C$28))</f>
        <v/>
      </c>
      <c r="T1173" t="str">
        <f>IF(L1173="","",O1173/'[1]LOCH Calc COE Calc'!$C$28)</f>
        <v/>
      </c>
      <c r="U1173" t="str">
        <f>IF(L1173="","",P1173/'[1]LOCH Calc COE Calc'!$C$28)</f>
        <v/>
      </c>
      <c r="V1173" t="str">
        <f>IF(L1173="","",Q1173/'[1]LOCH Calc COE Calc'!$C$28)</f>
        <v/>
      </c>
      <c r="W1173" t="str">
        <f>IF(L1173="","",R1173/'[1]LOCH Calc COE Calc'!$C$28)</f>
        <v/>
      </c>
    </row>
    <row r="1174" spans="12:23" x14ac:dyDescent="0.25">
      <c r="L1174" s="4" t="str">
        <f>IF('[1]All Data '!BE1179="","",'[1]All Data '!BE1179)</f>
        <v/>
      </c>
      <c r="M1174" t="str">
        <f>IF('[1]All Data '!BF1179="","",'[1]All Data '!BF1179)</f>
        <v/>
      </c>
      <c r="N1174" s="5" t="str">
        <f>IF('[1]All Data '!BB1179="","",'[1]All Data '!BC1179/'[1]All Data '!BH1179)</f>
        <v/>
      </c>
      <c r="O1174" s="5" t="str">
        <f t="shared" si="20"/>
        <v/>
      </c>
      <c r="P1174" s="5" t="str">
        <f>IF(M1174="","",$C$2*(1-L1174)*907.2/0.621371*N1174*[1]Transportation!$M$40)</f>
        <v/>
      </c>
      <c r="Q1174" s="5" t="str">
        <f>IF(L1174="","",IF([1]Inputs_Outputs!$B$5="Herbaceous",(LCA!$E$29*'[1]LOCH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4" s="5" t="str">
        <f>IF(M1174="","",$E$2*1000*'[1]LOCH Calc COE Calc'!$C$44)</f>
        <v/>
      </c>
      <c r="S1174" s="6" t="str">
        <f>IF(N1174="","",SUM(O1174:R1174)/('[1]LOCH Calc COE Calc'!$C$28))</f>
        <v/>
      </c>
      <c r="T1174" t="str">
        <f>IF(L1174="","",O1174/'[1]LOCH Calc COE Calc'!$C$28)</f>
        <v/>
      </c>
      <c r="U1174" t="str">
        <f>IF(L1174="","",P1174/'[1]LOCH Calc COE Calc'!$C$28)</f>
        <v/>
      </c>
      <c r="V1174" t="str">
        <f>IF(L1174="","",Q1174/'[1]LOCH Calc COE Calc'!$C$28)</f>
        <v/>
      </c>
      <c r="W1174" t="str">
        <f>IF(L1174="","",R1174/'[1]LOCH Calc COE Calc'!$C$28)</f>
        <v/>
      </c>
    </row>
    <row r="1175" spans="12:23" x14ac:dyDescent="0.25">
      <c r="L1175" s="4" t="str">
        <f>IF('[1]All Data '!BE1180="","",'[1]All Data '!BE1180)</f>
        <v/>
      </c>
      <c r="M1175" t="str">
        <f>IF('[1]All Data '!BF1180="","",'[1]All Data '!BF1180)</f>
        <v/>
      </c>
      <c r="N1175" s="5" t="str">
        <f>IF('[1]All Data '!BB1180="","",'[1]All Data '!BC1180/'[1]All Data '!BH1180)</f>
        <v/>
      </c>
      <c r="O1175" s="5" t="str">
        <f t="shared" si="20"/>
        <v/>
      </c>
      <c r="P1175" s="5" t="str">
        <f>IF(M1175="","",$C$2*(1-L1175)*907.2/0.621371*N1175*[1]Transportation!$M$40)</f>
        <v/>
      </c>
      <c r="Q1175" s="5" t="str">
        <f>IF(L1175="","",IF([1]Inputs_Outputs!$B$5="Herbaceous",(LCA!$E$29*'[1]LOCH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5" s="5" t="str">
        <f>IF(M1175="","",$E$2*1000*'[1]LOCH Calc COE Calc'!$C$44)</f>
        <v/>
      </c>
      <c r="S1175" s="6" t="str">
        <f>IF(N1175="","",SUM(O1175:R1175)/('[1]LOCH Calc COE Calc'!$C$28))</f>
        <v/>
      </c>
      <c r="T1175" t="str">
        <f>IF(L1175="","",O1175/'[1]LOCH Calc COE Calc'!$C$28)</f>
        <v/>
      </c>
      <c r="U1175" t="str">
        <f>IF(L1175="","",P1175/'[1]LOCH Calc COE Calc'!$C$28)</f>
        <v/>
      </c>
      <c r="V1175" t="str">
        <f>IF(L1175="","",Q1175/'[1]LOCH Calc COE Calc'!$C$28)</f>
        <v/>
      </c>
      <c r="W1175" t="str">
        <f>IF(L1175="","",R1175/'[1]LOCH Calc COE Calc'!$C$28)</f>
        <v/>
      </c>
    </row>
    <row r="1176" spans="12:23" x14ac:dyDescent="0.25">
      <c r="L1176" s="4" t="str">
        <f>IF('[1]All Data '!BE1181="","",'[1]All Data '!BE1181)</f>
        <v/>
      </c>
      <c r="M1176" t="str">
        <f>IF('[1]All Data '!BF1181="","",'[1]All Data '!BF1181)</f>
        <v/>
      </c>
      <c r="N1176" s="5" t="str">
        <f>IF('[1]All Data '!BB1181="","",'[1]All Data '!BC1181/'[1]All Data '!BH1181)</f>
        <v/>
      </c>
      <c r="O1176" s="5" t="str">
        <f t="shared" si="20"/>
        <v/>
      </c>
      <c r="P1176" s="5" t="str">
        <f>IF(M1176="","",$C$2*(1-L1176)*907.2/0.621371*N1176*[1]Transportation!$M$40)</f>
        <v/>
      </c>
      <c r="Q1176" s="5" t="str">
        <f>IF(L1176="","",IF([1]Inputs_Outputs!$B$5="Herbaceous",(LCA!$E$29*'[1]LOCH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6" s="5" t="str">
        <f>IF(M1176="","",$E$2*1000*'[1]LOCH Calc COE Calc'!$C$44)</f>
        <v/>
      </c>
      <c r="S1176" s="6" t="str">
        <f>IF(N1176="","",SUM(O1176:R1176)/('[1]LOCH Calc COE Calc'!$C$28))</f>
        <v/>
      </c>
      <c r="T1176" t="str">
        <f>IF(L1176="","",O1176/'[1]LOCH Calc COE Calc'!$C$28)</f>
        <v/>
      </c>
      <c r="U1176" t="str">
        <f>IF(L1176="","",P1176/'[1]LOCH Calc COE Calc'!$C$28)</f>
        <v/>
      </c>
      <c r="V1176" t="str">
        <f>IF(L1176="","",Q1176/'[1]LOCH Calc COE Calc'!$C$28)</f>
        <v/>
      </c>
      <c r="W1176" t="str">
        <f>IF(L1176="","",R1176/'[1]LOCH Calc COE Calc'!$C$28)</f>
        <v/>
      </c>
    </row>
    <row r="1177" spans="12:23" x14ac:dyDescent="0.25">
      <c r="L1177" s="4" t="str">
        <f>IF('[1]All Data '!BE1182="","",'[1]All Data '!BE1182)</f>
        <v/>
      </c>
      <c r="M1177" t="str">
        <f>IF('[1]All Data '!BF1182="","",'[1]All Data '!BF1182)</f>
        <v/>
      </c>
      <c r="N1177" s="5" t="str">
        <f>IF('[1]All Data '!BB1182="","",'[1]All Data '!BC1182/'[1]All Data '!BH1182)</f>
        <v/>
      </c>
      <c r="O1177" s="5" t="str">
        <f t="shared" si="20"/>
        <v/>
      </c>
      <c r="P1177" s="5" t="str">
        <f>IF(M1177="","",$C$2*(1-L1177)*907.2/0.621371*N1177*[1]Transportation!$M$40)</f>
        <v/>
      </c>
      <c r="Q1177" s="5" t="str">
        <f>IF(L1177="","",IF([1]Inputs_Outputs!$B$5="Herbaceous",(LCA!$E$29*'[1]LOCH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7" s="5" t="str">
        <f>IF(M1177="","",$E$2*1000*'[1]LOCH Calc COE Calc'!$C$44)</f>
        <v/>
      </c>
      <c r="S1177" s="6" t="str">
        <f>IF(N1177="","",SUM(O1177:R1177)/('[1]LOCH Calc COE Calc'!$C$28))</f>
        <v/>
      </c>
      <c r="T1177" t="str">
        <f>IF(L1177="","",O1177/'[1]LOCH Calc COE Calc'!$C$28)</f>
        <v/>
      </c>
      <c r="U1177" t="str">
        <f>IF(L1177="","",P1177/'[1]LOCH Calc COE Calc'!$C$28)</f>
        <v/>
      </c>
      <c r="V1177" t="str">
        <f>IF(L1177="","",Q1177/'[1]LOCH Calc COE Calc'!$C$28)</f>
        <v/>
      </c>
      <c r="W1177" t="str">
        <f>IF(L1177="","",R1177/'[1]LOCH Calc COE Calc'!$C$28)</f>
        <v/>
      </c>
    </row>
    <row r="1178" spans="12:23" x14ac:dyDescent="0.25">
      <c r="L1178" s="4" t="str">
        <f>IF('[1]All Data '!BE1183="","",'[1]All Data '!BE1183)</f>
        <v/>
      </c>
      <c r="M1178" t="str">
        <f>IF('[1]All Data '!BF1183="","",'[1]All Data '!BF1183)</f>
        <v/>
      </c>
      <c r="N1178" s="5" t="str">
        <f>IF('[1]All Data '!BB1183="","",'[1]All Data '!BC1183/'[1]All Data '!BH1183)</f>
        <v/>
      </c>
      <c r="O1178" s="5" t="str">
        <f t="shared" si="20"/>
        <v/>
      </c>
      <c r="P1178" s="5" t="str">
        <f>IF(M1178="","",$C$2*(1-L1178)*907.2/0.621371*N1178*[1]Transportation!$M$40)</f>
        <v/>
      </c>
      <c r="Q1178" s="5" t="str">
        <f>IF(L1178="","",IF([1]Inputs_Outputs!$B$5="Herbaceous",(LCA!$E$29*'[1]LOCH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8" s="5" t="str">
        <f>IF(M1178="","",$E$2*1000*'[1]LOCH Calc COE Calc'!$C$44)</f>
        <v/>
      </c>
      <c r="S1178" s="6" t="str">
        <f>IF(N1178="","",SUM(O1178:R1178)/('[1]LOCH Calc COE Calc'!$C$28))</f>
        <v/>
      </c>
      <c r="T1178" t="str">
        <f>IF(L1178="","",O1178/'[1]LOCH Calc COE Calc'!$C$28)</f>
        <v/>
      </c>
      <c r="U1178" t="str">
        <f>IF(L1178="","",P1178/'[1]LOCH Calc COE Calc'!$C$28)</f>
        <v/>
      </c>
      <c r="V1178" t="str">
        <f>IF(L1178="","",Q1178/'[1]LOCH Calc COE Calc'!$C$28)</f>
        <v/>
      </c>
      <c r="W1178" t="str">
        <f>IF(L1178="","",R1178/'[1]LOCH Calc COE Calc'!$C$28)</f>
        <v/>
      </c>
    </row>
    <row r="1179" spans="12:23" x14ac:dyDescent="0.25">
      <c r="L1179" s="4" t="str">
        <f>IF('[1]All Data '!BE1184="","",'[1]All Data '!BE1184)</f>
        <v/>
      </c>
      <c r="M1179" t="str">
        <f>IF('[1]All Data '!BF1184="","",'[1]All Data '!BF1184)</f>
        <v/>
      </c>
      <c r="N1179" s="5" t="str">
        <f>IF('[1]All Data '!BB1184="","",'[1]All Data '!BC1184/'[1]All Data '!BH1184)</f>
        <v/>
      </c>
      <c r="O1179" s="5" t="str">
        <f t="shared" si="20"/>
        <v/>
      </c>
      <c r="P1179" s="5" t="str">
        <f>IF(M1179="","",$C$2*(1-L1179)*907.2/0.621371*N1179*[1]Transportation!$M$40)</f>
        <v/>
      </c>
      <c r="Q1179" s="5" t="str">
        <f>IF(L1179="","",IF([1]Inputs_Outputs!$B$5="Herbaceous",(LCA!$E$29*'[1]LOCH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79" s="5" t="str">
        <f>IF(M1179="","",$E$2*1000*'[1]LOCH Calc COE Calc'!$C$44)</f>
        <v/>
      </c>
      <c r="S1179" s="6" t="str">
        <f>IF(N1179="","",SUM(O1179:R1179)/('[1]LOCH Calc COE Calc'!$C$28))</f>
        <v/>
      </c>
      <c r="T1179" t="str">
        <f>IF(L1179="","",O1179/'[1]LOCH Calc COE Calc'!$C$28)</f>
        <v/>
      </c>
      <c r="U1179" t="str">
        <f>IF(L1179="","",P1179/'[1]LOCH Calc COE Calc'!$C$28)</f>
        <v/>
      </c>
      <c r="V1179" t="str">
        <f>IF(L1179="","",Q1179/'[1]LOCH Calc COE Calc'!$C$28)</f>
        <v/>
      </c>
      <c r="W1179" t="str">
        <f>IF(L1179="","",R1179/'[1]LOCH Calc COE Calc'!$C$28)</f>
        <v/>
      </c>
    </row>
    <row r="1180" spans="12:23" x14ac:dyDescent="0.25">
      <c r="L1180" s="4" t="str">
        <f>IF('[1]All Data '!BE1185="","",'[1]All Data '!BE1185)</f>
        <v/>
      </c>
      <c r="M1180" t="str">
        <f>IF('[1]All Data '!BF1185="","",'[1]All Data '!BF1185)</f>
        <v/>
      </c>
      <c r="N1180" s="5" t="str">
        <f>IF('[1]All Data '!BB1185="","",'[1]All Data '!BC1185/'[1]All Data '!BH1185)</f>
        <v/>
      </c>
      <c r="O1180" s="5" t="str">
        <f t="shared" si="20"/>
        <v/>
      </c>
      <c r="P1180" s="5" t="str">
        <f>IF(M1180="","",$C$2*(1-L1180)*907.2/0.621371*N1180*[1]Transportation!$M$40)</f>
        <v/>
      </c>
      <c r="Q1180" s="5" t="str">
        <f>IF(L1180="","",IF([1]Inputs_Outputs!$B$5="Herbaceous",(LCA!$E$29*'[1]LOCH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0" s="5" t="str">
        <f>IF(M1180="","",$E$2*1000*'[1]LOCH Calc COE Calc'!$C$44)</f>
        <v/>
      </c>
      <c r="S1180" s="6" t="str">
        <f>IF(N1180="","",SUM(O1180:R1180)/('[1]LOCH Calc COE Calc'!$C$28))</f>
        <v/>
      </c>
      <c r="T1180" t="str">
        <f>IF(L1180="","",O1180/'[1]LOCH Calc COE Calc'!$C$28)</f>
        <v/>
      </c>
      <c r="U1180" t="str">
        <f>IF(L1180="","",P1180/'[1]LOCH Calc COE Calc'!$C$28)</f>
        <v/>
      </c>
      <c r="V1180" t="str">
        <f>IF(L1180="","",Q1180/'[1]LOCH Calc COE Calc'!$C$28)</f>
        <v/>
      </c>
      <c r="W1180" t="str">
        <f>IF(L1180="","",R1180/'[1]LOCH Calc COE Calc'!$C$28)</f>
        <v/>
      </c>
    </row>
    <row r="1181" spans="12:23" x14ac:dyDescent="0.25">
      <c r="L1181" s="4" t="str">
        <f>IF('[1]All Data '!BE1186="","",'[1]All Data '!BE1186)</f>
        <v/>
      </c>
      <c r="M1181" t="str">
        <f>IF('[1]All Data '!BF1186="","",'[1]All Data '!BF1186)</f>
        <v/>
      </c>
      <c r="N1181" s="5" t="str">
        <f>IF('[1]All Data '!BB1186="","",'[1]All Data '!BC1186/'[1]All Data '!BH1186)</f>
        <v/>
      </c>
      <c r="O1181" s="5" t="str">
        <f t="shared" si="20"/>
        <v/>
      </c>
      <c r="P1181" s="5" t="str">
        <f>IF(M1181="","",$C$2*(1-L1181)*907.2/0.621371*N1181*[1]Transportation!$M$40)</f>
        <v/>
      </c>
      <c r="Q1181" s="5" t="str">
        <f>IF(L1181="","",IF([1]Inputs_Outputs!$B$5="Herbaceous",(LCA!$E$29*'[1]LOCH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1" s="5" t="str">
        <f>IF(M1181="","",$E$2*1000*'[1]LOCH Calc COE Calc'!$C$44)</f>
        <v/>
      </c>
      <c r="S1181" s="6" t="str">
        <f>IF(N1181="","",SUM(O1181:R1181)/('[1]LOCH Calc COE Calc'!$C$28))</f>
        <v/>
      </c>
      <c r="T1181" t="str">
        <f>IF(L1181="","",O1181/'[1]LOCH Calc COE Calc'!$C$28)</f>
        <v/>
      </c>
      <c r="U1181" t="str">
        <f>IF(L1181="","",P1181/'[1]LOCH Calc COE Calc'!$C$28)</f>
        <v/>
      </c>
      <c r="V1181" t="str">
        <f>IF(L1181="","",Q1181/'[1]LOCH Calc COE Calc'!$C$28)</f>
        <v/>
      </c>
      <c r="W1181" t="str">
        <f>IF(L1181="","",R1181/'[1]LOCH Calc COE Calc'!$C$28)</f>
        <v/>
      </c>
    </row>
    <row r="1182" spans="12:23" x14ac:dyDescent="0.25">
      <c r="L1182" s="4" t="str">
        <f>IF('[1]All Data '!BE1187="","",'[1]All Data '!BE1187)</f>
        <v/>
      </c>
      <c r="M1182" t="str">
        <f>IF('[1]All Data '!BF1187="","",'[1]All Data '!BF1187)</f>
        <v/>
      </c>
      <c r="N1182" s="5" t="str">
        <f>IF('[1]All Data '!BB1187="","",'[1]All Data '!BC1187/'[1]All Data '!BH1187)</f>
        <v/>
      </c>
      <c r="O1182" s="5" t="str">
        <f t="shared" si="20"/>
        <v/>
      </c>
      <c r="P1182" s="5" t="str">
        <f>IF(M1182="","",$C$2*(1-L1182)*907.2/0.621371*N1182*[1]Transportation!$M$40)</f>
        <v/>
      </c>
      <c r="Q1182" s="5" t="str">
        <f>IF(L1182="","",IF([1]Inputs_Outputs!$B$5="Herbaceous",(LCA!$E$29*'[1]LOCH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2" s="5" t="str">
        <f>IF(M1182="","",$E$2*1000*'[1]LOCH Calc COE Calc'!$C$44)</f>
        <v/>
      </c>
      <c r="S1182" s="6" t="str">
        <f>IF(N1182="","",SUM(O1182:R1182)/('[1]LOCH Calc COE Calc'!$C$28))</f>
        <v/>
      </c>
      <c r="T1182" t="str">
        <f>IF(L1182="","",O1182/'[1]LOCH Calc COE Calc'!$C$28)</f>
        <v/>
      </c>
      <c r="U1182" t="str">
        <f>IF(L1182="","",P1182/'[1]LOCH Calc COE Calc'!$C$28)</f>
        <v/>
      </c>
      <c r="V1182" t="str">
        <f>IF(L1182="","",Q1182/'[1]LOCH Calc COE Calc'!$C$28)</f>
        <v/>
      </c>
      <c r="W1182" t="str">
        <f>IF(L1182="","",R1182/'[1]LOCH Calc COE Calc'!$C$28)</f>
        <v/>
      </c>
    </row>
    <row r="1183" spans="12:23" x14ac:dyDescent="0.25">
      <c r="L1183" s="4" t="str">
        <f>IF('[1]All Data '!BE1188="","",'[1]All Data '!BE1188)</f>
        <v/>
      </c>
      <c r="M1183" t="str">
        <f>IF('[1]All Data '!BF1188="","",'[1]All Data '!BF1188)</f>
        <v/>
      </c>
      <c r="N1183" s="5" t="str">
        <f>IF('[1]All Data '!BB1188="","",'[1]All Data '!BC1188/'[1]All Data '!BH1188)</f>
        <v/>
      </c>
      <c r="O1183" s="5" t="str">
        <f t="shared" si="20"/>
        <v/>
      </c>
      <c r="P1183" s="5" t="str">
        <f>IF(M1183="","",$C$2*(1-L1183)*907.2/0.621371*N1183*[1]Transportation!$M$40)</f>
        <v/>
      </c>
      <c r="Q1183" s="5" t="str">
        <f>IF(L1183="","",IF([1]Inputs_Outputs!$B$5="Herbaceous",(LCA!$E$29*'[1]LOCH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3" s="5" t="str">
        <f>IF(M1183="","",$E$2*1000*'[1]LOCH Calc COE Calc'!$C$44)</f>
        <v/>
      </c>
      <c r="S1183" s="6" t="str">
        <f>IF(N1183="","",SUM(O1183:R1183)/('[1]LOCH Calc COE Calc'!$C$28))</f>
        <v/>
      </c>
      <c r="T1183" t="str">
        <f>IF(L1183="","",O1183/'[1]LOCH Calc COE Calc'!$C$28)</f>
        <v/>
      </c>
      <c r="U1183" t="str">
        <f>IF(L1183="","",P1183/'[1]LOCH Calc COE Calc'!$C$28)</f>
        <v/>
      </c>
      <c r="V1183" t="str">
        <f>IF(L1183="","",Q1183/'[1]LOCH Calc COE Calc'!$C$28)</f>
        <v/>
      </c>
      <c r="W1183" t="str">
        <f>IF(L1183="","",R1183/'[1]LOCH Calc COE Calc'!$C$28)</f>
        <v/>
      </c>
    </row>
    <row r="1184" spans="12:23" x14ac:dyDescent="0.25">
      <c r="L1184" s="4" t="str">
        <f>IF('[1]All Data '!BE1189="","",'[1]All Data '!BE1189)</f>
        <v/>
      </c>
      <c r="M1184" t="str">
        <f>IF('[1]All Data '!BF1189="","",'[1]All Data '!BF1189)</f>
        <v/>
      </c>
      <c r="N1184" s="5" t="str">
        <f>IF('[1]All Data '!BB1189="","",'[1]All Data '!BC1189/'[1]All Data '!BH1189)</f>
        <v/>
      </c>
      <c r="O1184" s="5" t="str">
        <f t="shared" si="20"/>
        <v/>
      </c>
      <c r="P1184" s="5" t="str">
        <f>IF(M1184="","",$C$2*(1-L1184)*907.2/0.621371*N1184*[1]Transportation!$M$40)</f>
        <v/>
      </c>
      <c r="Q1184" s="5" t="str">
        <f>IF(L1184="","",IF([1]Inputs_Outputs!$B$5="Herbaceous",(LCA!$E$29*'[1]LOCH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4" s="5" t="str">
        <f>IF(M1184="","",$E$2*1000*'[1]LOCH Calc COE Calc'!$C$44)</f>
        <v/>
      </c>
      <c r="S1184" s="6" t="str">
        <f>IF(N1184="","",SUM(O1184:R1184)/('[1]LOCH Calc COE Calc'!$C$28))</f>
        <v/>
      </c>
      <c r="T1184" t="str">
        <f>IF(L1184="","",O1184/'[1]LOCH Calc COE Calc'!$C$28)</f>
        <v/>
      </c>
      <c r="U1184" t="str">
        <f>IF(L1184="","",P1184/'[1]LOCH Calc COE Calc'!$C$28)</f>
        <v/>
      </c>
      <c r="V1184" t="str">
        <f>IF(L1184="","",Q1184/'[1]LOCH Calc COE Calc'!$C$28)</f>
        <v/>
      </c>
      <c r="W1184" t="str">
        <f>IF(L1184="","",R1184/'[1]LOCH Calc COE Calc'!$C$28)</f>
        <v/>
      </c>
    </row>
    <row r="1185" spans="12:23" x14ac:dyDescent="0.25">
      <c r="L1185" s="4" t="str">
        <f>IF('[1]All Data '!BE1190="","",'[1]All Data '!BE1190)</f>
        <v/>
      </c>
      <c r="M1185" t="str">
        <f>IF('[1]All Data '!BF1190="","",'[1]All Data '!BF1190)</f>
        <v/>
      </c>
      <c r="N1185" s="5" t="str">
        <f>IF('[1]All Data '!BB1190="","",'[1]All Data '!BC1190/'[1]All Data '!BH1190)</f>
        <v/>
      </c>
      <c r="O1185" s="5" t="str">
        <f t="shared" si="20"/>
        <v/>
      </c>
      <c r="P1185" s="5" t="str">
        <f>IF(M1185="","",$C$2*(1-L1185)*907.2/0.621371*N1185*[1]Transportation!$M$40)</f>
        <v/>
      </c>
      <c r="Q1185" s="5" t="str">
        <f>IF(L1185="","",IF([1]Inputs_Outputs!$B$5="Herbaceous",(LCA!$E$29*'[1]LOCH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5" s="5" t="str">
        <f>IF(M1185="","",$E$2*1000*'[1]LOCH Calc COE Calc'!$C$44)</f>
        <v/>
      </c>
      <c r="S1185" s="6" t="str">
        <f>IF(N1185="","",SUM(O1185:R1185)/('[1]LOCH Calc COE Calc'!$C$28))</f>
        <v/>
      </c>
      <c r="T1185" t="str">
        <f>IF(L1185="","",O1185/'[1]LOCH Calc COE Calc'!$C$28)</f>
        <v/>
      </c>
      <c r="U1185" t="str">
        <f>IF(L1185="","",P1185/'[1]LOCH Calc COE Calc'!$C$28)</f>
        <v/>
      </c>
      <c r="V1185" t="str">
        <f>IF(L1185="","",Q1185/'[1]LOCH Calc COE Calc'!$C$28)</f>
        <v/>
      </c>
      <c r="W1185" t="str">
        <f>IF(L1185="","",R1185/'[1]LOCH Calc COE Calc'!$C$28)</f>
        <v/>
      </c>
    </row>
    <row r="1186" spans="12:23" x14ac:dyDescent="0.25">
      <c r="L1186" s="4" t="str">
        <f>IF('[1]All Data '!BE1191="","",'[1]All Data '!BE1191)</f>
        <v/>
      </c>
      <c r="M1186" t="str">
        <f>IF('[1]All Data '!BF1191="","",'[1]All Data '!BF1191)</f>
        <v/>
      </c>
      <c r="N1186" s="5" t="str">
        <f>IF('[1]All Data '!BB1191="","",'[1]All Data '!BC1191/'[1]All Data '!BH1191)</f>
        <v/>
      </c>
      <c r="O1186" s="5" t="str">
        <f t="shared" si="20"/>
        <v/>
      </c>
      <c r="P1186" s="5" t="str">
        <f>IF(M1186="","",$C$2*(1-L1186)*907.2/0.621371*N1186*[1]Transportation!$M$40)</f>
        <v/>
      </c>
      <c r="Q1186" s="5" t="str">
        <f>IF(L1186="","",IF([1]Inputs_Outputs!$B$5="Herbaceous",(LCA!$E$29*'[1]LOCH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6" s="5" t="str">
        <f>IF(M1186="","",$E$2*1000*'[1]LOCH Calc COE Calc'!$C$44)</f>
        <v/>
      </c>
      <c r="S1186" s="6" t="str">
        <f>IF(N1186="","",SUM(O1186:R1186)/('[1]LOCH Calc COE Calc'!$C$28))</f>
        <v/>
      </c>
      <c r="T1186" t="str">
        <f>IF(L1186="","",O1186/'[1]LOCH Calc COE Calc'!$C$28)</f>
        <v/>
      </c>
      <c r="U1186" t="str">
        <f>IF(L1186="","",P1186/'[1]LOCH Calc COE Calc'!$C$28)</f>
        <v/>
      </c>
      <c r="V1186" t="str">
        <f>IF(L1186="","",Q1186/'[1]LOCH Calc COE Calc'!$C$28)</f>
        <v/>
      </c>
      <c r="W1186" t="str">
        <f>IF(L1186="","",R1186/'[1]LOCH Calc COE Calc'!$C$28)</f>
        <v/>
      </c>
    </row>
    <row r="1187" spans="12:23" x14ac:dyDescent="0.25">
      <c r="L1187" s="4" t="str">
        <f>IF('[1]All Data '!BE1192="","",'[1]All Data '!BE1192)</f>
        <v/>
      </c>
      <c r="M1187" t="str">
        <f>IF('[1]All Data '!BF1192="","",'[1]All Data '!BF1192)</f>
        <v/>
      </c>
      <c r="N1187" s="5" t="str">
        <f>IF('[1]All Data '!BB1192="","",'[1]All Data '!BC1192/'[1]All Data '!BH1192)</f>
        <v/>
      </c>
      <c r="O1187" s="5" t="str">
        <f t="shared" si="20"/>
        <v/>
      </c>
      <c r="P1187" s="5" t="str">
        <f>IF(M1187="","",$C$2*(1-L1187)*907.2/0.621371*N1187*[1]Transportation!$M$40)</f>
        <v/>
      </c>
      <c r="Q1187" s="5" t="str">
        <f>IF(L1187="","",IF([1]Inputs_Outputs!$B$5="Herbaceous",(LCA!$E$29*'[1]LOCH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7" s="5" t="str">
        <f>IF(M1187="","",$E$2*1000*'[1]LOCH Calc COE Calc'!$C$44)</f>
        <v/>
      </c>
      <c r="S1187" s="6" t="str">
        <f>IF(N1187="","",SUM(O1187:R1187)/('[1]LOCH Calc COE Calc'!$C$28))</f>
        <v/>
      </c>
      <c r="T1187" t="str">
        <f>IF(L1187="","",O1187/'[1]LOCH Calc COE Calc'!$C$28)</f>
        <v/>
      </c>
      <c r="U1187" t="str">
        <f>IF(L1187="","",P1187/'[1]LOCH Calc COE Calc'!$C$28)</f>
        <v/>
      </c>
      <c r="V1187" t="str">
        <f>IF(L1187="","",Q1187/'[1]LOCH Calc COE Calc'!$C$28)</f>
        <v/>
      </c>
      <c r="W1187" t="str">
        <f>IF(L1187="","",R1187/'[1]LOCH Calc COE Calc'!$C$28)</f>
        <v/>
      </c>
    </row>
    <row r="1188" spans="12:23" x14ac:dyDescent="0.25">
      <c r="L1188" s="4" t="str">
        <f>IF('[1]All Data '!BE1193="","",'[1]All Data '!BE1193)</f>
        <v/>
      </c>
      <c r="M1188" t="str">
        <f>IF('[1]All Data '!BF1193="","",'[1]All Data '!BF1193)</f>
        <v/>
      </c>
      <c r="N1188" s="5" t="str">
        <f>IF('[1]All Data '!BB1193="","",'[1]All Data '!BC1193/'[1]All Data '!BH1193)</f>
        <v/>
      </c>
      <c r="O1188" s="5" t="str">
        <f t="shared" si="20"/>
        <v/>
      </c>
      <c r="P1188" s="5" t="str">
        <f>IF(M1188="","",$C$2*(1-L1188)*907.2/0.621371*N1188*[1]Transportation!$M$40)</f>
        <v/>
      </c>
      <c r="Q1188" s="5" t="str">
        <f>IF(L1188="","",IF([1]Inputs_Outputs!$B$5="Herbaceous",(LCA!$E$29*'[1]LOCH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8" s="5" t="str">
        <f>IF(M1188="","",$E$2*1000*'[1]LOCH Calc COE Calc'!$C$44)</f>
        <v/>
      </c>
      <c r="S1188" s="6" t="str">
        <f>IF(N1188="","",SUM(O1188:R1188)/('[1]LOCH Calc COE Calc'!$C$28))</f>
        <v/>
      </c>
      <c r="T1188" t="str">
        <f>IF(L1188="","",O1188/'[1]LOCH Calc COE Calc'!$C$28)</f>
        <v/>
      </c>
      <c r="U1188" t="str">
        <f>IF(L1188="","",P1188/'[1]LOCH Calc COE Calc'!$C$28)</f>
        <v/>
      </c>
      <c r="V1188" t="str">
        <f>IF(L1188="","",Q1188/'[1]LOCH Calc COE Calc'!$C$28)</f>
        <v/>
      </c>
      <c r="W1188" t="str">
        <f>IF(L1188="","",R1188/'[1]LOCH Calc COE Calc'!$C$28)</f>
        <v/>
      </c>
    </row>
    <row r="1189" spans="12:23" x14ac:dyDescent="0.25">
      <c r="L1189" s="4" t="str">
        <f>IF('[1]All Data '!BE1194="","",'[1]All Data '!BE1194)</f>
        <v/>
      </c>
      <c r="M1189" t="str">
        <f>IF('[1]All Data '!BF1194="","",'[1]All Data '!BF1194)</f>
        <v/>
      </c>
      <c r="N1189" s="5" t="str">
        <f>IF('[1]All Data '!BB1194="","",'[1]All Data '!BC1194/'[1]All Data '!BH1194)</f>
        <v/>
      </c>
      <c r="O1189" s="5" t="str">
        <f t="shared" si="20"/>
        <v/>
      </c>
      <c r="P1189" s="5" t="str">
        <f>IF(M1189="","",$C$2*(1-L1189)*907.2/0.621371*N1189*[1]Transportation!$M$40)</f>
        <v/>
      </c>
      <c r="Q1189" s="5" t="str">
        <f>IF(L1189="","",IF([1]Inputs_Outputs!$B$5="Herbaceous",(LCA!$E$29*'[1]LOCH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89" s="5" t="str">
        <f>IF(M1189="","",$E$2*1000*'[1]LOCH Calc COE Calc'!$C$44)</f>
        <v/>
      </c>
      <c r="S1189" s="6" t="str">
        <f>IF(N1189="","",SUM(O1189:R1189)/('[1]LOCH Calc COE Calc'!$C$28))</f>
        <v/>
      </c>
      <c r="T1189" t="str">
        <f>IF(L1189="","",O1189/'[1]LOCH Calc COE Calc'!$C$28)</f>
        <v/>
      </c>
      <c r="U1189" t="str">
        <f>IF(L1189="","",P1189/'[1]LOCH Calc COE Calc'!$C$28)</f>
        <v/>
      </c>
      <c r="V1189" t="str">
        <f>IF(L1189="","",Q1189/'[1]LOCH Calc COE Calc'!$C$28)</f>
        <v/>
      </c>
      <c r="W1189" t="str">
        <f>IF(L1189="","",R1189/'[1]LOCH Calc COE Calc'!$C$28)</f>
        <v/>
      </c>
    </row>
    <row r="1190" spans="12:23" x14ac:dyDescent="0.25">
      <c r="L1190" s="4" t="str">
        <f>IF('[1]All Data '!BE1195="","",'[1]All Data '!BE1195)</f>
        <v/>
      </c>
      <c r="M1190" t="str">
        <f>IF('[1]All Data '!BF1195="","",'[1]All Data '!BF1195)</f>
        <v/>
      </c>
      <c r="N1190" s="5" t="str">
        <f>IF('[1]All Data '!BB1195="","",'[1]All Data '!BC1195/'[1]All Data '!BH1195)</f>
        <v/>
      </c>
      <c r="O1190" s="5" t="str">
        <f t="shared" si="20"/>
        <v/>
      </c>
      <c r="P1190" s="5" t="str">
        <f>IF(M1190="","",$C$2*(1-L1190)*907.2/0.621371*N1190*[1]Transportation!$M$40)</f>
        <v/>
      </c>
      <c r="Q1190" s="5" t="str">
        <f>IF(L1190="","",IF([1]Inputs_Outputs!$B$5="Herbaceous",(LCA!$E$29*'[1]LOCH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0" s="5" t="str">
        <f>IF(M1190="","",$E$2*1000*'[1]LOCH Calc COE Calc'!$C$44)</f>
        <v/>
      </c>
      <c r="S1190" s="6" t="str">
        <f>IF(N1190="","",SUM(O1190:R1190)/('[1]LOCH Calc COE Calc'!$C$28))</f>
        <v/>
      </c>
      <c r="T1190" t="str">
        <f>IF(L1190="","",O1190/'[1]LOCH Calc COE Calc'!$C$28)</f>
        <v/>
      </c>
      <c r="U1190" t="str">
        <f>IF(L1190="","",P1190/'[1]LOCH Calc COE Calc'!$C$28)</f>
        <v/>
      </c>
      <c r="V1190" t="str">
        <f>IF(L1190="","",Q1190/'[1]LOCH Calc COE Calc'!$C$28)</f>
        <v/>
      </c>
      <c r="W1190" t="str">
        <f>IF(L1190="","",R1190/'[1]LOCH Calc COE Calc'!$C$28)</f>
        <v/>
      </c>
    </row>
    <row r="1191" spans="12:23" x14ac:dyDescent="0.25">
      <c r="L1191" s="4" t="str">
        <f>IF('[1]All Data '!BE1196="","",'[1]All Data '!BE1196)</f>
        <v/>
      </c>
      <c r="M1191" t="str">
        <f>IF('[1]All Data '!BF1196="","",'[1]All Data '!BF1196)</f>
        <v/>
      </c>
      <c r="N1191" s="5" t="str">
        <f>IF('[1]All Data '!BB1196="","",'[1]All Data '!BC1196/'[1]All Data '!BH1196)</f>
        <v/>
      </c>
      <c r="O1191" s="5" t="str">
        <f t="shared" si="20"/>
        <v/>
      </c>
      <c r="P1191" s="5" t="str">
        <f>IF(M1191="","",$C$2*(1-L1191)*907.2/0.621371*N1191*[1]Transportation!$M$40)</f>
        <v/>
      </c>
      <c r="Q1191" s="5" t="str">
        <f>IF(L1191="","",IF([1]Inputs_Outputs!$B$5="Herbaceous",(LCA!$E$29*'[1]LOCH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1" s="5" t="str">
        <f>IF(M1191="","",$E$2*1000*'[1]LOCH Calc COE Calc'!$C$44)</f>
        <v/>
      </c>
      <c r="S1191" s="6" t="str">
        <f>IF(N1191="","",SUM(O1191:R1191)/('[1]LOCH Calc COE Calc'!$C$28))</f>
        <v/>
      </c>
      <c r="T1191" t="str">
        <f>IF(L1191="","",O1191/'[1]LOCH Calc COE Calc'!$C$28)</f>
        <v/>
      </c>
      <c r="U1191" t="str">
        <f>IF(L1191="","",P1191/'[1]LOCH Calc COE Calc'!$C$28)</f>
        <v/>
      </c>
      <c r="V1191" t="str">
        <f>IF(L1191="","",Q1191/'[1]LOCH Calc COE Calc'!$C$28)</f>
        <v/>
      </c>
      <c r="W1191" t="str">
        <f>IF(L1191="","",R1191/'[1]LOCH Calc COE Calc'!$C$28)</f>
        <v/>
      </c>
    </row>
    <row r="1192" spans="12:23" x14ac:dyDescent="0.25">
      <c r="L1192" s="4" t="str">
        <f>IF('[1]All Data '!BE1197="","",'[1]All Data '!BE1197)</f>
        <v/>
      </c>
      <c r="M1192" t="str">
        <f>IF('[1]All Data '!BF1197="","",'[1]All Data '!BF1197)</f>
        <v/>
      </c>
      <c r="N1192" s="5" t="str">
        <f>IF('[1]All Data '!BB1197="","",'[1]All Data '!BC1197/'[1]All Data '!BH1197)</f>
        <v/>
      </c>
      <c r="O1192" s="5" t="str">
        <f t="shared" si="20"/>
        <v/>
      </c>
      <c r="P1192" s="5" t="str">
        <f>IF(M1192="","",$C$2*(1-L1192)*907.2/0.621371*N1192*[1]Transportation!$M$40)</f>
        <v/>
      </c>
      <c r="Q1192" s="5" t="str">
        <f>IF(L1192="","",IF([1]Inputs_Outputs!$B$5="Herbaceous",(LCA!$E$29*'[1]LOCH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2" s="5" t="str">
        <f>IF(M1192="","",$E$2*1000*'[1]LOCH Calc COE Calc'!$C$44)</f>
        <v/>
      </c>
      <c r="S1192" s="6" t="str">
        <f>IF(N1192="","",SUM(O1192:R1192)/('[1]LOCH Calc COE Calc'!$C$28))</f>
        <v/>
      </c>
      <c r="T1192" t="str">
        <f>IF(L1192="","",O1192/'[1]LOCH Calc COE Calc'!$C$28)</f>
        <v/>
      </c>
      <c r="U1192" t="str">
        <f>IF(L1192="","",P1192/'[1]LOCH Calc COE Calc'!$C$28)</f>
        <v/>
      </c>
      <c r="V1192" t="str">
        <f>IF(L1192="","",Q1192/'[1]LOCH Calc COE Calc'!$C$28)</f>
        <v/>
      </c>
      <c r="W1192" t="str">
        <f>IF(L1192="","",R1192/'[1]LOCH Calc COE Calc'!$C$28)</f>
        <v/>
      </c>
    </row>
    <row r="1193" spans="12:23" x14ac:dyDescent="0.25">
      <c r="L1193" s="4" t="str">
        <f>IF('[1]All Data '!BE1198="","",'[1]All Data '!BE1198)</f>
        <v/>
      </c>
      <c r="M1193" t="str">
        <f>IF('[1]All Data '!BF1198="","",'[1]All Data '!BF1198)</f>
        <v/>
      </c>
      <c r="N1193" s="5" t="str">
        <f>IF('[1]All Data '!BB1198="","",'[1]All Data '!BC1198/'[1]All Data '!BH1198)</f>
        <v/>
      </c>
      <c r="O1193" s="5" t="str">
        <f t="shared" si="20"/>
        <v/>
      </c>
      <c r="P1193" s="5" t="str">
        <f>IF(M1193="","",$C$2*(1-L1193)*907.2/0.621371*N1193*[1]Transportation!$M$40)</f>
        <v/>
      </c>
      <c r="Q1193" s="5" t="str">
        <f>IF(L1193="","",IF([1]Inputs_Outputs!$B$5="Herbaceous",(LCA!$E$29*'[1]LOCH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3" s="5" t="str">
        <f>IF(M1193="","",$E$2*1000*'[1]LOCH Calc COE Calc'!$C$44)</f>
        <v/>
      </c>
      <c r="S1193" s="6" t="str">
        <f>IF(N1193="","",SUM(O1193:R1193)/('[1]LOCH Calc COE Calc'!$C$28))</f>
        <v/>
      </c>
      <c r="T1193" t="str">
        <f>IF(L1193="","",O1193/'[1]LOCH Calc COE Calc'!$C$28)</f>
        <v/>
      </c>
      <c r="U1193" t="str">
        <f>IF(L1193="","",P1193/'[1]LOCH Calc COE Calc'!$C$28)</f>
        <v/>
      </c>
      <c r="V1193" t="str">
        <f>IF(L1193="","",Q1193/'[1]LOCH Calc COE Calc'!$C$28)</f>
        <v/>
      </c>
      <c r="W1193" t="str">
        <f>IF(L1193="","",R1193/'[1]LOCH Calc COE Calc'!$C$28)</f>
        <v/>
      </c>
    </row>
    <row r="1194" spans="12:23" x14ac:dyDescent="0.25">
      <c r="L1194" s="4" t="str">
        <f>IF('[1]All Data '!BE1199="","",'[1]All Data '!BE1199)</f>
        <v/>
      </c>
      <c r="M1194" t="str">
        <f>IF('[1]All Data '!BF1199="","",'[1]All Data '!BF1199)</f>
        <v/>
      </c>
      <c r="N1194" s="5" t="str">
        <f>IF('[1]All Data '!BB1199="","",'[1]All Data '!BC1199/'[1]All Data '!BH1199)</f>
        <v/>
      </c>
      <c r="O1194" s="5" t="str">
        <f t="shared" si="20"/>
        <v/>
      </c>
      <c r="P1194" s="5" t="str">
        <f>IF(M1194="","",$C$2*(1-L1194)*907.2/0.621371*N1194*[1]Transportation!$M$40)</f>
        <v/>
      </c>
      <c r="Q1194" s="5" t="str">
        <f>IF(L1194="","",IF([1]Inputs_Outputs!$B$5="Herbaceous",(LCA!$E$29*'[1]LOCH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4" s="5" t="str">
        <f>IF(M1194="","",$E$2*1000*'[1]LOCH Calc COE Calc'!$C$44)</f>
        <v/>
      </c>
      <c r="S1194" s="6" t="str">
        <f>IF(N1194="","",SUM(O1194:R1194)/('[1]LOCH Calc COE Calc'!$C$28))</f>
        <v/>
      </c>
      <c r="T1194" t="str">
        <f>IF(L1194="","",O1194/'[1]LOCH Calc COE Calc'!$C$28)</f>
        <v/>
      </c>
      <c r="U1194" t="str">
        <f>IF(L1194="","",P1194/'[1]LOCH Calc COE Calc'!$C$28)</f>
        <v/>
      </c>
      <c r="V1194" t="str">
        <f>IF(L1194="","",Q1194/'[1]LOCH Calc COE Calc'!$C$28)</f>
        <v/>
      </c>
      <c r="W1194" t="str">
        <f>IF(L1194="","",R1194/'[1]LOCH Calc COE Calc'!$C$28)</f>
        <v/>
      </c>
    </row>
    <row r="1195" spans="12:23" x14ac:dyDescent="0.25">
      <c r="L1195" s="4" t="str">
        <f>IF('[1]All Data '!BE1200="","",'[1]All Data '!BE1200)</f>
        <v/>
      </c>
      <c r="M1195" t="str">
        <f>IF('[1]All Data '!BF1200="","",'[1]All Data '!BF1200)</f>
        <v/>
      </c>
      <c r="N1195" s="5" t="str">
        <f>IF('[1]All Data '!BB1200="","",'[1]All Data '!BC1200/'[1]All Data '!BH1200)</f>
        <v/>
      </c>
      <c r="O1195" s="5" t="str">
        <f t="shared" si="20"/>
        <v/>
      </c>
      <c r="P1195" s="5" t="str">
        <f>IF(M1195="","",$C$2*(1-L1195)*907.2/0.621371*N1195*[1]Transportation!$M$40)</f>
        <v/>
      </c>
      <c r="Q1195" s="5" t="str">
        <f>IF(L1195="","",IF([1]Inputs_Outputs!$B$5="Herbaceous",(LCA!$E$29*'[1]LOCH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5" s="5" t="str">
        <f>IF(M1195="","",$E$2*1000*'[1]LOCH Calc COE Calc'!$C$44)</f>
        <v/>
      </c>
      <c r="S1195" s="6" t="str">
        <f>IF(N1195="","",SUM(O1195:R1195)/('[1]LOCH Calc COE Calc'!$C$28))</f>
        <v/>
      </c>
      <c r="T1195" t="str">
        <f>IF(L1195="","",O1195/'[1]LOCH Calc COE Calc'!$C$28)</f>
        <v/>
      </c>
      <c r="U1195" t="str">
        <f>IF(L1195="","",P1195/'[1]LOCH Calc COE Calc'!$C$28)</f>
        <v/>
      </c>
      <c r="V1195" t="str">
        <f>IF(L1195="","",Q1195/'[1]LOCH Calc COE Calc'!$C$28)</f>
        <v/>
      </c>
      <c r="W1195" t="str">
        <f>IF(L1195="","",R1195/'[1]LOCH Calc COE Calc'!$C$28)</f>
        <v/>
      </c>
    </row>
    <row r="1196" spans="12:23" x14ac:dyDescent="0.25">
      <c r="L1196" s="4" t="str">
        <f>IF('[1]All Data '!BE1201="","",'[1]All Data '!BE1201)</f>
        <v/>
      </c>
      <c r="M1196" t="str">
        <f>IF('[1]All Data '!BF1201="","",'[1]All Data '!BF1201)</f>
        <v/>
      </c>
      <c r="N1196" s="5" t="str">
        <f>IF('[1]All Data '!BB1201="","",'[1]All Data '!BC1201/'[1]All Data '!BH1201)</f>
        <v/>
      </c>
      <c r="O1196" s="5" t="str">
        <f t="shared" si="20"/>
        <v/>
      </c>
      <c r="P1196" s="5" t="str">
        <f>IF(M1196="","",$C$2*(1-L1196)*907.2/0.621371*N1196*[1]Transportation!$M$40)</f>
        <v/>
      </c>
      <c r="Q1196" s="5" t="str">
        <f>IF(L1196="","",IF([1]Inputs_Outputs!$B$5="Herbaceous",(LCA!$E$29*'[1]LOCH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6" s="5" t="str">
        <f>IF(M1196="","",$E$2*1000*'[1]LOCH Calc COE Calc'!$C$44)</f>
        <v/>
      </c>
      <c r="S1196" s="6" t="str">
        <f>IF(N1196="","",SUM(O1196:R1196)/('[1]LOCH Calc COE Calc'!$C$28))</f>
        <v/>
      </c>
      <c r="T1196" t="str">
        <f>IF(L1196="","",O1196/'[1]LOCH Calc COE Calc'!$C$28)</f>
        <v/>
      </c>
      <c r="U1196" t="str">
        <f>IF(L1196="","",P1196/'[1]LOCH Calc COE Calc'!$C$28)</f>
        <v/>
      </c>
      <c r="V1196" t="str">
        <f>IF(L1196="","",Q1196/'[1]LOCH Calc COE Calc'!$C$28)</f>
        <v/>
      </c>
      <c r="W1196" t="str">
        <f>IF(L1196="","",R1196/'[1]LOCH Calc COE Calc'!$C$28)</f>
        <v/>
      </c>
    </row>
    <row r="1197" spans="12:23" x14ac:dyDescent="0.25">
      <c r="L1197" s="4" t="str">
        <f>IF('[1]All Data '!BE1202="","",'[1]All Data '!BE1202)</f>
        <v/>
      </c>
      <c r="M1197" t="str">
        <f>IF('[1]All Data '!BF1202="","",'[1]All Data '!BF1202)</f>
        <v/>
      </c>
      <c r="N1197" s="5" t="str">
        <f>IF('[1]All Data '!BB1202="","",'[1]All Data '!BC1202/'[1]All Data '!BH1202)</f>
        <v/>
      </c>
      <c r="O1197" s="5" t="str">
        <f t="shared" si="20"/>
        <v/>
      </c>
      <c r="P1197" s="5" t="str">
        <f>IF(M1197="","",$C$2*(1-L1197)*907.2/0.621371*N1197*[1]Transportation!$M$40)</f>
        <v/>
      </c>
      <c r="Q1197" s="5" t="str">
        <f>IF(L1197="","",IF([1]Inputs_Outputs!$B$5="Herbaceous",(LCA!$E$29*'[1]LOCH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7" s="5" t="str">
        <f>IF(M1197="","",$E$2*1000*'[1]LOCH Calc COE Calc'!$C$44)</f>
        <v/>
      </c>
      <c r="S1197" s="6" t="str">
        <f>IF(N1197="","",SUM(O1197:R1197)/('[1]LOCH Calc COE Calc'!$C$28))</f>
        <v/>
      </c>
      <c r="T1197" t="str">
        <f>IF(L1197="","",O1197/'[1]LOCH Calc COE Calc'!$C$28)</f>
        <v/>
      </c>
      <c r="U1197" t="str">
        <f>IF(L1197="","",P1197/'[1]LOCH Calc COE Calc'!$C$28)</f>
        <v/>
      </c>
      <c r="V1197" t="str">
        <f>IF(L1197="","",Q1197/'[1]LOCH Calc COE Calc'!$C$28)</f>
        <v/>
      </c>
      <c r="W1197" t="str">
        <f>IF(L1197="","",R1197/'[1]LOCH Calc COE Calc'!$C$28)</f>
        <v/>
      </c>
    </row>
    <row r="1198" spans="12:23" x14ac:dyDescent="0.25">
      <c r="L1198" s="4" t="str">
        <f>IF('[1]All Data '!BE1203="","",'[1]All Data '!BE1203)</f>
        <v/>
      </c>
      <c r="M1198" t="str">
        <f>IF('[1]All Data '!BF1203="","",'[1]All Data '!BF1203)</f>
        <v/>
      </c>
      <c r="N1198" s="5" t="str">
        <f>IF('[1]All Data '!BB1203="","",'[1]All Data '!BC1203/'[1]All Data '!BH1203)</f>
        <v/>
      </c>
      <c r="O1198" s="5" t="str">
        <f t="shared" si="20"/>
        <v/>
      </c>
      <c r="P1198" s="5" t="str">
        <f>IF(M1198="","",$C$2*(1-L1198)*907.2/0.621371*N1198*[1]Transportation!$M$40)</f>
        <v/>
      </c>
      <c r="Q1198" s="5" t="str">
        <f>IF(L1198="","",IF([1]Inputs_Outputs!$B$5="Herbaceous",(LCA!$E$29*'[1]LOCH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8" s="5" t="str">
        <f>IF(M1198="","",$E$2*1000*'[1]LOCH Calc COE Calc'!$C$44)</f>
        <v/>
      </c>
      <c r="S1198" s="6" t="str">
        <f>IF(N1198="","",SUM(O1198:R1198)/('[1]LOCH Calc COE Calc'!$C$28))</f>
        <v/>
      </c>
      <c r="T1198" t="str">
        <f>IF(L1198="","",O1198/'[1]LOCH Calc COE Calc'!$C$28)</f>
        <v/>
      </c>
      <c r="U1198" t="str">
        <f>IF(L1198="","",P1198/'[1]LOCH Calc COE Calc'!$C$28)</f>
        <v/>
      </c>
      <c r="V1198" t="str">
        <f>IF(L1198="","",Q1198/'[1]LOCH Calc COE Calc'!$C$28)</f>
        <v/>
      </c>
      <c r="W1198" t="str">
        <f>IF(L1198="","",R1198/'[1]LOCH Calc COE Calc'!$C$28)</f>
        <v/>
      </c>
    </row>
    <row r="1199" spans="12:23" x14ac:dyDescent="0.25">
      <c r="L1199" s="4" t="str">
        <f>IF('[1]All Data '!BE1204="","",'[1]All Data '!BE1204)</f>
        <v/>
      </c>
      <c r="M1199" t="str">
        <f>IF('[1]All Data '!BF1204="","",'[1]All Data '!BF1204)</f>
        <v/>
      </c>
      <c r="N1199" s="5" t="str">
        <f>IF('[1]All Data '!BB1204="","",'[1]All Data '!BC1204/'[1]All Data '!BH1204)</f>
        <v/>
      </c>
      <c r="O1199" s="5" t="str">
        <f t="shared" si="20"/>
        <v/>
      </c>
      <c r="P1199" s="5" t="str">
        <f>IF(M1199="","",$C$2*(1-L1199)*907.2/0.621371*N1199*[1]Transportation!$M$40)</f>
        <v/>
      </c>
      <c r="Q1199" s="5" t="str">
        <f>IF(L1199="","",IF([1]Inputs_Outputs!$B$5="Herbaceous",(LCA!$E$29*'[1]LOCH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199" s="5" t="str">
        <f>IF(M1199="","",$E$2*1000*'[1]LOCH Calc COE Calc'!$C$44)</f>
        <v/>
      </c>
      <c r="S1199" s="6" t="str">
        <f>IF(N1199="","",SUM(O1199:R1199)/('[1]LOCH Calc COE Calc'!$C$28))</f>
        <v/>
      </c>
      <c r="T1199" t="str">
        <f>IF(L1199="","",O1199/'[1]LOCH Calc COE Calc'!$C$28)</f>
        <v/>
      </c>
      <c r="U1199" t="str">
        <f>IF(L1199="","",P1199/'[1]LOCH Calc COE Calc'!$C$28)</f>
        <v/>
      </c>
      <c r="V1199" t="str">
        <f>IF(L1199="","",Q1199/'[1]LOCH Calc COE Calc'!$C$28)</f>
        <v/>
      </c>
      <c r="W1199" t="str">
        <f>IF(L1199="","",R1199/'[1]LOCH Calc COE Calc'!$C$28)</f>
        <v/>
      </c>
    </row>
    <row r="1200" spans="12:23" x14ac:dyDescent="0.25">
      <c r="L1200" s="4" t="str">
        <f>IF('[1]All Data '!BE1205="","",'[1]All Data '!BE1205)</f>
        <v/>
      </c>
      <c r="M1200" t="str">
        <f>IF('[1]All Data '!BF1205="","",'[1]All Data '!BF1205)</f>
        <v/>
      </c>
      <c r="N1200" s="5" t="str">
        <f>IF('[1]All Data '!BB1205="","",'[1]All Data '!BC1205/'[1]All Data '!BH1205)</f>
        <v/>
      </c>
      <c r="O1200" s="5" t="str">
        <f t="shared" si="20"/>
        <v/>
      </c>
      <c r="P1200" s="5" t="str">
        <f>IF(M1200="","",$C$2*(1-L1200)*907.2/0.621371*N1200*[1]Transportation!$M$40)</f>
        <v/>
      </c>
      <c r="Q1200" s="5" t="str">
        <f>IF(L1200="","",IF([1]Inputs_Outputs!$B$5="Herbaceous",(LCA!$E$29*'[1]LOCH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0" s="5" t="str">
        <f>IF(M1200="","",$E$2*1000*'[1]LOCH Calc COE Calc'!$C$44)</f>
        <v/>
      </c>
      <c r="S1200" s="6" t="str">
        <f>IF(N1200="","",SUM(O1200:R1200)/('[1]LOCH Calc COE Calc'!$C$28))</f>
        <v/>
      </c>
      <c r="T1200" t="str">
        <f>IF(L1200="","",O1200/'[1]LOCH Calc COE Calc'!$C$28)</f>
        <v/>
      </c>
      <c r="U1200" t="str">
        <f>IF(L1200="","",P1200/'[1]LOCH Calc COE Calc'!$C$28)</f>
        <v/>
      </c>
      <c r="V1200" t="str">
        <f>IF(L1200="","",Q1200/'[1]LOCH Calc COE Calc'!$C$28)</f>
        <v/>
      </c>
      <c r="W1200" t="str">
        <f>IF(L1200="","",R1200/'[1]LOCH Calc COE Calc'!$C$28)</f>
        <v/>
      </c>
    </row>
    <row r="1201" spans="12:23" x14ac:dyDescent="0.25">
      <c r="L1201" s="4" t="str">
        <f>IF('[1]All Data '!BE1206="","",'[1]All Data '!BE1206)</f>
        <v/>
      </c>
      <c r="M1201" t="str">
        <f>IF('[1]All Data '!BF1206="","",'[1]All Data '!BF1206)</f>
        <v/>
      </c>
      <c r="N1201" s="5" t="str">
        <f>IF('[1]All Data '!BB1206="","",'[1]All Data '!BC1206/'[1]All Data '!BH1206)</f>
        <v/>
      </c>
      <c r="O1201" s="5" t="str">
        <f t="shared" si="20"/>
        <v/>
      </c>
      <c r="P1201" s="5" t="str">
        <f>IF(M1201="","",$C$2*(1-L1201)*907.2/0.621371*N1201*[1]Transportation!$M$40)</f>
        <v/>
      </c>
      <c r="Q1201" s="5" t="str">
        <f>IF(L1201="","",IF([1]Inputs_Outputs!$B$5="Herbaceous",(LCA!$E$29*'[1]LOCH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1" s="5" t="str">
        <f>IF(M1201="","",$E$2*1000*'[1]LOCH Calc COE Calc'!$C$44)</f>
        <v/>
      </c>
      <c r="S1201" s="6" t="str">
        <f>IF(N1201="","",SUM(O1201:R1201)/('[1]LOCH Calc COE Calc'!$C$28))</f>
        <v/>
      </c>
      <c r="T1201" t="str">
        <f>IF(L1201="","",O1201/'[1]LOCH Calc COE Calc'!$C$28)</f>
        <v/>
      </c>
      <c r="U1201" t="str">
        <f>IF(L1201="","",P1201/'[1]LOCH Calc COE Calc'!$C$28)</f>
        <v/>
      </c>
      <c r="V1201" t="str">
        <f>IF(L1201="","",Q1201/'[1]LOCH Calc COE Calc'!$C$28)</f>
        <v/>
      </c>
      <c r="W1201" t="str">
        <f>IF(L1201="","",R1201/'[1]LOCH Calc COE Calc'!$C$28)</f>
        <v/>
      </c>
    </row>
    <row r="1202" spans="12:23" x14ac:dyDescent="0.25">
      <c r="L1202" s="4" t="str">
        <f>IF('[1]All Data '!BE1207="","",'[1]All Data '!BE1207)</f>
        <v/>
      </c>
      <c r="M1202" t="str">
        <f>IF('[1]All Data '!BF1207="","",'[1]All Data '!BF1207)</f>
        <v/>
      </c>
      <c r="N1202" s="5" t="str">
        <f>IF('[1]All Data '!BB1207="","",'[1]All Data '!BC1207/'[1]All Data '!BH1207)</f>
        <v/>
      </c>
      <c r="O1202" s="5" t="str">
        <f t="shared" si="20"/>
        <v/>
      </c>
      <c r="P1202" s="5" t="str">
        <f>IF(M1202="","",$C$2*(1-L1202)*907.2/0.621371*N1202*[1]Transportation!$M$40)</f>
        <v/>
      </c>
      <c r="Q1202" s="5" t="str">
        <f>IF(L1202="","",IF([1]Inputs_Outputs!$B$5="Herbaceous",(LCA!$E$29*'[1]LOCH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2" s="5" t="str">
        <f>IF(M1202="","",$E$2*1000*'[1]LOCH Calc COE Calc'!$C$44)</f>
        <v/>
      </c>
      <c r="S1202" s="6" t="str">
        <f>IF(N1202="","",SUM(O1202:R1202)/('[1]LOCH Calc COE Calc'!$C$28))</f>
        <v/>
      </c>
      <c r="T1202" t="str">
        <f>IF(L1202="","",O1202/'[1]LOCH Calc COE Calc'!$C$28)</f>
        <v/>
      </c>
      <c r="U1202" t="str">
        <f>IF(L1202="","",P1202/'[1]LOCH Calc COE Calc'!$C$28)</f>
        <v/>
      </c>
      <c r="V1202" t="str">
        <f>IF(L1202="","",Q1202/'[1]LOCH Calc COE Calc'!$C$28)</f>
        <v/>
      </c>
      <c r="W1202" t="str">
        <f>IF(L1202="","",R1202/'[1]LOCH Calc COE Calc'!$C$28)</f>
        <v/>
      </c>
    </row>
    <row r="1203" spans="12:23" x14ac:dyDescent="0.25">
      <c r="L1203" s="4" t="str">
        <f>IF('[1]All Data '!BE1208="","",'[1]All Data '!BE1208)</f>
        <v/>
      </c>
      <c r="M1203" t="str">
        <f>IF('[1]All Data '!BF1208="","",'[1]All Data '!BF1208)</f>
        <v/>
      </c>
      <c r="N1203" s="5" t="str">
        <f>IF('[1]All Data '!BB1208="","",'[1]All Data '!BC1208/'[1]All Data '!BH1208)</f>
        <v/>
      </c>
      <c r="O1203" s="5" t="str">
        <f t="shared" si="20"/>
        <v/>
      </c>
      <c r="P1203" s="5" t="str">
        <f>IF(M1203="","",$C$2*(1-L1203)*907.2/0.621371*N1203*[1]Transportation!$M$40)</f>
        <v/>
      </c>
      <c r="Q1203" s="5" t="str">
        <f>IF(L1203="","",IF([1]Inputs_Outputs!$B$5="Herbaceous",(LCA!$E$29*'[1]LOCH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3" s="5" t="str">
        <f>IF(M1203="","",$E$2*1000*'[1]LOCH Calc COE Calc'!$C$44)</f>
        <v/>
      </c>
      <c r="S1203" s="6" t="str">
        <f>IF(N1203="","",SUM(O1203:R1203)/('[1]LOCH Calc COE Calc'!$C$28))</f>
        <v/>
      </c>
      <c r="T1203" t="str">
        <f>IF(L1203="","",O1203/'[1]LOCH Calc COE Calc'!$C$28)</f>
        <v/>
      </c>
      <c r="U1203" t="str">
        <f>IF(L1203="","",P1203/'[1]LOCH Calc COE Calc'!$C$28)</f>
        <v/>
      </c>
      <c r="V1203" t="str">
        <f>IF(L1203="","",Q1203/'[1]LOCH Calc COE Calc'!$C$28)</f>
        <v/>
      </c>
      <c r="W1203" t="str">
        <f>IF(L1203="","",R1203/'[1]LOCH Calc COE Calc'!$C$28)</f>
        <v/>
      </c>
    </row>
    <row r="1204" spans="12:23" x14ac:dyDescent="0.25">
      <c r="L1204" s="4" t="str">
        <f>IF('[1]All Data '!BE1209="","",'[1]All Data '!BE1209)</f>
        <v/>
      </c>
      <c r="M1204" t="str">
        <f>IF('[1]All Data '!BF1209="","",'[1]All Data '!BF1209)</f>
        <v/>
      </c>
      <c r="N1204" s="5" t="str">
        <f>IF('[1]All Data '!BB1209="","",'[1]All Data '!BC1209/'[1]All Data '!BH1209)</f>
        <v/>
      </c>
      <c r="O1204" s="5" t="str">
        <f t="shared" si="20"/>
        <v/>
      </c>
      <c r="P1204" s="5" t="str">
        <f>IF(M1204="","",$C$2*(1-L1204)*907.2/0.621371*N1204*[1]Transportation!$M$40)</f>
        <v/>
      </c>
      <c r="Q1204" s="5" t="str">
        <f>IF(L1204="","",IF([1]Inputs_Outputs!$B$5="Herbaceous",(LCA!$E$29*'[1]LOCH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4" s="5" t="str">
        <f>IF(M1204="","",$E$2*1000*'[1]LOCH Calc COE Calc'!$C$44)</f>
        <v/>
      </c>
      <c r="S1204" s="6" t="str">
        <f>IF(N1204="","",SUM(O1204:R1204)/('[1]LOCH Calc COE Calc'!$C$28))</f>
        <v/>
      </c>
      <c r="T1204" t="str">
        <f>IF(L1204="","",O1204/'[1]LOCH Calc COE Calc'!$C$28)</f>
        <v/>
      </c>
      <c r="U1204" t="str">
        <f>IF(L1204="","",P1204/'[1]LOCH Calc COE Calc'!$C$28)</f>
        <v/>
      </c>
      <c r="V1204" t="str">
        <f>IF(L1204="","",Q1204/'[1]LOCH Calc COE Calc'!$C$28)</f>
        <v/>
      </c>
      <c r="W1204" t="str">
        <f>IF(L1204="","",R1204/'[1]LOCH Calc COE Calc'!$C$28)</f>
        <v/>
      </c>
    </row>
    <row r="1205" spans="12:23" x14ac:dyDescent="0.25">
      <c r="L1205" s="4" t="str">
        <f>IF('[1]All Data '!BE1210="","",'[1]All Data '!BE1210)</f>
        <v/>
      </c>
      <c r="M1205" t="str">
        <f>IF('[1]All Data '!BF1210="","",'[1]All Data '!BF1210)</f>
        <v/>
      </c>
      <c r="N1205" s="5" t="str">
        <f>IF('[1]All Data '!BB1210="","",'[1]All Data '!BC1210/'[1]All Data '!BH1210)</f>
        <v/>
      </c>
      <c r="O1205" s="5" t="str">
        <f t="shared" si="20"/>
        <v/>
      </c>
      <c r="P1205" s="5" t="str">
        <f>IF(M1205="","",$C$2*(1-L1205)*907.2/0.621371*N1205*[1]Transportation!$M$40)</f>
        <v/>
      </c>
      <c r="Q1205" s="5" t="str">
        <f>IF(L1205="","",IF([1]Inputs_Outputs!$B$5="Herbaceous",(LCA!$E$29*'[1]LOCH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5" s="5" t="str">
        <f>IF(M1205="","",$E$2*1000*'[1]LOCH Calc COE Calc'!$C$44)</f>
        <v/>
      </c>
      <c r="S1205" s="6" t="str">
        <f>IF(N1205="","",SUM(O1205:R1205)/('[1]LOCH Calc COE Calc'!$C$28))</f>
        <v/>
      </c>
      <c r="T1205" t="str">
        <f>IF(L1205="","",O1205/'[1]LOCH Calc COE Calc'!$C$28)</f>
        <v/>
      </c>
      <c r="U1205" t="str">
        <f>IF(L1205="","",P1205/'[1]LOCH Calc COE Calc'!$C$28)</f>
        <v/>
      </c>
      <c r="V1205" t="str">
        <f>IF(L1205="","",Q1205/'[1]LOCH Calc COE Calc'!$C$28)</f>
        <v/>
      </c>
      <c r="W1205" t="str">
        <f>IF(L1205="","",R1205/'[1]LOCH Calc COE Calc'!$C$28)</f>
        <v/>
      </c>
    </row>
    <row r="1206" spans="12:23" x14ac:dyDescent="0.25">
      <c r="L1206" s="4" t="str">
        <f>IF('[1]All Data '!BE1211="","",'[1]All Data '!BE1211)</f>
        <v/>
      </c>
      <c r="M1206" t="str">
        <f>IF('[1]All Data '!BF1211="","",'[1]All Data '!BF1211)</f>
        <v/>
      </c>
      <c r="N1206" s="5" t="str">
        <f>IF('[1]All Data '!BB1211="","",'[1]All Data '!BC1211/'[1]All Data '!BH1211)</f>
        <v/>
      </c>
      <c r="O1206" s="5" t="str">
        <f t="shared" si="20"/>
        <v/>
      </c>
      <c r="P1206" s="5" t="str">
        <f>IF(M1206="","",$C$2*(1-L1206)*907.2/0.621371*N1206*[1]Transportation!$M$40)</f>
        <v/>
      </c>
      <c r="Q1206" s="5" t="str">
        <f>IF(L1206="","",IF([1]Inputs_Outputs!$B$5="Herbaceous",(LCA!$E$29*'[1]LOCH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6" s="5" t="str">
        <f>IF(M1206="","",$E$2*1000*'[1]LOCH Calc COE Calc'!$C$44)</f>
        <v/>
      </c>
      <c r="S1206" s="6" t="str">
        <f>IF(N1206="","",SUM(O1206:R1206)/('[1]LOCH Calc COE Calc'!$C$28))</f>
        <v/>
      </c>
      <c r="T1206" t="str">
        <f>IF(L1206="","",O1206/'[1]LOCH Calc COE Calc'!$C$28)</f>
        <v/>
      </c>
      <c r="U1206" t="str">
        <f>IF(L1206="","",P1206/'[1]LOCH Calc COE Calc'!$C$28)</f>
        <v/>
      </c>
      <c r="V1206" t="str">
        <f>IF(L1206="","",Q1206/'[1]LOCH Calc COE Calc'!$C$28)</f>
        <v/>
      </c>
      <c r="W1206" t="str">
        <f>IF(L1206="","",R1206/'[1]LOCH Calc COE Calc'!$C$28)</f>
        <v/>
      </c>
    </row>
    <row r="1207" spans="12:23" x14ac:dyDescent="0.25">
      <c r="L1207" s="4" t="str">
        <f>IF('[1]All Data '!BE1212="","",'[1]All Data '!BE1212)</f>
        <v/>
      </c>
      <c r="M1207" t="str">
        <f>IF('[1]All Data '!BF1212="","",'[1]All Data '!BF1212)</f>
        <v/>
      </c>
      <c r="N1207" s="5" t="str">
        <f>IF('[1]All Data '!BB1212="","",'[1]All Data '!BC1212/'[1]All Data '!BH1212)</f>
        <v/>
      </c>
      <c r="O1207" s="5" t="str">
        <f t="shared" si="20"/>
        <v/>
      </c>
      <c r="P1207" s="5" t="str">
        <f>IF(M1207="","",$C$2*(1-L1207)*907.2/0.621371*N1207*[1]Transportation!$M$40)</f>
        <v/>
      </c>
      <c r="Q1207" s="5" t="str">
        <f>IF(L1207="","",IF([1]Inputs_Outputs!$B$5="Herbaceous",(LCA!$E$29*'[1]LOCH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7" s="5" t="str">
        <f>IF(M1207="","",$E$2*1000*'[1]LOCH Calc COE Calc'!$C$44)</f>
        <v/>
      </c>
      <c r="S1207" s="6" t="str">
        <f>IF(N1207="","",SUM(O1207:R1207)/('[1]LOCH Calc COE Calc'!$C$28))</f>
        <v/>
      </c>
      <c r="T1207" t="str">
        <f>IF(L1207="","",O1207/'[1]LOCH Calc COE Calc'!$C$28)</f>
        <v/>
      </c>
      <c r="U1207" t="str">
        <f>IF(L1207="","",P1207/'[1]LOCH Calc COE Calc'!$C$28)</f>
        <v/>
      </c>
      <c r="V1207" t="str">
        <f>IF(L1207="","",Q1207/'[1]LOCH Calc COE Calc'!$C$28)</f>
        <v/>
      </c>
      <c r="W1207" t="str">
        <f>IF(L1207="","",R1207/'[1]LOCH Calc COE Calc'!$C$28)</f>
        <v/>
      </c>
    </row>
    <row r="1208" spans="12:23" x14ac:dyDescent="0.25">
      <c r="L1208" s="4" t="str">
        <f>IF('[1]All Data '!BE1213="","",'[1]All Data '!BE1213)</f>
        <v/>
      </c>
      <c r="M1208" t="str">
        <f>IF('[1]All Data '!BF1213="","",'[1]All Data '!BF1213)</f>
        <v/>
      </c>
      <c r="N1208" s="5" t="str">
        <f>IF('[1]All Data '!BB1213="","",'[1]All Data '!BC1213/'[1]All Data '!BH1213)</f>
        <v/>
      </c>
      <c r="O1208" s="5" t="str">
        <f t="shared" si="20"/>
        <v/>
      </c>
      <c r="P1208" s="5" t="str">
        <f>IF(M1208="","",$C$2*(1-L1208)*907.2/0.621371*N1208*[1]Transportation!$M$40)</f>
        <v/>
      </c>
      <c r="Q1208" s="5" t="str">
        <f>IF(L1208="","",IF([1]Inputs_Outputs!$B$5="Herbaceous",(LCA!$E$29*'[1]LOCH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8" s="5" t="str">
        <f>IF(M1208="","",$E$2*1000*'[1]LOCH Calc COE Calc'!$C$44)</f>
        <v/>
      </c>
      <c r="S1208" s="6" t="str">
        <f>IF(N1208="","",SUM(O1208:R1208)/('[1]LOCH Calc COE Calc'!$C$28))</f>
        <v/>
      </c>
      <c r="T1208" t="str">
        <f>IF(L1208="","",O1208/'[1]LOCH Calc COE Calc'!$C$28)</f>
        <v/>
      </c>
      <c r="U1208" t="str">
        <f>IF(L1208="","",P1208/'[1]LOCH Calc COE Calc'!$C$28)</f>
        <v/>
      </c>
      <c r="V1208" t="str">
        <f>IF(L1208="","",Q1208/'[1]LOCH Calc COE Calc'!$C$28)</f>
        <v/>
      </c>
      <c r="W1208" t="str">
        <f>IF(L1208="","",R1208/'[1]LOCH Calc COE Calc'!$C$28)</f>
        <v/>
      </c>
    </row>
    <row r="1209" spans="12:23" x14ac:dyDescent="0.25">
      <c r="L1209" s="4" t="str">
        <f>IF('[1]All Data '!BE1214="","",'[1]All Data '!BE1214)</f>
        <v/>
      </c>
      <c r="M1209" t="str">
        <f>IF('[1]All Data '!BF1214="","",'[1]All Data '!BF1214)</f>
        <v/>
      </c>
      <c r="N1209" s="5" t="str">
        <f>IF('[1]All Data '!BB1214="","",'[1]All Data '!BC1214/'[1]All Data '!BH1214)</f>
        <v/>
      </c>
      <c r="O1209" s="5" t="str">
        <f t="shared" si="20"/>
        <v/>
      </c>
      <c r="P1209" s="5" t="str">
        <f>IF(M1209="","",$C$2*(1-L1209)*907.2/0.621371*N1209*[1]Transportation!$M$40)</f>
        <v/>
      </c>
      <c r="Q1209" s="5" t="str">
        <f>IF(L1209="","",IF([1]Inputs_Outputs!$B$5="Herbaceous",(LCA!$E$29*'[1]LOCH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09" s="5" t="str">
        <f>IF(M1209="","",$E$2*1000*'[1]LOCH Calc COE Calc'!$C$44)</f>
        <v/>
      </c>
      <c r="S1209" s="6" t="str">
        <f>IF(N1209="","",SUM(O1209:R1209)/('[1]LOCH Calc COE Calc'!$C$28))</f>
        <v/>
      </c>
      <c r="T1209" t="str">
        <f>IF(L1209="","",O1209/'[1]LOCH Calc COE Calc'!$C$28)</f>
        <v/>
      </c>
      <c r="U1209" t="str">
        <f>IF(L1209="","",P1209/'[1]LOCH Calc COE Calc'!$C$28)</f>
        <v/>
      </c>
      <c r="V1209" t="str">
        <f>IF(L1209="","",Q1209/'[1]LOCH Calc COE Calc'!$C$28)</f>
        <v/>
      </c>
      <c r="W1209" t="str">
        <f>IF(L1209="","",R1209/'[1]LOCH Calc COE Calc'!$C$28)</f>
        <v/>
      </c>
    </row>
    <row r="1210" spans="12:23" x14ac:dyDescent="0.25">
      <c r="L1210" s="4" t="str">
        <f>IF('[1]All Data '!BE1215="","",'[1]All Data '!BE1215)</f>
        <v/>
      </c>
      <c r="M1210" t="str">
        <f>IF('[1]All Data '!BF1215="","",'[1]All Data '!BF1215)</f>
        <v/>
      </c>
      <c r="N1210" s="5" t="str">
        <f>IF('[1]All Data '!BB1215="","",'[1]All Data '!BC1215/'[1]All Data '!BH1215)</f>
        <v/>
      </c>
      <c r="O1210" s="5" t="str">
        <f t="shared" si="20"/>
        <v/>
      </c>
      <c r="P1210" s="5" t="str">
        <f>IF(M1210="","",$C$2*(1-L1210)*907.2/0.621371*N1210*[1]Transportation!$M$40)</f>
        <v/>
      </c>
      <c r="Q1210" s="5" t="str">
        <f>IF(L1210="","",IF([1]Inputs_Outputs!$B$5="Herbaceous",(LCA!$E$29*'[1]LOCH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0" s="5" t="str">
        <f>IF(M1210="","",$E$2*1000*'[1]LOCH Calc COE Calc'!$C$44)</f>
        <v/>
      </c>
      <c r="S1210" s="6" t="str">
        <f>IF(N1210="","",SUM(O1210:R1210)/('[1]LOCH Calc COE Calc'!$C$28))</f>
        <v/>
      </c>
      <c r="T1210" t="str">
        <f>IF(L1210="","",O1210/'[1]LOCH Calc COE Calc'!$C$28)</f>
        <v/>
      </c>
      <c r="U1210" t="str">
        <f>IF(L1210="","",P1210/'[1]LOCH Calc COE Calc'!$C$28)</f>
        <v/>
      </c>
      <c r="V1210" t="str">
        <f>IF(L1210="","",Q1210/'[1]LOCH Calc COE Calc'!$C$28)</f>
        <v/>
      </c>
      <c r="W1210" t="str">
        <f>IF(L1210="","",R1210/'[1]LOCH Calc COE Calc'!$C$28)</f>
        <v/>
      </c>
    </row>
    <row r="1211" spans="12:23" x14ac:dyDescent="0.25">
      <c r="L1211" s="4" t="str">
        <f>IF('[1]All Data '!BE1216="","",'[1]All Data '!BE1216)</f>
        <v/>
      </c>
      <c r="M1211" t="str">
        <f>IF('[1]All Data '!BF1216="","",'[1]All Data '!BF1216)</f>
        <v/>
      </c>
      <c r="N1211" s="5" t="str">
        <f>IF('[1]All Data '!BB1216="","",'[1]All Data '!BC1216/'[1]All Data '!BH1216)</f>
        <v/>
      </c>
      <c r="O1211" s="5" t="str">
        <f t="shared" si="20"/>
        <v/>
      </c>
      <c r="P1211" s="5" t="str">
        <f>IF(M1211="","",$C$2*(1-L1211)*907.2/0.621371*N1211*[1]Transportation!$M$40)</f>
        <v/>
      </c>
      <c r="Q1211" s="5" t="str">
        <f>IF(L1211="","",IF([1]Inputs_Outputs!$B$5="Herbaceous",(LCA!$E$29*'[1]LOCH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1" s="5" t="str">
        <f>IF(M1211="","",$E$2*1000*'[1]LOCH Calc COE Calc'!$C$44)</f>
        <v/>
      </c>
      <c r="S1211" s="6" t="str">
        <f>IF(N1211="","",SUM(O1211:R1211)/('[1]LOCH Calc COE Calc'!$C$28))</f>
        <v/>
      </c>
      <c r="T1211" t="str">
        <f>IF(L1211="","",O1211/'[1]LOCH Calc COE Calc'!$C$28)</f>
        <v/>
      </c>
      <c r="U1211" t="str">
        <f>IF(L1211="","",P1211/'[1]LOCH Calc COE Calc'!$C$28)</f>
        <v/>
      </c>
      <c r="V1211" t="str">
        <f>IF(L1211="","",Q1211/'[1]LOCH Calc COE Calc'!$C$28)</f>
        <v/>
      </c>
      <c r="W1211" t="str">
        <f>IF(L1211="","",R1211/'[1]LOCH Calc COE Calc'!$C$28)</f>
        <v/>
      </c>
    </row>
    <row r="1212" spans="12:23" x14ac:dyDescent="0.25">
      <c r="L1212" s="4" t="str">
        <f>IF('[1]All Data '!BE1217="","",'[1]All Data '!BE1217)</f>
        <v/>
      </c>
      <c r="M1212" t="str">
        <f>IF('[1]All Data '!BF1217="","",'[1]All Data '!BF1217)</f>
        <v/>
      </c>
      <c r="N1212" s="5" t="str">
        <f>IF('[1]All Data '!BB1217="","",'[1]All Data '!BC1217/'[1]All Data '!BH1217)</f>
        <v/>
      </c>
      <c r="O1212" s="5" t="str">
        <f t="shared" si="20"/>
        <v/>
      </c>
      <c r="P1212" s="5" t="str">
        <f>IF(M1212="","",$C$2*(1-L1212)*907.2/0.621371*N1212*[1]Transportation!$M$40)</f>
        <v/>
      </c>
      <c r="Q1212" s="5" t="str">
        <f>IF(L1212="","",IF([1]Inputs_Outputs!$B$5="Herbaceous",(LCA!$E$29*'[1]LOCH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2" s="5" t="str">
        <f>IF(M1212="","",$E$2*1000*'[1]LOCH Calc COE Calc'!$C$44)</f>
        <v/>
      </c>
      <c r="S1212" s="6" t="str">
        <f>IF(N1212="","",SUM(O1212:R1212)/('[1]LOCH Calc COE Calc'!$C$28))</f>
        <v/>
      </c>
      <c r="T1212" t="str">
        <f>IF(L1212="","",O1212/'[1]LOCH Calc COE Calc'!$C$28)</f>
        <v/>
      </c>
      <c r="U1212" t="str">
        <f>IF(L1212="","",P1212/'[1]LOCH Calc COE Calc'!$C$28)</f>
        <v/>
      </c>
      <c r="V1212" t="str">
        <f>IF(L1212="","",Q1212/'[1]LOCH Calc COE Calc'!$C$28)</f>
        <v/>
      </c>
      <c r="W1212" t="str">
        <f>IF(L1212="","",R1212/'[1]LOCH Calc COE Calc'!$C$28)</f>
        <v/>
      </c>
    </row>
    <row r="1213" spans="12:23" x14ac:dyDescent="0.25">
      <c r="L1213" s="4" t="str">
        <f>IF('[1]All Data '!BE1218="","",'[1]All Data '!BE1218)</f>
        <v/>
      </c>
      <c r="M1213" t="str">
        <f>IF('[1]All Data '!BF1218="","",'[1]All Data '!BF1218)</f>
        <v/>
      </c>
      <c r="N1213" s="5" t="str">
        <f>IF('[1]All Data '!BB1218="","",'[1]All Data '!BC1218/'[1]All Data '!BH1218)</f>
        <v/>
      </c>
      <c r="O1213" s="5" t="str">
        <f t="shared" si="20"/>
        <v/>
      </c>
      <c r="P1213" s="5" t="str">
        <f>IF(M1213="","",$C$2*(1-L1213)*907.2/0.621371*N1213*[1]Transportation!$M$40)</f>
        <v/>
      </c>
      <c r="Q1213" s="5" t="str">
        <f>IF(L1213="","",IF([1]Inputs_Outputs!$B$5="Herbaceous",(LCA!$E$29*'[1]LOCH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3" s="5" t="str">
        <f>IF(M1213="","",$E$2*1000*'[1]LOCH Calc COE Calc'!$C$44)</f>
        <v/>
      </c>
      <c r="S1213" s="6" t="str">
        <f>IF(N1213="","",SUM(O1213:R1213)/('[1]LOCH Calc COE Calc'!$C$28))</f>
        <v/>
      </c>
      <c r="T1213" t="str">
        <f>IF(L1213="","",O1213/'[1]LOCH Calc COE Calc'!$C$28)</f>
        <v/>
      </c>
      <c r="U1213" t="str">
        <f>IF(L1213="","",P1213/'[1]LOCH Calc COE Calc'!$C$28)</f>
        <v/>
      </c>
      <c r="V1213" t="str">
        <f>IF(L1213="","",Q1213/'[1]LOCH Calc COE Calc'!$C$28)</f>
        <v/>
      </c>
      <c r="W1213" t="str">
        <f>IF(L1213="","",R1213/'[1]LOCH Calc COE Calc'!$C$28)</f>
        <v/>
      </c>
    </row>
    <row r="1214" spans="12:23" x14ac:dyDescent="0.25">
      <c r="L1214" s="4" t="str">
        <f>IF('[1]All Data '!BE1219="","",'[1]All Data '!BE1219)</f>
        <v/>
      </c>
      <c r="M1214" t="str">
        <f>IF('[1]All Data '!BF1219="","",'[1]All Data '!BF1219)</f>
        <v/>
      </c>
      <c r="N1214" s="5" t="str">
        <f>IF('[1]All Data '!BB1219="","",'[1]All Data '!BC1219/'[1]All Data '!BH1219)</f>
        <v/>
      </c>
      <c r="O1214" s="5" t="str">
        <f t="shared" si="20"/>
        <v/>
      </c>
      <c r="P1214" s="5" t="str">
        <f>IF(M1214="","",$C$2*(1-L1214)*907.2/0.621371*N1214*[1]Transportation!$M$40)</f>
        <v/>
      </c>
      <c r="Q1214" s="5" t="str">
        <f>IF(L1214="","",IF([1]Inputs_Outputs!$B$5="Herbaceous",(LCA!$E$29*'[1]LOCH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4" s="5" t="str">
        <f>IF(M1214="","",$E$2*1000*'[1]LOCH Calc COE Calc'!$C$44)</f>
        <v/>
      </c>
      <c r="S1214" s="6" t="str">
        <f>IF(N1214="","",SUM(O1214:R1214)/('[1]LOCH Calc COE Calc'!$C$28))</f>
        <v/>
      </c>
      <c r="T1214" t="str">
        <f>IF(L1214="","",O1214/'[1]LOCH Calc COE Calc'!$C$28)</f>
        <v/>
      </c>
      <c r="U1214" t="str">
        <f>IF(L1214="","",P1214/'[1]LOCH Calc COE Calc'!$C$28)</f>
        <v/>
      </c>
      <c r="V1214" t="str">
        <f>IF(L1214="","",Q1214/'[1]LOCH Calc COE Calc'!$C$28)</f>
        <v/>
      </c>
      <c r="W1214" t="str">
        <f>IF(L1214="","",R1214/'[1]LOCH Calc COE Calc'!$C$28)</f>
        <v/>
      </c>
    </row>
    <row r="1215" spans="12:23" x14ac:dyDescent="0.25">
      <c r="L1215" s="4" t="str">
        <f>IF('[1]All Data '!BE1220="","",'[1]All Data '!BE1220)</f>
        <v/>
      </c>
      <c r="M1215" t="str">
        <f>IF('[1]All Data '!BF1220="","",'[1]All Data '!BF1220)</f>
        <v/>
      </c>
      <c r="N1215" s="5" t="str">
        <f>IF('[1]All Data '!BB1220="","",'[1]All Data '!BC1220/'[1]All Data '!BH1220)</f>
        <v/>
      </c>
      <c r="O1215" s="5" t="str">
        <f t="shared" si="20"/>
        <v/>
      </c>
      <c r="P1215" s="5" t="str">
        <f>IF(M1215="","",$C$2*(1-L1215)*907.2/0.621371*N1215*[1]Transportation!$M$40)</f>
        <v/>
      </c>
      <c r="Q1215" s="5" t="str">
        <f>IF(L1215="","",IF([1]Inputs_Outputs!$B$5="Herbaceous",(LCA!$E$29*'[1]LOCH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5" s="5" t="str">
        <f>IF(M1215="","",$E$2*1000*'[1]LOCH Calc COE Calc'!$C$44)</f>
        <v/>
      </c>
      <c r="S1215" s="6" t="str">
        <f>IF(N1215="","",SUM(O1215:R1215)/('[1]LOCH Calc COE Calc'!$C$28))</f>
        <v/>
      </c>
      <c r="T1215" t="str">
        <f>IF(L1215="","",O1215/'[1]LOCH Calc COE Calc'!$C$28)</f>
        <v/>
      </c>
      <c r="U1215" t="str">
        <f>IF(L1215="","",P1215/'[1]LOCH Calc COE Calc'!$C$28)</f>
        <v/>
      </c>
      <c r="V1215" t="str">
        <f>IF(L1215="","",Q1215/'[1]LOCH Calc COE Calc'!$C$28)</f>
        <v/>
      </c>
      <c r="W1215" t="str">
        <f>IF(L1215="","",R1215/'[1]LOCH Calc COE Calc'!$C$28)</f>
        <v/>
      </c>
    </row>
    <row r="1216" spans="12:23" x14ac:dyDescent="0.25">
      <c r="L1216" s="4" t="str">
        <f>IF('[1]All Data '!BE1221="","",'[1]All Data '!BE1221)</f>
        <v/>
      </c>
      <c r="M1216" t="str">
        <f>IF('[1]All Data '!BF1221="","",'[1]All Data '!BF1221)</f>
        <v/>
      </c>
      <c r="N1216" s="5" t="str">
        <f>IF('[1]All Data '!BB1221="","",'[1]All Data '!BC1221/'[1]All Data '!BH1221)</f>
        <v/>
      </c>
      <c r="O1216" s="5" t="str">
        <f t="shared" si="20"/>
        <v/>
      </c>
      <c r="P1216" s="5" t="str">
        <f>IF(M1216="","",$C$2*(1-L1216)*907.2/0.621371*N1216*[1]Transportation!$M$40)</f>
        <v/>
      </c>
      <c r="Q1216" s="5" t="str">
        <f>IF(L1216="","",IF([1]Inputs_Outputs!$B$5="Herbaceous",(LCA!$E$29*'[1]LOCH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6" s="5" t="str">
        <f>IF(M1216="","",$E$2*1000*'[1]LOCH Calc COE Calc'!$C$44)</f>
        <v/>
      </c>
      <c r="S1216" s="6" t="str">
        <f>IF(N1216="","",SUM(O1216:R1216)/('[1]LOCH Calc COE Calc'!$C$28))</f>
        <v/>
      </c>
      <c r="T1216" t="str">
        <f>IF(L1216="","",O1216/'[1]LOCH Calc COE Calc'!$C$28)</f>
        <v/>
      </c>
      <c r="U1216" t="str">
        <f>IF(L1216="","",P1216/'[1]LOCH Calc COE Calc'!$C$28)</f>
        <v/>
      </c>
      <c r="V1216" t="str">
        <f>IF(L1216="","",Q1216/'[1]LOCH Calc COE Calc'!$C$28)</f>
        <v/>
      </c>
      <c r="W1216" t="str">
        <f>IF(L1216="","",R1216/'[1]LOCH Calc COE Calc'!$C$28)</f>
        <v/>
      </c>
    </row>
    <row r="1217" spans="12:23" x14ac:dyDescent="0.25">
      <c r="L1217" s="4" t="str">
        <f>IF('[1]All Data '!BE1222="","",'[1]All Data '!BE1222)</f>
        <v/>
      </c>
      <c r="M1217" t="str">
        <f>IF('[1]All Data '!BF1222="","",'[1]All Data '!BF1222)</f>
        <v/>
      </c>
      <c r="N1217" s="5" t="str">
        <f>IF('[1]All Data '!BB1222="","",'[1]All Data '!BC1222/'[1]All Data '!BH1222)</f>
        <v/>
      </c>
      <c r="O1217" s="5" t="str">
        <f t="shared" si="20"/>
        <v/>
      </c>
      <c r="P1217" s="5" t="str">
        <f>IF(M1217="","",$C$2*(1-L1217)*907.2/0.621371*N1217*[1]Transportation!$M$40)</f>
        <v/>
      </c>
      <c r="Q1217" s="5" t="str">
        <f>IF(L1217="","",IF([1]Inputs_Outputs!$B$5="Herbaceous",(LCA!$E$29*'[1]LOCH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7" s="5" t="str">
        <f>IF(M1217="","",$E$2*1000*'[1]LOCH Calc COE Calc'!$C$44)</f>
        <v/>
      </c>
      <c r="S1217" s="6" t="str">
        <f>IF(N1217="","",SUM(O1217:R1217)/('[1]LOCH Calc COE Calc'!$C$28))</f>
        <v/>
      </c>
      <c r="T1217" t="str">
        <f>IF(L1217="","",O1217/'[1]LOCH Calc COE Calc'!$C$28)</f>
        <v/>
      </c>
      <c r="U1217" t="str">
        <f>IF(L1217="","",P1217/'[1]LOCH Calc COE Calc'!$C$28)</f>
        <v/>
      </c>
      <c r="V1217" t="str">
        <f>IF(L1217="","",Q1217/'[1]LOCH Calc COE Calc'!$C$28)</f>
        <v/>
      </c>
      <c r="W1217" t="str">
        <f>IF(L1217="","",R1217/'[1]LOCH Calc COE Calc'!$C$28)</f>
        <v/>
      </c>
    </row>
    <row r="1218" spans="12:23" x14ac:dyDescent="0.25">
      <c r="L1218" s="4" t="str">
        <f>IF('[1]All Data '!BE1223="","",'[1]All Data '!BE1223)</f>
        <v/>
      </c>
      <c r="M1218" t="str">
        <f>IF('[1]All Data '!BF1223="","",'[1]All Data '!BF1223)</f>
        <v/>
      </c>
      <c r="N1218" s="5" t="str">
        <f>IF('[1]All Data '!BB1223="","",'[1]All Data '!BC1223/'[1]All Data '!BH1223)</f>
        <v/>
      </c>
      <c r="O1218" s="5" t="str">
        <f t="shared" si="20"/>
        <v/>
      </c>
      <c r="P1218" s="5" t="str">
        <f>IF(M1218="","",$C$2*(1-L1218)*907.2/0.621371*N1218*[1]Transportation!$M$40)</f>
        <v/>
      </c>
      <c r="Q1218" s="5" t="str">
        <f>IF(L1218="","",IF([1]Inputs_Outputs!$B$5="Herbaceous",(LCA!$E$29*'[1]LOCH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8" s="5" t="str">
        <f>IF(M1218="","",$E$2*1000*'[1]LOCH Calc COE Calc'!$C$44)</f>
        <v/>
      </c>
      <c r="S1218" s="6" t="str">
        <f>IF(N1218="","",SUM(O1218:R1218)/('[1]LOCH Calc COE Calc'!$C$28))</f>
        <v/>
      </c>
      <c r="T1218" t="str">
        <f>IF(L1218="","",O1218/'[1]LOCH Calc COE Calc'!$C$28)</f>
        <v/>
      </c>
      <c r="U1218" t="str">
        <f>IF(L1218="","",P1218/'[1]LOCH Calc COE Calc'!$C$28)</f>
        <v/>
      </c>
      <c r="V1218" t="str">
        <f>IF(L1218="","",Q1218/'[1]LOCH Calc COE Calc'!$C$28)</f>
        <v/>
      </c>
      <c r="W1218" t="str">
        <f>IF(L1218="","",R1218/'[1]LOCH Calc COE Calc'!$C$28)</f>
        <v/>
      </c>
    </row>
    <row r="1219" spans="12:23" x14ac:dyDescent="0.25">
      <c r="L1219" s="4" t="str">
        <f>IF('[1]All Data '!BE1224="","",'[1]All Data '!BE1224)</f>
        <v/>
      </c>
      <c r="M1219" t="str">
        <f>IF('[1]All Data '!BF1224="","",'[1]All Data '!BF1224)</f>
        <v/>
      </c>
      <c r="N1219" s="5" t="str">
        <f>IF('[1]All Data '!BB1224="","",'[1]All Data '!BC1224/'[1]All Data '!BH1224)</f>
        <v/>
      </c>
      <c r="O1219" s="5" t="str">
        <f t="shared" si="20"/>
        <v/>
      </c>
      <c r="P1219" s="5" t="str">
        <f>IF(M1219="","",$C$2*(1-L1219)*907.2/0.621371*N1219*[1]Transportation!$M$40)</f>
        <v/>
      </c>
      <c r="Q1219" s="5" t="str">
        <f>IF(L1219="","",IF([1]Inputs_Outputs!$B$5="Herbaceous",(LCA!$E$29*'[1]LOCH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19" s="5" t="str">
        <f>IF(M1219="","",$E$2*1000*'[1]LOCH Calc COE Calc'!$C$44)</f>
        <v/>
      </c>
      <c r="S1219" s="6" t="str">
        <f>IF(N1219="","",SUM(O1219:R1219)/('[1]LOCH Calc COE Calc'!$C$28))</f>
        <v/>
      </c>
      <c r="T1219" t="str">
        <f>IF(L1219="","",O1219/'[1]LOCH Calc COE Calc'!$C$28)</f>
        <v/>
      </c>
      <c r="U1219" t="str">
        <f>IF(L1219="","",P1219/'[1]LOCH Calc COE Calc'!$C$28)</f>
        <v/>
      </c>
      <c r="V1219" t="str">
        <f>IF(L1219="","",Q1219/'[1]LOCH Calc COE Calc'!$C$28)</f>
        <v/>
      </c>
      <c r="W1219" t="str">
        <f>IF(L1219="","",R1219/'[1]LOCH Calc COE Calc'!$C$28)</f>
        <v/>
      </c>
    </row>
    <row r="1220" spans="12:23" x14ac:dyDescent="0.25">
      <c r="L1220" s="4" t="str">
        <f>IF('[1]All Data '!BE1225="","",'[1]All Data '!BE1225)</f>
        <v/>
      </c>
      <c r="M1220" t="str">
        <f>IF('[1]All Data '!BF1225="","",'[1]All Data '!BF1225)</f>
        <v/>
      </c>
      <c r="N1220" s="5" t="str">
        <f>IF('[1]All Data '!BB1225="","",'[1]All Data '!BC1225/'[1]All Data '!BH1225)</f>
        <v/>
      </c>
      <c r="O1220" s="5" t="str">
        <f t="shared" ref="O1220:O1283" si="21">IF(N1220="","",M1220*N1220)</f>
        <v/>
      </c>
      <c r="P1220" s="5" t="str">
        <f>IF(M1220="","",$C$2*(1-L1220)*907.2/0.621371*N1220*[1]Transportation!$M$40)</f>
        <v/>
      </c>
      <c r="Q1220" s="5" t="str">
        <f>IF(L1220="","",IF([1]Inputs_Outputs!$B$5="Herbaceous",(LCA!$E$29*'[1]LOCH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0" s="5" t="str">
        <f>IF(M1220="","",$E$2*1000*'[1]LOCH Calc COE Calc'!$C$44)</f>
        <v/>
      </c>
      <c r="S1220" s="6" t="str">
        <f>IF(N1220="","",SUM(O1220:R1220)/('[1]LOCH Calc COE Calc'!$C$28))</f>
        <v/>
      </c>
      <c r="T1220" t="str">
        <f>IF(L1220="","",O1220/'[1]LOCH Calc COE Calc'!$C$28)</f>
        <v/>
      </c>
      <c r="U1220" t="str">
        <f>IF(L1220="","",P1220/'[1]LOCH Calc COE Calc'!$C$28)</f>
        <v/>
      </c>
      <c r="V1220" t="str">
        <f>IF(L1220="","",Q1220/'[1]LOCH Calc COE Calc'!$C$28)</f>
        <v/>
      </c>
      <c r="W1220" t="str">
        <f>IF(L1220="","",R1220/'[1]LOCH Calc COE Calc'!$C$28)</f>
        <v/>
      </c>
    </row>
    <row r="1221" spans="12:23" x14ac:dyDescent="0.25">
      <c r="L1221" s="4" t="str">
        <f>IF('[1]All Data '!BE1226="","",'[1]All Data '!BE1226)</f>
        <v/>
      </c>
      <c r="M1221" t="str">
        <f>IF('[1]All Data '!BF1226="","",'[1]All Data '!BF1226)</f>
        <v/>
      </c>
      <c r="N1221" s="5" t="str">
        <f>IF('[1]All Data '!BB1226="","",'[1]All Data '!BC1226/'[1]All Data '!BH1226)</f>
        <v/>
      </c>
      <c r="O1221" s="5" t="str">
        <f t="shared" si="21"/>
        <v/>
      </c>
      <c r="P1221" s="5" t="str">
        <f>IF(M1221="","",$C$2*(1-L1221)*907.2/0.621371*N1221*[1]Transportation!$M$40)</f>
        <v/>
      </c>
      <c r="Q1221" s="5" t="str">
        <f>IF(L1221="","",IF([1]Inputs_Outputs!$B$5="Herbaceous",(LCA!$E$29*'[1]LOCH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1" s="5" t="str">
        <f>IF(M1221="","",$E$2*1000*'[1]LOCH Calc COE Calc'!$C$44)</f>
        <v/>
      </c>
      <c r="S1221" s="6" t="str">
        <f>IF(N1221="","",SUM(O1221:R1221)/('[1]LOCH Calc COE Calc'!$C$28))</f>
        <v/>
      </c>
      <c r="T1221" t="str">
        <f>IF(L1221="","",O1221/'[1]LOCH Calc COE Calc'!$C$28)</f>
        <v/>
      </c>
      <c r="U1221" t="str">
        <f>IF(L1221="","",P1221/'[1]LOCH Calc COE Calc'!$C$28)</f>
        <v/>
      </c>
      <c r="V1221" t="str">
        <f>IF(L1221="","",Q1221/'[1]LOCH Calc COE Calc'!$C$28)</f>
        <v/>
      </c>
      <c r="W1221" t="str">
        <f>IF(L1221="","",R1221/'[1]LOCH Calc COE Calc'!$C$28)</f>
        <v/>
      </c>
    </row>
    <row r="1222" spans="12:23" x14ac:dyDescent="0.25">
      <c r="L1222" s="4" t="str">
        <f>IF('[1]All Data '!BE1227="","",'[1]All Data '!BE1227)</f>
        <v/>
      </c>
      <c r="M1222" t="str">
        <f>IF('[1]All Data '!BF1227="","",'[1]All Data '!BF1227)</f>
        <v/>
      </c>
      <c r="N1222" s="5" t="str">
        <f>IF('[1]All Data '!BB1227="","",'[1]All Data '!BC1227/'[1]All Data '!BH1227)</f>
        <v/>
      </c>
      <c r="O1222" s="5" t="str">
        <f t="shared" si="21"/>
        <v/>
      </c>
      <c r="P1222" s="5" t="str">
        <f>IF(M1222="","",$C$2*(1-L1222)*907.2/0.621371*N1222*[1]Transportation!$M$40)</f>
        <v/>
      </c>
      <c r="Q1222" s="5" t="str">
        <f>IF(L1222="","",IF([1]Inputs_Outputs!$B$5="Herbaceous",(LCA!$E$29*'[1]LOCH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2" s="5" t="str">
        <f>IF(M1222="","",$E$2*1000*'[1]LOCH Calc COE Calc'!$C$44)</f>
        <v/>
      </c>
      <c r="S1222" s="6" t="str">
        <f>IF(N1222="","",SUM(O1222:R1222)/('[1]LOCH Calc COE Calc'!$C$28))</f>
        <v/>
      </c>
      <c r="T1222" t="str">
        <f>IF(L1222="","",O1222/'[1]LOCH Calc COE Calc'!$C$28)</f>
        <v/>
      </c>
      <c r="U1222" t="str">
        <f>IF(L1222="","",P1222/'[1]LOCH Calc COE Calc'!$C$28)</f>
        <v/>
      </c>
      <c r="V1222" t="str">
        <f>IF(L1222="","",Q1222/'[1]LOCH Calc COE Calc'!$C$28)</f>
        <v/>
      </c>
      <c r="W1222" t="str">
        <f>IF(L1222="","",R1222/'[1]LOCH Calc COE Calc'!$C$28)</f>
        <v/>
      </c>
    </row>
    <row r="1223" spans="12:23" x14ac:dyDescent="0.25">
      <c r="L1223" s="4" t="str">
        <f>IF('[1]All Data '!BE1228="","",'[1]All Data '!BE1228)</f>
        <v/>
      </c>
      <c r="M1223" t="str">
        <f>IF('[1]All Data '!BF1228="","",'[1]All Data '!BF1228)</f>
        <v/>
      </c>
      <c r="N1223" s="5" t="str">
        <f>IF('[1]All Data '!BB1228="","",'[1]All Data '!BC1228/'[1]All Data '!BH1228)</f>
        <v/>
      </c>
      <c r="O1223" s="5" t="str">
        <f t="shared" si="21"/>
        <v/>
      </c>
      <c r="P1223" s="5" t="str">
        <f>IF(M1223="","",$C$2*(1-L1223)*907.2/0.621371*N1223*[1]Transportation!$M$40)</f>
        <v/>
      </c>
      <c r="Q1223" s="5" t="str">
        <f>IF(L1223="","",IF([1]Inputs_Outputs!$B$5="Herbaceous",(LCA!$E$29*'[1]LOCH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3" s="5" t="str">
        <f>IF(M1223="","",$E$2*1000*'[1]LOCH Calc COE Calc'!$C$44)</f>
        <v/>
      </c>
      <c r="S1223" s="6" t="str">
        <f>IF(N1223="","",SUM(O1223:R1223)/('[1]LOCH Calc COE Calc'!$C$28))</f>
        <v/>
      </c>
      <c r="T1223" t="str">
        <f>IF(L1223="","",O1223/'[1]LOCH Calc COE Calc'!$C$28)</f>
        <v/>
      </c>
      <c r="U1223" t="str">
        <f>IF(L1223="","",P1223/'[1]LOCH Calc COE Calc'!$C$28)</f>
        <v/>
      </c>
      <c r="V1223" t="str">
        <f>IF(L1223="","",Q1223/'[1]LOCH Calc COE Calc'!$C$28)</f>
        <v/>
      </c>
      <c r="W1223" t="str">
        <f>IF(L1223="","",R1223/'[1]LOCH Calc COE Calc'!$C$28)</f>
        <v/>
      </c>
    </row>
    <row r="1224" spans="12:23" x14ac:dyDescent="0.25">
      <c r="L1224" s="4" t="str">
        <f>IF('[1]All Data '!BE1229="","",'[1]All Data '!BE1229)</f>
        <v/>
      </c>
      <c r="M1224" t="str">
        <f>IF('[1]All Data '!BF1229="","",'[1]All Data '!BF1229)</f>
        <v/>
      </c>
      <c r="N1224" s="5" t="str">
        <f>IF('[1]All Data '!BB1229="","",'[1]All Data '!BC1229/'[1]All Data '!BH1229)</f>
        <v/>
      </c>
      <c r="O1224" s="5" t="str">
        <f t="shared" si="21"/>
        <v/>
      </c>
      <c r="P1224" s="5" t="str">
        <f>IF(M1224="","",$C$2*(1-L1224)*907.2/0.621371*N1224*[1]Transportation!$M$40)</f>
        <v/>
      </c>
      <c r="Q1224" s="5" t="str">
        <f>IF(L1224="","",IF([1]Inputs_Outputs!$B$5="Herbaceous",(LCA!$E$29*'[1]LOCH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4" s="5" t="str">
        <f>IF(M1224="","",$E$2*1000*'[1]LOCH Calc COE Calc'!$C$44)</f>
        <v/>
      </c>
      <c r="S1224" s="6" t="str">
        <f>IF(N1224="","",SUM(O1224:R1224)/('[1]LOCH Calc COE Calc'!$C$28))</f>
        <v/>
      </c>
      <c r="T1224" t="str">
        <f>IF(L1224="","",O1224/'[1]LOCH Calc COE Calc'!$C$28)</f>
        <v/>
      </c>
      <c r="U1224" t="str">
        <f>IF(L1224="","",P1224/'[1]LOCH Calc COE Calc'!$C$28)</f>
        <v/>
      </c>
      <c r="V1224" t="str">
        <f>IF(L1224="","",Q1224/'[1]LOCH Calc COE Calc'!$C$28)</f>
        <v/>
      </c>
      <c r="W1224" t="str">
        <f>IF(L1224="","",R1224/'[1]LOCH Calc COE Calc'!$C$28)</f>
        <v/>
      </c>
    </row>
    <row r="1225" spans="12:23" x14ac:dyDescent="0.25">
      <c r="L1225" s="4" t="str">
        <f>IF('[1]All Data '!BE1230="","",'[1]All Data '!BE1230)</f>
        <v/>
      </c>
      <c r="M1225" t="str">
        <f>IF('[1]All Data '!BF1230="","",'[1]All Data '!BF1230)</f>
        <v/>
      </c>
      <c r="N1225" s="5" t="str">
        <f>IF('[1]All Data '!BB1230="","",'[1]All Data '!BC1230/'[1]All Data '!BH1230)</f>
        <v/>
      </c>
      <c r="O1225" s="5" t="str">
        <f t="shared" si="21"/>
        <v/>
      </c>
      <c r="P1225" s="5" t="str">
        <f>IF(M1225="","",$C$2*(1-L1225)*907.2/0.621371*N1225*[1]Transportation!$M$40)</f>
        <v/>
      </c>
      <c r="Q1225" s="5" t="str">
        <f>IF(L1225="","",IF([1]Inputs_Outputs!$B$5="Herbaceous",(LCA!$E$29*'[1]LOCH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5" s="5" t="str">
        <f>IF(M1225="","",$E$2*1000*'[1]LOCH Calc COE Calc'!$C$44)</f>
        <v/>
      </c>
      <c r="S1225" s="6" t="str">
        <f>IF(N1225="","",SUM(O1225:R1225)/('[1]LOCH Calc COE Calc'!$C$28))</f>
        <v/>
      </c>
      <c r="T1225" t="str">
        <f>IF(L1225="","",O1225/'[1]LOCH Calc COE Calc'!$C$28)</f>
        <v/>
      </c>
      <c r="U1225" t="str">
        <f>IF(L1225="","",P1225/'[1]LOCH Calc COE Calc'!$C$28)</f>
        <v/>
      </c>
      <c r="V1225" t="str">
        <f>IF(L1225="","",Q1225/'[1]LOCH Calc COE Calc'!$C$28)</f>
        <v/>
      </c>
      <c r="W1225" t="str">
        <f>IF(L1225="","",R1225/'[1]LOCH Calc COE Calc'!$C$28)</f>
        <v/>
      </c>
    </row>
    <row r="1226" spans="12:23" x14ac:dyDescent="0.25">
      <c r="L1226" s="4" t="str">
        <f>IF('[1]All Data '!BE1231="","",'[1]All Data '!BE1231)</f>
        <v/>
      </c>
      <c r="M1226" t="str">
        <f>IF('[1]All Data '!BF1231="","",'[1]All Data '!BF1231)</f>
        <v/>
      </c>
      <c r="N1226" s="5" t="str">
        <f>IF('[1]All Data '!BB1231="","",'[1]All Data '!BC1231/'[1]All Data '!BH1231)</f>
        <v/>
      </c>
      <c r="O1226" s="5" t="str">
        <f t="shared" si="21"/>
        <v/>
      </c>
      <c r="P1226" s="5" t="str">
        <f>IF(M1226="","",$C$2*(1-L1226)*907.2/0.621371*N1226*[1]Transportation!$M$40)</f>
        <v/>
      </c>
      <c r="Q1226" s="5" t="str">
        <f>IF(L1226="","",IF([1]Inputs_Outputs!$B$5="Herbaceous",(LCA!$E$29*'[1]LOCH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6" s="5" t="str">
        <f>IF(M1226="","",$E$2*1000*'[1]LOCH Calc COE Calc'!$C$44)</f>
        <v/>
      </c>
      <c r="S1226" s="6" t="str">
        <f>IF(N1226="","",SUM(O1226:R1226)/('[1]LOCH Calc COE Calc'!$C$28))</f>
        <v/>
      </c>
      <c r="T1226" t="str">
        <f>IF(L1226="","",O1226/'[1]LOCH Calc COE Calc'!$C$28)</f>
        <v/>
      </c>
      <c r="U1226" t="str">
        <f>IF(L1226="","",P1226/'[1]LOCH Calc COE Calc'!$C$28)</f>
        <v/>
      </c>
      <c r="V1226" t="str">
        <f>IF(L1226="","",Q1226/'[1]LOCH Calc COE Calc'!$C$28)</f>
        <v/>
      </c>
      <c r="W1226" t="str">
        <f>IF(L1226="","",R1226/'[1]LOCH Calc COE Calc'!$C$28)</f>
        <v/>
      </c>
    </row>
    <row r="1227" spans="12:23" x14ac:dyDescent="0.25">
      <c r="L1227" s="4" t="str">
        <f>IF('[1]All Data '!BE1232="","",'[1]All Data '!BE1232)</f>
        <v/>
      </c>
      <c r="M1227" t="str">
        <f>IF('[1]All Data '!BF1232="","",'[1]All Data '!BF1232)</f>
        <v/>
      </c>
      <c r="N1227" s="5" t="str">
        <f>IF('[1]All Data '!BB1232="","",'[1]All Data '!BC1232/'[1]All Data '!BH1232)</f>
        <v/>
      </c>
      <c r="O1227" s="5" t="str">
        <f t="shared" si="21"/>
        <v/>
      </c>
      <c r="P1227" s="5" t="str">
        <f>IF(M1227="","",$C$2*(1-L1227)*907.2/0.621371*N1227*[1]Transportation!$M$40)</f>
        <v/>
      </c>
      <c r="Q1227" s="5" t="str">
        <f>IF(L1227="","",IF([1]Inputs_Outputs!$B$5="Herbaceous",(LCA!$E$29*'[1]LOCH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7" s="5" t="str">
        <f>IF(M1227="","",$E$2*1000*'[1]LOCH Calc COE Calc'!$C$44)</f>
        <v/>
      </c>
      <c r="S1227" s="6" t="str">
        <f>IF(N1227="","",SUM(O1227:R1227)/('[1]LOCH Calc COE Calc'!$C$28))</f>
        <v/>
      </c>
      <c r="T1227" t="str">
        <f>IF(L1227="","",O1227/'[1]LOCH Calc COE Calc'!$C$28)</f>
        <v/>
      </c>
      <c r="U1227" t="str">
        <f>IF(L1227="","",P1227/'[1]LOCH Calc COE Calc'!$C$28)</f>
        <v/>
      </c>
      <c r="V1227" t="str">
        <f>IF(L1227="","",Q1227/'[1]LOCH Calc COE Calc'!$C$28)</f>
        <v/>
      </c>
      <c r="W1227" t="str">
        <f>IF(L1227="","",R1227/'[1]LOCH Calc COE Calc'!$C$28)</f>
        <v/>
      </c>
    </row>
    <row r="1228" spans="12:23" x14ac:dyDescent="0.25">
      <c r="L1228" s="4" t="str">
        <f>IF('[1]All Data '!BE1233="","",'[1]All Data '!BE1233)</f>
        <v/>
      </c>
      <c r="M1228" t="str">
        <f>IF('[1]All Data '!BF1233="","",'[1]All Data '!BF1233)</f>
        <v/>
      </c>
      <c r="N1228" s="5" t="str">
        <f>IF('[1]All Data '!BB1233="","",'[1]All Data '!BC1233/'[1]All Data '!BH1233)</f>
        <v/>
      </c>
      <c r="O1228" s="5" t="str">
        <f t="shared" si="21"/>
        <v/>
      </c>
      <c r="P1228" s="5" t="str">
        <f>IF(M1228="","",$C$2*(1-L1228)*907.2/0.621371*N1228*[1]Transportation!$M$40)</f>
        <v/>
      </c>
      <c r="Q1228" s="5" t="str">
        <f>IF(L1228="","",IF([1]Inputs_Outputs!$B$5="Herbaceous",(LCA!$E$29*'[1]LOCH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8" s="5" t="str">
        <f>IF(M1228="","",$E$2*1000*'[1]LOCH Calc COE Calc'!$C$44)</f>
        <v/>
      </c>
      <c r="S1228" s="6" t="str">
        <f>IF(N1228="","",SUM(O1228:R1228)/('[1]LOCH Calc COE Calc'!$C$28))</f>
        <v/>
      </c>
      <c r="T1228" t="str">
        <f>IF(L1228="","",O1228/'[1]LOCH Calc COE Calc'!$C$28)</f>
        <v/>
      </c>
      <c r="U1228" t="str">
        <f>IF(L1228="","",P1228/'[1]LOCH Calc COE Calc'!$C$28)</f>
        <v/>
      </c>
      <c r="V1228" t="str">
        <f>IF(L1228="","",Q1228/'[1]LOCH Calc COE Calc'!$C$28)</f>
        <v/>
      </c>
      <c r="W1228" t="str">
        <f>IF(L1228="","",R1228/'[1]LOCH Calc COE Calc'!$C$28)</f>
        <v/>
      </c>
    </row>
    <row r="1229" spans="12:23" x14ac:dyDescent="0.25">
      <c r="L1229" s="4" t="str">
        <f>IF('[1]All Data '!BE1234="","",'[1]All Data '!BE1234)</f>
        <v/>
      </c>
      <c r="M1229" t="str">
        <f>IF('[1]All Data '!BF1234="","",'[1]All Data '!BF1234)</f>
        <v/>
      </c>
      <c r="N1229" s="5" t="str">
        <f>IF('[1]All Data '!BB1234="","",'[1]All Data '!BC1234/'[1]All Data '!BH1234)</f>
        <v/>
      </c>
      <c r="O1229" s="5" t="str">
        <f t="shared" si="21"/>
        <v/>
      </c>
      <c r="P1229" s="5" t="str">
        <f>IF(M1229="","",$C$2*(1-L1229)*907.2/0.621371*N1229*[1]Transportation!$M$40)</f>
        <v/>
      </c>
      <c r="Q1229" s="5" t="str">
        <f>IF(L1229="","",IF([1]Inputs_Outputs!$B$5="Herbaceous",(LCA!$E$29*'[1]LOCH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29" s="5" t="str">
        <f>IF(M1229="","",$E$2*1000*'[1]LOCH Calc COE Calc'!$C$44)</f>
        <v/>
      </c>
      <c r="S1229" s="6" t="str">
        <f>IF(N1229="","",SUM(O1229:R1229)/('[1]LOCH Calc COE Calc'!$C$28))</f>
        <v/>
      </c>
      <c r="T1229" t="str">
        <f>IF(L1229="","",O1229/'[1]LOCH Calc COE Calc'!$C$28)</f>
        <v/>
      </c>
      <c r="U1229" t="str">
        <f>IF(L1229="","",P1229/'[1]LOCH Calc COE Calc'!$C$28)</f>
        <v/>
      </c>
      <c r="V1229" t="str">
        <f>IF(L1229="","",Q1229/'[1]LOCH Calc COE Calc'!$C$28)</f>
        <v/>
      </c>
      <c r="W1229" t="str">
        <f>IF(L1229="","",R1229/'[1]LOCH Calc COE Calc'!$C$28)</f>
        <v/>
      </c>
    </row>
    <row r="1230" spans="12:23" x14ac:dyDescent="0.25">
      <c r="L1230" s="4" t="str">
        <f>IF('[1]All Data '!BE1235="","",'[1]All Data '!BE1235)</f>
        <v/>
      </c>
      <c r="M1230" t="str">
        <f>IF('[1]All Data '!BF1235="","",'[1]All Data '!BF1235)</f>
        <v/>
      </c>
      <c r="N1230" s="5" t="str">
        <f>IF('[1]All Data '!BB1235="","",'[1]All Data '!BC1235/'[1]All Data '!BH1235)</f>
        <v/>
      </c>
      <c r="O1230" s="5" t="str">
        <f t="shared" si="21"/>
        <v/>
      </c>
      <c r="P1230" s="5" t="str">
        <f>IF(M1230="","",$C$2*(1-L1230)*907.2/0.621371*N1230*[1]Transportation!$M$40)</f>
        <v/>
      </c>
      <c r="Q1230" s="5" t="str">
        <f>IF(L1230="","",IF([1]Inputs_Outputs!$B$5="Herbaceous",(LCA!$E$29*'[1]LOCH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0" s="5" t="str">
        <f>IF(M1230="","",$E$2*1000*'[1]LOCH Calc COE Calc'!$C$44)</f>
        <v/>
      </c>
      <c r="S1230" s="6" t="str">
        <f>IF(N1230="","",SUM(O1230:R1230)/('[1]LOCH Calc COE Calc'!$C$28))</f>
        <v/>
      </c>
      <c r="T1230" t="str">
        <f>IF(L1230="","",O1230/'[1]LOCH Calc COE Calc'!$C$28)</f>
        <v/>
      </c>
      <c r="U1230" t="str">
        <f>IF(L1230="","",P1230/'[1]LOCH Calc COE Calc'!$C$28)</f>
        <v/>
      </c>
      <c r="V1230" t="str">
        <f>IF(L1230="","",Q1230/'[1]LOCH Calc COE Calc'!$C$28)</f>
        <v/>
      </c>
      <c r="W1230" t="str">
        <f>IF(L1230="","",R1230/'[1]LOCH Calc COE Calc'!$C$28)</f>
        <v/>
      </c>
    </row>
    <row r="1231" spans="12:23" x14ac:dyDescent="0.25">
      <c r="L1231" s="4" t="str">
        <f>IF('[1]All Data '!BE1236="","",'[1]All Data '!BE1236)</f>
        <v/>
      </c>
      <c r="M1231" t="str">
        <f>IF('[1]All Data '!BF1236="","",'[1]All Data '!BF1236)</f>
        <v/>
      </c>
      <c r="N1231" s="5" t="str">
        <f>IF('[1]All Data '!BB1236="","",'[1]All Data '!BC1236/'[1]All Data '!BH1236)</f>
        <v/>
      </c>
      <c r="O1231" s="5" t="str">
        <f t="shared" si="21"/>
        <v/>
      </c>
      <c r="P1231" s="5" t="str">
        <f>IF(M1231="","",$C$2*(1-L1231)*907.2/0.621371*N1231*[1]Transportation!$M$40)</f>
        <v/>
      </c>
      <c r="Q1231" s="5" t="str">
        <f>IF(L1231="","",IF([1]Inputs_Outputs!$B$5="Herbaceous",(LCA!$E$29*'[1]LOCH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1" s="5" t="str">
        <f>IF(M1231="","",$E$2*1000*'[1]LOCH Calc COE Calc'!$C$44)</f>
        <v/>
      </c>
      <c r="S1231" s="6" t="str">
        <f>IF(N1231="","",SUM(O1231:R1231)/('[1]LOCH Calc COE Calc'!$C$28))</f>
        <v/>
      </c>
      <c r="T1231" t="str">
        <f>IF(L1231="","",O1231/'[1]LOCH Calc COE Calc'!$C$28)</f>
        <v/>
      </c>
      <c r="U1231" t="str">
        <f>IF(L1231="","",P1231/'[1]LOCH Calc COE Calc'!$C$28)</f>
        <v/>
      </c>
      <c r="V1231" t="str">
        <f>IF(L1231="","",Q1231/'[1]LOCH Calc COE Calc'!$C$28)</f>
        <v/>
      </c>
      <c r="W1231" t="str">
        <f>IF(L1231="","",R1231/'[1]LOCH Calc COE Calc'!$C$28)</f>
        <v/>
      </c>
    </row>
    <row r="1232" spans="12:23" x14ac:dyDescent="0.25">
      <c r="L1232" s="4" t="str">
        <f>IF('[1]All Data '!BE1237="","",'[1]All Data '!BE1237)</f>
        <v/>
      </c>
      <c r="M1232" t="str">
        <f>IF('[1]All Data '!BF1237="","",'[1]All Data '!BF1237)</f>
        <v/>
      </c>
      <c r="N1232" s="5" t="str">
        <f>IF('[1]All Data '!BB1237="","",'[1]All Data '!BC1237/'[1]All Data '!BH1237)</f>
        <v/>
      </c>
      <c r="O1232" s="5" t="str">
        <f t="shared" si="21"/>
        <v/>
      </c>
      <c r="P1232" s="5" t="str">
        <f>IF(M1232="","",$C$2*(1-L1232)*907.2/0.621371*N1232*[1]Transportation!$M$40)</f>
        <v/>
      </c>
      <c r="Q1232" s="5" t="str">
        <f>IF(L1232="","",IF([1]Inputs_Outputs!$B$5="Herbaceous",(LCA!$E$29*'[1]LOCH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2" s="5" t="str">
        <f>IF(M1232="","",$E$2*1000*'[1]LOCH Calc COE Calc'!$C$44)</f>
        <v/>
      </c>
      <c r="S1232" s="6" t="str">
        <f>IF(N1232="","",SUM(O1232:R1232)/('[1]LOCH Calc COE Calc'!$C$28))</f>
        <v/>
      </c>
      <c r="T1232" t="str">
        <f>IF(L1232="","",O1232/'[1]LOCH Calc COE Calc'!$C$28)</f>
        <v/>
      </c>
      <c r="U1232" t="str">
        <f>IF(L1232="","",P1232/'[1]LOCH Calc COE Calc'!$C$28)</f>
        <v/>
      </c>
      <c r="V1232" t="str">
        <f>IF(L1232="","",Q1232/'[1]LOCH Calc COE Calc'!$C$28)</f>
        <v/>
      </c>
      <c r="W1232" t="str">
        <f>IF(L1232="","",R1232/'[1]LOCH Calc COE Calc'!$C$28)</f>
        <v/>
      </c>
    </row>
    <row r="1233" spans="12:23" x14ac:dyDescent="0.25">
      <c r="L1233" s="4" t="str">
        <f>IF('[1]All Data '!BE1238="","",'[1]All Data '!BE1238)</f>
        <v/>
      </c>
      <c r="M1233" t="str">
        <f>IF('[1]All Data '!BF1238="","",'[1]All Data '!BF1238)</f>
        <v/>
      </c>
      <c r="N1233" s="5" t="str">
        <f>IF('[1]All Data '!BB1238="","",'[1]All Data '!BC1238/'[1]All Data '!BH1238)</f>
        <v/>
      </c>
      <c r="O1233" s="5" t="str">
        <f t="shared" si="21"/>
        <v/>
      </c>
      <c r="P1233" s="5" t="str">
        <f>IF(M1233="","",$C$2*(1-L1233)*907.2/0.621371*N1233*[1]Transportation!$M$40)</f>
        <v/>
      </c>
      <c r="Q1233" s="5" t="str">
        <f>IF(L1233="","",IF([1]Inputs_Outputs!$B$5="Herbaceous",(LCA!$E$29*'[1]LOCH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3" s="5" t="str">
        <f>IF(M1233="","",$E$2*1000*'[1]LOCH Calc COE Calc'!$C$44)</f>
        <v/>
      </c>
      <c r="S1233" s="6" t="str">
        <f>IF(N1233="","",SUM(O1233:R1233)/('[1]LOCH Calc COE Calc'!$C$28))</f>
        <v/>
      </c>
      <c r="T1233" t="str">
        <f>IF(L1233="","",O1233/'[1]LOCH Calc COE Calc'!$C$28)</f>
        <v/>
      </c>
      <c r="U1233" t="str">
        <f>IF(L1233="","",P1233/'[1]LOCH Calc COE Calc'!$C$28)</f>
        <v/>
      </c>
      <c r="V1233" t="str">
        <f>IF(L1233="","",Q1233/'[1]LOCH Calc COE Calc'!$C$28)</f>
        <v/>
      </c>
      <c r="W1233" t="str">
        <f>IF(L1233="","",R1233/'[1]LOCH Calc COE Calc'!$C$28)</f>
        <v/>
      </c>
    </row>
    <row r="1234" spans="12:23" x14ac:dyDescent="0.25">
      <c r="L1234" s="4" t="str">
        <f>IF('[1]All Data '!BE1239="","",'[1]All Data '!BE1239)</f>
        <v/>
      </c>
      <c r="M1234" t="str">
        <f>IF('[1]All Data '!BF1239="","",'[1]All Data '!BF1239)</f>
        <v/>
      </c>
      <c r="N1234" s="5" t="str">
        <f>IF('[1]All Data '!BB1239="","",'[1]All Data '!BC1239/'[1]All Data '!BH1239)</f>
        <v/>
      </c>
      <c r="O1234" s="5" t="str">
        <f t="shared" si="21"/>
        <v/>
      </c>
      <c r="P1234" s="5" t="str">
        <f>IF(M1234="","",$C$2*(1-L1234)*907.2/0.621371*N1234*[1]Transportation!$M$40)</f>
        <v/>
      </c>
      <c r="Q1234" s="5" t="str">
        <f>IF(L1234="","",IF([1]Inputs_Outputs!$B$5="Herbaceous",(LCA!$E$29*'[1]LOCH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4" s="5" t="str">
        <f>IF(M1234="","",$E$2*1000*'[1]LOCH Calc COE Calc'!$C$44)</f>
        <v/>
      </c>
      <c r="S1234" s="6" t="str">
        <f>IF(N1234="","",SUM(O1234:R1234)/('[1]LOCH Calc COE Calc'!$C$28))</f>
        <v/>
      </c>
      <c r="T1234" t="str">
        <f>IF(L1234="","",O1234/'[1]LOCH Calc COE Calc'!$C$28)</f>
        <v/>
      </c>
      <c r="U1234" t="str">
        <f>IF(L1234="","",P1234/'[1]LOCH Calc COE Calc'!$C$28)</f>
        <v/>
      </c>
      <c r="V1234" t="str">
        <f>IF(L1234="","",Q1234/'[1]LOCH Calc COE Calc'!$C$28)</f>
        <v/>
      </c>
      <c r="W1234" t="str">
        <f>IF(L1234="","",R1234/'[1]LOCH Calc COE Calc'!$C$28)</f>
        <v/>
      </c>
    </row>
    <row r="1235" spans="12:23" x14ac:dyDescent="0.25">
      <c r="L1235" s="4" t="str">
        <f>IF('[1]All Data '!BE1240="","",'[1]All Data '!BE1240)</f>
        <v/>
      </c>
      <c r="M1235" t="str">
        <f>IF('[1]All Data '!BF1240="","",'[1]All Data '!BF1240)</f>
        <v/>
      </c>
      <c r="N1235" s="5" t="str">
        <f>IF('[1]All Data '!BB1240="","",'[1]All Data '!BC1240/'[1]All Data '!BH1240)</f>
        <v/>
      </c>
      <c r="O1235" s="5" t="str">
        <f t="shared" si="21"/>
        <v/>
      </c>
      <c r="P1235" s="5" t="str">
        <f>IF(M1235="","",$C$2*(1-L1235)*907.2/0.621371*N1235*[1]Transportation!$M$40)</f>
        <v/>
      </c>
      <c r="Q1235" s="5" t="str">
        <f>IF(L1235="","",IF([1]Inputs_Outputs!$B$5="Herbaceous",(LCA!$E$29*'[1]LOCH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5" s="5" t="str">
        <f>IF(M1235="","",$E$2*1000*'[1]LOCH Calc COE Calc'!$C$44)</f>
        <v/>
      </c>
      <c r="S1235" s="6" t="str">
        <f>IF(N1235="","",SUM(O1235:R1235)/('[1]LOCH Calc COE Calc'!$C$28))</f>
        <v/>
      </c>
      <c r="T1235" t="str">
        <f>IF(L1235="","",O1235/'[1]LOCH Calc COE Calc'!$C$28)</f>
        <v/>
      </c>
      <c r="U1235" t="str">
        <f>IF(L1235="","",P1235/'[1]LOCH Calc COE Calc'!$C$28)</f>
        <v/>
      </c>
      <c r="V1235" t="str">
        <f>IF(L1235="","",Q1235/'[1]LOCH Calc COE Calc'!$C$28)</f>
        <v/>
      </c>
      <c r="W1235" t="str">
        <f>IF(L1235="","",R1235/'[1]LOCH Calc COE Calc'!$C$28)</f>
        <v/>
      </c>
    </row>
    <row r="1236" spans="12:23" x14ac:dyDescent="0.25">
      <c r="L1236" s="4" t="str">
        <f>IF('[1]All Data '!BE1241="","",'[1]All Data '!BE1241)</f>
        <v/>
      </c>
      <c r="M1236" t="str">
        <f>IF('[1]All Data '!BF1241="","",'[1]All Data '!BF1241)</f>
        <v/>
      </c>
      <c r="N1236" s="5" t="str">
        <f>IF('[1]All Data '!BB1241="","",'[1]All Data '!BC1241/'[1]All Data '!BH1241)</f>
        <v/>
      </c>
      <c r="O1236" s="5" t="str">
        <f t="shared" si="21"/>
        <v/>
      </c>
      <c r="P1236" s="5" t="str">
        <f>IF(M1236="","",$C$2*(1-L1236)*907.2/0.621371*N1236*[1]Transportation!$M$40)</f>
        <v/>
      </c>
      <c r="Q1236" s="5" t="str">
        <f>IF(L1236="","",IF([1]Inputs_Outputs!$B$5="Herbaceous",(LCA!$E$29*'[1]LOCH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6" s="5" t="str">
        <f>IF(M1236="","",$E$2*1000*'[1]LOCH Calc COE Calc'!$C$44)</f>
        <v/>
      </c>
      <c r="S1236" s="6" t="str">
        <f>IF(N1236="","",SUM(O1236:R1236)/('[1]LOCH Calc COE Calc'!$C$28))</f>
        <v/>
      </c>
      <c r="T1236" t="str">
        <f>IF(L1236="","",O1236/'[1]LOCH Calc COE Calc'!$C$28)</f>
        <v/>
      </c>
      <c r="U1236" t="str">
        <f>IF(L1236="","",P1236/'[1]LOCH Calc COE Calc'!$C$28)</f>
        <v/>
      </c>
      <c r="V1236" t="str">
        <f>IF(L1236="","",Q1236/'[1]LOCH Calc COE Calc'!$C$28)</f>
        <v/>
      </c>
      <c r="W1236" t="str">
        <f>IF(L1236="","",R1236/'[1]LOCH Calc COE Calc'!$C$28)</f>
        <v/>
      </c>
    </row>
    <row r="1237" spans="12:23" x14ac:dyDescent="0.25">
      <c r="L1237" s="4" t="str">
        <f>IF('[1]All Data '!BE1242="","",'[1]All Data '!BE1242)</f>
        <v/>
      </c>
      <c r="M1237" t="str">
        <f>IF('[1]All Data '!BF1242="","",'[1]All Data '!BF1242)</f>
        <v/>
      </c>
      <c r="N1237" s="5" t="str">
        <f>IF('[1]All Data '!BB1242="","",'[1]All Data '!BC1242/'[1]All Data '!BH1242)</f>
        <v/>
      </c>
      <c r="O1237" s="5" t="str">
        <f t="shared" si="21"/>
        <v/>
      </c>
      <c r="P1237" s="5" t="str">
        <f>IF(M1237="","",$C$2*(1-L1237)*907.2/0.621371*N1237*[1]Transportation!$M$40)</f>
        <v/>
      </c>
      <c r="Q1237" s="5" t="str">
        <f>IF(L1237="","",IF([1]Inputs_Outputs!$B$5="Herbaceous",(LCA!$E$29*'[1]LOCH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7" s="5" t="str">
        <f>IF(M1237="","",$E$2*1000*'[1]LOCH Calc COE Calc'!$C$44)</f>
        <v/>
      </c>
      <c r="S1237" s="6" t="str">
        <f>IF(N1237="","",SUM(O1237:R1237)/('[1]LOCH Calc COE Calc'!$C$28))</f>
        <v/>
      </c>
      <c r="T1237" t="str">
        <f>IF(L1237="","",O1237/'[1]LOCH Calc COE Calc'!$C$28)</f>
        <v/>
      </c>
      <c r="U1237" t="str">
        <f>IF(L1237="","",P1237/'[1]LOCH Calc COE Calc'!$C$28)</f>
        <v/>
      </c>
      <c r="V1237" t="str">
        <f>IF(L1237="","",Q1237/'[1]LOCH Calc COE Calc'!$C$28)</f>
        <v/>
      </c>
      <c r="W1237" t="str">
        <f>IF(L1237="","",R1237/'[1]LOCH Calc COE Calc'!$C$28)</f>
        <v/>
      </c>
    </row>
    <row r="1238" spans="12:23" x14ac:dyDescent="0.25">
      <c r="L1238" s="4" t="str">
        <f>IF('[1]All Data '!BE1243="","",'[1]All Data '!BE1243)</f>
        <v/>
      </c>
      <c r="M1238" t="str">
        <f>IF('[1]All Data '!BF1243="","",'[1]All Data '!BF1243)</f>
        <v/>
      </c>
      <c r="N1238" s="5" t="str">
        <f>IF('[1]All Data '!BB1243="","",'[1]All Data '!BC1243/'[1]All Data '!BH1243)</f>
        <v/>
      </c>
      <c r="O1238" s="5" t="str">
        <f t="shared" si="21"/>
        <v/>
      </c>
      <c r="P1238" s="5" t="str">
        <f>IF(M1238="","",$C$2*(1-L1238)*907.2/0.621371*N1238*[1]Transportation!$M$40)</f>
        <v/>
      </c>
      <c r="Q1238" s="5" t="str">
        <f>IF(L1238="","",IF([1]Inputs_Outputs!$B$5="Herbaceous",(LCA!$E$29*'[1]LOCH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8" s="5" t="str">
        <f>IF(M1238="","",$E$2*1000*'[1]LOCH Calc COE Calc'!$C$44)</f>
        <v/>
      </c>
      <c r="S1238" s="6" t="str">
        <f>IF(N1238="","",SUM(O1238:R1238)/('[1]LOCH Calc COE Calc'!$C$28))</f>
        <v/>
      </c>
      <c r="T1238" t="str">
        <f>IF(L1238="","",O1238/'[1]LOCH Calc COE Calc'!$C$28)</f>
        <v/>
      </c>
      <c r="U1238" t="str">
        <f>IF(L1238="","",P1238/'[1]LOCH Calc COE Calc'!$C$28)</f>
        <v/>
      </c>
      <c r="V1238" t="str">
        <f>IF(L1238="","",Q1238/'[1]LOCH Calc COE Calc'!$C$28)</f>
        <v/>
      </c>
      <c r="W1238" t="str">
        <f>IF(L1238="","",R1238/'[1]LOCH Calc COE Calc'!$C$28)</f>
        <v/>
      </c>
    </row>
    <row r="1239" spans="12:23" x14ac:dyDescent="0.25">
      <c r="L1239" s="4" t="str">
        <f>IF('[1]All Data '!BE1244="","",'[1]All Data '!BE1244)</f>
        <v/>
      </c>
      <c r="M1239" t="str">
        <f>IF('[1]All Data '!BF1244="","",'[1]All Data '!BF1244)</f>
        <v/>
      </c>
      <c r="N1239" s="5" t="str">
        <f>IF('[1]All Data '!BB1244="","",'[1]All Data '!BC1244/'[1]All Data '!BH1244)</f>
        <v/>
      </c>
      <c r="O1239" s="5" t="str">
        <f t="shared" si="21"/>
        <v/>
      </c>
      <c r="P1239" s="5" t="str">
        <f>IF(M1239="","",$C$2*(1-L1239)*907.2/0.621371*N1239*[1]Transportation!$M$40)</f>
        <v/>
      </c>
      <c r="Q1239" s="5" t="str">
        <f>IF(L1239="","",IF([1]Inputs_Outputs!$B$5="Herbaceous",(LCA!$E$29*'[1]LOCH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39" s="5" t="str">
        <f>IF(M1239="","",$E$2*1000*'[1]LOCH Calc COE Calc'!$C$44)</f>
        <v/>
      </c>
      <c r="S1239" s="6" t="str">
        <f>IF(N1239="","",SUM(O1239:R1239)/('[1]LOCH Calc COE Calc'!$C$28))</f>
        <v/>
      </c>
      <c r="T1239" t="str">
        <f>IF(L1239="","",O1239/'[1]LOCH Calc COE Calc'!$C$28)</f>
        <v/>
      </c>
      <c r="U1239" t="str">
        <f>IF(L1239="","",P1239/'[1]LOCH Calc COE Calc'!$C$28)</f>
        <v/>
      </c>
      <c r="V1239" t="str">
        <f>IF(L1239="","",Q1239/'[1]LOCH Calc COE Calc'!$C$28)</f>
        <v/>
      </c>
      <c r="W1239" t="str">
        <f>IF(L1239="","",R1239/'[1]LOCH Calc COE Calc'!$C$28)</f>
        <v/>
      </c>
    </row>
    <row r="1240" spans="12:23" x14ac:dyDescent="0.25">
      <c r="L1240" s="4" t="str">
        <f>IF('[1]All Data '!BE1245="","",'[1]All Data '!BE1245)</f>
        <v/>
      </c>
      <c r="M1240" t="str">
        <f>IF('[1]All Data '!BF1245="","",'[1]All Data '!BF1245)</f>
        <v/>
      </c>
      <c r="N1240" s="5" t="str">
        <f>IF('[1]All Data '!BB1245="","",'[1]All Data '!BC1245/'[1]All Data '!BH1245)</f>
        <v/>
      </c>
      <c r="O1240" s="5" t="str">
        <f t="shared" si="21"/>
        <v/>
      </c>
      <c r="P1240" s="5" t="str">
        <f>IF(M1240="","",$C$2*(1-L1240)*907.2/0.621371*N1240*[1]Transportation!$M$40)</f>
        <v/>
      </c>
      <c r="Q1240" s="5" t="str">
        <f>IF(L1240="","",IF([1]Inputs_Outputs!$B$5="Herbaceous",(LCA!$E$29*'[1]LOCH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0" s="5" t="str">
        <f>IF(M1240="","",$E$2*1000*'[1]LOCH Calc COE Calc'!$C$44)</f>
        <v/>
      </c>
      <c r="S1240" s="6" t="str">
        <f>IF(N1240="","",SUM(O1240:R1240)/('[1]LOCH Calc COE Calc'!$C$28))</f>
        <v/>
      </c>
      <c r="T1240" t="str">
        <f>IF(L1240="","",O1240/'[1]LOCH Calc COE Calc'!$C$28)</f>
        <v/>
      </c>
      <c r="U1240" t="str">
        <f>IF(L1240="","",P1240/'[1]LOCH Calc COE Calc'!$C$28)</f>
        <v/>
      </c>
      <c r="V1240" t="str">
        <f>IF(L1240="","",Q1240/'[1]LOCH Calc COE Calc'!$C$28)</f>
        <v/>
      </c>
      <c r="W1240" t="str">
        <f>IF(L1240="","",R1240/'[1]LOCH Calc COE Calc'!$C$28)</f>
        <v/>
      </c>
    </row>
    <row r="1241" spans="12:23" x14ac:dyDescent="0.25">
      <c r="L1241" s="4" t="str">
        <f>IF('[1]All Data '!BE1246="","",'[1]All Data '!BE1246)</f>
        <v/>
      </c>
      <c r="M1241" t="str">
        <f>IF('[1]All Data '!BF1246="","",'[1]All Data '!BF1246)</f>
        <v/>
      </c>
      <c r="N1241" s="5" t="str">
        <f>IF('[1]All Data '!BB1246="","",'[1]All Data '!BC1246/'[1]All Data '!BH1246)</f>
        <v/>
      </c>
      <c r="O1241" s="5" t="str">
        <f t="shared" si="21"/>
        <v/>
      </c>
      <c r="P1241" s="5" t="str">
        <f>IF(M1241="","",$C$2*(1-L1241)*907.2/0.621371*N1241*[1]Transportation!$M$40)</f>
        <v/>
      </c>
      <c r="Q1241" s="5" t="str">
        <f>IF(L1241="","",IF([1]Inputs_Outputs!$B$5="Herbaceous",(LCA!$E$29*'[1]LOCH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1" s="5" t="str">
        <f>IF(M1241="","",$E$2*1000*'[1]LOCH Calc COE Calc'!$C$44)</f>
        <v/>
      </c>
      <c r="S1241" s="6" t="str">
        <f>IF(N1241="","",SUM(O1241:R1241)/('[1]LOCH Calc COE Calc'!$C$28))</f>
        <v/>
      </c>
      <c r="T1241" t="str">
        <f>IF(L1241="","",O1241/'[1]LOCH Calc COE Calc'!$C$28)</f>
        <v/>
      </c>
      <c r="U1241" t="str">
        <f>IF(L1241="","",P1241/'[1]LOCH Calc COE Calc'!$C$28)</f>
        <v/>
      </c>
      <c r="V1241" t="str">
        <f>IF(L1241="","",Q1241/'[1]LOCH Calc COE Calc'!$C$28)</f>
        <v/>
      </c>
      <c r="W1241" t="str">
        <f>IF(L1241="","",R1241/'[1]LOCH Calc COE Calc'!$C$28)</f>
        <v/>
      </c>
    </row>
    <row r="1242" spans="12:23" x14ac:dyDescent="0.25">
      <c r="L1242" s="4" t="str">
        <f>IF('[1]All Data '!BE1247="","",'[1]All Data '!BE1247)</f>
        <v/>
      </c>
      <c r="M1242" t="str">
        <f>IF('[1]All Data '!BF1247="","",'[1]All Data '!BF1247)</f>
        <v/>
      </c>
      <c r="N1242" s="5" t="str">
        <f>IF('[1]All Data '!BB1247="","",'[1]All Data '!BC1247/'[1]All Data '!BH1247)</f>
        <v/>
      </c>
      <c r="O1242" s="5" t="str">
        <f t="shared" si="21"/>
        <v/>
      </c>
      <c r="P1242" s="5" t="str">
        <f>IF(M1242="","",$C$2*(1-L1242)*907.2/0.621371*N1242*[1]Transportation!$M$40)</f>
        <v/>
      </c>
      <c r="Q1242" s="5" t="str">
        <f>IF(L1242="","",IF([1]Inputs_Outputs!$B$5="Herbaceous",(LCA!$E$29*'[1]LOCH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2" s="5" t="str">
        <f>IF(M1242="","",$E$2*1000*'[1]LOCH Calc COE Calc'!$C$44)</f>
        <v/>
      </c>
      <c r="S1242" s="6" t="str">
        <f>IF(N1242="","",SUM(O1242:R1242)/('[1]LOCH Calc COE Calc'!$C$28))</f>
        <v/>
      </c>
      <c r="T1242" t="str">
        <f>IF(L1242="","",O1242/'[1]LOCH Calc COE Calc'!$C$28)</f>
        <v/>
      </c>
      <c r="U1242" t="str">
        <f>IF(L1242="","",P1242/'[1]LOCH Calc COE Calc'!$C$28)</f>
        <v/>
      </c>
      <c r="V1242" t="str">
        <f>IF(L1242="","",Q1242/'[1]LOCH Calc COE Calc'!$C$28)</f>
        <v/>
      </c>
      <c r="W1242" t="str">
        <f>IF(L1242="","",R1242/'[1]LOCH Calc COE Calc'!$C$28)</f>
        <v/>
      </c>
    </row>
    <row r="1243" spans="12:23" x14ac:dyDescent="0.25">
      <c r="L1243" s="4" t="str">
        <f>IF('[1]All Data '!BE1248="","",'[1]All Data '!BE1248)</f>
        <v/>
      </c>
      <c r="M1243" t="str">
        <f>IF('[1]All Data '!BF1248="","",'[1]All Data '!BF1248)</f>
        <v/>
      </c>
      <c r="N1243" s="5" t="str">
        <f>IF('[1]All Data '!BB1248="","",'[1]All Data '!BC1248/'[1]All Data '!BH1248)</f>
        <v/>
      </c>
      <c r="O1243" s="5" t="str">
        <f t="shared" si="21"/>
        <v/>
      </c>
      <c r="P1243" s="5" t="str">
        <f>IF(M1243="","",$C$2*(1-L1243)*907.2/0.621371*N1243*[1]Transportation!$M$40)</f>
        <v/>
      </c>
      <c r="Q1243" s="5" t="str">
        <f>IF(L1243="","",IF([1]Inputs_Outputs!$B$5="Herbaceous",(LCA!$E$29*'[1]LOCH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3" s="5" t="str">
        <f>IF(M1243="","",$E$2*1000*'[1]LOCH Calc COE Calc'!$C$44)</f>
        <v/>
      </c>
      <c r="S1243" s="6" t="str">
        <f>IF(N1243="","",SUM(O1243:R1243)/('[1]LOCH Calc COE Calc'!$C$28))</f>
        <v/>
      </c>
      <c r="T1243" t="str">
        <f>IF(L1243="","",O1243/'[1]LOCH Calc COE Calc'!$C$28)</f>
        <v/>
      </c>
      <c r="U1243" t="str">
        <f>IF(L1243="","",P1243/'[1]LOCH Calc COE Calc'!$C$28)</f>
        <v/>
      </c>
      <c r="V1243" t="str">
        <f>IF(L1243="","",Q1243/'[1]LOCH Calc COE Calc'!$C$28)</f>
        <v/>
      </c>
      <c r="W1243" t="str">
        <f>IF(L1243="","",R1243/'[1]LOCH Calc COE Calc'!$C$28)</f>
        <v/>
      </c>
    </row>
    <row r="1244" spans="12:23" x14ac:dyDescent="0.25">
      <c r="L1244" s="4" t="str">
        <f>IF('[1]All Data '!BE1249="","",'[1]All Data '!BE1249)</f>
        <v/>
      </c>
      <c r="M1244" t="str">
        <f>IF('[1]All Data '!BF1249="","",'[1]All Data '!BF1249)</f>
        <v/>
      </c>
      <c r="N1244" s="5" t="str">
        <f>IF('[1]All Data '!BB1249="","",'[1]All Data '!BC1249/'[1]All Data '!BH1249)</f>
        <v/>
      </c>
      <c r="O1244" s="5" t="str">
        <f t="shared" si="21"/>
        <v/>
      </c>
      <c r="P1244" s="5" t="str">
        <f>IF(M1244="","",$C$2*(1-L1244)*907.2/0.621371*N1244*[1]Transportation!$M$40)</f>
        <v/>
      </c>
      <c r="Q1244" s="5" t="str">
        <f>IF(L1244="","",IF([1]Inputs_Outputs!$B$5="Herbaceous",(LCA!$E$29*'[1]LOCH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4" s="5" t="str">
        <f>IF(M1244="","",$E$2*1000*'[1]LOCH Calc COE Calc'!$C$44)</f>
        <v/>
      </c>
      <c r="S1244" s="6" t="str">
        <f>IF(N1244="","",SUM(O1244:R1244)/('[1]LOCH Calc COE Calc'!$C$28))</f>
        <v/>
      </c>
      <c r="T1244" t="str">
        <f>IF(L1244="","",O1244/'[1]LOCH Calc COE Calc'!$C$28)</f>
        <v/>
      </c>
      <c r="U1244" t="str">
        <f>IF(L1244="","",P1244/'[1]LOCH Calc COE Calc'!$C$28)</f>
        <v/>
      </c>
      <c r="V1244" t="str">
        <f>IF(L1244="","",Q1244/'[1]LOCH Calc COE Calc'!$C$28)</f>
        <v/>
      </c>
      <c r="W1244" t="str">
        <f>IF(L1244="","",R1244/'[1]LOCH Calc COE Calc'!$C$28)</f>
        <v/>
      </c>
    </row>
    <row r="1245" spans="12:23" x14ac:dyDescent="0.25">
      <c r="L1245" s="4" t="str">
        <f>IF('[1]All Data '!BE1250="","",'[1]All Data '!BE1250)</f>
        <v/>
      </c>
      <c r="M1245" t="str">
        <f>IF('[1]All Data '!BF1250="","",'[1]All Data '!BF1250)</f>
        <v/>
      </c>
      <c r="N1245" s="5" t="str">
        <f>IF('[1]All Data '!BB1250="","",'[1]All Data '!BC1250/'[1]All Data '!BH1250)</f>
        <v/>
      </c>
      <c r="O1245" s="5" t="str">
        <f t="shared" si="21"/>
        <v/>
      </c>
      <c r="P1245" s="5" t="str">
        <f>IF(M1245="","",$C$2*(1-L1245)*907.2/0.621371*N1245*[1]Transportation!$M$40)</f>
        <v/>
      </c>
      <c r="Q1245" s="5" t="str">
        <f>IF(L1245="","",IF([1]Inputs_Outputs!$B$5="Herbaceous",(LCA!$E$29*'[1]LOCH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5" s="5" t="str">
        <f>IF(M1245="","",$E$2*1000*'[1]LOCH Calc COE Calc'!$C$44)</f>
        <v/>
      </c>
      <c r="S1245" s="6" t="str">
        <f>IF(N1245="","",SUM(O1245:R1245)/('[1]LOCH Calc COE Calc'!$C$28))</f>
        <v/>
      </c>
      <c r="T1245" t="str">
        <f>IF(L1245="","",O1245/'[1]LOCH Calc COE Calc'!$C$28)</f>
        <v/>
      </c>
      <c r="U1245" t="str">
        <f>IF(L1245="","",P1245/'[1]LOCH Calc COE Calc'!$C$28)</f>
        <v/>
      </c>
      <c r="V1245" t="str">
        <f>IF(L1245="","",Q1245/'[1]LOCH Calc COE Calc'!$C$28)</f>
        <v/>
      </c>
      <c r="W1245" t="str">
        <f>IF(L1245="","",R1245/'[1]LOCH Calc COE Calc'!$C$28)</f>
        <v/>
      </c>
    </row>
    <row r="1246" spans="12:23" x14ac:dyDescent="0.25">
      <c r="L1246" s="4" t="str">
        <f>IF('[1]All Data '!BE1251="","",'[1]All Data '!BE1251)</f>
        <v/>
      </c>
      <c r="M1246" t="str">
        <f>IF('[1]All Data '!BF1251="","",'[1]All Data '!BF1251)</f>
        <v/>
      </c>
      <c r="N1246" s="5" t="str">
        <f>IF('[1]All Data '!BB1251="","",'[1]All Data '!BC1251/'[1]All Data '!BH1251)</f>
        <v/>
      </c>
      <c r="O1246" s="5" t="str">
        <f t="shared" si="21"/>
        <v/>
      </c>
      <c r="P1246" s="5" t="str">
        <f>IF(M1246="","",$C$2*(1-L1246)*907.2/0.621371*N1246*[1]Transportation!$M$40)</f>
        <v/>
      </c>
      <c r="Q1246" s="5" t="str">
        <f>IF(L1246="","",IF([1]Inputs_Outputs!$B$5="Herbaceous",(LCA!$E$29*'[1]LOCH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6" s="5" t="str">
        <f>IF(M1246="","",$E$2*1000*'[1]LOCH Calc COE Calc'!$C$44)</f>
        <v/>
      </c>
      <c r="S1246" s="6" t="str">
        <f>IF(N1246="","",SUM(O1246:R1246)/('[1]LOCH Calc COE Calc'!$C$28))</f>
        <v/>
      </c>
      <c r="T1246" t="str">
        <f>IF(L1246="","",O1246/'[1]LOCH Calc COE Calc'!$C$28)</f>
        <v/>
      </c>
      <c r="U1246" t="str">
        <f>IF(L1246="","",P1246/'[1]LOCH Calc COE Calc'!$C$28)</f>
        <v/>
      </c>
      <c r="V1246" t="str">
        <f>IF(L1246="","",Q1246/'[1]LOCH Calc COE Calc'!$C$28)</f>
        <v/>
      </c>
      <c r="W1246" t="str">
        <f>IF(L1246="","",R1246/'[1]LOCH Calc COE Calc'!$C$28)</f>
        <v/>
      </c>
    </row>
    <row r="1247" spans="12:23" x14ac:dyDescent="0.25">
      <c r="L1247" s="4" t="str">
        <f>IF('[1]All Data '!BE1252="","",'[1]All Data '!BE1252)</f>
        <v/>
      </c>
      <c r="M1247" t="str">
        <f>IF('[1]All Data '!BF1252="","",'[1]All Data '!BF1252)</f>
        <v/>
      </c>
      <c r="N1247" s="5" t="str">
        <f>IF('[1]All Data '!BB1252="","",'[1]All Data '!BC1252/'[1]All Data '!BH1252)</f>
        <v/>
      </c>
      <c r="O1247" s="5" t="str">
        <f t="shared" si="21"/>
        <v/>
      </c>
      <c r="P1247" s="5" t="str">
        <f>IF(M1247="","",$C$2*(1-L1247)*907.2/0.621371*N1247*[1]Transportation!$M$40)</f>
        <v/>
      </c>
      <c r="Q1247" s="5" t="str">
        <f>IF(L1247="","",IF([1]Inputs_Outputs!$B$5="Herbaceous",(LCA!$E$29*'[1]LOCH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7" s="5" t="str">
        <f>IF(M1247="","",$E$2*1000*'[1]LOCH Calc COE Calc'!$C$44)</f>
        <v/>
      </c>
      <c r="S1247" s="6" t="str">
        <f>IF(N1247="","",SUM(O1247:R1247)/('[1]LOCH Calc COE Calc'!$C$28))</f>
        <v/>
      </c>
      <c r="T1247" t="str">
        <f>IF(L1247="","",O1247/'[1]LOCH Calc COE Calc'!$C$28)</f>
        <v/>
      </c>
      <c r="U1247" t="str">
        <f>IF(L1247="","",P1247/'[1]LOCH Calc COE Calc'!$C$28)</f>
        <v/>
      </c>
      <c r="V1247" t="str">
        <f>IF(L1247="","",Q1247/'[1]LOCH Calc COE Calc'!$C$28)</f>
        <v/>
      </c>
      <c r="W1247" t="str">
        <f>IF(L1247="","",R1247/'[1]LOCH Calc COE Calc'!$C$28)</f>
        <v/>
      </c>
    </row>
    <row r="1248" spans="12:23" x14ac:dyDescent="0.25">
      <c r="L1248" s="4" t="str">
        <f>IF('[1]All Data '!BE1253="","",'[1]All Data '!BE1253)</f>
        <v/>
      </c>
      <c r="M1248" t="str">
        <f>IF('[1]All Data '!BF1253="","",'[1]All Data '!BF1253)</f>
        <v/>
      </c>
      <c r="N1248" s="5" t="str">
        <f>IF('[1]All Data '!BB1253="","",'[1]All Data '!BC1253/'[1]All Data '!BH1253)</f>
        <v/>
      </c>
      <c r="O1248" s="5" t="str">
        <f t="shared" si="21"/>
        <v/>
      </c>
      <c r="P1248" s="5" t="str">
        <f>IF(M1248="","",$C$2*(1-L1248)*907.2/0.621371*N1248*[1]Transportation!$M$40)</f>
        <v/>
      </c>
      <c r="Q1248" s="5" t="str">
        <f>IF(L1248="","",IF([1]Inputs_Outputs!$B$5="Herbaceous",(LCA!$E$29*'[1]LOCH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8" s="5" t="str">
        <f>IF(M1248="","",$E$2*1000*'[1]LOCH Calc COE Calc'!$C$44)</f>
        <v/>
      </c>
      <c r="S1248" s="6" t="str">
        <f>IF(N1248="","",SUM(O1248:R1248)/('[1]LOCH Calc COE Calc'!$C$28))</f>
        <v/>
      </c>
      <c r="T1248" t="str">
        <f>IF(L1248="","",O1248/'[1]LOCH Calc COE Calc'!$C$28)</f>
        <v/>
      </c>
      <c r="U1248" t="str">
        <f>IF(L1248="","",P1248/'[1]LOCH Calc COE Calc'!$C$28)</f>
        <v/>
      </c>
      <c r="V1248" t="str">
        <f>IF(L1248="","",Q1248/'[1]LOCH Calc COE Calc'!$C$28)</f>
        <v/>
      </c>
      <c r="W1248" t="str">
        <f>IF(L1248="","",R1248/'[1]LOCH Calc COE Calc'!$C$28)</f>
        <v/>
      </c>
    </row>
    <row r="1249" spans="12:23" x14ac:dyDescent="0.25">
      <c r="L1249" s="4" t="str">
        <f>IF('[1]All Data '!BE1254="","",'[1]All Data '!BE1254)</f>
        <v/>
      </c>
      <c r="M1249" t="str">
        <f>IF('[1]All Data '!BF1254="","",'[1]All Data '!BF1254)</f>
        <v/>
      </c>
      <c r="N1249" s="5" t="str">
        <f>IF('[1]All Data '!BB1254="","",'[1]All Data '!BC1254/'[1]All Data '!BH1254)</f>
        <v/>
      </c>
      <c r="O1249" s="5" t="str">
        <f t="shared" si="21"/>
        <v/>
      </c>
      <c r="P1249" s="5" t="str">
        <f>IF(M1249="","",$C$2*(1-L1249)*907.2/0.621371*N1249*[1]Transportation!$M$40)</f>
        <v/>
      </c>
      <c r="Q1249" s="5" t="str">
        <f>IF(L1249="","",IF([1]Inputs_Outputs!$B$5="Herbaceous",(LCA!$E$29*'[1]LOCH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49" s="5" t="str">
        <f>IF(M1249="","",$E$2*1000*'[1]LOCH Calc COE Calc'!$C$44)</f>
        <v/>
      </c>
      <c r="S1249" s="6" t="str">
        <f>IF(N1249="","",SUM(O1249:R1249)/('[1]LOCH Calc COE Calc'!$C$28))</f>
        <v/>
      </c>
      <c r="T1249" t="str">
        <f>IF(L1249="","",O1249/'[1]LOCH Calc COE Calc'!$C$28)</f>
        <v/>
      </c>
      <c r="U1249" t="str">
        <f>IF(L1249="","",P1249/'[1]LOCH Calc COE Calc'!$C$28)</f>
        <v/>
      </c>
      <c r="V1249" t="str">
        <f>IF(L1249="","",Q1249/'[1]LOCH Calc COE Calc'!$C$28)</f>
        <v/>
      </c>
      <c r="W1249" t="str">
        <f>IF(L1249="","",R1249/'[1]LOCH Calc COE Calc'!$C$28)</f>
        <v/>
      </c>
    </row>
    <row r="1250" spans="12:23" x14ac:dyDescent="0.25">
      <c r="L1250" s="4" t="str">
        <f>IF('[1]All Data '!BE1255="","",'[1]All Data '!BE1255)</f>
        <v/>
      </c>
      <c r="M1250" t="str">
        <f>IF('[1]All Data '!BF1255="","",'[1]All Data '!BF1255)</f>
        <v/>
      </c>
      <c r="N1250" s="5" t="str">
        <f>IF('[1]All Data '!BB1255="","",'[1]All Data '!BC1255/'[1]All Data '!BH1255)</f>
        <v/>
      </c>
      <c r="O1250" s="5" t="str">
        <f t="shared" si="21"/>
        <v/>
      </c>
      <c r="P1250" s="5" t="str">
        <f>IF(M1250="","",$C$2*(1-L1250)*907.2/0.621371*N1250*[1]Transportation!$M$40)</f>
        <v/>
      </c>
      <c r="Q1250" s="5" t="str">
        <f>IF(L1250="","",IF([1]Inputs_Outputs!$B$5="Herbaceous",(LCA!$E$29*'[1]LOCH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0" s="5" t="str">
        <f>IF(M1250="","",$E$2*1000*'[1]LOCH Calc COE Calc'!$C$44)</f>
        <v/>
      </c>
      <c r="S1250" s="6" t="str">
        <f>IF(N1250="","",SUM(O1250:R1250)/('[1]LOCH Calc COE Calc'!$C$28))</f>
        <v/>
      </c>
      <c r="T1250" t="str">
        <f>IF(L1250="","",O1250/'[1]LOCH Calc COE Calc'!$C$28)</f>
        <v/>
      </c>
      <c r="U1250" t="str">
        <f>IF(L1250="","",P1250/'[1]LOCH Calc COE Calc'!$C$28)</f>
        <v/>
      </c>
      <c r="V1250" t="str">
        <f>IF(L1250="","",Q1250/'[1]LOCH Calc COE Calc'!$C$28)</f>
        <v/>
      </c>
      <c r="W1250" t="str">
        <f>IF(L1250="","",R1250/'[1]LOCH Calc COE Calc'!$C$28)</f>
        <v/>
      </c>
    </row>
    <row r="1251" spans="12:23" x14ac:dyDescent="0.25">
      <c r="L1251" s="4" t="str">
        <f>IF('[1]All Data '!BE1256="","",'[1]All Data '!BE1256)</f>
        <v/>
      </c>
      <c r="M1251" t="str">
        <f>IF('[1]All Data '!BF1256="","",'[1]All Data '!BF1256)</f>
        <v/>
      </c>
      <c r="N1251" s="5" t="str">
        <f>IF('[1]All Data '!BB1256="","",'[1]All Data '!BC1256/'[1]All Data '!BH1256)</f>
        <v/>
      </c>
      <c r="O1251" s="5" t="str">
        <f t="shared" si="21"/>
        <v/>
      </c>
      <c r="P1251" s="5" t="str">
        <f>IF(M1251="","",$C$2*(1-L1251)*907.2/0.621371*N1251*[1]Transportation!$M$40)</f>
        <v/>
      </c>
      <c r="Q1251" s="5" t="str">
        <f>IF(L1251="","",IF([1]Inputs_Outputs!$B$5="Herbaceous",(LCA!$E$29*'[1]LOCH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1" s="5" t="str">
        <f>IF(M1251="","",$E$2*1000*'[1]LOCH Calc COE Calc'!$C$44)</f>
        <v/>
      </c>
      <c r="S1251" s="6" t="str">
        <f>IF(N1251="","",SUM(O1251:R1251)/('[1]LOCH Calc COE Calc'!$C$28))</f>
        <v/>
      </c>
      <c r="T1251" t="str">
        <f>IF(L1251="","",O1251/'[1]LOCH Calc COE Calc'!$C$28)</f>
        <v/>
      </c>
      <c r="U1251" t="str">
        <f>IF(L1251="","",P1251/'[1]LOCH Calc COE Calc'!$C$28)</f>
        <v/>
      </c>
      <c r="V1251" t="str">
        <f>IF(L1251="","",Q1251/'[1]LOCH Calc COE Calc'!$C$28)</f>
        <v/>
      </c>
      <c r="W1251" t="str">
        <f>IF(L1251="","",R1251/'[1]LOCH Calc COE Calc'!$C$28)</f>
        <v/>
      </c>
    </row>
    <row r="1252" spans="12:23" x14ac:dyDescent="0.25">
      <c r="L1252" s="4" t="str">
        <f>IF('[1]All Data '!BE1257="","",'[1]All Data '!BE1257)</f>
        <v/>
      </c>
      <c r="M1252" t="str">
        <f>IF('[1]All Data '!BF1257="","",'[1]All Data '!BF1257)</f>
        <v/>
      </c>
      <c r="N1252" s="5" t="str">
        <f>IF('[1]All Data '!BB1257="","",'[1]All Data '!BC1257/'[1]All Data '!BH1257)</f>
        <v/>
      </c>
      <c r="O1252" s="5" t="str">
        <f t="shared" si="21"/>
        <v/>
      </c>
      <c r="P1252" s="5" t="str">
        <f>IF(M1252="","",$C$2*(1-L1252)*907.2/0.621371*N1252*[1]Transportation!$M$40)</f>
        <v/>
      </c>
      <c r="Q1252" s="5" t="str">
        <f>IF(L1252="","",IF([1]Inputs_Outputs!$B$5="Herbaceous",(LCA!$E$29*'[1]LOCH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2" s="5" t="str">
        <f>IF(M1252="","",$E$2*1000*'[1]LOCH Calc COE Calc'!$C$44)</f>
        <v/>
      </c>
      <c r="S1252" s="6" t="str">
        <f>IF(N1252="","",SUM(O1252:R1252)/('[1]LOCH Calc COE Calc'!$C$28))</f>
        <v/>
      </c>
      <c r="T1252" t="str">
        <f>IF(L1252="","",O1252/'[1]LOCH Calc COE Calc'!$C$28)</f>
        <v/>
      </c>
      <c r="U1252" t="str">
        <f>IF(L1252="","",P1252/'[1]LOCH Calc COE Calc'!$C$28)</f>
        <v/>
      </c>
      <c r="V1252" t="str">
        <f>IF(L1252="","",Q1252/'[1]LOCH Calc COE Calc'!$C$28)</f>
        <v/>
      </c>
      <c r="W1252" t="str">
        <f>IF(L1252="","",R1252/'[1]LOCH Calc COE Calc'!$C$28)</f>
        <v/>
      </c>
    </row>
    <row r="1253" spans="12:23" x14ac:dyDescent="0.25">
      <c r="L1253" s="4" t="str">
        <f>IF('[1]All Data '!BE1258="","",'[1]All Data '!BE1258)</f>
        <v/>
      </c>
      <c r="M1253" t="str">
        <f>IF('[1]All Data '!BF1258="","",'[1]All Data '!BF1258)</f>
        <v/>
      </c>
      <c r="N1253" s="5" t="str">
        <f>IF('[1]All Data '!BB1258="","",'[1]All Data '!BC1258/'[1]All Data '!BH1258)</f>
        <v/>
      </c>
      <c r="O1253" s="5" t="str">
        <f t="shared" si="21"/>
        <v/>
      </c>
      <c r="P1253" s="5" t="str">
        <f>IF(M1253="","",$C$2*(1-L1253)*907.2/0.621371*N1253*[1]Transportation!$M$40)</f>
        <v/>
      </c>
      <c r="Q1253" s="5" t="str">
        <f>IF(L1253="","",IF([1]Inputs_Outputs!$B$5="Herbaceous",(LCA!$E$29*'[1]LOCH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3" s="5" t="str">
        <f>IF(M1253="","",$E$2*1000*'[1]LOCH Calc COE Calc'!$C$44)</f>
        <v/>
      </c>
      <c r="S1253" s="6" t="str">
        <f>IF(N1253="","",SUM(O1253:R1253)/('[1]LOCH Calc COE Calc'!$C$28))</f>
        <v/>
      </c>
      <c r="T1253" t="str">
        <f>IF(L1253="","",O1253/'[1]LOCH Calc COE Calc'!$C$28)</f>
        <v/>
      </c>
      <c r="U1253" t="str">
        <f>IF(L1253="","",P1253/'[1]LOCH Calc COE Calc'!$C$28)</f>
        <v/>
      </c>
      <c r="V1253" t="str">
        <f>IF(L1253="","",Q1253/'[1]LOCH Calc COE Calc'!$C$28)</f>
        <v/>
      </c>
      <c r="W1253" t="str">
        <f>IF(L1253="","",R1253/'[1]LOCH Calc COE Calc'!$C$28)</f>
        <v/>
      </c>
    </row>
    <row r="1254" spans="12:23" x14ac:dyDescent="0.25">
      <c r="L1254" s="4" t="str">
        <f>IF('[1]All Data '!BE1259="","",'[1]All Data '!BE1259)</f>
        <v/>
      </c>
      <c r="M1254" t="str">
        <f>IF('[1]All Data '!BF1259="","",'[1]All Data '!BF1259)</f>
        <v/>
      </c>
      <c r="N1254" s="5" t="str">
        <f>IF('[1]All Data '!BB1259="","",'[1]All Data '!BC1259/'[1]All Data '!BH1259)</f>
        <v/>
      </c>
      <c r="O1254" s="5" t="str">
        <f t="shared" si="21"/>
        <v/>
      </c>
      <c r="P1254" s="5" t="str">
        <f>IF(M1254="","",$C$2*(1-L1254)*907.2/0.621371*N1254*[1]Transportation!$M$40)</f>
        <v/>
      </c>
      <c r="Q1254" s="5" t="str">
        <f>IF(L1254="","",IF([1]Inputs_Outputs!$B$5="Herbaceous",(LCA!$E$29*'[1]LOCH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4" s="5" t="str">
        <f>IF(M1254="","",$E$2*1000*'[1]LOCH Calc COE Calc'!$C$44)</f>
        <v/>
      </c>
      <c r="S1254" s="6" t="str">
        <f>IF(N1254="","",SUM(O1254:R1254)/('[1]LOCH Calc COE Calc'!$C$28))</f>
        <v/>
      </c>
      <c r="T1254" t="str">
        <f>IF(L1254="","",O1254/'[1]LOCH Calc COE Calc'!$C$28)</f>
        <v/>
      </c>
      <c r="U1254" t="str">
        <f>IF(L1254="","",P1254/'[1]LOCH Calc COE Calc'!$C$28)</f>
        <v/>
      </c>
      <c r="V1254" t="str">
        <f>IF(L1254="","",Q1254/'[1]LOCH Calc COE Calc'!$C$28)</f>
        <v/>
      </c>
      <c r="W1254" t="str">
        <f>IF(L1254="","",R1254/'[1]LOCH Calc COE Calc'!$C$28)</f>
        <v/>
      </c>
    </row>
    <row r="1255" spans="12:23" x14ac:dyDescent="0.25">
      <c r="L1255" s="4" t="str">
        <f>IF('[1]All Data '!BE1260="","",'[1]All Data '!BE1260)</f>
        <v/>
      </c>
      <c r="M1255" t="str">
        <f>IF('[1]All Data '!BF1260="","",'[1]All Data '!BF1260)</f>
        <v/>
      </c>
      <c r="N1255" s="5" t="str">
        <f>IF('[1]All Data '!BB1260="","",'[1]All Data '!BC1260/'[1]All Data '!BH1260)</f>
        <v/>
      </c>
      <c r="O1255" s="5" t="str">
        <f t="shared" si="21"/>
        <v/>
      </c>
      <c r="P1255" s="5" t="str">
        <f>IF(M1255="","",$C$2*(1-L1255)*907.2/0.621371*N1255*[1]Transportation!$M$40)</f>
        <v/>
      </c>
      <c r="Q1255" s="5" t="str">
        <f>IF(L1255="","",IF([1]Inputs_Outputs!$B$5="Herbaceous",(LCA!$E$29*'[1]LOCH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5" s="5" t="str">
        <f>IF(M1255="","",$E$2*1000*'[1]LOCH Calc COE Calc'!$C$44)</f>
        <v/>
      </c>
      <c r="S1255" s="6" t="str">
        <f>IF(N1255="","",SUM(O1255:R1255)/('[1]LOCH Calc COE Calc'!$C$28))</f>
        <v/>
      </c>
      <c r="T1255" t="str">
        <f>IF(L1255="","",O1255/'[1]LOCH Calc COE Calc'!$C$28)</f>
        <v/>
      </c>
      <c r="U1255" t="str">
        <f>IF(L1255="","",P1255/'[1]LOCH Calc COE Calc'!$C$28)</f>
        <v/>
      </c>
      <c r="V1255" t="str">
        <f>IF(L1255="","",Q1255/'[1]LOCH Calc COE Calc'!$C$28)</f>
        <v/>
      </c>
      <c r="W1255" t="str">
        <f>IF(L1255="","",R1255/'[1]LOCH Calc COE Calc'!$C$28)</f>
        <v/>
      </c>
    </row>
    <row r="1256" spans="12:23" x14ac:dyDescent="0.25">
      <c r="L1256" s="4" t="str">
        <f>IF('[1]All Data '!BE1261="","",'[1]All Data '!BE1261)</f>
        <v/>
      </c>
      <c r="M1256" t="str">
        <f>IF('[1]All Data '!BF1261="","",'[1]All Data '!BF1261)</f>
        <v/>
      </c>
      <c r="N1256" s="5" t="str">
        <f>IF('[1]All Data '!BB1261="","",'[1]All Data '!BC1261/'[1]All Data '!BH1261)</f>
        <v/>
      </c>
      <c r="O1256" s="5" t="str">
        <f t="shared" si="21"/>
        <v/>
      </c>
      <c r="P1256" s="5" t="str">
        <f>IF(M1256="","",$C$2*(1-L1256)*907.2/0.621371*N1256*[1]Transportation!$M$40)</f>
        <v/>
      </c>
      <c r="Q1256" s="5" t="str">
        <f>IF(L1256="","",IF([1]Inputs_Outputs!$B$5="Herbaceous",(LCA!$E$29*'[1]LOCH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6" s="5" t="str">
        <f>IF(M1256="","",$E$2*1000*'[1]LOCH Calc COE Calc'!$C$44)</f>
        <v/>
      </c>
      <c r="S1256" s="6" t="str">
        <f>IF(N1256="","",SUM(O1256:R1256)/('[1]LOCH Calc COE Calc'!$C$28))</f>
        <v/>
      </c>
      <c r="T1256" t="str">
        <f>IF(L1256="","",O1256/'[1]LOCH Calc COE Calc'!$C$28)</f>
        <v/>
      </c>
      <c r="U1256" t="str">
        <f>IF(L1256="","",P1256/'[1]LOCH Calc COE Calc'!$C$28)</f>
        <v/>
      </c>
      <c r="V1256" t="str">
        <f>IF(L1256="","",Q1256/'[1]LOCH Calc COE Calc'!$C$28)</f>
        <v/>
      </c>
      <c r="W1256" t="str">
        <f>IF(L1256="","",R1256/'[1]LOCH Calc COE Calc'!$C$28)</f>
        <v/>
      </c>
    </row>
    <row r="1257" spans="12:23" x14ac:dyDescent="0.25">
      <c r="L1257" s="4" t="str">
        <f>IF('[1]All Data '!BE1262="","",'[1]All Data '!BE1262)</f>
        <v/>
      </c>
      <c r="M1257" t="str">
        <f>IF('[1]All Data '!BF1262="","",'[1]All Data '!BF1262)</f>
        <v/>
      </c>
      <c r="N1257" s="5" t="str">
        <f>IF('[1]All Data '!BB1262="","",'[1]All Data '!BC1262/'[1]All Data '!BH1262)</f>
        <v/>
      </c>
      <c r="O1257" s="5" t="str">
        <f t="shared" si="21"/>
        <v/>
      </c>
      <c r="P1257" s="5" t="str">
        <f>IF(M1257="","",$C$2*(1-L1257)*907.2/0.621371*N1257*[1]Transportation!$M$40)</f>
        <v/>
      </c>
      <c r="Q1257" s="5" t="str">
        <f>IF(L1257="","",IF([1]Inputs_Outputs!$B$5="Herbaceous",(LCA!$E$29*'[1]LOCH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7" s="5" t="str">
        <f>IF(M1257="","",$E$2*1000*'[1]LOCH Calc COE Calc'!$C$44)</f>
        <v/>
      </c>
      <c r="S1257" s="6" t="str">
        <f>IF(N1257="","",SUM(O1257:R1257)/('[1]LOCH Calc COE Calc'!$C$28))</f>
        <v/>
      </c>
      <c r="T1257" t="str">
        <f>IF(L1257="","",O1257/'[1]LOCH Calc COE Calc'!$C$28)</f>
        <v/>
      </c>
      <c r="U1257" t="str">
        <f>IF(L1257="","",P1257/'[1]LOCH Calc COE Calc'!$C$28)</f>
        <v/>
      </c>
      <c r="V1257" t="str">
        <f>IF(L1257="","",Q1257/'[1]LOCH Calc COE Calc'!$C$28)</f>
        <v/>
      </c>
      <c r="W1257" t="str">
        <f>IF(L1257="","",R1257/'[1]LOCH Calc COE Calc'!$C$28)</f>
        <v/>
      </c>
    </row>
    <row r="1258" spans="12:23" x14ac:dyDescent="0.25">
      <c r="L1258" s="4" t="str">
        <f>IF('[1]All Data '!BE1263="","",'[1]All Data '!BE1263)</f>
        <v/>
      </c>
      <c r="M1258" t="str">
        <f>IF('[1]All Data '!BF1263="","",'[1]All Data '!BF1263)</f>
        <v/>
      </c>
      <c r="N1258" s="5" t="str">
        <f>IF('[1]All Data '!BB1263="","",'[1]All Data '!BC1263/'[1]All Data '!BH1263)</f>
        <v/>
      </c>
      <c r="O1258" s="5" t="str">
        <f t="shared" si="21"/>
        <v/>
      </c>
      <c r="P1258" s="5" t="str">
        <f>IF(M1258="","",$C$2*(1-L1258)*907.2/0.621371*N1258*[1]Transportation!$M$40)</f>
        <v/>
      </c>
      <c r="Q1258" s="5" t="str">
        <f>IF(L1258="","",IF([1]Inputs_Outputs!$B$5="Herbaceous",(LCA!$E$29*'[1]LOCH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8" s="5" t="str">
        <f>IF(M1258="","",$E$2*1000*'[1]LOCH Calc COE Calc'!$C$44)</f>
        <v/>
      </c>
      <c r="S1258" s="6" t="str">
        <f>IF(N1258="","",SUM(O1258:R1258)/('[1]LOCH Calc COE Calc'!$C$28))</f>
        <v/>
      </c>
      <c r="T1258" t="str">
        <f>IF(L1258="","",O1258/'[1]LOCH Calc COE Calc'!$C$28)</f>
        <v/>
      </c>
      <c r="U1258" t="str">
        <f>IF(L1258="","",P1258/'[1]LOCH Calc COE Calc'!$C$28)</f>
        <v/>
      </c>
      <c r="V1258" t="str">
        <f>IF(L1258="","",Q1258/'[1]LOCH Calc COE Calc'!$C$28)</f>
        <v/>
      </c>
      <c r="W1258" t="str">
        <f>IF(L1258="","",R1258/'[1]LOCH Calc COE Calc'!$C$28)</f>
        <v/>
      </c>
    </row>
    <row r="1259" spans="12:23" x14ac:dyDescent="0.25">
      <c r="L1259" s="4" t="str">
        <f>IF('[1]All Data '!BE1264="","",'[1]All Data '!BE1264)</f>
        <v/>
      </c>
      <c r="M1259" t="str">
        <f>IF('[1]All Data '!BF1264="","",'[1]All Data '!BF1264)</f>
        <v/>
      </c>
      <c r="N1259" s="5" t="str">
        <f>IF('[1]All Data '!BB1264="","",'[1]All Data '!BC1264/'[1]All Data '!BH1264)</f>
        <v/>
      </c>
      <c r="O1259" s="5" t="str">
        <f t="shared" si="21"/>
        <v/>
      </c>
      <c r="P1259" s="5" t="str">
        <f>IF(M1259="","",$C$2*(1-L1259)*907.2/0.621371*N1259*[1]Transportation!$M$40)</f>
        <v/>
      </c>
      <c r="Q1259" s="5" t="str">
        <f>IF(L1259="","",IF([1]Inputs_Outputs!$B$5="Herbaceous",(LCA!$E$29*'[1]LOCH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59" s="5" t="str">
        <f>IF(M1259="","",$E$2*1000*'[1]LOCH Calc COE Calc'!$C$44)</f>
        <v/>
      </c>
      <c r="S1259" s="6" t="str">
        <f>IF(N1259="","",SUM(O1259:R1259)/('[1]LOCH Calc COE Calc'!$C$28))</f>
        <v/>
      </c>
      <c r="T1259" t="str">
        <f>IF(L1259="","",O1259/'[1]LOCH Calc COE Calc'!$C$28)</f>
        <v/>
      </c>
      <c r="U1259" t="str">
        <f>IF(L1259="","",P1259/'[1]LOCH Calc COE Calc'!$C$28)</f>
        <v/>
      </c>
      <c r="V1259" t="str">
        <f>IF(L1259="","",Q1259/'[1]LOCH Calc COE Calc'!$C$28)</f>
        <v/>
      </c>
      <c r="W1259" t="str">
        <f>IF(L1259="","",R1259/'[1]LOCH Calc COE Calc'!$C$28)</f>
        <v/>
      </c>
    </row>
    <row r="1260" spans="12:23" x14ac:dyDescent="0.25">
      <c r="L1260" s="4" t="str">
        <f>IF('[1]All Data '!BE1265="","",'[1]All Data '!BE1265)</f>
        <v/>
      </c>
      <c r="M1260" t="str">
        <f>IF('[1]All Data '!BF1265="","",'[1]All Data '!BF1265)</f>
        <v/>
      </c>
      <c r="N1260" s="5" t="str">
        <f>IF('[1]All Data '!BB1265="","",'[1]All Data '!BC1265/'[1]All Data '!BH1265)</f>
        <v/>
      </c>
      <c r="O1260" s="5" t="str">
        <f t="shared" si="21"/>
        <v/>
      </c>
      <c r="P1260" s="5" t="str">
        <f>IF(M1260="","",$C$2*(1-L1260)*907.2/0.621371*N1260*[1]Transportation!$M$40)</f>
        <v/>
      </c>
      <c r="Q1260" s="5" t="str">
        <f>IF(L1260="","",IF([1]Inputs_Outputs!$B$5="Herbaceous",(LCA!$E$29*'[1]LOCH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0" s="5" t="str">
        <f>IF(M1260="","",$E$2*1000*'[1]LOCH Calc COE Calc'!$C$44)</f>
        <v/>
      </c>
      <c r="S1260" s="6" t="str">
        <f>IF(N1260="","",SUM(O1260:R1260)/('[1]LOCH Calc COE Calc'!$C$28))</f>
        <v/>
      </c>
      <c r="T1260" t="str">
        <f>IF(L1260="","",O1260/'[1]LOCH Calc COE Calc'!$C$28)</f>
        <v/>
      </c>
      <c r="U1260" t="str">
        <f>IF(L1260="","",P1260/'[1]LOCH Calc COE Calc'!$C$28)</f>
        <v/>
      </c>
      <c r="V1260" t="str">
        <f>IF(L1260="","",Q1260/'[1]LOCH Calc COE Calc'!$C$28)</f>
        <v/>
      </c>
      <c r="W1260" t="str">
        <f>IF(L1260="","",R1260/'[1]LOCH Calc COE Calc'!$C$28)</f>
        <v/>
      </c>
    </row>
    <row r="1261" spans="12:23" x14ac:dyDescent="0.25">
      <c r="L1261" s="4" t="str">
        <f>IF('[1]All Data '!BE1266="","",'[1]All Data '!BE1266)</f>
        <v/>
      </c>
      <c r="M1261" t="str">
        <f>IF('[1]All Data '!BF1266="","",'[1]All Data '!BF1266)</f>
        <v/>
      </c>
      <c r="N1261" s="5" t="str">
        <f>IF('[1]All Data '!BB1266="","",'[1]All Data '!BC1266/'[1]All Data '!BH1266)</f>
        <v/>
      </c>
      <c r="O1261" s="5" t="str">
        <f t="shared" si="21"/>
        <v/>
      </c>
      <c r="P1261" s="5" t="str">
        <f>IF(M1261="","",$C$2*(1-L1261)*907.2/0.621371*N1261*[1]Transportation!$M$40)</f>
        <v/>
      </c>
      <c r="Q1261" s="5" t="str">
        <f>IF(L1261="","",IF([1]Inputs_Outputs!$B$5="Herbaceous",(LCA!$E$29*'[1]LOCH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1" s="5" t="str">
        <f>IF(M1261="","",$E$2*1000*'[1]LOCH Calc COE Calc'!$C$44)</f>
        <v/>
      </c>
      <c r="S1261" s="6" t="str">
        <f>IF(N1261="","",SUM(O1261:R1261)/('[1]LOCH Calc COE Calc'!$C$28))</f>
        <v/>
      </c>
      <c r="T1261" t="str">
        <f>IF(L1261="","",O1261/'[1]LOCH Calc COE Calc'!$C$28)</f>
        <v/>
      </c>
      <c r="U1261" t="str">
        <f>IF(L1261="","",P1261/'[1]LOCH Calc COE Calc'!$C$28)</f>
        <v/>
      </c>
      <c r="V1261" t="str">
        <f>IF(L1261="","",Q1261/'[1]LOCH Calc COE Calc'!$C$28)</f>
        <v/>
      </c>
      <c r="W1261" t="str">
        <f>IF(L1261="","",R1261/'[1]LOCH Calc COE Calc'!$C$28)</f>
        <v/>
      </c>
    </row>
    <row r="1262" spans="12:23" x14ac:dyDescent="0.25">
      <c r="L1262" s="4" t="str">
        <f>IF('[1]All Data '!BE1267="","",'[1]All Data '!BE1267)</f>
        <v/>
      </c>
      <c r="M1262" t="str">
        <f>IF('[1]All Data '!BF1267="","",'[1]All Data '!BF1267)</f>
        <v/>
      </c>
      <c r="N1262" s="5" t="str">
        <f>IF('[1]All Data '!BB1267="","",'[1]All Data '!BC1267/'[1]All Data '!BH1267)</f>
        <v/>
      </c>
      <c r="O1262" s="5" t="str">
        <f t="shared" si="21"/>
        <v/>
      </c>
      <c r="P1262" s="5" t="str">
        <f>IF(M1262="","",$C$2*(1-L1262)*907.2/0.621371*N1262*[1]Transportation!$M$40)</f>
        <v/>
      </c>
      <c r="Q1262" s="5" t="str">
        <f>IF(L1262="","",IF([1]Inputs_Outputs!$B$5="Herbaceous",(LCA!$E$29*'[1]LOCH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2" s="5" t="str">
        <f>IF(M1262="","",$E$2*1000*'[1]LOCH Calc COE Calc'!$C$44)</f>
        <v/>
      </c>
      <c r="S1262" s="6" t="str">
        <f>IF(N1262="","",SUM(O1262:R1262)/('[1]LOCH Calc COE Calc'!$C$28))</f>
        <v/>
      </c>
      <c r="T1262" t="str">
        <f>IF(L1262="","",O1262/'[1]LOCH Calc COE Calc'!$C$28)</f>
        <v/>
      </c>
      <c r="U1262" t="str">
        <f>IF(L1262="","",P1262/'[1]LOCH Calc COE Calc'!$C$28)</f>
        <v/>
      </c>
      <c r="V1262" t="str">
        <f>IF(L1262="","",Q1262/'[1]LOCH Calc COE Calc'!$C$28)</f>
        <v/>
      </c>
      <c r="W1262" t="str">
        <f>IF(L1262="","",R1262/'[1]LOCH Calc COE Calc'!$C$28)</f>
        <v/>
      </c>
    </row>
    <row r="1263" spans="12:23" x14ac:dyDescent="0.25">
      <c r="L1263" s="4" t="str">
        <f>IF('[1]All Data '!BE1268="","",'[1]All Data '!BE1268)</f>
        <v/>
      </c>
      <c r="M1263" t="str">
        <f>IF('[1]All Data '!BF1268="","",'[1]All Data '!BF1268)</f>
        <v/>
      </c>
      <c r="N1263" s="5" t="str">
        <f>IF('[1]All Data '!BB1268="","",'[1]All Data '!BC1268/'[1]All Data '!BH1268)</f>
        <v/>
      </c>
      <c r="O1263" s="5" t="str">
        <f t="shared" si="21"/>
        <v/>
      </c>
      <c r="P1263" s="5" t="str">
        <f>IF(M1263="","",$C$2*(1-L1263)*907.2/0.621371*N1263*[1]Transportation!$M$40)</f>
        <v/>
      </c>
      <c r="Q1263" s="5" t="str">
        <f>IF(L1263="","",IF([1]Inputs_Outputs!$B$5="Herbaceous",(LCA!$E$29*'[1]LOCH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3" s="5" t="str">
        <f>IF(M1263="","",$E$2*1000*'[1]LOCH Calc COE Calc'!$C$44)</f>
        <v/>
      </c>
      <c r="S1263" s="6" t="str">
        <f>IF(N1263="","",SUM(O1263:R1263)/('[1]LOCH Calc COE Calc'!$C$28))</f>
        <v/>
      </c>
      <c r="T1263" t="str">
        <f>IF(L1263="","",O1263/'[1]LOCH Calc COE Calc'!$C$28)</f>
        <v/>
      </c>
      <c r="U1263" t="str">
        <f>IF(L1263="","",P1263/'[1]LOCH Calc COE Calc'!$C$28)</f>
        <v/>
      </c>
      <c r="V1263" t="str">
        <f>IF(L1263="","",Q1263/'[1]LOCH Calc COE Calc'!$C$28)</f>
        <v/>
      </c>
      <c r="W1263" t="str">
        <f>IF(L1263="","",R1263/'[1]LOCH Calc COE Calc'!$C$28)</f>
        <v/>
      </c>
    </row>
    <row r="1264" spans="12:23" x14ac:dyDescent="0.25">
      <c r="L1264" s="4" t="str">
        <f>IF('[1]All Data '!BE1269="","",'[1]All Data '!BE1269)</f>
        <v/>
      </c>
      <c r="M1264" t="str">
        <f>IF('[1]All Data '!BF1269="","",'[1]All Data '!BF1269)</f>
        <v/>
      </c>
      <c r="N1264" s="5" t="str">
        <f>IF('[1]All Data '!BB1269="","",'[1]All Data '!BC1269/'[1]All Data '!BH1269)</f>
        <v/>
      </c>
      <c r="O1264" s="5" t="str">
        <f t="shared" si="21"/>
        <v/>
      </c>
      <c r="P1264" s="5" t="str">
        <f>IF(M1264="","",$C$2*(1-L1264)*907.2/0.621371*N1264*[1]Transportation!$M$40)</f>
        <v/>
      </c>
      <c r="Q1264" s="5" t="str">
        <f>IF(L1264="","",IF([1]Inputs_Outputs!$B$5="Herbaceous",(LCA!$E$29*'[1]LOCH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4" s="5" t="str">
        <f>IF(M1264="","",$E$2*1000*'[1]LOCH Calc COE Calc'!$C$44)</f>
        <v/>
      </c>
      <c r="S1264" s="6" t="str">
        <f>IF(N1264="","",SUM(O1264:R1264)/('[1]LOCH Calc COE Calc'!$C$28))</f>
        <v/>
      </c>
      <c r="T1264" t="str">
        <f>IF(L1264="","",O1264/'[1]LOCH Calc COE Calc'!$C$28)</f>
        <v/>
      </c>
      <c r="U1264" t="str">
        <f>IF(L1264="","",P1264/'[1]LOCH Calc COE Calc'!$C$28)</f>
        <v/>
      </c>
      <c r="V1264" t="str">
        <f>IF(L1264="","",Q1264/'[1]LOCH Calc COE Calc'!$C$28)</f>
        <v/>
      </c>
      <c r="W1264" t="str">
        <f>IF(L1264="","",R1264/'[1]LOCH Calc COE Calc'!$C$28)</f>
        <v/>
      </c>
    </row>
    <row r="1265" spans="12:23" x14ac:dyDescent="0.25">
      <c r="L1265" s="4" t="str">
        <f>IF('[1]All Data '!BE1270="","",'[1]All Data '!BE1270)</f>
        <v/>
      </c>
      <c r="M1265" t="str">
        <f>IF('[1]All Data '!BF1270="","",'[1]All Data '!BF1270)</f>
        <v/>
      </c>
      <c r="N1265" s="5" t="str">
        <f>IF('[1]All Data '!BB1270="","",'[1]All Data '!BC1270/'[1]All Data '!BH1270)</f>
        <v/>
      </c>
      <c r="O1265" s="5" t="str">
        <f t="shared" si="21"/>
        <v/>
      </c>
      <c r="P1265" s="5" t="str">
        <f>IF(M1265="","",$C$2*(1-L1265)*907.2/0.621371*N1265*[1]Transportation!$M$40)</f>
        <v/>
      </c>
      <c r="Q1265" s="5" t="str">
        <f>IF(L1265="","",IF([1]Inputs_Outputs!$B$5="Herbaceous",(LCA!$E$29*'[1]LOCH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5" s="5" t="str">
        <f>IF(M1265="","",$E$2*1000*'[1]LOCH Calc COE Calc'!$C$44)</f>
        <v/>
      </c>
      <c r="S1265" s="6" t="str">
        <f>IF(N1265="","",SUM(O1265:R1265)/('[1]LOCH Calc COE Calc'!$C$28))</f>
        <v/>
      </c>
      <c r="T1265" t="str">
        <f>IF(L1265="","",O1265/'[1]LOCH Calc COE Calc'!$C$28)</f>
        <v/>
      </c>
      <c r="U1265" t="str">
        <f>IF(L1265="","",P1265/'[1]LOCH Calc COE Calc'!$C$28)</f>
        <v/>
      </c>
      <c r="V1265" t="str">
        <f>IF(L1265="","",Q1265/'[1]LOCH Calc COE Calc'!$C$28)</f>
        <v/>
      </c>
      <c r="W1265" t="str">
        <f>IF(L1265="","",R1265/'[1]LOCH Calc COE Calc'!$C$28)</f>
        <v/>
      </c>
    </row>
    <row r="1266" spans="12:23" x14ac:dyDescent="0.25">
      <c r="L1266" s="4" t="str">
        <f>IF('[1]All Data '!BE1271="","",'[1]All Data '!BE1271)</f>
        <v/>
      </c>
      <c r="M1266" t="str">
        <f>IF('[1]All Data '!BF1271="","",'[1]All Data '!BF1271)</f>
        <v/>
      </c>
      <c r="N1266" s="5" t="str">
        <f>IF('[1]All Data '!BB1271="","",'[1]All Data '!BC1271/'[1]All Data '!BH1271)</f>
        <v/>
      </c>
      <c r="O1266" s="5" t="str">
        <f t="shared" si="21"/>
        <v/>
      </c>
      <c r="P1266" s="5" t="str">
        <f>IF(M1266="","",$C$2*(1-L1266)*907.2/0.621371*N1266*[1]Transportation!$M$40)</f>
        <v/>
      </c>
      <c r="Q1266" s="5" t="str">
        <f>IF(L1266="","",IF([1]Inputs_Outputs!$B$5="Herbaceous",(LCA!$E$29*'[1]LOCH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6" s="5" t="str">
        <f>IF(M1266="","",$E$2*1000*'[1]LOCH Calc COE Calc'!$C$44)</f>
        <v/>
      </c>
      <c r="S1266" s="6" t="str">
        <f>IF(N1266="","",SUM(O1266:R1266)/('[1]LOCH Calc COE Calc'!$C$28))</f>
        <v/>
      </c>
      <c r="T1266" t="str">
        <f>IF(L1266="","",O1266/'[1]LOCH Calc COE Calc'!$C$28)</f>
        <v/>
      </c>
      <c r="U1266" t="str">
        <f>IF(L1266="","",P1266/'[1]LOCH Calc COE Calc'!$C$28)</f>
        <v/>
      </c>
      <c r="V1266" t="str">
        <f>IF(L1266="","",Q1266/'[1]LOCH Calc COE Calc'!$C$28)</f>
        <v/>
      </c>
      <c r="W1266" t="str">
        <f>IF(L1266="","",R1266/'[1]LOCH Calc COE Calc'!$C$28)</f>
        <v/>
      </c>
    </row>
    <row r="1267" spans="12:23" x14ac:dyDescent="0.25">
      <c r="L1267" s="4" t="str">
        <f>IF('[1]All Data '!BE1272="","",'[1]All Data '!BE1272)</f>
        <v/>
      </c>
      <c r="M1267" t="str">
        <f>IF('[1]All Data '!BF1272="","",'[1]All Data '!BF1272)</f>
        <v/>
      </c>
      <c r="N1267" s="5" t="str">
        <f>IF('[1]All Data '!BB1272="","",'[1]All Data '!BC1272/'[1]All Data '!BH1272)</f>
        <v/>
      </c>
      <c r="O1267" s="5" t="str">
        <f t="shared" si="21"/>
        <v/>
      </c>
      <c r="P1267" s="5" t="str">
        <f>IF(M1267="","",$C$2*(1-L1267)*907.2/0.621371*N1267*[1]Transportation!$M$40)</f>
        <v/>
      </c>
      <c r="Q1267" s="5" t="str">
        <f>IF(L1267="","",IF([1]Inputs_Outputs!$B$5="Herbaceous",(LCA!$E$29*'[1]LOCH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7" s="5" t="str">
        <f>IF(M1267="","",$E$2*1000*'[1]LOCH Calc COE Calc'!$C$44)</f>
        <v/>
      </c>
      <c r="S1267" s="6" t="str">
        <f>IF(N1267="","",SUM(O1267:R1267)/('[1]LOCH Calc COE Calc'!$C$28))</f>
        <v/>
      </c>
      <c r="T1267" t="str">
        <f>IF(L1267="","",O1267/'[1]LOCH Calc COE Calc'!$C$28)</f>
        <v/>
      </c>
      <c r="U1267" t="str">
        <f>IF(L1267="","",P1267/'[1]LOCH Calc COE Calc'!$C$28)</f>
        <v/>
      </c>
      <c r="V1267" t="str">
        <f>IF(L1267="","",Q1267/'[1]LOCH Calc COE Calc'!$C$28)</f>
        <v/>
      </c>
      <c r="W1267" t="str">
        <f>IF(L1267="","",R1267/'[1]LOCH Calc COE Calc'!$C$28)</f>
        <v/>
      </c>
    </row>
    <row r="1268" spans="12:23" x14ac:dyDescent="0.25">
      <c r="L1268" s="4" t="str">
        <f>IF('[1]All Data '!BE1273="","",'[1]All Data '!BE1273)</f>
        <v/>
      </c>
      <c r="M1268" t="str">
        <f>IF('[1]All Data '!BF1273="","",'[1]All Data '!BF1273)</f>
        <v/>
      </c>
      <c r="N1268" s="5" t="str">
        <f>IF('[1]All Data '!BB1273="","",'[1]All Data '!BC1273/'[1]All Data '!BH1273)</f>
        <v/>
      </c>
      <c r="O1268" s="5" t="str">
        <f t="shared" si="21"/>
        <v/>
      </c>
      <c r="P1268" s="5" t="str">
        <f>IF(M1268="","",$C$2*(1-L1268)*907.2/0.621371*N1268*[1]Transportation!$M$40)</f>
        <v/>
      </c>
      <c r="Q1268" s="5" t="str">
        <f>IF(L1268="","",IF([1]Inputs_Outputs!$B$5="Herbaceous",(LCA!$E$29*'[1]LOCH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8" s="5" t="str">
        <f>IF(M1268="","",$E$2*1000*'[1]LOCH Calc COE Calc'!$C$44)</f>
        <v/>
      </c>
      <c r="S1268" s="6" t="str">
        <f>IF(N1268="","",SUM(O1268:R1268)/('[1]LOCH Calc COE Calc'!$C$28))</f>
        <v/>
      </c>
      <c r="T1268" t="str">
        <f>IF(L1268="","",O1268/'[1]LOCH Calc COE Calc'!$C$28)</f>
        <v/>
      </c>
      <c r="U1268" t="str">
        <f>IF(L1268="","",P1268/'[1]LOCH Calc COE Calc'!$C$28)</f>
        <v/>
      </c>
      <c r="V1268" t="str">
        <f>IF(L1268="","",Q1268/'[1]LOCH Calc COE Calc'!$C$28)</f>
        <v/>
      </c>
      <c r="W1268" t="str">
        <f>IF(L1268="","",R1268/'[1]LOCH Calc COE Calc'!$C$28)</f>
        <v/>
      </c>
    </row>
    <row r="1269" spans="12:23" x14ac:dyDescent="0.25">
      <c r="L1269" s="4" t="str">
        <f>IF('[1]All Data '!BE1274="","",'[1]All Data '!BE1274)</f>
        <v/>
      </c>
      <c r="M1269" t="str">
        <f>IF('[1]All Data '!BF1274="","",'[1]All Data '!BF1274)</f>
        <v/>
      </c>
      <c r="N1269" s="5" t="str">
        <f>IF('[1]All Data '!BB1274="","",'[1]All Data '!BC1274/'[1]All Data '!BH1274)</f>
        <v/>
      </c>
      <c r="O1269" s="5" t="str">
        <f t="shared" si="21"/>
        <v/>
      </c>
      <c r="P1269" s="5" t="str">
        <f>IF(M1269="","",$C$2*(1-L1269)*907.2/0.621371*N1269*[1]Transportation!$M$40)</f>
        <v/>
      </c>
      <c r="Q1269" s="5" t="str">
        <f>IF(L1269="","",IF([1]Inputs_Outputs!$B$5="Herbaceous",(LCA!$E$29*'[1]LOCH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69" s="5" t="str">
        <f>IF(M1269="","",$E$2*1000*'[1]LOCH Calc COE Calc'!$C$44)</f>
        <v/>
      </c>
      <c r="S1269" s="6" t="str">
        <f>IF(N1269="","",SUM(O1269:R1269)/('[1]LOCH Calc COE Calc'!$C$28))</f>
        <v/>
      </c>
      <c r="T1269" t="str">
        <f>IF(L1269="","",O1269/'[1]LOCH Calc COE Calc'!$C$28)</f>
        <v/>
      </c>
      <c r="U1269" t="str">
        <f>IF(L1269="","",P1269/'[1]LOCH Calc COE Calc'!$C$28)</f>
        <v/>
      </c>
      <c r="V1269" t="str">
        <f>IF(L1269="","",Q1269/'[1]LOCH Calc COE Calc'!$C$28)</f>
        <v/>
      </c>
      <c r="W1269" t="str">
        <f>IF(L1269="","",R1269/'[1]LOCH Calc COE Calc'!$C$28)</f>
        <v/>
      </c>
    </row>
    <row r="1270" spans="12:23" x14ac:dyDescent="0.25">
      <c r="L1270" s="4" t="str">
        <f>IF('[1]All Data '!BE1275="","",'[1]All Data '!BE1275)</f>
        <v/>
      </c>
      <c r="M1270" t="str">
        <f>IF('[1]All Data '!BF1275="","",'[1]All Data '!BF1275)</f>
        <v/>
      </c>
      <c r="N1270" s="5" t="str">
        <f>IF('[1]All Data '!BB1275="","",'[1]All Data '!BC1275/'[1]All Data '!BH1275)</f>
        <v/>
      </c>
      <c r="O1270" s="5" t="str">
        <f t="shared" si="21"/>
        <v/>
      </c>
      <c r="P1270" s="5" t="str">
        <f>IF(M1270="","",$C$2*(1-L1270)*907.2/0.621371*N1270*[1]Transportation!$M$40)</f>
        <v/>
      </c>
      <c r="Q1270" s="5" t="str">
        <f>IF(L1270="","",IF([1]Inputs_Outputs!$B$5="Herbaceous",(LCA!$E$29*'[1]LOCH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0" s="5" t="str">
        <f>IF(M1270="","",$E$2*1000*'[1]LOCH Calc COE Calc'!$C$44)</f>
        <v/>
      </c>
      <c r="S1270" s="6" t="str">
        <f>IF(N1270="","",SUM(O1270:R1270)/('[1]LOCH Calc COE Calc'!$C$28))</f>
        <v/>
      </c>
      <c r="T1270" t="str">
        <f>IF(L1270="","",O1270/'[1]LOCH Calc COE Calc'!$C$28)</f>
        <v/>
      </c>
      <c r="U1270" t="str">
        <f>IF(L1270="","",P1270/'[1]LOCH Calc COE Calc'!$C$28)</f>
        <v/>
      </c>
      <c r="V1270" t="str">
        <f>IF(L1270="","",Q1270/'[1]LOCH Calc COE Calc'!$C$28)</f>
        <v/>
      </c>
      <c r="W1270" t="str">
        <f>IF(L1270="","",R1270/'[1]LOCH Calc COE Calc'!$C$28)</f>
        <v/>
      </c>
    </row>
    <row r="1271" spans="12:23" x14ac:dyDescent="0.25">
      <c r="L1271" s="4" t="str">
        <f>IF('[1]All Data '!BE1276="","",'[1]All Data '!BE1276)</f>
        <v/>
      </c>
      <c r="M1271" t="str">
        <f>IF('[1]All Data '!BF1276="","",'[1]All Data '!BF1276)</f>
        <v/>
      </c>
      <c r="N1271" s="5" t="str">
        <f>IF('[1]All Data '!BB1276="","",'[1]All Data '!BC1276/'[1]All Data '!BH1276)</f>
        <v/>
      </c>
      <c r="O1271" s="5" t="str">
        <f t="shared" si="21"/>
        <v/>
      </c>
      <c r="P1271" s="5" t="str">
        <f>IF(M1271="","",$C$2*(1-L1271)*907.2/0.621371*N1271*[1]Transportation!$M$40)</f>
        <v/>
      </c>
      <c r="Q1271" s="5" t="str">
        <f>IF(L1271="","",IF([1]Inputs_Outputs!$B$5="Herbaceous",(LCA!$E$29*'[1]LOCH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1" s="5" t="str">
        <f>IF(M1271="","",$E$2*1000*'[1]LOCH Calc COE Calc'!$C$44)</f>
        <v/>
      </c>
      <c r="S1271" s="6" t="str">
        <f>IF(N1271="","",SUM(O1271:R1271)/('[1]LOCH Calc COE Calc'!$C$28))</f>
        <v/>
      </c>
      <c r="T1271" t="str">
        <f>IF(L1271="","",O1271/'[1]LOCH Calc COE Calc'!$C$28)</f>
        <v/>
      </c>
      <c r="U1271" t="str">
        <f>IF(L1271="","",P1271/'[1]LOCH Calc COE Calc'!$C$28)</f>
        <v/>
      </c>
      <c r="V1271" t="str">
        <f>IF(L1271="","",Q1271/'[1]LOCH Calc COE Calc'!$C$28)</f>
        <v/>
      </c>
      <c r="W1271" t="str">
        <f>IF(L1271="","",R1271/'[1]LOCH Calc COE Calc'!$C$28)</f>
        <v/>
      </c>
    </row>
    <row r="1272" spans="12:23" x14ac:dyDescent="0.25">
      <c r="L1272" s="4" t="str">
        <f>IF('[1]All Data '!BE1277="","",'[1]All Data '!BE1277)</f>
        <v/>
      </c>
      <c r="M1272" t="str">
        <f>IF('[1]All Data '!BF1277="","",'[1]All Data '!BF1277)</f>
        <v/>
      </c>
      <c r="N1272" s="5" t="str">
        <f>IF('[1]All Data '!BB1277="","",'[1]All Data '!BC1277/'[1]All Data '!BH1277)</f>
        <v/>
      </c>
      <c r="O1272" s="5" t="str">
        <f t="shared" si="21"/>
        <v/>
      </c>
      <c r="P1272" s="5" t="str">
        <f>IF(M1272="","",$C$2*(1-L1272)*907.2/0.621371*N1272*[1]Transportation!$M$40)</f>
        <v/>
      </c>
      <c r="Q1272" s="5" t="str">
        <f>IF(L1272="","",IF([1]Inputs_Outputs!$B$5="Herbaceous",(LCA!$E$29*'[1]LOCH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2" s="5" t="str">
        <f>IF(M1272="","",$E$2*1000*'[1]LOCH Calc COE Calc'!$C$44)</f>
        <v/>
      </c>
      <c r="S1272" s="6" t="str">
        <f>IF(N1272="","",SUM(O1272:R1272)/('[1]LOCH Calc COE Calc'!$C$28))</f>
        <v/>
      </c>
      <c r="T1272" t="str">
        <f>IF(L1272="","",O1272/'[1]LOCH Calc COE Calc'!$C$28)</f>
        <v/>
      </c>
      <c r="U1272" t="str">
        <f>IF(L1272="","",P1272/'[1]LOCH Calc COE Calc'!$C$28)</f>
        <v/>
      </c>
      <c r="V1272" t="str">
        <f>IF(L1272="","",Q1272/'[1]LOCH Calc COE Calc'!$C$28)</f>
        <v/>
      </c>
      <c r="W1272" t="str">
        <f>IF(L1272="","",R1272/'[1]LOCH Calc COE Calc'!$C$28)</f>
        <v/>
      </c>
    </row>
    <row r="1273" spans="12:23" x14ac:dyDescent="0.25">
      <c r="L1273" s="4" t="str">
        <f>IF('[1]All Data '!BE1278="","",'[1]All Data '!BE1278)</f>
        <v/>
      </c>
      <c r="M1273" t="str">
        <f>IF('[1]All Data '!BF1278="","",'[1]All Data '!BF1278)</f>
        <v/>
      </c>
      <c r="N1273" s="5" t="str">
        <f>IF('[1]All Data '!BB1278="","",'[1]All Data '!BC1278/'[1]All Data '!BH1278)</f>
        <v/>
      </c>
      <c r="O1273" s="5" t="str">
        <f t="shared" si="21"/>
        <v/>
      </c>
      <c r="P1273" s="5" t="str">
        <f>IF(M1273="","",$C$2*(1-L1273)*907.2/0.621371*N1273*[1]Transportation!$M$40)</f>
        <v/>
      </c>
      <c r="Q1273" s="5" t="str">
        <f>IF(L1273="","",IF([1]Inputs_Outputs!$B$5="Herbaceous",(LCA!$E$29*'[1]LOCH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3" s="5" t="str">
        <f>IF(M1273="","",$E$2*1000*'[1]LOCH Calc COE Calc'!$C$44)</f>
        <v/>
      </c>
      <c r="S1273" s="6" t="str">
        <f>IF(N1273="","",SUM(O1273:R1273)/('[1]LOCH Calc COE Calc'!$C$28))</f>
        <v/>
      </c>
      <c r="T1273" t="str">
        <f>IF(L1273="","",O1273/'[1]LOCH Calc COE Calc'!$C$28)</f>
        <v/>
      </c>
      <c r="U1273" t="str">
        <f>IF(L1273="","",P1273/'[1]LOCH Calc COE Calc'!$C$28)</f>
        <v/>
      </c>
      <c r="V1273" t="str">
        <f>IF(L1273="","",Q1273/'[1]LOCH Calc COE Calc'!$C$28)</f>
        <v/>
      </c>
      <c r="W1273" t="str">
        <f>IF(L1273="","",R1273/'[1]LOCH Calc COE Calc'!$C$28)</f>
        <v/>
      </c>
    </row>
    <row r="1274" spans="12:23" x14ac:dyDescent="0.25">
      <c r="L1274" s="4" t="str">
        <f>IF('[1]All Data '!BE1279="","",'[1]All Data '!BE1279)</f>
        <v/>
      </c>
      <c r="M1274" t="str">
        <f>IF('[1]All Data '!BF1279="","",'[1]All Data '!BF1279)</f>
        <v/>
      </c>
      <c r="N1274" s="5" t="str">
        <f>IF('[1]All Data '!BB1279="","",'[1]All Data '!BC1279/'[1]All Data '!BH1279)</f>
        <v/>
      </c>
      <c r="O1274" s="5" t="str">
        <f t="shared" si="21"/>
        <v/>
      </c>
      <c r="P1274" s="5" t="str">
        <f>IF(M1274="","",$C$2*(1-L1274)*907.2/0.621371*N1274*[1]Transportation!$M$40)</f>
        <v/>
      </c>
      <c r="Q1274" s="5" t="str">
        <f>IF(L1274="","",IF([1]Inputs_Outputs!$B$5="Herbaceous",(LCA!$E$29*'[1]LOCH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4" s="5" t="str">
        <f>IF(M1274="","",$E$2*1000*'[1]LOCH Calc COE Calc'!$C$44)</f>
        <v/>
      </c>
      <c r="S1274" s="6" t="str">
        <f>IF(N1274="","",SUM(O1274:R1274)/('[1]LOCH Calc COE Calc'!$C$28))</f>
        <v/>
      </c>
      <c r="T1274" t="str">
        <f>IF(L1274="","",O1274/'[1]LOCH Calc COE Calc'!$C$28)</f>
        <v/>
      </c>
      <c r="U1274" t="str">
        <f>IF(L1274="","",P1274/'[1]LOCH Calc COE Calc'!$C$28)</f>
        <v/>
      </c>
      <c r="V1274" t="str">
        <f>IF(L1274="","",Q1274/'[1]LOCH Calc COE Calc'!$C$28)</f>
        <v/>
      </c>
      <c r="W1274" t="str">
        <f>IF(L1274="","",R1274/'[1]LOCH Calc COE Calc'!$C$28)</f>
        <v/>
      </c>
    </row>
    <row r="1275" spans="12:23" x14ac:dyDescent="0.25">
      <c r="L1275" s="4" t="str">
        <f>IF('[1]All Data '!BE1280="","",'[1]All Data '!BE1280)</f>
        <v/>
      </c>
      <c r="M1275" t="str">
        <f>IF('[1]All Data '!BF1280="","",'[1]All Data '!BF1280)</f>
        <v/>
      </c>
      <c r="N1275" s="5" t="str">
        <f>IF('[1]All Data '!BB1280="","",'[1]All Data '!BC1280/'[1]All Data '!BH1280)</f>
        <v/>
      </c>
      <c r="O1275" s="5" t="str">
        <f t="shared" si="21"/>
        <v/>
      </c>
      <c r="P1275" s="5" t="str">
        <f>IF(M1275="","",$C$2*(1-L1275)*907.2/0.621371*N1275*[1]Transportation!$M$40)</f>
        <v/>
      </c>
      <c r="Q1275" s="5" t="str">
        <f>IF(L1275="","",IF([1]Inputs_Outputs!$B$5="Herbaceous",(LCA!$E$29*'[1]LOCH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5" s="5" t="str">
        <f>IF(M1275="","",$E$2*1000*'[1]LOCH Calc COE Calc'!$C$44)</f>
        <v/>
      </c>
      <c r="S1275" s="6" t="str">
        <f>IF(N1275="","",SUM(O1275:R1275)/('[1]LOCH Calc COE Calc'!$C$28))</f>
        <v/>
      </c>
      <c r="T1275" t="str">
        <f>IF(L1275="","",O1275/'[1]LOCH Calc COE Calc'!$C$28)</f>
        <v/>
      </c>
      <c r="U1275" t="str">
        <f>IF(L1275="","",P1275/'[1]LOCH Calc COE Calc'!$C$28)</f>
        <v/>
      </c>
      <c r="V1275" t="str">
        <f>IF(L1275="","",Q1275/'[1]LOCH Calc COE Calc'!$C$28)</f>
        <v/>
      </c>
      <c r="W1275" t="str">
        <f>IF(L1275="","",R1275/'[1]LOCH Calc COE Calc'!$C$28)</f>
        <v/>
      </c>
    </row>
    <row r="1276" spans="12:23" x14ac:dyDescent="0.25">
      <c r="L1276" s="4" t="str">
        <f>IF('[1]All Data '!BE1281="","",'[1]All Data '!BE1281)</f>
        <v/>
      </c>
      <c r="M1276" t="str">
        <f>IF('[1]All Data '!BF1281="","",'[1]All Data '!BF1281)</f>
        <v/>
      </c>
      <c r="N1276" s="5" t="str">
        <f>IF('[1]All Data '!BB1281="","",'[1]All Data '!BC1281/'[1]All Data '!BH1281)</f>
        <v/>
      </c>
      <c r="O1276" s="5" t="str">
        <f t="shared" si="21"/>
        <v/>
      </c>
      <c r="P1276" s="5" t="str">
        <f>IF(M1276="","",$C$2*(1-L1276)*907.2/0.621371*N1276*[1]Transportation!$M$40)</f>
        <v/>
      </c>
      <c r="Q1276" s="5" t="str">
        <f>IF(L1276="","",IF([1]Inputs_Outputs!$B$5="Herbaceous",(LCA!$E$29*'[1]LOCH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6" s="5" t="str">
        <f>IF(M1276="","",$E$2*1000*'[1]LOCH Calc COE Calc'!$C$44)</f>
        <v/>
      </c>
      <c r="S1276" s="6" t="str">
        <f>IF(N1276="","",SUM(O1276:R1276)/('[1]LOCH Calc COE Calc'!$C$28))</f>
        <v/>
      </c>
      <c r="T1276" t="str">
        <f>IF(L1276="","",O1276/'[1]LOCH Calc COE Calc'!$C$28)</f>
        <v/>
      </c>
      <c r="U1276" t="str">
        <f>IF(L1276="","",P1276/'[1]LOCH Calc COE Calc'!$C$28)</f>
        <v/>
      </c>
      <c r="V1276" t="str">
        <f>IF(L1276="","",Q1276/'[1]LOCH Calc COE Calc'!$C$28)</f>
        <v/>
      </c>
      <c r="W1276" t="str">
        <f>IF(L1276="","",R1276/'[1]LOCH Calc COE Calc'!$C$28)</f>
        <v/>
      </c>
    </row>
    <row r="1277" spans="12:23" x14ac:dyDescent="0.25">
      <c r="L1277" s="4" t="str">
        <f>IF('[1]All Data '!BE1282="","",'[1]All Data '!BE1282)</f>
        <v/>
      </c>
      <c r="M1277" t="str">
        <f>IF('[1]All Data '!BF1282="","",'[1]All Data '!BF1282)</f>
        <v/>
      </c>
      <c r="N1277" s="5" t="str">
        <f>IF('[1]All Data '!BB1282="","",'[1]All Data '!BC1282/'[1]All Data '!BH1282)</f>
        <v/>
      </c>
      <c r="O1277" s="5" t="str">
        <f t="shared" si="21"/>
        <v/>
      </c>
      <c r="P1277" s="5" t="str">
        <f>IF(M1277="","",$C$2*(1-L1277)*907.2/0.621371*N1277*[1]Transportation!$M$40)</f>
        <v/>
      </c>
      <c r="Q1277" s="5" t="str">
        <f>IF(L1277="","",IF([1]Inputs_Outputs!$B$5="Herbaceous",(LCA!$E$29*'[1]LOCH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7" s="5" t="str">
        <f>IF(M1277="","",$E$2*1000*'[1]LOCH Calc COE Calc'!$C$44)</f>
        <v/>
      </c>
      <c r="S1277" s="6" t="str">
        <f>IF(N1277="","",SUM(O1277:R1277)/('[1]LOCH Calc COE Calc'!$C$28))</f>
        <v/>
      </c>
      <c r="T1277" t="str">
        <f>IF(L1277="","",O1277/'[1]LOCH Calc COE Calc'!$C$28)</f>
        <v/>
      </c>
      <c r="U1277" t="str">
        <f>IF(L1277="","",P1277/'[1]LOCH Calc COE Calc'!$C$28)</f>
        <v/>
      </c>
      <c r="V1277" t="str">
        <f>IF(L1277="","",Q1277/'[1]LOCH Calc COE Calc'!$C$28)</f>
        <v/>
      </c>
      <c r="W1277" t="str">
        <f>IF(L1277="","",R1277/'[1]LOCH Calc COE Calc'!$C$28)</f>
        <v/>
      </c>
    </row>
    <row r="1278" spans="12:23" x14ac:dyDescent="0.25">
      <c r="L1278" s="4" t="str">
        <f>IF('[1]All Data '!BE1283="","",'[1]All Data '!BE1283)</f>
        <v/>
      </c>
      <c r="M1278" t="str">
        <f>IF('[1]All Data '!BF1283="","",'[1]All Data '!BF1283)</f>
        <v/>
      </c>
      <c r="N1278" s="5" t="str">
        <f>IF('[1]All Data '!BB1283="","",'[1]All Data '!BC1283/'[1]All Data '!BH1283)</f>
        <v/>
      </c>
      <c r="O1278" s="5" t="str">
        <f t="shared" si="21"/>
        <v/>
      </c>
      <c r="P1278" s="5" t="str">
        <f>IF(M1278="","",$C$2*(1-L1278)*907.2/0.621371*N1278*[1]Transportation!$M$40)</f>
        <v/>
      </c>
      <c r="Q1278" s="5" t="str">
        <f>IF(L1278="","",IF([1]Inputs_Outputs!$B$5="Herbaceous",(LCA!$E$29*'[1]LOCH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8" s="5" t="str">
        <f>IF(M1278="","",$E$2*1000*'[1]LOCH Calc COE Calc'!$C$44)</f>
        <v/>
      </c>
      <c r="S1278" s="6" t="str">
        <f>IF(N1278="","",SUM(O1278:R1278)/('[1]LOCH Calc COE Calc'!$C$28))</f>
        <v/>
      </c>
      <c r="T1278" t="str">
        <f>IF(L1278="","",O1278/'[1]LOCH Calc COE Calc'!$C$28)</f>
        <v/>
      </c>
      <c r="U1278" t="str">
        <f>IF(L1278="","",P1278/'[1]LOCH Calc COE Calc'!$C$28)</f>
        <v/>
      </c>
      <c r="V1278" t="str">
        <f>IF(L1278="","",Q1278/'[1]LOCH Calc COE Calc'!$C$28)</f>
        <v/>
      </c>
      <c r="W1278" t="str">
        <f>IF(L1278="","",R1278/'[1]LOCH Calc COE Calc'!$C$28)</f>
        <v/>
      </c>
    </row>
    <row r="1279" spans="12:23" x14ac:dyDescent="0.25">
      <c r="L1279" s="4" t="str">
        <f>IF('[1]All Data '!BE1284="","",'[1]All Data '!BE1284)</f>
        <v/>
      </c>
      <c r="M1279" t="str">
        <f>IF('[1]All Data '!BF1284="","",'[1]All Data '!BF1284)</f>
        <v/>
      </c>
      <c r="N1279" s="5" t="str">
        <f>IF('[1]All Data '!BB1284="","",'[1]All Data '!BC1284/'[1]All Data '!BH1284)</f>
        <v/>
      </c>
      <c r="O1279" s="5" t="str">
        <f t="shared" si="21"/>
        <v/>
      </c>
      <c r="P1279" s="5" t="str">
        <f>IF(M1279="","",$C$2*(1-L1279)*907.2/0.621371*N1279*[1]Transportation!$M$40)</f>
        <v/>
      </c>
      <c r="Q1279" s="5" t="str">
        <f>IF(L1279="","",IF([1]Inputs_Outputs!$B$5="Herbaceous",(LCA!$E$29*'[1]LOCH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79" s="5" t="str">
        <f>IF(M1279="","",$E$2*1000*'[1]LOCH Calc COE Calc'!$C$44)</f>
        <v/>
      </c>
      <c r="S1279" s="6" t="str">
        <f>IF(N1279="","",SUM(O1279:R1279)/('[1]LOCH Calc COE Calc'!$C$28))</f>
        <v/>
      </c>
      <c r="T1279" t="str">
        <f>IF(L1279="","",O1279/'[1]LOCH Calc COE Calc'!$C$28)</f>
        <v/>
      </c>
      <c r="U1279" t="str">
        <f>IF(L1279="","",P1279/'[1]LOCH Calc COE Calc'!$C$28)</f>
        <v/>
      </c>
      <c r="V1279" t="str">
        <f>IF(L1279="","",Q1279/'[1]LOCH Calc COE Calc'!$C$28)</f>
        <v/>
      </c>
      <c r="W1279" t="str">
        <f>IF(L1279="","",R1279/'[1]LOCH Calc COE Calc'!$C$28)</f>
        <v/>
      </c>
    </row>
    <row r="1280" spans="12:23" x14ac:dyDescent="0.25">
      <c r="L1280" s="4" t="str">
        <f>IF('[1]All Data '!BE1285="","",'[1]All Data '!BE1285)</f>
        <v/>
      </c>
      <c r="M1280" t="str">
        <f>IF('[1]All Data '!BF1285="","",'[1]All Data '!BF1285)</f>
        <v/>
      </c>
      <c r="N1280" s="5" t="str">
        <f>IF('[1]All Data '!BB1285="","",'[1]All Data '!BC1285/'[1]All Data '!BH1285)</f>
        <v/>
      </c>
      <c r="O1280" s="5" t="str">
        <f t="shared" si="21"/>
        <v/>
      </c>
      <c r="P1280" s="5" t="str">
        <f>IF(M1280="","",$C$2*(1-L1280)*907.2/0.621371*N1280*[1]Transportation!$M$40)</f>
        <v/>
      </c>
      <c r="Q1280" s="5" t="str">
        <f>IF(L1280="","",IF([1]Inputs_Outputs!$B$5="Herbaceous",(LCA!$E$29*'[1]LOCH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0" s="5" t="str">
        <f>IF(M1280="","",$E$2*1000*'[1]LOCH Calc COE Calc'!$C$44)</f>
        <v/>
      </c>
      <c r="S1280" s="6" t="str">
        <f>IF(N1280="","",SUM(O1280:R1280)/('[1]LOCH Calc COE Calc'!$C$28))</f>
        <v/>
      </c>
      <c r="T1280" t="str">
        <f>IF(L1280="","",O1280/'[1]LOCH Calc COE Calc'!$C$28)</f>
        <v/>
      </c>
      <c r="U1280" t="str">
        <f>IF(L1280="","",P1280/'[1]LOCH Calc COE Calc'!$C$28)</f>
        <v/>
      </c>
      <c r="V1280" t="str">
        <f>IF(L1280="","",Q1280/'[1]LOCH Calc COE Calc'!$C$28)</f>
        <v/>
      </c>
      <c r="W1280" t="str">
        <f>IF(L1280="","",R1280/'[1]LOCH Calc COE Calc'!$C$28)</f>
        <v/>
      </c>
    </row>
    <row r="1281" spans="12:23" x14ac:dyDescent="0.25">
      <c r="L1281" s="4" t="str">
        <f>IF('[1]All Data '!BE1286="","",'[1]All Data '!BE1286)</f>
        <v/>
      </c>
      <c r="M1281" t="str">
        <f>IF('[1]All Data '!BF1286="","",'[1]All Data '!BF1286)</f>
        <v/>
      </c>
      <c r="N1281" s="5" t="str">
        <f>IF('[1]All Data '!BB1286="","",'[1]All Data '!BC1286/'[1]All Data '!BH1286)</f>
        <v/>
      </c>
      <c r="O1281" s="5" t="str">
        <f t="shared" si="21"/>
        <v/>
      </c>
      <c r="P1281" s="5" t="str">
        <f>IF(M1281="","",$C$2*(1-L1281)*907.2/0.621371*N1281*[1]Transportation!$M$40)</f>
        <v/>
      </c>
      <c r="Q1281" s="5" t="str">
        <f>IF(L1281="","",IF([1]Inputs_Outputs!$B$5="Herbaceous",(LCA!$E$29*'[1]LOCH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1" s="5" t="str">
        <f>IF(M1281="","",$E$2*1000*'[1]LOCH Calc COE Calc'!$C$44)</f>
        <v/>
      </c>
      <c r="S1281" s="6" t="str">
        <f>IF(N1281="","",SUM(O1281:R1281)/('[1]LOCH Calc COE Calc'!$C$28))</f>
        <v/>
      </c>
      <c r="T1281" t="str">
        <f>IF(L1281="","",O1281/'[1]LOCH Calc COE Calc'!$C$28)</f>
        <v/>
      </c>
      <c r="U1281" t="str">
        <f>IF(L1281="","",P1281/'[1]LOCH Calc COE Calc'!$C$28)</f>
        <v/>
      </c>
      <c r="V1281" t="str">
        <f>IF(L1281="","",Q1281/'[1]LOCH Calc COE Calc'!$C$28)</f>
        <v/>
      </c>
      <c r="W1281" t="str">
        <f>IF(L1281="","",R1281/'[1]LOCH Calc COE Calc'!$C$28)</f>
        <v/>
      </c>
    </row>
    <row r="1282" spans="12:23" x14ac:dyDescent="0.25">
      <c r="L1282" s="4" t="str">
        <f>IF('[1]All Data '!BE1287="","",'[1]All Data '!BE1287)</f>
        <v/>
      </c>
      <c r="M1282" t="str">
        <f>IF('[1]All Data '!BF1287="","",'[1]All Data '!BF1287)</f>
        <v/>
      </c>
      <c r="N1282" s="5" t="str">
        <f>IF('[1]All Data '!BB1287="","",'[1]All Data '!BC1287/'[1]All Data '!BH1287)</f>
        <v/>
      </c>
      <c r="O1282" s="5" t="str">
        <f t="shared" si="21"/>
        <v/>
      </c>
      <c r="P1282" s="5" t="str">
        <f>IF(M1282="","",$C$2*(1-L1282)*907.2/0.621371*N1282*[1]Transportation!$M$40)</f>
        <v/>
      </c>
      <c r="Q1282" s="5" t="str">
        <f>IF(L1282="","",IF([1]Inputs_Outputs!$B$5="Herbaceous",(LCA!$E$29*'[1]LOCH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2" s="5" t="str">
        <f>IF(M1282="","",$E$2*1000*'[1]LOCH Calc COE Calc'!$C$44)</f>
        <v/>
      </c>
      <c r="S1282" s="6" t="str">
        <f>IF(N1282="","",SUM(O1282:R1282)/('[1]LOCH Calc COE Calc'!$C$28))</f>
        <v/>
      </c>
      <c r="T1282" t="str">
        <f>IF(L1282="","",O1282/'[1]LOCH Calc COE Calc'!$C$28)</f>
        <v/>
      </c>
      <c r="U1282" t="str">
        <f>IF(L1282="","",P1282/'[1]LOCH Calc COE Calc'!$C$28)</f>
        <v/>
      </c>
      <c r="V1282" t="str">
        <f>IF(L1282="","",Q1282/'[1]LOCH Calc COE Calc'!$C$28)</f>
        <v/>
      </c>
      <c r="W1282" t="str">
        <f>IF(L1282="","",R1282/'[1]LOCH Calc COE Calc'!$C$28)</f>
        <v/>
      </c>
    </row>
    <row r="1283" spans="12:23" x14ac:dyDescent="0.25">
      <c r="L1283" s="4" t="str">
        <f>IF('[1]All Data '!BE1288="","",'[1]All Data '!BE1288)</f>
        <v/>
      </c>
      <c r="M1283" t="str">
        <f>IF('[1]All Data '!BF1288="","",'[1]All Data '!BF1288)</f>
        <v/>
      </c>
      <c r="N1283" s="5" t="str">
        <f>IF('[1]All Data '!BB1288="","",'[1]All Data '!BC1288/'[1]All Data '!BH1288)</f>
        <v/>
      </c>
      <c r="O1283" s="5" t="str">
        <f t="shared" si="21"/>
        <v/>
      </c>
      <c r="P1283" s="5" t="str">
        <f>IF(M1283="","",$C$2*(1-L1283)*907.2/0.621371*N1283*[1]Transportation!$M$40)</f>
        <v/>
      </c>
      <c r="Q1283" s="5" t="str">
        <f>IF(L1283="","",IF([1]Inputs_Outputs!$B$5="Herbaceous",(LCA!$E$29*'[1]LOCH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3" s="5" t="str">
        <f>IF(M1283="","",$E$2*1000*'[1]LOCH Calc COE Calc'!$C$44)</f>
        <v/>
      </c>
      <c r="S1283" s="6" t="str">
        <f>IF(N1283="","",SUM(O1283:R1283)/('[1]LOCH Calc COE Calc'!$C$28))</f>
        <v/>
      </c>
      <c r="T1283" t="str">
        <f>IF(L1283="","",O1283/'[1]LOCH Calc COE Calc'!$C$28)</f>
        <v/>
      </c>
      <c r="U1283" t="str">
        <f>IF(L1283="","",P1283/'[1]LOCH Calc COE Calc'!$C$28)</f>
        <v/>
      </c>
      <c r="V1283" t="str">
        <f>IF(L1283="","",Q1283/'[1]LOCH Calc COE Calc'!$C$28)</f>
        <v/>
      </c>
      <c r="W1283" t="str">
        <f>IF(L1283="","",R1283/'[1]LOCH Calc COE Calc'!$C$28)</f>
        <v/>
      </c>
    </row>
    <row r="1284" spans="12:23" x14ac:dyDescent="0.25">
      <c r="L1284" s="4" t="str">
        <f>IF('[1]All Data '!BE1289="","",'[1]All Data '!BE1289)</f>
        <v/>
      </c>
      <c r="M1284" t="str">
        <f>IF('[1]All Data '!BF1289="","",'[1]All Data '!BF1289)</f>
        <v/>
      </c>
      <c r="N1284" s="5" t="str">
        <f>IF('[1]All Data '!BB1289="","",'[1]All Data '!BC1289/'[1]All Data '!BH1289)</f>
        <v/>
      </c>
      <c r="O1284" s="5" t="str">
        <f t="shared" ref="O1284:O1347" si="22">IF(N1284="","",M1284*N1284)</f>
        <v/>
      </c>
      <c r="P1284" s="5" t="str">
        <f>IF(M1284="","",$C$2*(1-L1284)*907.2/0.621371*N1284*[1]Transportation!$M$40)</f>
        <v/>
      </c>
      <c r="Q1284" s="5" t="str">
        <f>IF(L1284="","",IF([1]Inputs_Outputs!$B$5="Herbaceous",(LCA!$E$29*'[1]LOCH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4" s="5" t="str">
        <f>IF(M1284="","",$E$2*1000*'[1]LOCH Calc COE Calc'!$C$44)</f>
        <v/>
      </c>
      <c r="S1284" s="6" t="str">
        <f>IF(N1284="","",SUM(O1284:R1284)/('[1]LOCH Calc COE Calc'!$C$28))</f>
        <v/>
      </c>
      <c r="T1284" t="str">
        <f>IF(L1284="","",O1284/'[1]LOCH Calc COE Calc'!$C$28)</f>
        <v/>
      </c>
      <c r="U1284" t="str">
        <f>IF(L1284="","",P1284/'[1]LOCH Calc COE Calc'!$C$28)</f>
        <v/>
      </c>
      <c r="V1284" t="str">
        <f>IF(L1284="","",Q1284/'[1]LOCH Calc COE Calc'!$C$28)</f>
        <v/>
      </c>
      <c r="W1284" t="str">
        <f>IF(L1284="","",R1284/'[1]LOCH Calc COE Calc'!$C$28)</f>
        <v/>
      </c>
    </row>
    <row r="1285" spans="12:23" x14ac:dyDescent="0.25">
      <c r="L1285" s="4" t="str">
        <f>IF('[1]All Data '!BE1290="","",'[1]All Data '!BE1290)</f>
        <v/>
      </c>
      <c r="M1285" t="str">
        <f>IF('[1]All Data '!BF1290="","",'[1]All Data '!BF1290)</f>
        <v/>
      </c>
      <c r="N1285" s="5" t="str">
        <f>IF('[1]All Data '!BB1290="","",'[1]All Data '!BC1290/'[1]All Data '!BH1290)</f>
        <v/>
      </c>
      <c r="O1285" s="5" t="str">
        <f t="shared" si="22"/>
        <v/>
      </c>
      <c r="P1285" s="5" t="str">
        <f>IF(M1285="","",$C$2*(1-L1285)*907.2/0.621371*N1285*[1]Transportation!$M$40)</f>
        <v/>
      </c>
      <c r="Q1285" s="5" t="str">
        <f>IF(L1285="","",IF([1]Inputs_Outputs!$B$5="Herbaceous",(LCA!$E$29*'[1]LOCH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5" s="5" t="str">
        <f>IF(M1285="","",$E$2*1000*'[1]LOCH Calc COE Calc'!$C$44)</f>
        <v/>
      </c>
      <c r="S1285" s="6" t="str">
        <f>IF(N1285="","",SUM(O1285:R1285)/('[1]LOCH Calc COE Calc'!$C$28))</f>
        <v/>
      </c>
      <c r="T1285" t="str">
        <f>IF(L1285="","",O1285/'[1]LOCH Calc COE Calc'!$C$28)</f>
        <v/>
      </c>
      <c r="U1285" t="str">
        <f>IF(L1285="","",P1285/'[1]LOCH Calc COE Calc'!$C$28)</f>
        <v/>
      </c>
      <c r="V1285" t="str">
        <f>IF(L1285="","",Q1285/'[1]LOCH Calc COE Calc'!$C$28)</f>
        <v/>
      </c>
      <c r="W1285" t="str">
        <f>IF(L1285="","",R1285/'[1]LOCH Calc COE Calc'!$C$28)</f>
        <v/>
      </c>
    </row>
    <row r="1286" spans="12:23" x14ac:dyDescent="0.25">
      <c r="L1286" s="4" t="str">
        <f>IF('[1]All Data '!BE1291="","",'[1]All Data '!BE1291)</f>
        <v/>
      </c>
      <c r="M1286" t="str">
        <f>IF('[1]All Data '!BF1291="","",'[1]All Data '!BF1291)</f>
        <v/>
      </c>
      <c r="N1286" s="5" t="str">
        <f>IF('[1]All Data '!BB1291="","",'[1]All Data '!BC1291/'[1]All Data '!BH1291)</f>
        <v/>
      </c>
      <c r="O1286" s="5" t="str">
        <f t="shared" si="22"/>
        <v/>
      </c>
      <c r="P1286" s="5" t="str">
        <f>IF(M1286="","",$C$2*(1-L1286)*907.2/0.621371*N1286*[1]Transportation!$M$40)</f>
        <v/>
      </c>
      <c r="Q1286" s="5" t="str">
        <f>IF(L1286="","",IF([1]Inputs_Outputs!$B$5="Herbaceous",(LCA!$E$29*'[1]LOCH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6" s="5" t="str">
        <f>IF(M1286="","",$E$2*1000*'[1]LOCH Calc COE Calc'!$C$44)</f>
        <v/>
      </c>
      <c r="S1286" s="6" t="str">
        <f>IF(N1286="","",SUM(O1286:R1286)/('[1]LOCH Calc COE Calc'!$C$28))</f>
        <v/>
      </c>
      <c r="T1286" t="str">
        <f>IF(L1286="","",O1286/'[1]LOCH Calc COE Calc'!$C$28)</f>
        <v/>
      </c>
      <c r="U1286" t="str">
        <f>IF(L1286="","",P1286/'[1]LOCH Calc COE Calc'!$C$28)</f>
        <v/>
      </c>
      <c r="V1286" t="str">
        <f>IF(L1286="","",Q1286/'[1]LOCH Calc COE Calc'!$C$28)</f>
        <v/>
      </c>
      <c r="W1286" t="str">
        <f>IF(L1286="","",R1286/'[1]LOCH Calc COE Calc'!$C$28)</f>
        <v/>
      </c>
    </row>
    <row r="1287" spans="12:23" x14ac:dyDescent="0.25">
      <c r="L1287" s="4" t="str">
        <f>IF('[1]All Data '!BE1292="","",'[1]All Data '!BE1292)</f>
        <v/>
      </c>
      <c r="M1287" t="str">
        <f>IF('[1]All Data '!BF1292="","",'[1]All Data '!BF1292)</f>
        <v/>
      </c>
      <c r="N1287" s="5" t="str">
        <f>IF('[1]All Data '!BB1292="","",'[1]All Data '!BC1292/'[1]All Data '!BH1292)</f>
        <v/>
      </c>
      <c r="O1287" s="5" t="str">
        <f t="shared" si="22"/>
        <v/>
      </c>
      <c r="P1287" s="5" t="str">
        <f>IF(M1287="","",$C$2*(1-L1287)*907.2/0.621371*N1287*[1]Transportation!$M$40)</f>
        <v/>
      </c>
      <c r="Q1287" s="5" t="str">
        <f>IF(L1287="","",IF([1]Inputs_Outputs!$B$5="Herbaceous",(LCA!$E$29*'[1]LOCH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7" s="5" t="str">
        <f>IF(M1287="","",$E$2*1000*'[1]LOCH Calc COE Calc'!$C$44)</f>
        <v/>
      </c>
      <c r="S1287" s="6" t="str">
        <f>IF(N1287="","",SUM(O1287:R1287)/('[1]LOCH Calc COE Calc'!$C$28))</f>
        <v/>
      </c>
      <c r="T1287" t="str">
        <f>IF(L1287="","",O1287/'[1]LOCH Calc COE Calc'!$C$28)</f>
        <v/>
      </c>
      <c r="U1287" t="str">
        <f>IF(L1287="","",P1287/'[1]LOCH Calc COE Calc'!$C$28)</f>
        <v/>
      </c>
      <c r="V1287" t="str">
        <f>IF(L1287="","",Q1287/'[1]LOCH Calc COE Calc'!$C$28)</f>
        <v/>
      </c>
      <c r="W1287" t="str">
        <f>IF(L1287="","",R1287/'[1]LOCH Calc COE Calc'!$C$28)</f>
        <v/>
      </c>
    </row>
    <row r="1288" spans="12:23" x14ac:dyDescent="0.25">
      <c r="L1288" s="4" t="str">
        <f>IF('[1]All Data '!BE1293="","",'[1]All Data '!BE1293)</f>
        <v/>
      </c>
      <c r="M1288" t="str">
        <f>IF('[1]All Data '!BF1293="","",'[1]All Data '!BF1293)</f>
        <v/>
      </c>
      <c r="N1288" s="5" t="str">
        <f>IF('[1]All Data '!BB1293="","",'[1]All Data '!BC1293/'[1]All Data '!BH1293)</f>
        <v/>
      </c>
      <c r="O1288" s="5" t="str">
        <f t="shared" si="22"/>
        <v/>
      </c>
      <c r="P1288" s="5" t="str">
        <f>IF(M1288="","",$C$2*(1-L1288)*907.2/0.621371*N1288*[1]Transportation!$M$40)</f>
        <v/>
      </c>
      <c r="Q1288" s="5" t="str">
        <f>IF(L1288="","",IF([1]Inputs_Outputs!$B$5="Herbaceous",(LCA!$E$29*'[1]LOCH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8" s="5" t="str">
        <f>IF(M1288="","",$E$2*1000*'[1]LOCH Calc COE Calc'!$C$44)</f>
        <v/>
      </c>
      <c r="S1288" s="6" t="str">
        <f>IF(N1288="","",SUM(O1288:R1288)/('[1]LOCH Calc COE Calc'!$C$28))</f>
        <v/>
      </c>
      <c r="T1288" t="str">
        <f>IF(L1288="","",O1288/'[1]LOCH Calc COE Calc'!$C$28)</f>
        <v/>
      </c>
      <c r="U1288" t="str">
        <f>IF(L1288="","",P1288/'[1]LOCH Calc COE Calc'!$C$28)</f>
        <v/>
      </c>
      <c r="V1288" t="str">
        <f>IF(L1288="","",Q1288/'[1]LOCH Calc COE Calc'!$C$28)</f>
        <v/>
      </c>
      <c r="W1288" t="str">
        <f>IF(L1288="","",R1288/'[1]LOCH Calc COE Calc'!$C$28)</f>
        <v/>
      </c>
    </row>
    <row r="1289" spans="12:23" x14ac:dyDescent="0.25">
      <c r="L1289" s="4" t="str">
        <f>IF('[1]All Data '!BE1294="","",'[1]All Data '!BE1294)</f>
        <v/>
      </c>
      <c r="M1289" t="str">
        <f>IF('[1]All Data '!BF1294="","",'[1]All Data '!BF1294)</f>
        <v/>
      </c>
      <c r="N1289" s="5" t="str">
        <f>IF('[1]All Data '!BB1294="","",'[1]All Data '!BC1294/'[1]All Data '!BH1294)</f>
        <v/>
      </c>
      <c r="O1289" s="5" t="str">
        <f t="shared" si="22"/>
        <v/>
      </c>
      <c r="P1289" s="5" t="str">
        <f>IF(M1289="","",$C$2*(1-L1289)*907.2/0.621371*N1289*[1]Transportation!$M$40)</f>
        <v/>
      </c>
      <c r="Q1289" s="5" t="str">
        <f>IF(L1289="","",IF([1]Inputs_Outputs!$B$5="Herbaceous",(LCA!$E$29*'[1]LOCH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89" s="5" t="str">
        <f>IF(M1289="","",$E$2*1000*'[1]LOCH Calc COE Calc'!$C$44)</f>
        <v/>
      </c>
      <c r="S1289" s="6" t="str">
        <f>IF(N1289="","",SUM(O1289:R1289)/('[1]LOCH Calc COE Calc'!$C$28))</f>
        <v/>
      </c>
      <c r="T1289" t="str">
        <f>IF(L1289="","",O1289/'[1]LOCH Calc COE Calc'!$C$28)</f>
        <v/>
      </c>
      <c r="U1289" t="str">
        <f>IF(L1289="","",P1289/'[1]LOCH Calc COE Calc'!$C$28)</f>
        <v/>
      </c>
      <c r="V1289" t="str">
        <f>IF(L1289="","",Q1289/'[1]LOCH Calc COE Calc'!$C$28)</f>
        <v/>
      </c>
      <c r="W1289" t="str">
        <f>IF(L1289="","",R1289/'[1]LOCH Calc COE Calc'!$C$28)</f>
        <v/>
      </c>
    </row>
    <row r="1290" spans="12:23" x14ac:dyDescent="0.25">
      <c r="L1290" s="4" t="str">
        <f>IF('[1]All Data '!BE1295="","",'[1]All Data '!BE1295)</f>
        <v/>
      </c>
      <c r="M1290" t="str">
        <f>IF('[1]All Data '!BF1295="","",'[1]All Data '!BF1295)</f>
        <v/>
      </c>
      <c r="N1290" s="5" t="str">
        <f>IF('[1]All Data '!BB1295="","",'[1]All Data '!BC1295/'[1]All Data '!BH1295)</f>
        <v/>
      </c>
      <c r="O1290" s="5" t="str">
        <f t="shared" si="22"/>
        <v/>
      </c>
      <c r="P1290" s="5" t="str">
        <f>IF(M1290="","",$C$2*(1-L1290)*907.2/0.621371*N1290*[1]Transportation!$M$40)</f>
        <v/>
      </c>
      <c r="Q1290" s="5" t="str">
        <f>IF(L1290="","",IF([1]Inputs_Outputs!$B$5="Herbaceous",(LCA!$E$29*'[1]LOCH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0" s="5" t="str">
        <f>IF(M1290="","",$E$2*1000*'[1]LOCH Calc COE Calc'!$C$44)</f>
        <v/>
      </c>
      <c r="S1290" s="6" t="str">
        <f>IF(N1290="","",SUM(O1290:R1290)/('[1]LOCH Calc COE Calc'!$C$28))</f>
        <v/>
      </c>
      <c r="T1290" t="str">
        <f>IF(L1290="","",O1290/'[1]LOCH Calc COE Calc'!$C$28)</f>
        <v/>
      </c>
      <c r="U1290" t="str">
        <f>IF(L1290="","",P1290/'[1]LOCH Calc COE Calc'!$C$28)</f>
        <v/>
      </c>
      <c r="V1290" t="str">
        <f>IF(L1290="","",Q1290/'[1]LOCH Calc COE Calc'!$C$28)</f>
        <v/>
      </c>
      <c r="W1290" t="str">
        <f>IF(L1290="","",R1290/'[1]LOCH Calc COE Calc'!$C$28)</f>
        <v/>
      </c>
    </row>
    <row r="1291" spans="12:23" x14ac:dyDescent="0.25">
      <c r="L1291" s="4" t="str">
        <f>IF('[1]All Data '!BE1296="","",'[1]All Data '!BE1296)</f>
        <v/>
      </c>
      <c r="M1291" t="str">
        <f>IF('[1]All Data '!BF1296="","",'[1]All Data '!BF1296)</f>
        <v/>
      </c>
      <c r="N1291" s="5" t="str">
        <f>IF('[1]All Data '!BB1296="","",'[1]All Data '!BC1296/'[1]All Data '!BH1296)</f>
        <v/>
      </c>
      <c r="O1291" s="5" t="str">
        <f t="shared" si="22"/>
        <v/>
      </c>
      <c r="P1291" s="5" t="str">
        <f>IF(M1291="","",$C$2*(1-L1291)*907.2/0.621371*N1291*[1]Transportation!$M$40)</f>
        <v/>
      </c>
      <c r="Q1291" s="5" t="str">
        <f>IF(L1291="","",IF([1]Inputs_Outputs!$B$5="Herbaceous",(LCA!$E$29*'[1]LOCH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1" s="5" t="str">
        <f>IF(M1291="","",$E$2*1000*'[1]LOCH Calc COE Calc'!$C$44)</f>
        <v/>
      </c>
      <c r="S1291" s="6" t="str">
        <f>IF(N1291="","",SUM(O1291:R1291)/('[1]LOCH Calc COE Calc'!$C$28))</f>
        <v/>
      </c>
      <c r="T1291" t="str">
        <f>IF(L1291="","",O1291/'[1]LOCH Calc COE Calc'!$C$28)</f>
        <v/>
      </c>
      <c r="U1291" t="str">
        <f>IF(L1291="","",P1291/'[1]LOCH Calc COE Calc'!$C$28)</f>
        <v/>
      </c>
      <c r="V1291" t="str">
        <f>IF(L1291="","",Q1291/'[1]LOCH Calc COE Calc'!$C$28)</f>
        <v/>
      </c>
      <c r="W1291" t="str">
        <f>IF(L1291="","",R1291/'[1]LOCH Calc COE Calc'!$C$28)</f>
        <v/>
      </c>
    </row>
    <row r="1292" spans="12:23" x14ac:dyDescent="0.25">
      <c r="L1292" s="4" t="str">
        <f>IF('[1]All Data '!BE1297="","",'[1]All Data '!BE1297)</f>
        <v/>
      </c>
      <c r="M1292" t="str">
        <f>IF('[1]All Data '!BF1297="","",'[1]All Data '!BF1297)</f>
        <v/>
      </c>
      <c r="N1292" s="5" t="str">
        <f>IF('[1]All Data '!BB1297="","",'[1]All Data '!BC1297/'[1]All Data '!BH1297)</f>
        <v/>
      </c>
      <c r="O1292" s="5" t="str">
        <f t="shared" si="22"/>
        <v/>
      </c>
      <c r="P1292" s="5" t="str">
        <f>IF(M1292="","",$C$2*(1-L1292)*907.2/0.621371*N1292*[1]Transportation!$M$40)</f>
        <v/>
      </c>
      <c r="Q1292" s="5" t="str">
        <f>IF(L1292="","",IF([1]Inputs_Outputs!$B$5="Herbaceous",(LCA!$E$29*'[1]LOCH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2" s="5" t="str">
        <f>IF(M1292="","",$E$2*1000*'[1]LOCH Calc COE Calc'!$C$44)</f>
        <v/>
      </c>
      <c r="S1292" s="6" t="str">
        <f>IF(N1292="","",SUM(O1292:R1292)/('[1]LOCH Calc COE Calc'!$C$28))</f>
        <v/>
      </c>
      <c r="T1292" t="str">
        <f>IF(L1292="","",O1292/'[1]LOCH Calc COE Calc'!$C$28)</f>
        <v/>
      </c>
      <c r="U1292" t="str">
        <f>IF(L1292="","",P1292/'[1]LOCH Calc COE Calc'!$C$28)</f>
        <v/>
      </c>
      <c r="V1292" t="str">
        <f>IF(L1292="","",Q1292/'[1]LOCH Calc COE Calc'!$C$28)</f>
        <v/>
      </c>
      <c r="W1292" t="str">
        <f>IF(L1292="","",R1292/'[1]LOCH Calc COE Calc'!$C$28)</f>
        <v/>
      </c>
    </row>
    <row r="1293" spans="12:23" x14ac:dyDescent="0.25">
      <c r="L1293" s="4" t="str">
        <f>IF('[1]All Data '!BE1298="","",'[1]All Data '!BE1298)</f>
        <v/>
      </c>
      <c r="M1293" t="str">
        <f>IF('[1]All Data '!BF1298="","",'[1]All Data '!BF1298)</f>
        <v/>
      </c>
      <c r="N1293" s="5" t="str">
        <f>IF('[1]All Data '!BB1298="","",'[1]All Data '!BC1298/'[1]All Data '!BH1298)</f>
        <v/>
      </c>
      <c r="O1293" s="5" t="str">
        <f t="shared" si="22"/>
        <v/>
      </c>
      <c r="P1293" s="5" t="str">
        <f>IF(M1293="","",$C$2*(1-L1293)*907.2/0.621371*N1293*[1]Transportation!$M$40)</f>
        <v/>
      </c>
      <c r="Q1293" s="5" t="str">
        <f>IF(L1293="","",IF([1]Inputs_Outputs!$B$5="Herbaceous",(LCA!$E$29*'[1]LOCH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3" s="5" t="str">
        <f>IF(M1293="","",$E$2*1000*'[1]LOCH Calc COE Calc'!$C$44)</f>
        <v/>
      </c>
      <c r="S1293" s="6" t="str">
        <f>IF(N1293="","",SUM(O1293:R1293)/('[1]LOCH Calc COE Calc'!$C$28))</f>
        <v/>
      </c>
      <c r="T1293" t="str">
        <f>IF(L1293="","",O1293/'[1]LOCH Calc COE Calc'!$C$28)</f>
        <v/>
      </c>
      <c r="U1293" t="str">
        <f>IF(L1293="","",P1293/'[1]LOCH Calc COE Calc'!$C$28)</f>
        <v/>
      </c>
      <c r="V1293" t="str">
        <f>IF(L1293="","",Q1293/'[1]LOCH Calc COE Calc'!$C$28)</f>
        <v/>
      </c>
      <c r="W1293" t="str">
        <f>IF(L1293="","",R1293/'[1]LOCH Calc COE Calc'!$C$28)</f>
        <v/>
      </c>
    </row>
    <row r="1294" spans="12:23" x14ac:dyDescent="0.25">
      <c r="L1294" s="4" t="str">
        <f>IF('[1]All Data '!BE1299="","",'[1]All Data '!BE1299)</f>
        <v/>
      </c>
      <c r="M1294" t="str">
        <f>IF('[1]All Data '!BF1299="","",'[1]All Data '!BF1299)</f>
        <v/>
      </c>
      <c r="N1294" s="5" t="str">
        <f>IF('[1]All Data '!BB1299="","",'[1]All Data '!BC1299/'[1]All Data '!BH1299)</f>
        <v/>
      </c>
      <c r="O1294" s="5" t="str">
        <f t="shared" si="22"/>
        <v/>
      </c>
      <c r="P1294" s="5" t="str">
        <f>IF(M1294="","",$C$2*(1-L1294)*907.2/0.621371*N1294*[1]Transportation!$M$40)</f>
        <v/>
      </c>
      <c r="Q1294" s="5" t="str">
        <f>IF(L1294="","",IF([1]Inputs_Outputs!$B$5="Herbaceous",(LCA!$E$29*'[1]LOCH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4" s="5" t="str">
        <f>IF(M1294="","",$E$2*1000*'[1]LOCH Calc COE Calc'!$C$44)</f>
        <v/>
      </c>
      <c r="S1294" s="6" t="str">
        <f>IF(N1294="","",SUM(O1294:R1294)/('[1]LOCH Calc COE Calc'!$C$28))</f>
        <v/>
      </c>
      <c r="T1294" t="str">
        <f>IF(L1294="","",O1294/'[1]LOCH Calc COE Calc'!$C$28)</f>
        <v/>
      </c>
      <c r="U1294" t="str">
        <f>IF(L1294="","",P1294/'[1]LOCH Calc COE Calc'!$C$28)</f>
        <v/>
      </c>
      <c r="V1294" t="str">
        <f>IF(L1294="","",Q1294/'[1]LOCH Calc COE Calc'!$C$28)</f>
        <v/>
      </c>
      <c r="W1294" t="str">
        <f>IF(L1294="","",R1294/'[1]LOCH Calc COE Calc'!$C$28)</f>
        <v/>
      </c>
    </row>
    <row r="1295" spans="12:23" x14ac:dyDescent="0.25">
      <c r="L1295" s="4" t="str">
        <f>IF('[1]All Data '!BE1300="","",'[1]All Data '!BE1300)</f>
        <v/>
      </c>
      <c r="M1295" t="str">
        <f>IF('[1]All Data '!BF1300="","",'[1]All Data '!BF1300)</f>
        <v/>
      </c>
      <c r="N1295" s="5" t="str">
        <f>IF('[1]All Data '!BB1300="","",'[1]All Data '!BC1300/'[1]All Data '!BH1300)</f>
        <v/>
      </c>
      <c r="O1295" s="5" t="str">
        <f t="shared" si="22"/>
        <v/>
      </c>
      <c r="P1295" s="5" t="str">
        <f>IF(M1295="","",$C$2*(1-L1295)*907.2/0.621371*N1295*[1]Transportation!$M$40)</f>
        <v/>
      </c>
      <c r="Q1295" s="5" t="str">
        <f>IF(L1295="","",IF([1]Inputs_Outputs!$B$5="Herbaceous",(LCA!$E$29*'[1]LOCH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5" s="5" t="str">
        <f>IF(M1295="","",$E$2*1000*'[1]LOCH Calc COE Calc'!$C$44)</f>
        <v/>
      </c>
      <c r="S1295" s="6" t="str">
        <f>IF(N1295="","",SUM(O1295:R1295)/('[1]LOCH Calc COE Calc'!$C$28))</f>
        <v/>
      </c>
      <c r="T1295" t="str">
        <f>IF(L1295="","",O1295/'[1]LOCH Calc COE Calc'!$C$28)</f>
        <v/>
      </c>
      <c r="U1295" t="str">
        <f>IF(L1295="","",P1295/'[1]LOCH Calc COE Calc'!$C$28)</f>
        <v/>
      </c>
      <c r="V1295" t="str">
        <f>IF(L1295="","",Q1295/'[1]LOCH Calc COE Calc'!$C$28)</f>
        <v/>
      </c>
      <c r="W1295" t="str">
        <f>IF(L1295="","",R1295/'[1]LOCH Calc COE Calc'!$C$28)</f>
        <v/>
      </c>
    </row>
    <row r="1296" spans="12:23" x14ac:dyDescent="0.25">
      <c r="L1296" s="4" t="str">
        <f>IF('[1]All Data '!BE1301="","",'[1]All Data '!BE1301)</f>
        <v/>
      </c>
      <c r="M1296" t="str">
        <f>IF('[1]All Data '!BF1301="","",'[1]All Data '!BF1301)</f>
        <v/>
      </c>
      <c r="N1296" s="5" t="str">
        <f>IF('[1]All Data '!BB1301="","",'[1]All Data '!BC1301/'[1]All Data '!BH1301)</f>
        <v/>
      </c>
      <c r="O1296" s="5" t="str">
        <f t="shared" si="22"/>
        <v/>
      </c>
      <c r="P1296" s="5" t="str">
        <f>IF(M1296="","",$C$2*(1-L1296)*907.2/0.621371*N1296*[1]Transportation!$M$40)</f>
        <v/>
      </c>
      <c r="Q1296" s="5" t="str">
        <f>IF(L1296="","",IF([1]Inputs_Outputs!$B$5="Herbaceous",(LCA!$E$29*'[1]LOCH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6" s="5" t="str">
        <f>IF(M1296="","",$E$2*1000*'[1]LOCH Calc COE Calc'!$C$44)</f>
        <v/>
      </c>
      <c r="S1296" s="6" t="str">
        <f>IF(N1296="","",SUM(O1296:R1296)/('[1]LOCH Calc COE Calc'!$C$28))</f>
        <v/>
      </c>
      <c r="T1296" t="str">
        <f>IF(L1296="","",O1296/'[1]LOCH Calc COE Calc'!$C$28)</f>
        <v/>
      </c>
      <c r="U1296" t="str">
        <f>IF(L1296="","",P1296/'[1]LOCH Calc COE Calc'!$C$28)</f>
        <v/>
      </c>
      <c r="V1296" t="str">
        <f>IF(L1296="","",Q1296/'[1]LOCH Calc COE Calc'!$C$28)</f>
        <v/>
      </c>
      <c r="W1296" t="str">
        <f>IF(L1296="","",R1296/'[1]LOCH Calc COE Calc'!$C$28)</f>
        <v/>
      </c>
    </row>
    <row r="1297" spans="12:23" x14ac:dyDescent="0.25">
      <c r="L1297" s="4" t="str">
        <f>IF('[1]All Data '!BE1302="","",'[1]All Data '!BE1302)</f>
        <v/>
      </c>
      <c r="M1297" t="str">
        <f>IF('[1]All Data '!BF1302="","",'[1]All Data '!BF1302)</f>
        <v/>
      </c>
      <c r="N1297" s="5" t="str">
        <f>IF('[1]All Data '!BB1302="","",'[1]All Data '!BC1302/'[1]All Data '!BH1302)</f>
        <v/>
      </c>
      <c r="O1297" s="5" t="str">
        <f t="shared" si="22"/>
        <v/>
      </c>
      <c r="P1297" s="5" t="str">
        <f>IF(M1297="","",$C$2*(1-L1297)*907.2/0.621371*N1297*[1]Transportation!$M$40)</f>
        <v/>
      </c>
      <c r="Q1297" s="5" t="str">
        <f>IF(L1297="","",IF([1]Inputs_Outputs!$B$5="Herbaceous",(LCA!$E$29*'[1]LOCH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7" s="5" t="str">
        <f>IF(M1297="","",$E$2*1000*'[1]LOCH Calc COE Calc'!$C$44)</f>
        <v/>
      </c>
      <c r="S1297" s="6" t="str">
        <f>IF(N1297="","",SUM(O1297:R1297)/('[1]LOCH Calc COE Calc'!$C$28))</f>
        <v/>
      </c>
      <c r="T1297" t="str">
        <f>IF(L1297="","",O1297/'[1]LOCH Calc COE Calc'!$C$28)</f>
        <v/>
      </c>
      <c r="U1297" t="str">
        <f>IF(L1297="","",P1297/'[1]LOCH Calc COE Calc'!$C$28)</f>
        <v/>
      </c>
      <c r="V1297" t="str">
        <f>IF(L1297="","",Q1297/'[1]LOCH Calc COE Calc'!$C$28)</f>
        <v/>
      </c>
      <c r="W1297" t="str">
        <f>IF(L1297="","",R1297/'[1]LOCH Calc COE Calc'!$C$28)</f>
        <v/>
      </c>
    </row>
    <row r="1298" spans="12:23" x14ac:dyDescent="0.25">
      <c r="L1298" s="4" t="str">
        <f>IF('[1]All Data '!BE1303="","",'[1]All Data '!BE1303)</f>
        <v/>
      </c>
      <c r="M1298" t="str">
        <f>IF('[1]All Data '!BF1303="","",'[1]All Data '!BF1303)</f>
        <v/>
      </c>
      <c r="N1298" s="5" t="str">
        <f>IF('[1]All Data '!BB1303="","",'[1]All Data '!BC1303/'[1]All Data '!BH1303)</f>
        <v/>
      </c>
      <c r="O1298" s="5" t="str">
        <f t="shared" si="22"/>
        <v/>
      </c>
      <c r="P1298" s="5" t="str">
        <f>IF(M1298="","",$C$2*(1-L1298)*907.2/0.621371*N1298*[1]Transportation!$M$40)</f>
        <v/>
      </c>
      <c r="Q1298" s="5" t="str">
        <f>IF(L1298="","",IF([1]Inputs_Outputs!$B$5="Herbaceous",(LCA!$E$29*'[1]LOCH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8" s="5" t="str">
        <f>IF(M1298="","",$E$2*1000*'[1]LOCH Calc COE Calc'!$C$44)</f>
        <v/>
      </c>
      <c r="S1298" s="6" t="str">
        <f>IF(N1298="","",SUM(O1298:R1298)/('[1]LOCH Calc COE Calc'!$C$28))</f>
        <v/>
      </c>
      <c r="T1298" t="str">
        <f>IF(L1298="","",O1298/'[1]LOCH Calc COE Calc'!$C$28)</f>
        <v/>
      </c>
      <c r="U1298" t="str">
        <f>IF(L1298="","",P1298/'[1]LOCH Calc COE Calc'!$C$28)</f>
        <v/>
      </c>
      <c r="V1298" t="str">
        <f>IF(L1298="","",Q1298/'[1]LOCH Calc COE Calc'!$C$28)</f>
        <v/>
      </c>
      <c r="W1298" t="str">
        <f>IF(L1298="","",R1298/'[1]LOCH Calc COE Calc'!$C$28)</f>
        <v/>
      </c>
    </row>
    <row r="1299" spans="12:23" x14ac:dyDescent="0.25">
      <c r="L1299" s="4" t="str">
        <f>IF('[1]All Data '!BE1304="","",'[1]All Data '!BE1304)</f>
        <v/>
      </c>
      <c r="M1299" t="str">
        <f>IF('[1]All Data '!BF1304="","",'[1]All Data '!BF1304)</f>
        <v/>
      </c>
      <c r="N1299" s="5" t="str">
        <f>IF('[1]All Data '!BB1304="","",'[1]All Data '!BC1304/'[1]All Data '!BH1304)</f>
        <v/>
      </c>
      <c r="O1299" s="5" t="str">
        <f t="shared" si="22"/>
        <v/>
      </c>
      <c r="P1299" s="5" t="str">
        <f>IF(M1299="","",$C$2*(1-L1299)*907.2/0.621371*N1299*[1]Transportation!$M$40)</f>
        <v/>
      </c>
      <c r="Q1299" s="5" t="str">
        <f>IF(L1299="","",IF([1]Inputs_Outputs!$B$5="Herbaceous",(LCA!$E$29*'[1]LOCH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299" s="5" t="str">
        <f>IF(M1299="","",$E$2*1000*'[1]LOCH Calc COE Calc'!$C$44)</f>
        <v/>
      </c>
      <c r="S1299" s="6" t="str">
        <f>IF(N1299="","",SUM(O1299:R1299)/('[1]LOCH Calc COE Calc'!$C$28))</f>
        <v/>
      </c>
      <c r="T1299" t="str">
        <f>IF(L1299="","",O1299/'[1]LOCH Calc COE Calc'!$C$28)</f>
        <v/>
      </c>
      <c r="U1299" t="str">
        <f>IF(L1299="","",P1299/'[1]LOCH Calc COE Calc'!$C$28)</f>
        <v/>
      </c>
      <c r="V1299" t="str">
        <f>IF(L1299="","",Q1299/'[1]LOCH Calc COE Calc'!$C$28)</f>
        <v/>
      </c>
      <c r="W1299" t="str">
        <f>IF(L1299="","",R1299/'[1]LOCH Calc COE Calc'!$C$28)</f>
        <v/>
      </c>
    </row>
    <row r="1300" spans="12:23" x14ac:dyDescent="0.25">
      <c r="L1300" s="4" t="str">
        <f>IF('[1]All Data '!BE1305="","",'[1]All Data '!BE1305)</f>
        <v/>
      </c>
      <c r="M1300" t="str">
        <f>IF('[1]All Data '!BF1305="","",'[1]All Data '!BF1305)</f>
        <v/>
      </c>
      <c r="N1300" s="5" t="str">
        <f>IF('[1]All Data '!BB1305="","",'[1]All Data '!BC1305/'[1]All Data '!BH1305)</f>
        <v/>
      </c>
      <c r="O1300" s="5" t="str">
        <f t="shared" si="22"/>
        <v/>
      </c>
      <c r="P1300" s="5" t="str">
        <f>IF(M1300="","",$C$2*(1-L1300)*907.2/0.621371*N1300*[1]Transportation!$M$40)</f>
        <v/>
      </c>
      <c r="Q1300" s="5" t="str">
        <f>IF(L1300="","",IF([1]Inputs_Outputs!$B$5="Herbaceous",(LCA!$E$29*'[1]LOCH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0" s="5" t="str">
        <f>IF(M1300="","",$E$2*1000*'[1]LOCH Calc COE Calc'!$C$44)</f>
        <v/>
      </c>
      <c r="S1300" s="6" t="str">
        <f>IF(N1300="","",SUM(O1300:R1300)/('[1]LOCH Calc COE Calc'!$C$28))</f>
        <v/>
      </c>
      <c r="T1300" t="str">
        <f>IF(L1300="","",O1300/'[1]LOCH Calc COE Calc'!$C$28)</f>
        <v/>
      </c>
      <c r="U1300" t="str">
        <f>IF(L1300="","",P1300/'[1]LOCH Calc COE Calc'!$C$28)</f>
        <v/>
      </c>
      <c r="V1300" t="str">
        <f>IF(L1300="","",Q1300/'[1]LOCH Calc COE Calc'!$C$28)</f>
        <v/>
      </c>
      <c r="W1300" t="str">
        <f>IF(L1300="","",R1300/'[1]LOCH Calc COE Calc'!$C$28)</f>
        <v/>
      </c>
    </row>
    <row r="1301" spans="12:23" x14ac:dyDescent="0.25">
      <c r="L1301" s="4" t="str">
        <f>IF('[1]All Data '!BE1306="","",'[1]All Data '!BE1306)</f>
        <v/>
      </c>
      <c r="M1301" t="str">
        <f>IF('[1]All Data '!BF1306="","",'[1]All Data '!BF1306)</f>
        <v/>
      </c>
      <c r="N1301" s="5" t="str">
        <f>IF('[1]All Data '!BB1306="","",'[1]All Data '!BC1306/'[1]All Data '!BH1306)</f>
        <v/>
      </c>
      <c r="O1301" s="5" t="str">
        <f t="shared" si="22"/>
        <v/>
      </c>
      <c r="P1301" s="5" t="str">
        <f>IF(M1301="","",$C$2*(1-L1301)*907.2/0.621371*N1301*[1]Transportation!$M$40)</f>
        <v/>
      </c>
      <c r="Q1301" s="5" t="str">
        <f>IF(L1301="","",IF([1]Inputs_Outputs!$B$5="Herbaceous",(LCA!$E$29*'[1]LOCH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1" s="5" t="str">
        <f>IF(M1301="","",$E$2*1000*'[1]LOCH Calc COE Calc'!$C$44)</f>
        <v/>
      </c>
      <c r="S1301" s="6" t="str">
        <f>IF(N1301="","",SUM(O1301:R1301)/('[1]LOCH Calc COE Calc'!$C$28))</f>
        <v/>
      </c>
      <c r="T1301" t="str">
        <f>IF(L1301="","",O1301/'[1]LOCH Calc COE Calc'!$C$28)</f>
        <v/>
      </c>
      <c r="U1301" t="str">
        <f>IF(L1301="","",P1301/'[1]LOCH Calc COE Calc'!$C$28)</f>
        <v/>
      </c>
      <c r="V1301" t="str">
        <f>IF(L1301="","",Q1301/'[1]LOCH Calc COE Calc'!$C$28)</f>
        <v/>
      </c>
      <c r="W1301" t="str">
        <f>IF(L1301="","",R1301/'[1]LOCH Calc COE Calc'!$C$28)</f>
        <v/>
      </c>
    </row>
    <row r="1302" spans="12:23" x14ac:dyDescent="0.25">
      <c r="L1302" s="4" t="str">
        <f>IF('[1]All Data '!BE1307="","",'[1]All Data '!BE1307)</f>
        <v/>
      </c>
      <c r="M1302" t="str">
        <f>IF('[1]All Data '!BF1307="","",'[1]All Data '!BF1307)</f>
        <v/>
      </c>
      <c r="N1302" s="5" t="str">
        <f>IF('[1]All Data '!BB1307="","",'[1]All Data '!BC1307/'[1]All Data '!BH1307)</f>
        <v/>
      </c>
      <c r="O1302" s="5" t="str">
        <f t="shared" si="22"/>
        <v/>
      </c>
      <c r="P1302" s="5" t="str">
        <f>IF(M1302="","",$C$2*(1-L1302)*907.2/0.621371*N1302*[1]Transportation!$M$40)</f>
        <v/>
      </c>
      <c r="Q1302" s="5" t="str">
        <f>IF(L1302="","",IF([1]Inputs_Outputs!$B$5="Herbaceous",(LCA!$E$29*'[1]LOCH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2" s="5" t="str">
        <f>IF(M1302="","",$E$2*1000*'[1]LOCH Calc COE Calc'!$C$44)</f>
        <v/>
      </c>
      <c r="S1302" s="6" t="str">
        <f>IF(N1302="","",SUM(O1302:R1302)/('[1]LOCH Calc COE Calc'!$C$28))</f>
        <v/>
      </c>
      <c r="T1302" t="str">
        <f>IF(L1302="","",O1302/'[1]LOCH Calc COE Calc'!$C$28)</f>
        <v/>
      </c>
      <c r="U1302" t="str">
        <f>IF(L1302="","",P1302/'[1]LOCH Calc COE Calc'!$C$28)</f>
        <v/>
      </c>
      <c r="V1302" t="str">
        <f>IF(L1302="","",Q1302/'[1]LOCH Calc COE Calc'!$C$28)</f>
        <v/>
      </c>
      <c r="W1302" t="str">
        <f>IF(L1302="","",R1302/'[1]LOCH Calc COE Calc'!$C$28)</f>
        <v/>
      </c>
    </row>
    <row r="1303" spans="12:23" x14ac:dyDescent="0.25">
      <c r="L1303" s="4" t="str">
        <f>IF('[1]All Data '!BE1308="","",'[1]All Data '!BE1308)</f>
        <v/>
      </c>
      <c r="M1303" t="str">
        <f>IF('[1]All Data '!BF1308="","",'[1]All Data '!BF1308)</f>
        <v/>
      </c>
      <c r="N1303" s="5" t="str">
        <f>IF('[1]All Data '!BB1308="","",'[1]All Data '!BC1308/'[1]All Data '!BH1308)</f>
        <v/>
      </c>
      <c r="O1303" s="5" t="str">
        <f t="shared" si="22"/>
        <v/>
      </c>
      <c r="P1303" s="5" t="str">
        <f>IF(M1303="","",$C$2*(1-L1303)*907.2/0.621371*N1303*[1]Transportation!$M$40)</f>
        <v/>
      </c>
      <c r="Q1303" s="5" t="str">
        <f>IF(L1303="","",IF([1]Inputs_Outputs!$B$5="Herbaceous",(LCA!$E$29*'[1]LOCH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3" s="5" t="str">
        <f>IF(M1303="","",$E$2*1000*'[1]LOCH Calc COE Calc'!$C$44)</f>
        <v/>
      </c>
      <c r="S1303" s="6" t="str">
        <f>IF(N1303="","",SUM(O1303:R1303)/('[1]LOCH Calc COE Calc'!$C$28))</f>
        <v/>
      </c>
      <c r="T1303" t="str">
        <f>IF(L1303="","",O1303/'[1]LOCH Calc COE Calc'!$C$28)</f>
        <v/>
      </c>
      <c r="U1303" t="str">
        <f>IF(L1303="","",P1303/'[1]LOCH Calc COE Calc'!$C$28)</f>
        <v/>
      </c>
      <c r="V1303" t="str">
        <f>IF(L1303="","",Q1303/'[1]LOCH Calc COE Calc'!$C$28)</f>
        <v/>
      </c>
      <c r="W1303" t="str">
        <f>IF(L1303="","",R1303/'[1]LOCH Calc COE Calc'!$C$28)</f>
        <v/>
      </c>
    </row>
    <row r="1304" spans="12:23" x14ac:dyDescent="0.25">
      <c r="L1304" s="4" t="str">
        <f>IF('[1]All Data '!BE1309="","",'[1]All Data '!BE1309)</f>
        <v/>
      </c>
      <c r="M1304" t="str">
        <f>IF('[1]All Data '!BF1309="","",'[1]All Data '!BF1309)</f>
        <v/>
      </c>
      <c r="N1304" s="5" t="str">
        <f>IF('[1]All Data '!BB1309="","",'[1]All Data '!BC1309/'[1]All Data '!BH1309)</f>
        <v/>
      </c>
      <c r="O1304" s="5" t="str">
        <f t="shared" si="22"/>
        <v/>
      </c>
      <c r="P1304" s="5" t="str">
        <f>IF(M1304="","",$C$2*(1-L1304)*907.2/0.621371*N1304*[1]Transportation!$M$40)</f>
        <v/>
      </c>
      <c r="Q1304" s="5" t="str">
        <f>IF(L1304="","",IF([1]Inputs_Outputs!$B$5="Herbaceous",(LCA!$E$29*'[1]LOCH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4" s="5" t="str">
        <f>IF(M1304="","",$E$2*1000*'[1]LOCH Calc COE Calc'!$C$44)</f>
        <v/>
      </c>
      <c r="S1304" s="6" t="str">
        <f>IF(N1304="","",SUM(O1304:R1304)/('[1]LOCH Calc COE Calc'!$C$28))</f>
        <v/>
      </c>
      <c r="T1304" t="str">
        <f>IF(L1304="","",O1304/'[1]LOCH Calc COE Calc'!$C$28)</f>
        <v/>
      </c>
      <c r="U1304" t="str">
        <f>IF(L1304="","",P1304/'[1]LOCH Calc COE Calc'!$C$28)</f>
        <v/>
      </c>
      <c r="V1304" t="str">
        <f>IF(L1304="","",Q1304/'[1]LOCH Calc COE Calc'!$C$28)</f>
        <v/>
      </c>
      <c r="W1304" t="str">
        <f>IF(L1304="","",R1304/'[1]LOCH Calc COE Calc'!$C$28)</f>
        <v/>
      </c>
    </row>
    <row r="1305" spans="12:23" x14ac:dyDescent="0.25">
      <c r="L1305" s="4" t="str">
        <f>IF('[1]All Data '!BE1310="","",'[1]All Data '!BE1310)</f>
        <v/>
      </c>
      <c r="M1305" t="str">
        <f>IF('[1]All Data '!BF1310="","",'[1]All Data '!BF1310)</f>
        <v/>
      </c>
      <c r="N1305" s="5" t="str">
        <f>IF('[1]All Data '!BB1310="","",'[1]All Data '!BC1310/'[1]All Data '!BH1310)</f>
        <v/>
      </c>
      <c r="O1305" s="5" t="str">
        <f t="shared" si="22"/>
        <v/>
      </c>
      <c r="P1305" s="5" t="str">
        <f>IF(M1305="","",$C$2*(1-L1305)*907.2/0.621371*N1305*[1]Transportation!$M$40)</f>
        <v/>
      </c>
      <c r="Q1305" s="5" t="str">
        <f>IF(L1305="","",IF([1]Inputs_Outputs!$B$5="Herbaceous",(LCA!$E$29*'[1]LOCH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5" s="5" t="str">
        <f>IF(M1305="","",$E$2*1000*'[1]LOCH Calc COE Calc'!$C$44)</f>
        <v/>
      </c>
      <c r="S1305" s="6" t="str">
        <f>IF(N1305="","",SUM(O1305:R1305)/('[1]LOCH Calc COE Calc'!$C$28))</f>
        <v/>
      </c>
      <c r="T1305" t="str">
        <f>IF(L1305="","",O1305/'[1]LOCH Calc COE Calc'!$C$28)</f>
        <v/>
      </c>
      <c r="U1305" t="str">
        <f>IF(L1305="","",P1305/'[1]LOCH Calc COE Calc'!$C$28)</f>
        <v/>
      </c>
      <c r="V1305" t="str">
        <f>IF(L1305="","",Q1305/'[1]LOCH Calc COE Calc'!$C$28)</f>
        <v/>
      </c>
      <c r="W1305" t="str">
        <f>IF(L1305="","",R1305/'[1]LOCH Calc COE Calc'!$C$28)</f>
        <v/>
      </c>
    </row>
    <row r="1306" spans="12:23" x14ac:dyDescent="0.25">
      <c r="L1306" s="4" t="str">
        <f>IF('[1]All Data '!BE1311="","",'[1]All Data '!BE1311)</f>
        <v/>
      </c>
      <c r="M1306" t="str">
        <f>IF('[1]All Data '!BF1311="","",'[1]All Data '!BF1311)</f>
        <v/>
      </c>
      <c r="N1306" s="5" t="str">
        <f>IF('[1]All Data '!BB1311="","",'[1]All Data '!BC1311/'[1]All Data '!BH1311)</f>
        <v/>
      </c>
      <c r="O1306" s="5" t="str">
        <f t="shared" si="22"/>
        <v/>
      </c>
      <c r="P1306" s="5" t="str">
        <f>IF(M1306="","",$C$2*(1-L1306)*907.2/0.621371*N1306*[1]Transportation!$M$40)</f>
        <v/>
      </c>
      <c r="Q1306" s="5" t="str">
        <f>IF(L1306="","",IF([1]Inputs_Outputs!$B$5="Herbaceous",(LCA!$E$29*'[1]LOCH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6" s="5" t="str">
        <f>IF(M1306="","",$E$2*1000*'[1]LOCH Calc COE Calc'!$C$44)</f>
        <v/>
      </c>
      <c r="S1306" s="6" t="str">
        <f>IF(N1306="","",SUM(O1306:R1306)/('[1]LOCH Calc COE Calc'!$C$28))</f>
        <v/>
      </c>
      <c r="T1306" t="str">
        <f>IF(L1306="","",O1306/'[1]LOCH Calc COE Calc'!$C$28)</f>
        <v/>
      </c>
      <c r="U1306" t="str">
        <f>IF(L1306="","",P1306/'[1]LOCH Calc COE Calc'!$C$28)</f>
        <v/>
      </c>
      <c r="V1306" t="str">
        <f>IF(L1306="","",Q1306/'[1]LOCH Calc COE Calc'!$C$28)</f>
        <v/>
      </c>
      <c r="W1306" t="str">
        <f>IF(L1306="","",R1306/'[1]LOCH Calc COE Calc'!$C$28)</f>
        <v/>
      </c>
    </row>
    <row r="1307" spans="12:23" x14ac:dyDescent="0.25">
      <c r="L1307" s="4" t="str">
        <f>IF('[1]All Data '!BE1312="","",'[1]All Data '!BE1312)</f>
        <v/>
      </c>
      <c r="M1307" t="str">
        <f>IF('[1]All Data '!BF1312="","",'[1]All Data '!BF1312)</f>
        <v/>
      </c>
      <c r="N1307" s="5" t="str">
        <f>IF('[1]All Data '!BB1312="","",'[1]All Data '!BC1312/'[1]All Data '!BH1312)</f>
        <v/>
      </c>
      <c r="O1307" s="5" t="str">
        <f t="shared" si="22"/>
        <v/>
      </c>
      <c r="P1307" s="5" t="str">
        <f>IF(M1307="","",$C$2*(1-L1307)*907.2/0.621371*N1307*[1]Transportation!$M$40)</f>
        <v/>
      </c>
      <c r="Q1307" s="5" t="str">
        <f>IF(L1307="","",IF([1]Inputs_Outputs!$B$5="Herbaceous",(LCA!$E$29*'[1]LOCH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7" s="5" t="str">
        <f>IF(M1307="","",$E$2*1000*'[1]LOCH Calc COE Calc'!$C$44)</f>
        <v/>
      </c>
      <c r="S1307" s="6" t="str">
        <f>IF(N1307="","",SUM(O1307:R1307)/('[1]LOCH Calc COE Calc'!$C$28))</f>
        <v/>
      </c>
      <c r="T1307" t="str">
        <f>IF(L1307="","",O1307/'[1]LOCH Calc COE Calc'!$C$28)</f>
        <v/>
      </c>
      <c r="U1307" t="str">
        <f>IF(L1307="","",P1307/'[1]LOCH Calc COE Calc'!$C$28)</f>
        <v/>
      </c>
      <c r="V1307" t="str">
        <f>IF(L1307="","",Q1307/'[1]LOCH Calc COE Calc'!$C$28)</f>
        <v/>
      </c>
      <c r="W1307" t="str">
        <f>IF(L1307="","",R1307/'[1]LOCH Calc COE Calc'!$C$28)</f>
        <v/>
      </c>
    </row>
    <row r="1308" spans="12:23" x14ac:dyDescent="0.25">
      <c r="L1308" s="4" t="str">
        <f>IF('[1]All Data '!BE1313="","",'[1]All Data '!BE1313)</f>
        <v/>
      </c>
      <c r="M1308" t="str">
        <f>IF('[1]All Data '!BF1313="","",'[1]All Data '!BF1313)</f>
        <v/>
      </c>
      <c r="N1308" s="5" t="str">
        <f>IF('[1]All Data '!BB1313="","",'[1]All Data '!BC1313/'[1]All Data '!BH1313)</f>
        <v/>
      </c>
      <c r="O1308" s="5" t="str">
        <f t="shared" si="22"/>
        <v/>
      </c>
      <c r="P1308" s="5" t="str">
        <f>IF(M1308="","",$C$2*(1-L1308)*907.2/0.621371*N1308*[1]Transportation!$M$40)</f>
        <v/>
      </c>
      <c r="Q1308" s="5" t="str">
        <f>IF(L1308="","",IF([1]Inputs_Outputs!$B$5="Herbaceous",(LCA!$E$29*'[1]LOCH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8" s="5" t="str">
        <f>IF(M1308="","",$E$2*1000*'[1]LOCH Calc COE Calc'!$C$44)</f>
        <v/>
      </c>
      <c r="S1308" s="6" t="str">
        <f>IF(N1308="","",SUM(O1308:R1308)/('[1]LOCH Calc COE Calc'!$C$28))</f>
        <v/>
      </c>
      <c r="T1308" t="str">
        <f>IF(L1308="","",O1308/'[1]LOCH Calc COE Calc'!$C$28)</f>
        <v/>
      </c>
      <c r="U1308" t="str">
        <f>IF(L1308="","",P1308/'[1]LOCH Calc COE Calc'!$C$28)</f>
        <v/>
      </c>
      <c r="V1308" t="str">
        <f>IF(L1308="","",Q1308/'[1]LOCH Calc COE Calc'!$C$28)</f>
        <v/>
      </c>
      <c r="W1308" t="str">
        <f>IF(L1308="","",R1308/'[1]LOCH Calc COE Calc'!$C$28)</f>
        <v/>
      </c>
    </row>
    <row r="1309" spans="12:23" x14ac:dyDescent="0.25">
      <c r="L1309" s="4" t="str">
        <f>IF('[1]All Data '!BE1314="","",'[1]All Data '!BE1314)</f>
        <v/>
      </c>
      <c r="M1309" t="str">
        <f>IF('[1]All Data '!BF1314="","",'[1]All Data '!BF1314)</f>
        <v/>
      </c>
      <c r="N1309" s="5" t="str">
        <f>IF('[1]All Data '!BB1314="","",'[1]All Data '!BC1314/'[1]All Data '!BH1314)</f>
        <v/>
      </c>
      <c r="O1309" s="5" t="str">
        <f t="shared" si="22"/>
        <v/>
      </c>
      <c r="P1309" s="5" t="str">
        <f>IF(M1309="","",$C$2*(1-L1309)*907.2/0.621371*N1309*[1]Transportation!$M$40)</f>
        <v/>
      </c>
      <c r="Q1309" s="5" t="str">
        <f>IF(L1309="","",IF([1]Inputs_Outputs!$B$5="Herbaceous",(LCA!$E$29*'[1]LOCH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09" s="5" t="str">
        <f>IF(M1309="","",$E$2*1000*'[1]LOCH Calc COE Calc'!$C$44)</f>
        <v/>
      </c>
      <c r="S1309" s="6" t="str">
        <f>IF(N1309="","",SUM(O1309:R1309)/('[1]LOCH Calc COE Calc'!$C$28))</f>
        <v/>
      </c>
      <c r="T1309" t="str">
        <f>IF(L1309="","",O1309/'[1]LOCH Calc COE Calc'!$C$28)</f>
        <v/>
      </c>
      <c r="U1309" t="str">
        <f>IF(L1309="","",P1309/'[1]LOCH Calc COE Calc'!$C$28)</f>
        <v/>
      </c>
      <c r="V1309" t="str">
        <f>IF(L1309="","",Q1309/'[1]LOCH Calc COE Calc'!$C$28)</f>
        <v/>
      </c>
      <c r="W1309" t="str">
        <f>IF(L1309="","",R1309/'[1]LOCH Calc COE Calc'!$C$28)</f>
        <v/>
      </c>
    </row>
    <row r="1310" spans="12:23" x14ac:dyDescent="0.25">
      <c r="L1310" s="4" t="str">
        <f>IF('[1]All Data '!BE1315="","",'[1]All Data '!BE1315)</f>
        <v/>
      </c>
      <c r="M1310" t="str">
        <f>IF('[1]All Data '!BF1315="","",'[1]All Data '!BF1315)</f>
        <v/>
      </c>
      <c r="N1310" s="5" t="str">
        <f>IF('[1]All Data '!BB1315="","",'[1]All Data '!BC1315/'[1]All Data '!BH1315)</f>
        <v/>
      </c>
      <c r="O1310" s="5" t="str">
        <f t="shared" si="22"/>
        <v/>
      </c>
      <c r="P1310" s="5" t="str">
        <f>IF(M1310="","",$C$2*(1-L1310)*907.2/0.621371*N1310*[1]Transportation!$M$40)</f>
        <v/>
      </c>
      <c r="Q1310" s="5" t="str">
        <f>IF(L1310="","",IF([1]Inputs_Outputs!$B$5="Herbaceous",(LCA!$E$29*'[1]LOCH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0" s="5" t="str">
        <f>IF(M1310="","",$E$2*1000*'[1]LOCH Calc COE Calc'!$C$44)</f>
        <v/>
      </c>
      <c r="S1310" s="6" t="str">
        <f>IF(N1310="","",SUM(O1310:R1310)/('[1]LOCH Calc COE Calc'!$C$28))</f>
        <v/>
      </c>
      <c r="T1310" t="str">
        <f>IF(L1310="","",O1310/'[1]LOCH Calc COE Calc'!$C$28)</f>
        <v/>
      </c>
      <c r="U1310" t="str">
        <f>IF(L1310="","",P1310/'[1]LOCH Calc COE Calc'!$C$28)</f>
        <v/>
      </c>
      <c r="V1310" t="str">
        <f>IF(L1310="","",Q1310/'[1]LOCH Calc COE Calc'!$C$28)</f>
        <v/>
      </c>
      <c r="W1310" t="str">
        <f>IF(L1310="","",R1310/'[1]LOCH Calc COE Calc'!$C$28)</f>
        <v/>
      </c>
    </row>
    <row r="1311" spans="12:23" x14ac:dyDescent="0.25">
      <c r="L1311" s="4" t="str">
        <f>IF('[1]All Data '!BE1316="","",'[1]All Data '!BE1316)</f>
        <v/>
      </c>
      <c r="M1311" t="str">
        <f>IF('[1]All Data '!BF1316="","",'[1]All Data '!BF1316)</f>
        <v/>
      </c>
      <c r="N1311" s="5" t="str">
        <f>IF('[1]All Data '!BB1316="","",'[1]All Data '!BC1316/'[1]All Data '!BH1316)</f>
        <v/>
      </c>
      <c r="O1311" s="5" t="str">
        <f t="shared" si="22"/>
        <v/>
      </c>
      <c r="P1311" s="5" t="str">
        <f>IF(M1311="","",$C$2*(1-L1311)*907.2/0.621371*N1311*[1]Transportation!$M$40)</f>
        <v/>
      </c>
      <c r="Q1311" s="5" t="str">
        <f>IF(L1311="","",IF([1]Inputs_Outputs!$B$5="Herbaceous",(LCA!$E$29*'[1]LOCH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1" s="5" t="str">
        <f>IF(M1311="","",$E$2*1000*'[1]LOCH Calc COE Calc'!$C$44)</f>
        <v/>
      </c>
      <c r="S1311" s="6" t="str">
        <f>IF(N1311="","",SUM(O1311:R1311)/('[1]LOCH Calc COE Calc'!$C$28))</f>
        <v/>
      </c>
      <c r="T1311" t="str">
        <f>IF(L1311="","",O1311/'[1]LOCH Calc COE Calc'!$C$28)</f>
        <v/>
      </c>
      <c r="U1311" t="str">
        <f>IF(L1311="","",P1311/'[1]LOCH Calc COE Calc'!$C$28)</f>
        <v/>
      </c>
      <c r="V1311" t="str">
        <f>IF(L1311="","",Q1311/'[1]LOCH Calc COE Calc'!$C$28)</f>
        <v/>
      </c>
      <c r="W1311" t="str">
        <f>IF(L1311="","",R1311/'[1]LOCH Calc COE Calc'!$C$28)</f>
        <v/>
      </c>
    </row>
    <row r="1312" spans="12:23" x14ac:dyDescent="0.25">
      <c r="L1312" s="4" t="str">
        <f>IF('[1]All Data '!BE1317="","",'[1]All Data '!BE1317)</f>
        <v/>
      </c>
      <c r="M1312" t="str">
        <f>IF('[1]All Data '!BF1317="","",'[1]All Data '!BF1317)</f>
        <v/>
      </c>
      <c r="N1312" s="5" t="str">
        <f>IF('[1]All Data '!BB1317="","",'[1]All Data '!BC1317/'[1]All Data '!BH1317)</f>
        <v/>
      </c>
      <c r="O1312" s="5" t="str">
        <f t="shared" si="22"/>
        <v/>
      </c>
      <c r="P1312" s="5" t="str">
        <f>IF(M1312="","",$C$2*(1-L1312)*907.2/0.621371*N1312*[1]Transportation!$M$40)</f>
        <v/>
      </c>
      <c r="Q1312" s="5" t="str">
        <f>IF(L1312="","",IF([1]Inputs_Outputs!$B$5="Herbaceous",(LCA!$E$29*'[1]LOCH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2" s="5" t="str">
        <f>IF(M1312="","",$E$2*1000*'[1]LOCH Calc COE Calc'!$C$44)</f>
        <v/>
      </c>
      <c r="S1312" s="6" t="str">
        <f>IF(N1312="","",SUM(O1312:R1312)/('[1]LOCH Calc COE Calc'!$C$28))</f>
        <v/>
      </c>
      <c r="T1312" t="str">
        <f>IF(L1312="","",O1312/'[1]LOCH Calc COE Calc'!$C$28)</f>
        <v/>
      </c>
      <c r="U1312" t="str">
        <f>IF(L1312="","",P1312/'[1]LOCH Calc COE Calc'!$C$28)</f>
        <v/>
      </c>
      <c r="V1312" t="str">
        <f>IF(L1312="","",Q1312/'[1]LOCH Calc COE Calc'!$C$28)</f>
        <v/>
      </c>
      <c r="W1312" t="str">
        <f>IF(L1312="","",R1312/'[1]LOCH Calc COE Calc'!$C$28)</f>
        <v/>
      </c>
    </row>
    <row r="1313" spans="12:23" x14ac:dyDescent="0.25">
      <c r="L1313" s="4" t="str">
        <f>IF('[1]All Data '!BE1318="","",'[1]All Data '!BE1318)</f>
        <v/>
      </c>
      <c r="M1313" t="str">
        <f>IF('[1]All Data '!BF1318="","",'[1]All Data '!BF1318)</f>
        <v/>
      </c>
      <c r="N1313" s="5" t="str">
        <f>IF('[1]All Data '!BB1318="","",'[1]All Data '!BC1318/'[1]All Data '!BH1318)</f>
        <v/>
      </c>
      <c r="O1313" s="5" t="str">
        <f t="shared" si="22"/>
        <v/>
      </c>
      <c r="P1313" s="5" t="str">
        <f>IF(M1313="","",$C$2*(1-L1313)*907.2/0.621371*N1313*[1]Transportation!$M$40)</f>
        <v/>
      </c>
      <c r="Q1313" s="5" t="str">
        <f>IF(L1313="","",IF([1]Inputs_Outputs!$B$5="Herbaceous",(LCA!$E$29*'[1]LOCH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3" s="5" t="str">
        <f>IF(M1313="","",$E$2*1000*'[1]LOCH Calc COE Calc'!$C$44)</f>
        <v/>
      </c>
      <c r="S1313" s="6" t="str">
        <f>IF(N1313="","",SUM(O1313:R1313)/('[1]LOCH Calc COE Calc'!$C$28))</f>
        <v/>
      </c>
      <c r="T1313" t="str">
        <f>IF(L1313="","",O1313/'[1]LOCH Calc COE Calc'!$C$28)</f>
        <v/>
      </c>
      <c r="U1313" t="str">
        <f>IF(L1313="","",P1313/'[1]LOCH Calc COE Calc'!$C$28)</f>
        <v/>
      </c>
      <c r="V1313" t="str">
        <f>IF(L1313="","",Q1313/'[1]LOCH Calc COE Calc'!$C$28)</f>
        <v/>
      </c>
      <c r="W1313" t="str">
        <f>IF(L1313="","",R1313/'[1]LOCH Calc COE Calc'!$C$28)</f>
        <v/>
      </c>
    </row>
    <row r="1314" spans="12:23" x14ac:dyDescent="0.25">
      <c r="L1314" s="4" t="str">
        <f>IF('[1]All Data '!BE1319="","",'[1]All Data '!BE1319)</f>
        <v/>
      </c>
      <c r="M1314" t="str">
        <f>IF('[1]All Data '!BF1319="","",'[1]All Data '!BF1319)</f>
        <v/>
      </c>
      <c r="N1314" s="5" t="str">
        <f>IF('[1]All Data '!BB1319="","",'[1]All Data '!BC1319/'[1]All Data '!BH1319)</f>
        <v/>
      </c>
      <c r="O1314" s="5" t="str">
        <f t="shared" si="22"/>
        <v/>
      </c>
      <c r="P1314" s="5" t="str">
        <f>IF(M1314="","",$C$2*(1-L1314)*907.2/0.621371*N1314*[1]Transportation!$M$40)</f>
        <v/>
      </c>
      <c r="Q1314" s="5" t="str">
        <f>IF(L1314="","",IF([1]Inputs_Outputs!$B$5="Herbaceous",(LCA!$E$29*'[1]LOCH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4" s="5" t="str">
        <f>IF(M1314="","",$E$2*1000*'[1]LOCH Calc COE Calc'!$C$44)</f>
        <v/>
      </c>
      <c r="S1314" s="6" t="str">
        <f>IF(N1314="","",SUM(O1314:R1314)/('[1]LOCH Calc COE Calc'!$C$28))</f>
        <v/>
      </c>
      <c r="T1314" t="str">
        <f>IF(L1314="","",O1314/'[1]LOCH Calc COE Calc'!$C$28)</f>
        <v/>
      </c>
      <c r="U1314" t="str">
        <f>IF(L1314="","",P1314/'[1]LOCH Calc COE Calc'!$C$28)</f>
        <v/>
      </c>
      <c r="V1314" t="str">
        <f>IF(L1314="","",Q1314/'[1]LOCH Calc COE Calc'!$C$28)</f>
        <v/>
      </c>
      <c r="W1314" t="str">
        <f>IF(L1314="","",R1314/'[1]LOCH Calc COE Calc'!$C$28)</f>
        <v/>
      </c>
    </row>
    <row r="1315" spans="12:23" x14ac:dyDescent="0.25">
      <c r="L1315" s="4" t="str">
        <f>IF('[1]All Data '!BE1320="","",'[1]All Data '!BE1320)</f>
        <v/>
      </c>
      <c r="M1315" t="str">
        <f>IF('[1]All Data '!BF1320="","",'[1]All Data '!BF1320)</f>
        <v/>
      </c>
      <c r="N1315" s="5" t="str">
        <f>IF('[1]All Data '!BB1320="","",'[1]All Data '!BC1320/'[1]All Data '!BH1320)</f>
        <v/>
      </c>
      <c r="O1315" s="5" t="str">
        <f t="shared" si="22"/>
        <v/>
      </c>
      <c r="P1315" s="5" t="str">
        <f>IF(M1315="","",$C$2*(1-L1315)*907.2/0.621371*N1315*[1]Transportation!$M$40)</f>
        <v/>
      </c>
      <c r="Q1315" s="5" t="str">
        <f>IF(L1315="","",IF([1]Inputs_Outputs!$B$5="Herbaceous",(LCA!$E$29*'[1]LOCH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5" s="5" t="str">
        <f>IF(M1315="","",$E$2*1000*'[1]LOCH Calc COE Calc'!$C$44)</f>
        <v/>
      </c>
      <c r="S1315" s="6" t="str">
        <f>IF(N1315="","",SUM(O1315:R1315)/('[1]LOCH Calc COE Calc'!$C$28))</f>
        <v/>
      </c>
      <c r="T1315" t="str">
        <f>IF(L1315="","",O1315/'[1]LOCH Calc COE Calc'!$C$28)</f>
        <v/>
      </c>
      <c r="U1315" t="str">
        <f>IF(L1315="","",P1315/'[1]LOCH Calc COE Calc'!$C$28)</f>
        <v/>
      </c>
      <c r="V1315" t="str">
        <f>IF(L1315="","",Q1315/'[1]LOCH Calc COE Calc'!$C$28)</f>
        <v/>
      </c>
      <c r="W1315" t="str">
        <f>IF(L1315="","",R1315/'[1]LOCH Calc COE Calc'!$C$28)</f>
        <v/>
      </c>
    </row>
    <row r="1316" spans="12:23" x14ac:dyDescent="0.25">
      <c r="L1316" s="4" t="str">
        <f>IF('[1]All Data '!BE1321="","",'[1]All Data '!BE1321)</f>
        <v/>
      </c>
      <c r="M1316" t="str">
        <f>IF('[1]All Data '!BF1321="","",'[1]All Data '!BF1321)</f>
        <v/>
      </c>
      <c r="N1316" s="5" t="str">
        <f>IF('[1]All Data '!BB1321="","",'[1]All Data '!BC1321/'[1]All Data '!BH1321)</f>
        <v/>
      </c>
      <c r="O1316" s="5" t="str">
        <f t="shared" si="22"/>
        <v/>
      </c>
      <c r="P1316" s="5" t="str">
        <f>IF(M1316="","",$C$2*(1-L1316)*907.2/0.621371*N1316*[1]Transportation!$M$40)</f>
        <v/>
      </c>
      <c r="Q1316" s="5" t="str">
        <f>IF(L1316="","",IF([1]Inputs_Outputs!$B$5="Herbaceous",(LCA!$E$29*'[1]LOCH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6" s="5" t="str">
        <f>IF(M1316="","",$E$2*1000*'[1]LOCH Calc COE Calc'!$C$44)</f>
        <v/>
      </c>
      <c r="S1316" s="6" t="str">
        <f>IF(N1316="","",SUM(O1316:R1316)/('[1]LOCH Calc COE Calc'!$C$28))</f>
        <v/>
      </c>
      <c r="T1316" t="str">
        <f>IF(L1316="","",O1316/'[1]LOCH Calc COE Calc'!$C$28)</f>
        <v/>
      </c>
      <c r="U1316" t="str">
        <f>IF(L1316="","",P1316/'[1]LOCH Calc COE Calc'!$C$28)</f>
        <v/>
      </c>
      <c r="V1316" t="str">
        <f>IF(L1316="","",Q1316/'[1]LOCH Calc COE Calc'!$C$28)</f>
        <v/>
      </c>
      <c r="W1316" t="str">
        <f>IF(L1316="","",R1316/'[1]LOCH Calc COE Calc'!$C$28)</f>
        <v/>
      </c>
    </row>
    <row r="1317" spans="12:23" x14ac:dyDescent="0.25">
      <c r="L1317" s="4" t="str">
        <f>IF('[1]All Data '!BE1322="","",'[1]All Data '!BE1322)</f>
        <v/>
      </c>
      <c r="M1317" t="str">
        <f>IF('[1]All Data '!BF1322="","",'[1]All Data '!BF1322)</f>
        <v/>
      </c>
      <c r="N1317" s="5" t="str">
        <f>IF('[1]All Data '!BB1322="","",'[1]All Data '!BC1322/'[1]All Data '!BH1322)</f>
        <v/>
      </c>
      <c r="O1317" s="5" t="str">
        <f t="shared" si="22"/>
        <v/>
      </c>
      <c r="P1317" s="5" t="str">
        <f>IF(M1317="","",$C$2*(1-L1317)*907.2/0.621371*N1317*[1]Transportation!$M$40)</f>
        <v/>
      </c>
      <c r="Q1317" s="5" t="str">
        <f>IF(L1317="","",IF([1]Inputs_Outputs!$B$5="Herbaceous",(LCA!$E$29*'[1]LOCH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7" s="5" t="str">
        <f>IF(M1317="","",$E$2*1000*'[1]LOCH Calc COE Calc'!$C$44)</f>
        <v/>
      </c>
      <c r="S1317" s="6" t="str">
        <f>IF(N1317="","",SUM(O1317:R1317)/('[1]LOCH Calc COE Calc'!$C$28))</f>
        <v/>
      </c>
      <c r="T1317" t="str">
        <f>IF(L1317="","",O1317/'[1]LOCH Calc COE Calc'!$C$28)</f>
        <v/>
      </c>
      <c r="U1317" t="str">
        <f>IF(L1317="","",P1317/'[1]LOCH Calc COE Calc'!$C$28)</f>
        <v/>
      </c>
      <c r="V1317" t="str">
        <f>IF(L1317="","",Q1317/'[1]LOCH Calc COE Calc'!$C$28)</f>
        <v/>
      </c>
      <c r="W1317" t="str">
        <f>IF(L1317="","",R1317/'[1]LOCH Calc COE Calc'!$C$28)</f>
        <v/>
      </c>
    </row>
    <row r="1318" spans="12:23" x14ac:dyDescent="0.25">
      <c r="L1318" s="4" t="str">
        <f>IF('[1]All Data '!BE1323="","",'[1]All Data '!BE1323)</f>
        <v/>
      </c>
      <c r="M1318" t="str">
        <f>IF('[1]All Data '!BF1323="","",'[1]All Data '!BF1323)</f>
        <v/>
      </c>
      <c r="N1318" s="5" t="str">
        <f>IF('[1]All Data '!BB1323="","",'[1]All Data '!BC1323/'[1]All Data '!BH1323)</f>
        <v/>
      </c>
      <c r="O1318" s="5" t="str">
        <f t="shared" si="22"/>
        <v/>
      </c>
      <c r="P1318" s="5" t="str">
        <f>IF(M1318="","",$C$2*(1-L1318)*907.2/0.621371*N1318*[1]Transportation!$M$40)</f>
        <v/>
      </c>
      <c r="Q1318" s="5" t="str">
        <f>IF(L1318="","",IF([1]Inputs_Outputs!$B$5="Herbaceous",(LCA!$E$29*'[1]LOCH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8" s="5" t="str">
        <f>IF(M1318="","",$E$2*1000*'[1]LOCH Calc COE Calc'!$C$44)</f>
        <v/>
      </c>
      <c r="S1318" s="6" t="str">
        <f>IF(N1318="","",SUM(O1318:R1318)/('[1]LOCH Calc COE Calc'!$C$28))</f>
        <v/>
      </c>
      <c r="T1318" t="str">
        <f>IF(L1318="","",O1318/'[1]LOCH Calc COE Calc'!$C$28)</f>
        <v/>
      </c>
      <c r="U1318" t="str">
        <f>IF(L1318="","",P1318/'[1]LOCH Calc COE Calc'!$C$28)</f>
        <v/>
      </c>
      <c r="V1318" t="str">
        <f>IF(L1318="","",Q1318/'[1]LOCH Calc COE Calc'!$C$28)</f>
        <v/>
      </c>
      <c r="W1318" t="str">
        <f>IF(L1318="","",R1318/'[1]LOCH Calc COE Calc'!$C$28)</f>
        <v/>
      </c>
    </row>
    <row r="1319" spans="12:23" x14ac:dyDescent="0.25">
      <c r="L1319" s="4" t="str">
        <f>IF('[1]All Data '!BE1324="","",'[1]All Data '!BE1324)</f>
        <v/>
      </c>
      <c r="M1319" t="str">
        <f>IF('[1]All Data '!BF1324="","",'[1]All Data '!BF1324)</f>
        <v/>
      </c>
      <c r="N1319" s="5" t="str">
        <f>IF('[1]All Data '!BB1324="","",'[1]All Data '!BC1324/'[1]All Data '!BH1324)</f>
        <v/>
      </c>
      <c r="O1319" s="5" t="str">
        <f t="shared" si="22"/>
        <v/>
      </c>
      <c r="P1319" s="5" t="str">
        <f>IF(M1319="","",$C$2*(1-L1319)*907.2/0.621371*N1319*[1]Transportation!$M$40)</f>
        <v/>
      </c>
      <c r="Q1319" s="5" t="str">
        <f>IF(L1319="","",IF([1]Inputs_Outputs!$B$5="Herbaceous",(LCA!$E$29*'[1]LOCH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19" s="5" t="str">
        <f>IF(M1319="","",$E$2*1000*'[1]LOCH Calc COE Calc'!$C$44)</f>
        <v/>
      </c>
      <c r="S1319" s="6" t="str">
        <f>IF(N1319="","",SUM(O1319:R1319)/('[1]LOCH Calc COE Calc'!$C$28))</f>
        <v/>
      </c>
      <c r="T1319" t="str">
        <f>IF(L1319="","",O1319/'[1]LOCH Calc COE Calc'!$C$28)</f>
        <v/>
      </c>
      <c r="U1319" t="str">
        <f>IF(L1319="","",P1319/'[1]LOCH Calc COE Calc'!$C$28)</f>
        <v/>
      </c>
      <c r="V1319" t="str">
        <f>IF(L1319="","",Q1319/'[1]LOCH Calc COE Calc'!$C$28)</f>
        <v/>
      </c>
      <c r="W1319" t="str">
        <f>IF(L1319="","",R1319/'[1]LOCH Calc COE Calc'!$C$28)</f>
        <v/>
      </c>
    </row>
    <row r="1320" spans="12:23" x14ac:dyDescent="0.25">
      <c r="L1320" s="4" t="str">
        <f>IF('[1]All Data '!BE1325="","",'[1]All Data '!BE1325)</f>
        <v/>
      </c>
      <c r="M1320" t="str">
        <f>IF('[1]All Data '!BF1325="","",'[1]All Data '!BF1325)</f>
        <v/>
      </c>
      <c r="N1320" s="5" t="str">
        <f>IF('[1]All Data '!BB1325="","",'[1]All Data '!BC1325/'[1]All Data '!BH1325)</f>
        <v/>
      </c>
      <c r="O1320" s="5" t="str">
        <f t="shared" si="22"/>
        <v/>
      </c>
      <c r="P1320" s="5" t="str">
        <f>IF(M1320="","",$C$2*(1-L1320)*907.2/0.621371*N1320*[1]Transportation!$M$40)</f>
        <v/>
      </c>
      <c r="Q1320" s="5" t="str">
        <f>IF(L1320="","",IF([1]Inputs_Outputs!$B$5="Herbaceous",(LCA!$E$29*'[1]LOCH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0" s="5" t="str">
        <f>IF(M1320="","",$E$2*1000*'[1]LOCH Calc COE Calc'!$C$44)</f>
        <v/>
      </c>
      <c r="S1320" s="6" t="str">
        <f>IF(N1320="","",SUM(O1320:R1320)/('[1]LOCH Calc COE Calc'!$C$28))</f>
        <v/>
      </c>
      <c r="T1320" t="str">
        <f>IF(L1320="","",O1320/'[1]LOCH Calc COE Calc'!$C$28)</f>
        <v/>
      </c>
      <c r="U1320" t="str">
        <f>IF(L1320="","",P1320/'[1]LOCH Calc COE Calc'!$C$28)</f>
        <v/>
      </c>
      <c r="V1320" t="str">
        <f>IF(L1320="","",Q1320/'[1]LOCH Calc COE Calc'!$C$28)</f>
        <v/>
      </c>
      <c r="W1320" t="str">
        <f>IF(L1320="","",R1320/'[1]LOCH Calc COE Calc'!$C$28)</f>
        <v/>
      </c>
    </row>
    <row r="1321" spans="12:23" x14ac:dyDescent="0.25">
      <c r="L1321" s="4" t="str">
        <f>IF('[1]All Data '!BE1326="","",'[1]All Data '!BE1326)</f>
        <v/>
      </c>
      <c r="M1321" t="str">
        <f>IF('[1]All Data '!BF1326="","",'[1]All Data '!BF1326)</f>
        <v/>
      </c>
      <c r="N1321" s="5" t="str">
        <f>IF('[1]All Data '!BB1326="","",'[1]All Data '!BC1326/'[1]All Data '!BH1326)</f>
        <v/>
      </c>
      <c r="O1321" s="5" t="str">
        <f t="shared" si="22"/>
        <v/>
      </c>
      <c r="P1321" s="5" t="str">
        <f>IF(M1321="","",$C$2*(1-L1321)*907.2/0.621371*N1321*[1]Transportation!$M$40)</f>
        <v/>
      </c>
      <c r="Q1321" s="5" t="str">
        <f>IF(L1321="","",IF([1]Inputs_Outputs!$B$5="Herbaceous",(LCA!$E$29*'[1]LOCH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1" s="5" t="str">
        <f>IF(M1321="","",$E$2*1000*'[1]LOCH Calc COE Calc'!$C$44)</f>
        <v/>
      </c>
      <c r="S1321" s="6" t="str">
        <f>IF(N1321="","",SUM(O1321:R1321)/('[1]LOCH Calc COE Calc'!$C$28))</f>
        <v/>
      </c>
      <c r="T1321" t="str">
        <f>IF(L1321="","",O1321/'[1]LOCH Calc COE Calc'!$C$28)</f>
        <v/>
      </c>
      <c r="U1321" t="str">
        <f>IF(L1321="","",P1321/'[1]LOCH Calc COE Calc'!$C$28)</f>
        <v/>
      </c>
      <c r="V1321" t="str">
        <f>IF(L1321="","",Q1321/'[1]LOCH Calc COE Calc'!$C$28)</f>
        <v/>
      </c>
      <c r="W1321" t="str">
        <f>IF(L1321="","",R1321/'[1]LOCH Calc COE Calc'!$C$28)</f>
        <v/>
      </c>
    </row>
    <row r="1322" spans="12:23" x14ac:dyDescent="0.25">
      <c r="L1322" s="4" t="str">
        <f>IF('[1]All Data '!BE1327="","",'[1]All Data '!BE1327)</f>
        <v/>
      </c>
      <c r="M1322" t="str">
        <f>IF('[1]All Data '!BF1327="","",'[1]All Data '!BF1327)</f>
        <v/>
      </c>
      <c r="N1322" s="5" t="str">
        <f>IF('[1]All Data '!BB1327="","",'[1]All Data '!BC1327/'[1]All Data '!BH1327)</f>
        <v/>
      </c>
      <c r="O1322" s="5" t="str">
        <f t="shared" si="22"/>
        <v/>
      </c>
      <c r="P1322" s="5" t="str">
        <f>IF(M1322="","",$C$2*(1-L1322)*907.2/0.621371*N1322*[1]Transportation!$M$40)</f>
        <v/>
      </c>
      <c r="Q1322" s="5" t="str">
        <f>IF(L1322="","",IF([1]Inputs_Outputs!$B$5="Herbaceous",(LCA!$E$29*'[1]LOCH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2" s="5" t="str">
        <f>IF(M1322="","",$E$2*1000*'[1]LOCH Calc COE Calc'!$C$44)</f>
        <v/>
      </c>
      <c r="S1322" s="6" t="str">
        <f>IF(N1322="","",SUM(O1322:R1322)/('[1]LOCH Calc COE Calc'!$C$28))</f>
        <v/>
      </c>
      <c r="T1322" t="str">
        <f>IF(L1322="","",O1322/'[1]LOCH Calc COE Calc'!$C$28)</f>
        <v/>
      </c>
      <c r="U1322" t="str">
        <f>IF(L1322="","",P1322/'[1]LOCH Calc COE Calc'!$C$28)</f>
        <v/>
      </c>
      <c r="V1322" t="str">
        <f>IF(L1322="","",Q1322/'[1]LOCH Calc COE Calc'!$C$28)</f>
        <v/>
      </c>
      <c r="W1322" t="str">
        <f>IF(L1322="","",R1322/'[1]LOCH Calc COE Calc'!$C$28)</f>
        <v/>
      </c>
    </row>
    <row r="1323" spans="12:23" x14ac:dyDescent="0.25">
      <c r="L1323" s="4" t="str">
        <f>IF('[1]All Data '!BE1328="","",'[1]All Data '!BE1328)</f>
        <v/>
      </c>
      <c r="M1323" t="str">
        <f>IF('[1]All Data '!BF1328="","",'[1]All Data '!BF1328)</f>
        <v/>
      </c>
      <c r="N1323" s="5" t="str">
        <f>IF('[1]All Data '!BB1328="","",'[1]All Data '!BC1328/'[1]All Data '!BH1328)</f>
        <v/>
      </c>
      <c r="O1323" s="5" t="str">
        <f t="shared" si="22"/>
        <v/>
      </c>
      <c r="P1323" s="5" t="str">
        <f>IF(M1323="","",$C$2*(1-L1323)*907.2/0.621371*N1323*[1]Transportation!$M$40)</f>
        <v/>
      </c>
      <c r="Q1323" s="5" t="str">
        <f>IF(L1323="","",IF([1]Inputs_Outputs!$B$5="Herbaceous",(LCA!$E$29*'[1]LOCH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3" s="5" t="str">
        <f>IF(M1323="","",$E$2*1000*'[1]LOCH Calc COE Calc'!$C$44)</f>
        <v/>
      </c>
      <c r="S1323" s="6" t="str">
        <f>IF(N1323="","",SUM(O1323:R1323)/('[1]LOCH Calc COE Calc'!$C$28))</f>
        <v/>
      </c>
      <c r="T1323" t="str">
        <f>IF(L1323="","",O1323/'[1]LOCH Calc COE Calc'!$C$28)</f>
        <v/>
      </c>
      <c r="U1323" t="str">
        <f>IF(L1323="","",P1323/'[1]LOCH Calc COE Calc'!$C$28)</f>
        <v/>
      </c>
      <c r="V1323" t="str">
        <f>IF(L1323="","",Q1323/'[1]LOCH Calc COE Calc'!$C$28)</f>
        <v/>
      </c>
      <c r="W1323" t="str">
        <f>IF(L1323="","",R1323/'[1]LOCH Calc COE Calc'!$C$28)</f>
        <v/>
      </c>
    </row>
    <row r="1324" spans="12:23" x14ac:dyDescent="0.25">
      <c r="L1324" s="4" t="str">
        <f>IF('[1]All Data '!BE1329="","",'[1]All Data '!BE1329)</f>
        <v/>
      </c>
      <c r="M1324" t="str">
        <f>IF('[1]All Data '!BF1329="","",'[1]All Data '!BF1329)</f>
        <v/>
      </c>
      <c r="N1324" s="5" t="str">
        <f>IF('[1]All Data '!BB1329="","",'[1]All Data '!BC1329/'[1]All Data '!BH1329)</f>
        <v/>
      </c>
      <c r="O1324" s="5" t="str">
        <f t="shared" si="22"/>
        <v/>
      </c>
      <c r="P1324" s="5" t="str">
        <f>IF(M1324="","",$C$2*(1-L1324)*907.2/0.621371*N1324*[1]Transportation!$M$40)</f>
        <v/>
      </c>
      <c r="Q1324" s="5" t="str">
        <f>IF(L1324="","",IF([1]Inputs_Outputs!$B$5="Herbaceous",(LCA!$E$29*'[1]LOCH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4" s="5" t="str">
        <f>IF(M1324="","",$E$2*1000*'[1]LOCH Calc COE Calc'!$C$44)</f>
        <v/>
      </c>
      <c r="S1324" s="6" t="str">
        <f>IF(N1324="","",SUM(O1324:R1324)/('[1]LOCH Calc COE Calc'!$C$28))</f>
        <v/>
      </c>
      <c r="T1324" t="str">
        <f>IF(L1324="","",O1324/'[1]LOCH Calc COE Calc'!$C$28)</f>
        <v/>
      </c>
      <c r="U1324" t="str">
        <f>IF(L1324="","",P1324/'[1]LOCH Calc COE Calc'!$C$28)</f>
        <v/>
      </c>
      <c r="V1324" t="str">
        <f>IF(L1324="","",Q1324/'[1]LOCH Calc COE Calc'!$C$28)</f>
        <v/>
      </c>
      <c r="W1324" t="str">
        <f>IF(L1324="","",R1324/'[1]LOCH Calc COE Calc'!$C$28)</f>
        <v/>
      </c>
    </row>
    <row r="1325" spans="12:23" x14ac:dyDescent="0.25">
      <c r="L1325" s="4" t="str">
        <f>IF('[1]All Data '!BE1330="","",'[1]All Data '!BE1330)</f>
        <v/>
      </c>
      <c r="M1325" t="str">
        <f>IF('[1]All Data '!BF1330="","",'[1]All Data '!BF1330)</f>
        <v/>
      </c>
      <c r="N1325" s="5" t="str">
        <f>IF('[1]All Data '!BB1330="","",'[1]All Data '!BC1330/'[1]All Data '!BH1330)</f>
        <v/>
      </c>
      <c r="O1325" s="5" t="str">
        <f t="shared" si="22"/>
        <v/>
      </c>
      <c r="P1325" s="5" t="str">
        <f>IF(M1325="","",$C$2*(1-L1325)*907.2/0.621371*N1325*[1]Transportation!$M$40)</f>
        <v/>
      </c>
      <c r="Q1325" s="5" t="str">
        <f>IF(L1325="","",IF([1]Inputs_Outputs!$B$5="Herbaceous",(LCA!$E$29*'[1]LOCH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5" s="5" t="str">
        <f>IF(M1325="","",$E$2*1000*'[1]LOCH Calc COE Calc'!$C$44)</f>
        <v/>
      </c>
      <c r="S1325" s="6" t="str">
        <f>IF(N1325="","",SUM(O1325:R1325)/('[1]LOCH Calc COE Calc'!$C$28))</f>
        <v/>
      </c>
      <c r="T1325" t="str">
        <f>IF(L1325="","",O1325/'[1]LOCH Calc COE Calc'!$C$28)</f>
        <v/>
      </c>
      <c r="U1325" t="str">
        <f>IF(L1325="","",P1325/'[1]LOCH Calc COE Calc'!$C$28)</f>
        <v/>
      </c>
      <c r="V1325" t="str">
        <f>IF(L1325="","",Q1325/'[1]LOCH Calc COE Calc'!$C$28)</f>
        <v/>
      </c>
      <c r="W1325" t="str">
        <f>IF(L1325="","",R1325/'[1]LOCH Calc COE Calc'!$C$28)</f>
        <v/>
      </c>
    </row>
    <row r="1326" spans="12:23" x14ac:dyDescent="0.25">
      <c r="L1326" s="4" t="str">
        <f>IF('[1]All Data '!BE1331="","",'[1]All Data '!BE1331)</f>
        <v/>
      </c>
      <c r="M1326" t="str">
        <f>IF('[1]All Data '!BF1331="","",'[1]All Data '!BF1331)</f>
        <v/>
      </c>
      <c r="N1326" s="5" t="str">
        <f>IF('[1]All Data '!BB1331="","",'[1]All Data '!BC1331/'[1]All Data '!BH1331)</f>
        <v/>
      </c>
      <c r="O1326" s="5" t="str">
        <f t="shared" si="22"/>
        <v/>
      </c>
      <c r="P1326" s="5" t="str">
        <f>IF(M1326="","",$C$2*(1-L1326)*907.2/0.621371*N1326*[1]Transportation!$M$40)</f>
        <v/>
      </c>
      <c r="Q1326" s="5" t="str">
        <f>IF(L1326="","",IF([1]Inputs_Outputs!$B$5="Herbaceous",(LCA!$E$29*'[1]LOCH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6" s="5" t="str">
        <f>IF(M1326="","",$E$2*1000*'[1]LOCH Calc COE Calc'!$C$44)</f>
        <v/>
      </c>
      <c r="S1326" s="6" t="str">
        <f>IF(N1326="","",SUM(O1326:R1326)/('[1]LOCH Calc COE Calc'!$C$28))</f>
        <v/>
      </c>
      <c r="T1326" t="str">
        <f>IF(L1326="","",O1326/'[1]LOCH Calc COE Calc'!$C$28)</f>
        <v/>
      </c>
      <c r="U1326" t="str">
        <f>IF(L1326="","",P1326/'[1]LOCH Calc COE Calc'!$C$28)</f>
        <v/>
      </c>
      <c r="V1326" t="str">
        <f>IF(L1326="","",Q1326/'[1]LOCH Calc COE Calc'!$C$28)</f>
        <v/>
      </c>
      <c r="W1326" t="str">
        <f>IF(L1326="","",R1326/'[1]LOCH Calc COE Calc'!$C$28)</f>
        <v/>
      </c>
    </row>
    <row r="1327" spans="12:23" x14ac:dyDescent="0.25">
      <c r="L1327" s="4" t="str">
        <f>IF('[1]All Data '!BE1332="","",'[1]All Data '!BE1332)</f>
        <v/>
      </c>
      <c r="M1327" t="str">
        <f>IF('[1]All Data '!BF1332="","",'[1]All Data '!BF1332)</f>
        <v/>
      </c>
      <c r="N1327" s="5" t="str">
        <f>IF('[1]All Data '!BB1332="","",'[1]All Data '!BC1332/'[1]All Data '!BH1332)</f>
        <v/>
      </c>
      <c r="O1327" s="5" t="str">
        <f t="shared" si="22"/>
        <v/>
      </c>
      <c r="P1327" s="5" t="str">
        <f>IF(M1327="","",$C$2*(1-L1327)*907.2/0.621371*N1327*[1]Transportation!$M$40)</f>
        <v/>
      </c>
      <c r="Q1327" s="5" t="str">
        <f>IF(L1327="","",IF([1]Inputs_Outputs!$B$5="Herbaceous",(LCA!$E$29*'[1]LOCH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7" s="5" t="str">
        <f>IF(M1327="","",$E$2*1000*'[1]LOCH Calc COE Calc'!$C$44)</f>
        <v/>
      </c>
      <c r="S1327" s="6" t="str">
        <f>IF(N1327="","",SUM(O1327:R1327)/('[1]LOCH Calc COE Calc'!$C$28))</f>
        <v/>
      </c>
      <c r="T1327" t="str">
        <f>IF(L1327="","",O1327/'[1]LOCH Calc COE Calc'!$C$28)</f>
        <v/>
      </c>
      <c r="U1327" t="str">
        <f>IF(L1327="","",P1327/'[1]LOCH Calc COE Calc'!$C$28)</f>
        <v/>
      </c>
      <c r="V1327" t="str">
        <f>IF(L1327="","",Q1327/'[1]LOCH Calc COE Calc'!$C$28)</f>
        <v/>
      </c>
      <c r="W1327" t="str">
        <f>IF(L1327="","",R1327/'[1]LOCH Calc COE Calc'!$C$28)</f>
        <v/>
      </c>
    </row>
    <row r="1328" spans="12:23" x14ac:dyDescent="0.25">
      <c r="L1328" s="4" t="str">
        <f>IF('[1]All Data '!BE1333="","",'[1]All Data '!BE1333)</f>
        <v/>
      </c>
      <c r="M1328" t="str">
        <f>IF('[1]All Data '!BF1333="","",'[1]All Data '!BF1333)</f>
        <v/>
      </c>
      <c r="N1328" s="5" t="str">
        <f>IF('[1]All Data '!BB1333="","",'[1]All Data '!BC1333/'[1]All Data '!BH1333)</f>
        <v/>
      </c>
      <c r="O1328" s="5" t="str">
        <f t="shared" si="22"/>
        <v/>
      </c>
      <c r="P1328" s="5" t="str">
        <f>IF(M1328="","",$C$2*(1-L1328)*907.2/0.621371*N1328*[1]Transportation!$M$40)</f>
        <v/>
      </c>
      <c r="Q1328" s="5" t="str">
        <f>IF(L1328="","",IF([1]Inputs_Outputs!$B$5="Herbaceous",(LCA!$E$29*'[1]LOCH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8" s="5" t="str">
        <f>IF(M1328="","",$E$2*1000*'[1]LOCH Calc COE Calc'!$C$44)</f>
        <v/>
      </c>
      <c r="S1328" s="6" t="str">
        <f>IF(N1328="","",SUM(O1328:R1328)/('[1]LOCH Calc COE Calc'!$C$28))</f>
        <v/>
      </c>
      <c r="T1328" t="str">
        <f>IF(L1328="","",O1328/'[1]LOCH Calc COE Calc'!$C$28)</f>
        <v/>
      </c>
      <c r="U1328" t="str">
        <f>IF(L1328="","",P1328/'[1]LOCH Calc COE Calc'!$C$28)</f>
        <v/>
      </c>
      <c r="V1328" t="str">
        <f>IF(L1328="","",Q1328/'[1]LOCH Calc COE Calc'!$C$28)</f>
        <v/>
      </c>
      <c r="W1328" t="str">
        <f>IF(L1328="","",R1328/'[1]LOCH Calc COE Calc'!$C$28)</f>
        <v/>
      </c>
    </row>
    <row r="1329" spans="12:23" x14ac:dyDescent="0.25">
      <c r="L1329" s="4" t="str">
        <f>IF('[1]All Data '!BE1334="","",'[1]All Data '!BE1334)</f>
        <v/>
      </c>
      <c r="M1329" t="str">
        <f>IF('[1]All Data '!BF1334="","",'[1]All Data '!BF1334)</f>
        <v/>
      </c>
      <c r="N1329" s="5" t="str">
        <f>IF('[1]All Data '!BB1334="","",'[1]All Data '!BC1334/'[1]All Data '!BH1334)</f>
        <v/>
      </c>
      <c r="O1329" s="5" t="str">
        <f t="shared" si="22"/>
        <v/>
      </c>
      <c r="P1329" s="5" t="str">
        <f>IF(M1329="","",$C$2*(1-L1329)*907.2/0.621371*N1329*[1]Transportation!$M$40)</f>
        <v/>
      </c>
      <c r="Q1329" s="5" t="str">
        <f>IF(L1329="","",IF([1]Inputs_Outputs!$B$5="Herbaceous",(LCA!$E$29*'[1]LOCH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29" s="5" t="str">
        <f>IF(M1329="","",$E$2*1000*'[1]LOCH Calc COE Calc'!$C$44)</f>
        <v/>
      </c>
      <c r="S1329" s="6" t="str">
        <f>IF(N1329="","",SUM(O1329:R1329)/('[1]LOCH Calc COE Calc'!$C$28))</f>
        <v/>
      </c>
      <c r="T1329" t="str">
        <f>IF(L1329="","",O1329/'[1]LOCH Calc COE Calc'!$C$28)</f>
        <v/>
      </c>
      <c r="U1329" t="str">
        <f>IF(L1329="","",P1329/'[1]LOCH Calc COE Calc'!$C$28)</f>
        <v/>
      </c>
      <c r="V1329" t="str">
        <f>IF(L1329="","",Q1329/'[1]LOCH Calc COE Calc'!$C$28)</f>
        <v/>
      </c>
      <c r="W1329" t="str">
        <f>IF(L1329="","",R1329/'[1]LOCH Calc COE Calc'!$C$28)</f>
        <v/>
      </c>
    </row>
    <row r="1330" spans="12:23" x14ac:dyDescent="0.25">
      <c r="L1330" s="4" t="str">
        <f>IF('[1]All Data '!BE1335="","",'[1]All Data '!BE1335)</f>
        <v/>
      </c>
      <c r="M1330" t="str">
        <f>IF('[1]All Data '!BF1335="","",'[1]All Data '!BF1335)</f>
        <v/>
      </c>
      <c r="N1330" s="5" t="str">
        <f>IF('[1]All Data '!BB1335="","",'[1]All Data '!BC1335/'[1]All Data '!BH1335)</f>
        <v/>
      </c>
      <c r="O1330" s="5" t="str">
        <f t="shared" si="22"/>
        <v/>
      </c>
      <c r="P1330" s="5" t="str">
        <f>IF(M1330="","",$C$2*(1-L1330)*907.2/0.621371*N1330*[1]Transportation!$M$40)</f>
        <v/>
      </c>
      <c r="Q1330" s="5" t="str">
        <f>IF(L1330="","",IF([1]Inputs_Outputs!$B$5="Herbaceous",(LCA!$E$29*'[1]LOCH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0" s="5" t="str">
        <f>IF(M1330="","",$E$2*1000*'[1]LOCH Calc COE Calc'!$C$44)</f>
        <v/>
      </c>
      <c r="S1330" s="6" t="str">
        <f>IF(N1330="","",SUM(O1330:R1330)/('[1]LOCH Calc COE Calc'!$C$28))</f>
        <v/>
      </c>
      <c r="T1330" t="str">
        <f>IF(L1330="","",O1330/'[1]LOCH Calc COE Calc'!$C$28)</f>
        <v/>
      </c>
      <c r="U1330" t="str">
        <f>IF(L1330="","",P1330/'[1]LOCH Calc COE Calc'!$C$28)</f>
        <v/>
      </c>
      <c r="V1330" t="str">
        <f>IF(L1330="","",Q1330/'[1]LOCH Calc COE Calc'!$C$28)</f>
        <v/>
      </c>
      <c r="W1330" t="str">
        <f>IF(L1330="","",R1330/'[1]LOCH Calc COE Calc'!$C$28)</f>
        <v/>
      </c>
    </row>
    <row r="1331" spans="12:23" x14ac:dyDescent="0.25">
      <c r="L1331" s="4" t="str">
        <f>IF('[1]All Data '!BE1336="","",'[1]All Data '!BE1336)</f>
        <v/>
      </c>
      <c r="M1331" t="str">
        <f>IF('[1]All Data '!BF1336="","",'[1]All Data '!BF1336)</f>
        <v/>
      </c>
      <c r="N1331" s="5" t="str">
        <f>IF('[1]All Data '!BB1336="","",'[1]All Data '!BC1336/'[1]All Data '!BH1336)</f>
        <v/>
      </c>
      <c r="O1331" s="5" t="str">
        <f t="shared" si="22"/>
        <v/>
      </c>
      <c r="P1331" s="5" t="str">
        <f>IF(M1331="","",$C$2*(1-L1331)*907.2/0.621371*N1331*[1]Transportation!$M$40)</f>
        <v/>
      </c>
      <c r="Q1331" s="5" t="str">
        <f>IF(L1331="","",IF([1]Inputs_Outputs!$B$5="Herbaceous",(LCA!$E$29*'[1]LOCH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1" s="5" t="str">
        <f>IF(M1331="","",$E$2*1000*'[1]LOCH Calc COE Calc'!$C$44)</f>
        <v/>
      </c>
      <c r="S1331" s="6" t="str">
        <f>IF(N1331="","",SUM(O1331:R1331)/('[1]LOCH Calc COE Calc'!$C$28))</f>
        <v/>
      </c>
      <c r="T1331" t="str">
        <f>IF(L1331="","",O1331/'[1]LOCH Calc COE Calc'!$C$28)</f>
        <v/>
      </c>
      <c r="U1331" t="str">
        <f>IF(L1331="","",P1331/'[1]LOCH Calc COE Calc'!$C$28)</f>
        <v/>
      </c>
      <c r="V1331" t="str">
        <f>IF(L1331="","",Q1331/'[1]LOCH Calc COE Calc'!$C$28)</f>
        <v/>
      </c>
      <c r="W1331" t="str">
        <f>IF(L1331="","",R1331/'[1]LOCH Calc COE Calc'!$C$28)</f>
        <v/>
      </c>
    </row>
    <row r="1332" spans="12:23" x14ac:dyDescent="0.25">
      <c r="L1332" s="4" t="str">
        <f>IF('[1]All Data '!BE1337="","",'[1]All Data '!BE1337)</f>
        <v/>
      </c>
      <c r="M1332" t="str">
        <f>IF('[1]All Data '!BF1337="","",'[1]All Data '!BF1337)</f>
        <v/>
      </c>
      <c r="N1332" s="5" t="str">
        <f>IF('[1]All Data '!BB1337="","",'[1]All Data '!BC1337/'[1]All Data '!BH1337)</f>
        <v/>
      </c>
      <c r="O1332" s="5" t="str">
        <f t="shared" si="22"/>
        <v/>
      </c>
      <c r="P1332" s="5" t="str">
        <f>IF(M1332="","",$C$2*(1-L1332)*907.2/0.621371*N1332*[1]Transportation!$M$40)</f>
        <v/>
      </c>
      <c r="Q1332" s="5" t="str">
        <f>IF(L1332="","",IF([1]Inputs_Outputs!$B$5="Herbaceous",(LCA!$E$29*'[1]LOCH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2" s="5" t="str">
        <f>IF(M1332="","",$E$2*1000*'[1]LOCH Calc COE Calc'!$C$44)</f>
        <v/>
      </c>
      <c r="S1332" s="6" t="str">
        <f>IF(N1332="","",SUM(O1332:R1332)/('[1]LOCH Calc COE Calc'!$C$28))</f>
        <v/>
      </c>
      <c r="T1332" t="str">
        <f>IF(L1332="","",O1332/'[1]LOCH Calc COE Calc'!$C$28)</f>
        <v/>
      </c>
      <c r="U1332" t="str">
        <f>IF(L1332="","",P1332/'[1]LOCH Calc COE Calc'!$C$28)</f>
        <v/>
      </c>
      <c r="V1332" t="str">
        <f>IF(L1332="","",Q1332/'[1]LOCH Calc COE Calc'!$C$28)</f>
        <v/>
      </c>
      <c r="W1332" t="str">
        <f>IF(L1332="","",R1332/'[1]LOCH Calc COE Calc'!$C$28)</f>
        <v/>
      </c>
    </row>
    <row r="1333" spans="12:23" x14ac:dyDescent="0.25">
      <c r="L1333" s="4" t="str">
        <f>IF('[1]All Data '!BE1338="","",'[1]All Data '!BE1338)</f>
        <v/>
      </c>
      <c r="M1333" t="str">
        <f>IF('[1]All Data '!BF1338="","",'[1]All Data '!BF1338)</f>
        <v/>
      </c>
      <c r="N1333" s="5" t="str">
        <f>IF('[1]All Data '!BB1338="","",'[1]All Data '!BC1338/'[1]All Data '!BH1338)</f>
        <v/>
      </c>
      <c r="O1333" s="5" t="str">
        <f t="shared" si="22"/>
        <v/>
      </c>
      <c r="P1333" s="5" t="str">
        <f>IF(M1333="","",$C$2*(1-L1333)*907.2/0.621371*N1333*[1]Transportation!$M$40)</f>
        <v/>
      </c>
      <c r="Q1333" s="5" t="str">
        <f>IF(L1333="","",IF([1]Inputs_Outputs!$B$5="Herbaceous",(LCA!$E$29*'[1]LOCH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3" s="5" t="str">
        <f>IF(M1333="","",$E$2*1000*'[1]LOCH Calc COE Calc'!$C$44)</f>
        <v/>
      </c>
      <c r="S1333" s="6" t="str">
        <f>IF(N1333="","",SUM(O1333:R1333)/('[1]LOCH Calc COE Calc'!$C$28))</f>
        <v/>
      </c>
      <c r="T1333" t="str">
        <f>IF(L1333="","",O1333/'[1]LOCH Calc COE Calc'!$C$28)</f>
        <v/>
      </c>
      <c r="U1333" t="str">
        <f>IF(L1333="","",P1333/'[1]LOCH Calc COE Calc'!$C$28)</f>
        <v/>
      </c>
      <c r="V1333" t="str">
        <f>IF(L1333="","",Q1333/'[1]LOCH Calc COE Calc'!$C$28)</f>
        <v/>
      </c>
      <c r="W1333" t="str">
        <f>IF(L1333="","",R1333/'[1]LOCH Calc COE Calc'!$C$28)</f>
        <v/>
      </c>
    </row>
    <row r="1334" spans="12:23" x14ac:dyDescent="0.25">
      <c r="L1334" s="4" t="str">
        <f>IF('[1]All Data '!BE1339="","",'[1]All Data '!BE1339)</f>
        <v/>
      </c>
      <c r="M1334" t="str">
        <f>IF('[1]All Data '!BF1339="","",'[1]All Data '!BF1339)</f>
        <v/>
      </c>
      <c r="N1334" s="5" t="str">
        <f>IF('[1]All Data '!BB1339="","",'[1]All Data '!BC1339/'[1]All Data '!BH1339)</f>
        <v/>
      </c>
      <c r="O1334" s="5" t="str">
        <f t="shared" si="22"/>
        <v/>
      </c>
      <c r="P1334" s="5" t="str">
        <f>IF(M1334="","",$C$2*(1-L1334)*907.2/0.621371*N1334*[1]Transportation!$M$40)</f>
        <v/>
      </c>
      <c r="Q1334" s="5" t="str">
        <f>IF(L1334="","",IF([1]Inputs_Outputs!$B$5="Herbaceous",(LCA!$E$29*'[1]LOCH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4" s="5" t="str">
        <f>IF(M1334="","",$E$2*1000*'[1]LOCH Calc COE Calc'!$C$44)</f>
        <v/>
      </c>
      <c r="S1334" s="6" t="str">
        <f>IF(N1334="","",SUM(O1334:R1334)/('[1]LOCH Calc COE Calc'!$C$28))</f>
        <v/>
      </c>
      <c r="T1334" t="str">
        <f>IF(L1334="","",O1334/'[1]LOCH Calc COE Calc'!$C$28)</f>
        <v/>
      </c>
      <c r="U1334" t="str">
        <f>IF(L1334="","",P1334/'[1]LOCH Calc COE Calc'!$C$28)</f>
        <v/>
      </c>
      <c r="V1334" t="str">
        <f>IF(L1334="","",Q1334/'[1]LOCH Calc COE Calc'!$C$28)</f>
        <v/>
      </c>
      <c r="W1334" t="str">
        <f>IF(L1334="","",R1334/'[1]LOCH Calc COE Calc'!$C$28)</f>
        <v/>
      </c>
    </row>
    <row r="1335" spans="12:23" x14ac:dyDescent="0.25">
      <c r="L1335" s="4" t="str">
        <f>IF('[1]All Data '!BE1340="","",'[1]All Data '!BE1340)</f>
        <v/>
      </c>
      <c r="M1335" t="str">
        <f>IF('[1]All Data '!BF1340="","",'[1]All Data '!BF1340)</f>
        <v/>
      </c>
      <c r="N1335" s="5" t="str">
        <f>IF('[1]All Data '!BB1340="","",'[1]All Data '!BC1340/'[1]All Data '!BH1340)</f>
        <v/>
      </c>
      <c r="O1335" s="5" t="str">
        <f t="shared" si="22"/>
        <v/>
      </c>
      <c r="P1335" s="5" t="str">
        <f>IF(M1335="","",$C$2*(1-L1335)*907.2/0.621371*N1335*[1]Transportation!$M$40)</f>
        <v/>
      </c>
      <c r="Q1335" s="5" t="str">
        <f>IF(L1335="","",IF([1]Inputs_Outputs!$B$5="Herbaceous",(LCA!$E$29*'[1]LOCH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5" s="5" t="str">
        <f>IF(M1335="","",$E$2*1000*'[1]LOCH Calc COE Calc'!$C$44)</f>
        <v/>
      </c>
      <c r="S1335" s="6" t="str">
        <f>IF(N1335="","",SUM(O1335:R1335)/('[1]LOCH Calc COE Calc'!$C$28))</f>
        <v/>
      </c>
      <c r="T1335" t="str">
        <f>IF(L1335="","",O1335/'[1]LOCH Calc COE Calc'!$C$28)</f>
        <v/>
      </c>
      <c r="U1335" t="str">
        <f>IF(L1335="","",P1335/'[1]LOCH Calc COE Calc'!$C$28)</f>
        <v/>
      </c>
      <c r="V1335" t="str">
        <f>IF(L1335="","",Q1335/'[1]LOCH Calc COE Calc'!$C$28)</f>
        <v/>
      </c>
      <c r="W1335" t="str">
        <f>IF(L1335="","",R1335/'[1]LOCH Calc COE Calc'!$C$28)</f>
        <v/>
      </c>
    </row>
    <row r="1336" spans="12:23" x14ac:dyDescent="0.25">
      <c r="L1336" s="4" t="str">
        <f>IF('[1]All Data '!BE1341="","",'[1]All Data '!BE1341)</f>
        <v/>
      </c>
      <c r="M1336" t="str">
        <f>IF('[1]All Data '!BF1341="","",'[1]All Data '!BF1341)</f>
        <v/>
      </c>
      <c r="N1336" s="5" t="str">
        <f>IF('[1]All Data '!BB1341="","",'[1]All Data '!BC1341/'[1]All Data '!BH1341)</f>
        <v/>
      </c>
      <c r="O1336" s="5" t="str">
        <f t="shared" si="22"/>
        <v/>
      </c>
      <c r="P1336" s="5" t="str">
        <f>IF(M1336="","",$C$2*(1-L1336)*907.2/0.621371*N1336*[1]Transportation!$M$40)</f>
        <v/>
      </c>
      <c r="Q1336" s="5" t="str">
        <f>IF(L1336="","",IF([1]Inputs_Outputs!$B$5="Herbaceous",(LCA!$E$29*'[1]LOCH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6" s="5" t="str">
        <f>IF(M1336="","",$E$2*1000*'[1]LOCH Calc COE Calc'!$C$44)</f>
        <v/>
      </c>
      <c r="S1336" s="6" t="str">
        <f>IF(N1336="","",SUM(O1336:R1336)/('[1]LOCH Calc COE Calc'!$C$28))</f>
        <v/>
      </c>
      <c r="T1336" t="str">
        <f>IF(L1336="","",O1336/'[1]LOCH Calc COE Calc'!$C$28)</f>
        <v/>
      </c>
      <c r="U1336" t="str">
        <f>IF(L1336="","",P1336/'[1]LOCH Calc COE Calc'!$C$28)</f>
        <v/>
      </c>
      <c r="V1336" t="str">
        <f>IF(L1336="","",Q1336/'[1]LOCH Calc COE Calc'!$C$28)</f>
        <v/>
      </c>
      <c r="W1336" t="str">
        <f>IF(L1336="","",R1336/'[1]LOCH Calc COE Calc'!$C$28)</f>
        <v/>
      </c>
    </row>
    <row r="1337" spans="12:23" x14ac:dyDescent="0.25">
      <c r="L1337" s="4" t="str">
        <f>IF('[1]All Data '!BE1342="","",'[1]All Data '!BE1342)</f>
        <v/>
      </c>
      <c r="M1337" t="str">
        <f>IF('[1]All Data '!BF1342="","",'[1]All Data '!BF1342)</f>
        <v/>
      </c>
      <c r="N1337" s="5" t="str">
        <f>IF('[1]All Data '!BB1342="","",'[1]All Data '!BC1342/'[1]All Data '!BH1342)</f>
        <v/>
      </c>
      <c r="O1337" s="5" t="str">
        <f t="shared" si="22"/>
        <v/>
      </c>
      <c r="P1337" s="5" t="str">
        <f>IF(M1337="","",$C$2*(1-L1337)*907.2/0.621371*N1337*[1]Transportation!$M$40)</f>
        <v/>
      </c>
      <c r="Q1337" s="5" t="str">
        <f>IF(L1337="","",IF([1]Inputs_Outputs!$B$5="Herbaceous",(LCA!$E$29*'[1]LOCH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7" s="5" t="str">
        <f>IF(M1337="","",$E$2*1000*'[1]LOCH Calc COE Calc'!$C$44)</f>
        <v/>
      </c>
      <c r="S1337" s="6" t="str">
        <f>IF(N1337="","",SUM(O1337:R1337)/('[1]LOCH Calc COE Calc'!$C$28))</f>
        <v/>
      </c>
      <c r="T1337" t="str">
        <f>IF(L1337="","",O1337/'[1]LOCH Calc COE Calc'!$C$28)</f>
        <v/>
      </c>
      <c r="U1337" t="str">
        <f>IF(L1337="","",P1337/'[1]LOCH Calc COE Calc'!$C$28)</f>
        <v/>
      </c>
      <c r="V1337" t="str">
        <f>IF(L1337="","",Q1337/'[1]LOCH Calc COE Calc'!$C$28)</f>
        <v/>
      </c>
      <c r="W1337" t="str">
        <f>IF(L1337="","",R1337/'[1]LOCH Calc COE Calc'!$C$28)</f>
        <v/>
      </c>
    </row>
    <row r="1338" spans="12:23" x14ac:dyDescent="0.25">
      <c r="L1338" s="4" t="str">
        <f>IF('[1]All Data '!BE1343="","",'[1]All Data '!BE1343)</f>
        <v/>
      </c>
      <c r="M1338" t="str">
        <f>IF('[1]All Data '!BF1343="","",'[1]All Data '!BF1343)</f>
        <v/>
      </c>
      <c r="N1338" s="5" t="str">
        <f>IF('[1]All Data '!BB1343="","",'[1]All Data '!BC1343/'[1]All Data '!BH1343)</f>
        <v/>
      </c>
      <c r="O1338" s="5" t="str">
        <f t="shared" si="22"/>
        <v/>
      </c>
      <c r="P1338" s="5" t="str">
        <f>IF(M1338="","",$C$2*(1-L1338)*907.2/0.621371*N1338*[1]Transportation!$M$40)</f>
        <v/>
      </c>
      <c r="Q1338" s="5" t="str">
        <f>IF(L1338="","",IF([1]Inputs_Outputs!$B$5="Herbaceous",(LCA!$E$29*'[1]LOCH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8" s="5" t="str">
        <f>IF(M1338="","",$E$2*1000*'[1]LOCH Calc COE Calc'!$C$44)</f>
        <v/>
      </c>
      <c r="S1338" s="6" t="str">
        <f>IF(N1338="","",SUM(O1338:R1338)/('[1]LOCH Calc COE Calc'!$C$28))</f>
        <v/>
      </c>
      <c r="T1338" t="str">
        <f>IF(L1338="","",O1338/'[1]LOCH Calc COE Calc'!$C$28)</f>
        <v/>
      </c>
      <c r="U1338" t="str">
        <f>IF(L1338="","",P1338/'[1]LOCH Calc COE Calc'!$C$28)</f>
        <v/>
      </c>
      <c r="V1338" t="str">
        <f>IF(L1338="","",Q1338/'[1]LOCH Calc COE Calc'!$C$28)</f>
        <v/>
      </c>
      <c r="W1338" t="str">
        <f>IF(L1338="","",R1338/'[1]LOCH Calc COE Calc'!$C$28)</f>
        <v/>
      </c>
    </row>
    <row r="1339" spans="12:23" x14ac:dyDescent="0.25">
      <c r="L1339" s="4" t="str">
        <f>IF('[1]All Data '!BE1344="","",'[1]All Data '!BE1344)</f>
        <v/>
      </c>
      <c r="M1339" t="str">
        <f>IF('[1]All Data '!BF1344="","",'[1]All Data '!BF1344)</f>
        <v/>
      </c>
      <c r="N1339" s="5" t="str">
        <f>IF('[1]All Data '!BB1344="","",'[1]All Data '!BC1344/'[1]All Data '!BH1344)</f>
        <v/>
      </c>
      <c r="O1339" s="5" t="str">
        <f t="shared" si="22"/>
        <v/>
      </c>
      <c r="P1339" s="5" t="str">
        <f>IF(M1339="","",$C$2*(1-L1339)*907.2/0.621371*N1339*[1]Transportation!$M$40)</f>
        <v/>
      </c>
      <c r="Q1339" s="5" t="str">
        <f>IF(L1339="","",IF([1]Inputs_Outputs!$B$5="Herbaceous",(LCA!$E$29*'[1]LOCH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39" s="5" t="str">
        <f>IF(M1339="","",$E$2*1000*'[1]LOCH Calc COE Calc'!$C$44)</f>
        <v/>
      </c>
      <c r="S1339" s="6" t="str">
        <f>IF(N1339="","",SUM(O1339:R1339)/('[1]LOCH Calc COE Calc'!$C$28))</f>
        <v/>
      </c>
      <c r="T1339" t="str">
        <f>IF(L1339="","",O1339/'[1]LOCH Calc COE Calc'!$C$28)</f>
        <v/>
      </c>
      <c r="U1339" t="str">
        <f>IF(L1339="","",P1339/'[1]LOCH Calc COE Calc'!$C$28)</f>
        <v/>
      </c>
      <c r="V1339" t="str">
        <f>IF(L1339="","",Q1339/'[1]LOCH Calc COE Calc'!$C$28)</f>
        <v/>
      </c>
      <c r="W1339" t="str">
        <f>IF(L1339="","",R1339/'[1]LOCH Calc COE Calc'!$C$28)</f>
        <v/>
      </c>
    </row>
    <row r="1340" spans="12:23" x14ac:dyDescent="0.25">
      <c r="L1340" s="4" t="str">
        <f>IF('[1]All Data '!BE1345="","",'[1]All Data '!BE1345)</f>
        <v/>
      </c>
      <c r="M1340" t="str">
        <f>IF('[1]All Data '!BF1345="","",'[1]All Data '!BF1345)</f>
        <v/>
      </c>
      <c r="N1340" s="5" t="str">
        <f>IF('[1]All Data '!BB1345="","",'[1]All Data '!BC1345/'[1]All Data '!BH1345)</f>
        <v/>
      </c>
      <c r="O1340" s="5" t="str">
        <f t="shared" si="22"/>
        <v/>
      </c>
      <c r="P1340" s="5" t="str">
        <f>IF(M1340="","",$C$2*(1-L1340)*907.2/0.621371*N1340*[1]Transportation!$M$40)</f>
        <v/>
      </c>
      <c r="Q1340" s="5" t="str">
        <f>IF(L1340="","",IF([1]Inputs_Outputs!$B$5="Herbaceous",(LCA!$E$29*'[1]LOCH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0" s="5" t="str">
        <f>IF(M1340="","",$E$2*1000*'[1]LOCH Calc COE Calc'!$C$44)</f>
        <v/>
      </c>
      <c r="S1340" s="6" t="str">
        <f>IF(N1340="","",SUM(O1340:R1340)/('[1]LOCH Calc COE Calc'!$C$28))</f>
        <v/>
      </c>
      <c r="T1340" t="str">
        <f>IF(L1340="","",O1340/'[1]LOCH Calc COE Calc'!$C$28)</f>
        <v/>
      </c>
      <c r="U1340" t="str">
        <f>IF(L1340="","",P1340/'[1]LOCH Calc COE Calc'!$C$28)</f>
        <v/>
      </c>
      <c r="V1340" t="str">
        <f>IF(L1340="","",Q1340/'[1]LOCH Calc COE Calc'!$C$28)</f>
        <v/>
      </c>
      <c r="W1340" t="str">
        <f>IF(L1340="","",R1340/'[1]LOCH Calc COE Calc'!$C$28)</f>
        <v/>
      </c>
    </row>
    <row r="1341" spans="12:23" x14ac:dyDescent="0.25">
      <c r="L1341" s="4" t="str">
        <f>IF('[1]All Data '!BE1346="","",'[1]All Data '!BE1346)</f>
        <v/>
      </c>
      <c r="M1341" t="str">
        <f>IF('[1]All Data '!BF1346="","",'[1]All Data '!BF1346)</f>
        <v/>
      </c>
      <c r="N1341" s="5" t="str">
        <f>IF('[1]All Data '!BB1346="","",'[1]All Data '!BC1346/'[1]All Data '!BH1346)</f>
        <v/>
      </c>
      <c r="O1341" s="5" t="str">
        <f t="shared" si="22"/>
        <v/>
      </c>
      <c r="P1341" s="5" t="str">
        <f>IF(M1341="","",$C$2*(1-L1341)*907.2/0.621371*N1341*[1]Transportation!$M$40)</f>
        <v/>
      </c>
      <c r="Q1341" s="5" t="str">
        <f>IF(L1341="","",IF([1]Inputs_Outputs!$B$5="Herbaceous",(LCA!$E$29*'[1]LOCH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1" s="5" t="str">
        <f>IF(M1341="","",$E$2*1000*'[1]LOCH Calc COE Calc'!$C$44)</f>
        <v/>
      </c>
      <c r="S1341" s="6" t="str">
        <f>IF(N1341="","",SUM(O1341:R1341)/('[1]LOCH Calc COE Calc'!$C$28))</f>
        <v/>
      </c>
      <c r="T1341" t="str">
        <f>IF(L1341="","",O1341/'[1]LOCH Calc COE Calc'!$C$28)</f>
        <v/>
      </c>
      <c r="U1341" t="str">
        <f>IF(L1341="","",P1341/'[1]LOCH Calc COE Calc'!$C$28)</f>
        <v/>
      </c>
      <c r="V1341" t="str">
        <f>IF(L1341="","",Q1341/'[1]LOCH Calc COE Calc'!$C$28)</f>
        <v/>
      </c>
      <c r="W1341" t="str">
        <f>IF(L1341="","",R1341/'[1]LOCH Calc COE Calc'!$C$28)</f>
        <v/>
      </c>
    </row>
    <row r="1342" spans="12:23" x14ac:dyDescent="0.25">
      <c r="L1342" s="4" t="str">
        <f>IF('[1]All Data '!BE1347="","",'[1]All Data '!BE1347)</f>
        <v/>
      </c>
      <c r="M1342" t="str">
        <f>IF('[1]All Data '!BF1347="","",'[1]All Data '!BF1347)</f>
        <v/>
      </c>
      <c r="N1342" s="5" t="str">
        <f>IF('[1]All Data '!BB1347="","",'[1]All Data '!BC1347/'[1]All Data '!BH1347)</f>
        <v/>
      </c>
      <c r="O1342" s="5" t="str">
        <f t="shared" si="22"/>
        <v/>
      </c>
      <c r="P1342" s="5" t="str">
        <f>IF(M1342="","",$C$2*(1-L1342)*907.2/0.621371*N1342*[1]Transportation!$M$40)</f>
        <v/>
      </c>
      <c r="Q1342" s="5" t="str">
        <f>IF(L1342="","",IF([1]Inputs_Outputs!$B$5="Herbaceous",(LCA!$E$29*'[1]LOCH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2" s="5" t="str">
        <f>IF(M1342="","",$E$2*1000*'[1]LOCH Calc COE Calc'!$C$44)</f>
        <v/>
      </c>
      <c r="S1342" s="6" t="str">
        <f>IF(N1342="","",SUM(O1342:R1342)/('[1]LOCH Calc COE Calc'!$C$28))</f>
        <v/>
      </c>
      <c r="T1342" t="str">
        <f>IF(L1342="","",O1342/'[1]LOCH Calc COE Calc'!$C$28)</f>
        <v/>
      </c>
      <c r="U1342" t="str">
        <f>IF(L1342="","",P1342/'[1]LOCH Calc COE Calc'!$C$28)</f>
        <v/>
      </c>
      <c r="V1342" t="str">
        <f>IF(L1342="","",Q1342/'[1]LOCH Calc COE Calc'!$C$28)</f>
        <v/>
      </c>
      <c r="W1342" t="str">
        <f>IF(L1342="","",R1342/'[1]LOCH Calc COE Calc'!$C$28)</f>
        <v/>
      </c>
    </row>
    <row r="1343" spans="12:23" x14ac:dyDescent="0.25">
      <c r="L1343" s="4" t="str">
        <f>IF('[1]All Data '!BE1348="","",'[1]All Data '!BE1348)</f>
        <v/>
      </c>
      <c r="M1343" t="str">
        <f>IF('[1]All Data '!BF1348="","",'[1]All Data '!BF1348)</f>
        <v/>
      </c>
      <c r="N1343" s="5" t="str">
        <f>IF('[1]All Data '!BB1348="","",'[1]All Data '!BC1348/'[1]All Data '!BH1348)</f>
        <v/>
      </c>
      <c r="O1343" s="5" t="str">
        <f t="shared" si="22"/>
        <v/>
      </c>
      <c r="P1343" s="5" t="str">
        <f>IF(M1343="","",$C$2*(1-L1343)*907.2/0.621371*N1343*[1]Transportation!$M$40)</f>
        <v/>
      </c>
      <c r="Q1343" s="5" t="str">
        <f>IF(L1343="","",IF([1]Inputs_Outputs!$B$5="Herbaceous",(LCA!$E$29*'[1]LOCH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3" s="5" t="str">
        <f>IF(M1343="","",$E$2*1000*'[1]LOCH Calc COE Calc'!$C$44)</f>
        <v/>
      </c>
      <c r="S1343" s="6" t="str">
        <f>IF(N1343="","",SUM(O1343:R1343)/('[1]LOCH Calc COE Calc'!$C$28))</f>
        <v/>
      </c>
      <c r="T1343" t="str">
        <f>IF(L1343="","",O1343/'[1]LOCH Calc COE Calc'!$C$28)</f>
        <v/>
      </c>
      <c r="U1343" t="str">
        <f>IF(L1343="","",P1343/'[1]LOCH Calc COE Calc'!$C$28)</f>
        <v/>
      </c>
      <c r="V1343" t="str">
        <f>IF(L1343="","",Q1343/'[1]LOCH Calc COE Calc'!$C$28)</f>
        <v/>
      </c>
      <c r="W1343" t="str">
        <f>IF(L1343="","",R1343/'[1]LOCH Calc COE Calc'!$C$28)</f>
        <v/>
      </c>
    </row>
    <row r="1344" spans="12:23" x14ac:dyDescent="0.25">
      <c r="L1344" s="4" t="str">
        <f>IF('[1]All Data '!BE1349="","",'[1]All Data '!BE1349)</f>
        <v/>
      </c>
      <c r="M1344" t="str">
        <f>IF('[1]All Data '!BF1349="","",'[1]All Data '!BF1349)</f>
        <v/>
      </c>
      <c r="N1344" s="5" t="str">
        <f>IF('[1]All Data '!BB1349="","",'[1]All Data '!BC1349/'[1]All Data '!BH1349)</f>
        <v/>
      </c>
      <c r="O1344" s="5" t="str">
        <f t="shared" si="22"/>
        <v/>
      </c>
      <c r="P1344" s="5" t="str">
        <f>IF(M1344="","",$C$2*(1-L1344)*907.2/0.621371*N1344*[1]Transportation!$M$40)</f>
        <v/>
      </c>
      <c r="Q1344" s="5" t="str">
        <f>IF(L1344="","",IF([1]Inputs_Outputs!$B$5="Herbaceous",(LCA!$E$29*'[1]LOCH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4" s="5" t="str">
        <f>IF(M1344="","",$E$2*1000*'[1]LOCH Calc COE Calc'!$C$44)</f>
        <v/>
      </c>
      <c r="S1344" s="6" t="str">
        <f>IF(N1344="","",SUM(O1344:R1344)/('[1]LOCH Calc COE Calc'!$C$28))</f>
        <v/>
      </c>
      <c r="T1344" t="str">
        <f>IF(L1344="","",O1344/'[1]LOCH Calc COE Calc'!$C$28)</f>
        <v/>
      </c>
      <c r="U1344" t="str">
        <f>IF(L1344="","",P1344/'[1]LOCH Calc COE Calc'!$C$28)</f>
        <v/>
      </c>
      <c r="V1344" t="str">
        <f>IF(L1344="","",Q1344/'[1]LOCH Calc COE Calc'!$C$28)</f>
        <v/>
      </c>
      <c r="W1344" t="str">
        <f>IF(L1344="","",R1344/'[1]LOCH Calc COE Calc'!$C$28)</f>
        <v/>
      </c>
    </row>
    <row r="1345" spans="12:23" x14ac:dyDescent="0.25">
      <c r="L1345" s="4" t="str">
        <f>IF('[1]All Data '!BE1350="","",'[1]All Data '!BE1350)</f>
        <v/>
      </c>
      <c r="M1345" t="str">
        <f>IF('[1]All Data '!BF1350="","",'[1]All Data '!BF1350)</f>
        <v/>
      </c>
      <c r="N1345" s="5" t="str">
        <f>IF('[1]All Data '!BB1350="","",'[1]All Data '!BC1350/'[1]All Data '!BH1350)</f>
        <v/>
      </c>
      <c r="O1345" s="5" t="str">
        <f t="shared" si="22"/>
        <v/>
      </c>
      <c r="P1345" s="5" t="str">
        <f>IF(M1345="","",$C$2*(1-L1345)*907.2/0.621371*N1345*[1]Transportation!$M$40)</f>
        <v/>
      </c>
      <c r="Q1345" s="5" t="str">
        <f>IF(L1345="","",IF([1]Inputs_Outputs!$B$5="Herbaceous",(LCA!$E$29*'[1]LOCH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5" s="5" t="str">
        <f>IF(M1345="","",$E$2*1000*'[1]LOCH Calc COE Calc'!$C$44)</f>
        <v/>
      </c>
      <c r="S1345" s="6" t="str">
        <f>IF(N1345="","",SUM(O1345:R1345)/('[1]LOCH Calc COE Calc'!$C$28))</f>
        <v/>
      </c>
      <c r="T1345" t="str">
        <f>IF(L1345="","",O1345/'[1]LOCH Calc COE Calc'!$C$28)</f>
        <v/>
      </c>
      <c r="U1345" t="str">
        <f>IF(L1345="","",P1345/'[1]LOCH Calc COE Calc'!$C$28)</f>
        <v/>
      </c>
      <c r="V1345" t="str">
        <f>IF(L1345="","",Q1345/'[1]LOCH Calc COE Calc'!$C$28)</f>
        <v/>
      </c>
      <c r="W1345" t="str">
        <f>IF(L1345="","",R1345/'[1]LOCH Calc COE Calc'!$C$28)</f>
        <v/>
      </c>
    </row>
    <row r="1346" spans="12:23" x14ac:dyDescent="0.25">
      <c r="L1346" s="4" t="str">
        <f>IF('[1]All Data '!BE1351="","",'[1]All Data '!BE1351)</f>
        <v/>
      </c>
      <c r="M1346" t="str">
        <f>IF('[1]All Data '!BF1351="","",'[1]All Data '!BF1351)</f>
        <v/>
      </c>
      <c r="N1346" s="5" t="str">
        <f>IF('[1]All Data '!BB1351="","",'[1]All Data '!BC1351/'[1]All Data '!BH1351)</f>
        <v/>
      </c>
      <c r="O1346" s="5" t="str">
        <f t="shared" si="22"/>
        <v/>
      </c>
      <c r="P1346" s="5" t="str">
        <f>IF(M1346="","",$C$2*(1-L1346)*907.2/0.621371*N1346*[1]Transportation!$M$40)</f>
        <v/>
      </c>
      <c r="Q1346" s="5" t="str">
        <f>IF(L1346="","",IF([1]Inputs_Outputs!$B$5="Herbaceous",(LCA!$E$29*'[1]LOCH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6" s="5" t="str">
        <f>IF(M1346="","",$E$2*1000*'[1]LOCH Calc COE Calc'!$C$44)</f>
        <v/>
      </c>
      <c r="S1346" s="6" t="str">
        <f>IF(N1346="","",SUM(O1346:R1346)/('[1]LOCH Calc COE Calc'!$C$28))</f>
        <v/>
      </c>
      <c r="T1346" t="str">
        <f>IF(L1346="","",O1346/'[1]LOCH Calc COE Calc'!$C$28)</f>
        <v/>
      </c>
      <c r="U1346" t="str">
        <f>IF(L1346="","",P1346/'[1]LOCH Calc COE Calc'!$C$28)</f>
        <v/>
      </c>
      <c r="V1346" t="str">
        <f>IF(L1346="","",Q1346/'[1]LOCH Calc COE Calc'!$C$28)</f>
        <v/>
      </c>
      <c r="W1346" t="str">
        <f>IF(L1346="","",R1346/'[1]LOCH Calc COE Calc'!$C$28)</f>
        <v/>
      </c>
    </row>
    <row r="1347" spans="12:23" x14ac:dyDescent="0.25">
      <c r="L1347" s="4" t="str">
        <f>IF('[1]All Data '!BE1352="","",'[1]All Data '!BE1352)</f>
        <v/>
      </c>
      <c r="M1347" t="str">
        <f>IF('[1]All Data '!BF1352="","",'[1]All Data '!BF1352)</f>
        <v/>
      </c>
      <c r="N1347" s="5" t="str">
        <f>IF('[1]All Data '!BB1352="","",'[1]All Data '!BC1352/'[1]All Data '!BH1352)</f>
        <v/>
      </c>
      <c r="O1347" s="5" t="str">
        <f t="shared" si="22"/>
        <v/>
      </c>
      <c r="P1347" s="5" t="str">
        <f>IF(M1347="","",$C$2*(1-L1347)*907.2/0.621371*N1347*[1]Transportation!$M$40)</f>
        <v/>
      </c>
      <c r="Q1347" s="5" t="str">
        <f>IF(L1347="","",IF([1]Inputs_Outputs!$B$5="Herbaceous",(LCA!$E$29*'[1]LOCH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7" s="5" t="str">
        <f>IF(M1347="","",$E$2*1000*'[1]LOCH Calc COE Calc'!$C$44)</f>
        <v/>
      </c>
      <c r="S1347" s="6" t="str">
        <f>IF(N1347="","",SUM(O1347:R1347)/('[1]LOCH Calc COE Calc'!$C$28))</f>
        <v/>
      </c>
      <c r="T1347" t="str">
        <f>IF(L1347="","",O1347/'[1]LOCH Calc COE Calc'!$C$28)</f>
        <v/>
      </c>
      <c r="U1347" t="str">
        <f>IF(L1347="","",P1347/'[1]LOCH Calc COE Calc'!$C$28)</f>
        <v/>
      </c>
      <c r="V1347" t="str">
        <f>IF(L1347="","",Q1347/'[1]LOCH Calc COE Calc'!$C$28)</f>
        <v/>
      </c>
      <c r="W1347" t="str">
        <f>IF(L1347="","",R1347/'[1]LOCH Calc COE Calc'!$C$28)</f>
        <v/>
      </c>
    </row>
    <row r="1348" spans="12:23" x14ac:dyDescent="0.25">
      <c r="L1348" s="4" t="str">
        <f>IF('[1]All Data '!BE1353="","",'[1]All Data '!BE1353)</f>
        <v/>
      </c>
      <c r="M1348" t="str">
        <f>IF('[1]All Data '!BF1353="","",'[1]All Data '!BF1353)</f>
        <v/>
      </c>
      <c r="N1348" s="5" t="str">
        <f>IF('[1]All Data '!BB1353="","",'[1]All Data '!BC1353/'[1]All Data '!BH1353)</f>
        <v/>
      </c>
      <c r="O1348" s="5" t="str">
        <f t="shared" ref="O1348:O1411" si="23">IF(N1348="","",M1348*N1348)</f>
        <v/>
      </c>
      <c r="P1348" s="5" t="str">
        <f>IF(M1348="","",$C$2*(1-L1348)*907.2/0.621371*N1348*[1]Transportation!$M$40)</f>
        <v/>
      </c>
      <c r="Q1348" s="5" t="str">
        <f>IF(L1348="","",IF([1]Inputs_Outputs!$B$5="Herbaceous",(LCA!$E$29*'[1]LOCH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8" s="5" t="str">
        <f>IF(M1348="","",$E$2*1000*'[1]LOCH Calc COE Calc'!$C$44)</f>
        <v/>
      </c>
      <c r="S1348" s="6" t="str">
        <f>IF(N1348="","",SUM(O1348:R1348)/('[1]LOCH Calc COE Calc'!$C$28))</f>
        <v/>
      </c>
      <c r="T1348" t="str">
        <f>IF(L1348="","",O1348/'[1]LOCH Calc COE Calc'!$C$28)</f>
        <v/>
      </c>
      <c r="U1348" t="str">
        <f>IF(L1348="","",P1348/'[1]LOCH Calc COE Calc'!$C$28)</f>
        <v/>
      </c>
      <c r="V1348" t="str">
        <f>IF(L1348="","",Q1348/'[1]LOCH Calc COE Calc'!$C$28)</f>
        <v/>
      </c>
      <c r="W1348" t="str">
        <f>IF(L1348="","",R1348/'[1]LOCH Calc COE Calc'!$C$28)</f>
        <v/>
      </c>
    </row>
    <row r="1349" spans="12:23" x14ac:dyDescent="0.25">
      <c r="L1349" s="4" t="str">
        <f>IF('[1]All Data '!BE1354="","",'[1]All Data '!BE1354)</f>
        <v/>
      </c>
      <c r="M1349" t="str">
        <f>IF('[1]All Data '!BF1354="","",'[1]All Data '!BF1354)</f>
        <v/>
      </c>
      <c r="N1349" s="5" t="str">
        <f>IF('[1]All Data '!BB1354="","",'[1]All Data '!BC1354/'[1]All Data '!BH1354)</f>
        <v/>
      </c>
      <c r="O1349" s="5" t="str">
        <f t="shared" si="23"/>
        <v/>
      </c>
      <c r="P1349" s="5" t="str">
        <f>IF(M1349="","",$C$2*(1-L1349)*907.2/0.621371*N1349*[1]Transportation!$M$40)</f>
        <v/>
      </c>
      <c r="Q1349" s="5" t="str">
        <f>IF(L1349="","",IF([1]Inputs_Outputs!$B$5="Herbaceous",(LCA!$E$29*'[1]LOCH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49" s="5" t="str">
        <f>IF(M1349="","",$E$2*1000*'[1]LOCH Calc COE Calc'!$C$44)</f>
        <v/>
      </c>
      <c r="S1349" s="6" t="str">
        <f>IF(N1349="","",SUM(O1349:R1349)/('[1]LOCH Calc COE Calc'!$C$28))</f>
        <v/>
      </c>
      <c r="T1349" t="str">
        <f>IF(L1349="","",O1349/'[1]LOCH Calc COE Calc'!$C$28)</f>
        <v/>
      </c>
      <c r="U1349" t="str">
        <f>IF(L1349="","",P1349/'[1]LOCH Calc COE Calc'!$C$28)</f>
        <v/>
      </c>
      <c r="V1349" t="str">
        <f>IF(L1349="","",Q1349/'[1]LOCH Calc COE Calc'!$C$28)</f>
        <v/>
      </c>
      <c r="W1349" t="str">
        <f>IF(L1349="","",R1349/'[1]LOCH Calc COE Calc'!$C$28)</f>
        <v/>
      </c>
    </row>
    <row r="1350" spans="12:23" x14ac:dyDescent="0.25">
      <c r="L1350" s="4" t="str">
        <f>IF('[1]All Data '!BE1355="","",'[1]All Data '!BE1355)</f>
        <v/>
      </c>
      <c r="M1350" t="str">
        <f>IF('[1]All Data '!BF1355="","",'[1]All Data '!BF1355)</f>
        <v/>
      </c>
      <c r="N1350" s="5" t="str">
        <f>IF('[1]All Data '!BB1355="","",'[1]All Data '!BC1355/'[1]All Data '!BH1355)</f>
        <v/>
      </c>
      <c r="O1350" s="5" t="str">
        <f t="shared" si="23"/>
        <v/>
      </c>
      <c r="P1350" s="5" t="str">
        <f>IF(M1350="","",$C$2*(1-L1350)*907.2/0.621371*N1350*[1]Transportation!$M$40)</f>
        <v/>
      </c>
      <c r="Q1350" s="5" t="str">
        <f>IF(L1350="","",IF([1]Inputs_Outputs!$B$5="Herbaceous",(LCA!$E$29*'[1]LOCH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0" s="5" t="str">
        <f>IF(M1350="","",$E$2*1000*'[1]LOCH Calc COE Calc'!$C$44)</f>
        <v/>
      </c>
      <c r="S1350" s="6" t="str">
        <f>IF(N1350="","",SUM(O1350:R1350)/('[1]LOCH Calc COE Calc'!$C$28))</f>
        <v/>
      </c>
      <c r="T1350" t="str">
        <f>IF(L1350="","",O1350/'[1]LOCH Calc COE Calc'!$C$28)</f>
        <v/>
      </c>
      <c r="U1350" t="str">
        <f>IF(L1350="","",P1350/'[1]LOCH Calc COE Calc'!$C$28)</f>
        <v/>
      </c>
      <c r="V1350" t="str">
        <f>IF(L1350="","",Q1350/'[1]LOCH Calc COE Calc'!$C$28)</f>
        <v/>
      </c>
      <c r="W1350" t="str">
        <f>IF(L1350="","",R1350/'[1]LOCH Calc COE Calc'!$C$28)</f>
        <v/>
      </c>
    </row>
    <row r="1351" spans="12:23" x14ac:dyDescent="0.25">
      <c r="L1351" s="4" t="str">
        <f>IF('[1]All Data '!BE1356="","",'[1]All Data '!BE1356)</f>
        <v/>
      </c>
      <c r="M1351" t="str">
        <f>IF('[1]All Data '!BF1356="","",'[1]All Data '!BF1356)</f>
        <v/>
      </c>
      <c r="N1351" s="5" t="str">
        <f>IF('[1]All Data '!BB1356="","",'[1]All Data '!BC1356/'[1]All Data '!BH1356)</f>
        <v/>
      </c>
      <c r="O1351" s="5" t="str">
        <f t="shared" si="23"/>
        <v/>
      </c>
      <c r="P1351" s="5" t="str">
        <f>IF(M1351="","",$C$2*(1-L1351)*907.2/0.621371*N1351*[1]Transportation!$M$40)</f>
        <v/>
      </c>
      <c r="Q1351" s="5" t="str">
        <f>IF(L1351="","",IF([1]Inputs_Outputs!$B$5="Herbaceous",(LCA!$E$29*'[1]LOCH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1" s="5" t="str">
        <f>IF(M1351="","",$E$2*1000*'[1]LOCH Calc COE Calc'!$C$44)</f>
        <v/>
      </c>
      <c r="S1351" s="6" t="str">
        <f>IF(N1351="","",SUM(O1351:R1351)/('[1]LOCH Calc COE Calc'!$C$28))</f>
        <v/>
      </c>
      <c r="T1351" t="str">
        <f>IF(L1351="","",O1351/'[1]LOCH Calc COE Calc'!$C$28)</f>
        <v/>
      </c>
      <c r="U1351" t="str">
        <f>IF(L1351="","",P1351/'[1]LOCH Calc COE Calc'!$C$28)</f>
        <v/>
      </c>
      <c r="V1351" t="str">
        <f>IF(L1351="","",Q1351/'[1]LOCH Calc COE Calc'!$C$28)</f>
        <v/>
      </c>
      <c r="W1351" t="str">
        <f>IF(L1351="","",R1351/'[1]LOCH Calc COE Calc'!$C$28)</f>
        <v/>
      </c>
    </row>
    <row r="1352" spans="12:23" x14ac:dyDescent="0.25">
      <c r="L1352" s="4" t="str">
        <f>IF('[1]All Data '!BE1357="","",'[1]All Data '!BE1357)</f>
        <v/>
      </c>
      <c r="M1352" t="str">
        <f>IF('[1]All Data '!BF1357="","",'[1]All Data '!BF1357)</f>
        <v/>
      </c>
      <c r="N1352" s="5" t="str">
        <f>IF('[1]All Data '!BB1357="","",'[1]All Data '!BC1357/'[1]All Data '!BH1357)</f>
        <v/>
      </c>
      <c r="O1352" s="5" t="str">
        <f t="shared" si="23"/>
        <v/>
      </c>
      <c r="P1352" s="5" t="str">
        <f>IF(M1352="","",$C$2*(1-L1352)*907.2/0.621371*N1352*[1]Transportation!$M$40)</f>
        <v/>
      </c>
      <c r="Q1352" s="5" t="str">
        <f>IF(L1352="","",IF([1]Inputs_Outputs!$B$5="Herbaceous",(LCA!$E$29*'[1]LOCH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2" s="5" t="str">
        <f>IF(M1352="","",$E$2*1000*'[1]LOCH Calc COE Calc'!$C$44)</f>
        <v/>
      </c>
      <c r="S1352" s="6" t="str">
        <f>IF(N1352="","",SUM(O1352:R1352)/('[1]LOCH Calc COE Calc'!$C$28))</f>
        <v/>
      </c>
      <c r="T1352" t="str">
        <f>IF(L1352="","",O1352/'[1]LOCH Calc COE Calc'!$C$28)</f>
        <v/>
      </c>
      <c r="U1352" t="str">
        <f>IF(L1352="","",P1352/'[1]LOCH Calc COE Calc'!$C$28)</f>
        <v/>
      </c>
      <c r="V1352" t="str">
        <f>IF(L1352="","",Q1352/'[1]LOCH Calc COE Calc'!$C$28)</f>
        <v/>
      </c>
      <c r="W1352" t="str">
        <f>IF(L1352="","",R1352/'[1]LOCH Calc COE Calc'!$C$28)</f>
        <v/>
      </c>
    </row>
    <row r="1353" spans="12:23" x14ac:dyDescent="0.25">
      <c r="L1353" s="4" t="str">
        <f>IF('[1]All Data '!BE1358="","",'[1]All Data '!BE1358)</f>
        <v/>
      </c>
      <c r="M1353" t="str">
        <f>IF('[1]All Data '!BF1358="","",'[1]All Data '!BF1358)</f>
        <v/>
      </c>
      <c r="N1353" s="5" t="str">
        <f>IF('[1]All Data '!BB1358="","",'[1]All Data '!BC1358/'[1]All Data '!BH1358)</f>
        <v/>
      </c>
      <c r="O1353" s="5" t="str">
        <f t="shared" si="23"/>
        <v/>
      </c>
      <c r="P1353" s="5" t="str">
        <f>IF(M1353="","",$C$2*(1-L1353)*907.2/0.621371*N1353*[1]Transportation!$M$40)</f>
        <v/>
      </c>
      <c r="Q1353" s="5" t="str">
        <f>IF(L1353="","",IF([1]Inputs_Outputs!$B$5="Herbaceous",(LCA!$E$29*'[1]LOCH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3" s="5" t="str">
        <f>IF(M1353="","",$E$2*1000*'[1]LOCH Calc COE Calc'!$C$44)</f>
        <v/>
      </c>
      <c r="S1353" s="6" t="str">
        <f>IF(N1353="","",SUM(O1353:R1353)/('[1]LOCH Calc COE Calc'!$C$28))</f>
        <v/>
      </c>
      <c r="T1353" t="str">
        <f>IF(L1353="","",O1353/'[1]LOCH Calc COE Calc'!$C$28)</f>
        <v/>
      </c>
      <c r="U1353" t="str">
        <f>IF(L1353="","",P1353/'[1]LOCH Calc COE Calc'!$C$28)</f>
        <v/>
      </c>
      <c r="V1353" t="str">
        <f>IF(L1353="","",Q1353/'[1]LOCH Calc COE Calc'!$C$28)</f>
        <v/>
      </c>
      <c r="W1353" t="str">
        <f>IF(L1353="","",R1353/'[1]LOCH Calc COE Calc'!$C$28)</f>
        <v/>
      </c>
    </row>
    <row r="1354" spans="12:23" x14ac:dyDescent="0.25">
      <c r="L1354" s="4" t="str">
        <f>IF('[1]All Data '!BE1359="","",'[1]All Data '!BE1359)</f>
        <v/>
      </c>
      <c r="M1354" t="str">
        <f>IF('[1]All Data '!BF1359="","",'[1]All Data '!BF1359)</f>
        <v/>
      </c>
      <c r="N1354" s="5" t="str">
        <f>IF('[1]All Data '!BB1359="","",'[1]All Data '!BC1359/'[1]All Data '!BH1359)</f>
        <v/>
      </c>
      <c r="O1354" s="5" t="str">
        <f t="shared" si="23"/>
        <v/>
      </c>
      <c r="P1354" s="5" t="str">
        <f>IF(M1354="","",$C$2*(1-L1354)*907.2/0.621371*N1354*[1]Transportation!$M$40)</f>
        <v/>
      </c>
      <c r="Q1354" s="5" t="str">
        <f>IF(L1354="","",IF([1]Inputs_Outputs!$B$5="Herbaceous",(LCA!$E$29*'[1]LOCH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4" s="5" t="str">
        <f>IF(M1354="","",$E$2*1000*'[1]LOCH Calc COE Calc'!$C$44)</f>
        <v/>
      </c>
      <c r="S1354" s="6" t="str">
        <f>IF(N1354="","",SUM(O1354:R1354)/('[1]LOCH Calc COE Calc'!$C$28))</f>
        <v/>
      </c>
      <c r="T1354" t="str">
        <f>IF(L1354="","",O1354/'[1]LOCH Calc COE Calc'!$C$28)</f>
        <v/>
      </c>
      <c r="U1354" t="str">
        <f>IF(L1354="","",P1354/'[1]LOCH Calc COE Calc'!$C$28)</f>
        <v/>
      </c>
      <c r="V1354" t="str">
        <f>IF(L1354="","",Q1354/'[1]LOCH Calc COE Calc'!$C$28)</f>
        <v/>
      </c>
      <c r="W1354" t="str">
        <f>IF(L1354="","",R1354/'[1]LOCH Calc COE Calc'!$C$28)</f>
        <v/>
      </c>
    </row>
    <row r="1355" spans="12:23" x14ac:dyDescent="0.25">
      <c r="L1355" s="4" t="str">
        <f>IF('[1]All Data '!BE1360="","",'[1]All Data '!BE1360)</f>
        <v/>
      </c>
      <c r="M1355" t="str">
        <f>IF('[1]All Data '!BF1360="","",'[1]All Data '!BF1360)</f>
        <v/>
      </c>
      <c r="N1355" s="5" t="str">
        <f>IF('[1]All Data '!BB1360="","",'[1]All Data '!BC1360/'[1]All Data '!BH1360)</f>
        <v/>
      </c>
      <c r="O1355" s="5" t="str">
        <f t="shared" si="23"/>
        <v/>
      </c>
      <c r="P1355" s="5" t="str">
        <f>IF(M1355="","",$C$2*(1-L1355)*907.2/0.621371*N1355*[1]Transportation!$M$40)</f>
        <v/>
      </c>
      <c r="Q1355" s="5" t="str">
        <f>IF(L1355="","",IF([1]Inputs_Outputs!$B$5="Herbaceous",(LCA!$E$29*'[1]LOCH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5" s="5" t="str">
        <f>IF(M1355="","",$E$2*1000*'[1]LOCH Calc COE Calc'!$C$44)</f>
        <v/>
      </c>
      <c r="S1355" s="6" t="str">
        <f>IF(N1355="","",SUM(O1355:R1355)/('[1]LOCH Calc COE Calc'!$C$28))</f>
        <v/>
      </c>
      <c r="T1355" t="str">
        <f>IF(L1355="","",O1355/'[1]LOCH Calc COE Calc'!$C$28)</f>
        <v/>
      </c>
      <c r="U1355" t="str">
        <f>IF(L1355="","",P1355/'[1]LOCH Calc COE Calc'!$C$28)</f>
        <v/>
      </c>
      <c r="V1355" t="str">
        <f>IF(L1355="","",Q1355/'[1]LOCH Calc COE Calc'!$C$28)</f>
        <v/>
      </c>
      <c r="W1355" t="str">
        <f>IF(L1355="","",R1355/'[1]LOCH Calc COE Calc'!$C$28)</f>
        <v/>
      </c>
    </row>
    <row r="1356" spans="12:23" x14ac:dyDescent="0.25">
      <c r="L1356" s="4" t="str">
        <f>IF('[1]All Data '!BE1361="","",'[1]All Data '!BE1361)</f>
        <v/>
      </c>
      <c r="M1356" t="str">
        <f>IF('[1]All Data '!BF1361="","",'[1]All Data '!BF1361)</f>
        <v/>
      </c>
      <c r="N1356" s="5" t="str">
        <f>IF('[1]All Data '!BB1361="","",'[1]All Data '!BC1361/'[1]All Data '!BH1361)</f>
        <v/>
      </c>
      <c r="O1356" s="5" t="str">
        <f t="shared" si="23"/>
        <v/>
      </c>
      <c r="P1356" s="5" t="str">
        <f>IF(M1356="","",$C$2*(1-L1356)*907.2/0.621371*N1356*[1]Transportation!$M$40)</f>
        <v/>
      </c>
      <c r="Q1356" s="5" t="str">
        <f>IF(L1356="","",IF([1]Inputs_Outputs!$B$5="Herbaceous",(LCA!$E$29*'[1]LOCH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6" s="5" t="str">
        <f>IF(M1356="","",$E$2*1000*'[1]LOCH Calc COE Calc'!$C$44)</f>
        <v/>
      </c>
      <c r="S1356" s="6" t="str">
        <f>IF(N1356="","",SUM(O1356:R1356)/('[1]LOCH Calc COE Calc'!$C$28))</f>
        <v/>
      </c>
      <c r="T1356" t="str">
        <f>IF(L1356="","",O1356/'[1]LOCH Calc COE Calc'!$C$28)</f>
        <v/>
      </c>
      <c r="U1356" t="str">
        <f>IF(L1356="","",P1356/'[1]LOCH Calc COE Calc'!$C$28)</f>
        <v/>
      </c>
      <c r="V1356" t="str">
        <f>IF(L1356="","",Q1356/'[1]LOCH Calc COE Calc'!$C$28)</f>
        <v/>
      </c>
      <c r="W1356" t="str">
        <f>IF(L1356="","",R1356/'[1]LOCH Calc COE Calc'!$C$28)</f>
        <v/>
      </c>
    </row>
    <row r="1357" spans="12:23" x14ac:dyDescent="0.25">
      <c r="L1357" s="4" t="str">
        <f>IF('[1]All Data '!BE1362="","",'[1]All Data '!BE1362)</f>
        <v/>
      </c>
      <c r="M1357" t="str">
        <f>IF('[1]All Data '!BF1362="","",'[1]All Data '!BF1362)</f>
        <v/>
      </c>
      <c r="N1357" s="5" t="str">
        <f>IF('[1]All Data '!BB1362="","",'[1]All Data '!BC1362/'[1]All Data '!BH1362)</f>
        <v/>
      </c>
      <c r="O1357" s="5" t="str">
        <f t="shared" si="23"/>
        <v/>
      </c>
      <c r="P1357" s="5" t="str">
        <f>IF(M1357="","",$C$2*(1-L1357)*907.2/0.621371*N1357*[1]Transportation!$M$40)</f>
        <v/>
      </c>
      <c r="Q1357" s="5" t="str">
        <f>IF(L1357="","",IF([1]Inputs_Outputs!$B$5="Herbaceous",(LCA!$E$29*'[1]LOCH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7" s="5" t="str">
        <f>IF(M1357="","",$E$2*1000*'[1]LOCH Calc COE Calc'!$C$44)</f>
        <v/>
      </c>
      <c r="S1357" s="6" t="str">
        <f>IF(N1357="","",SUM(O1357:R1357)/('[1]LOCH Calc COE Calc'!$C$28))</f>
        <v/>
      </c>
      <c r="T1357" t="str">
        <f>IF(L1357="","",O1357/'[1]LOCH Calc COE Calc'!$C$28)</f>
        <v/>
      </c>
      <c r="U1357" t="str">
        <f>IF(L1357="","",P1357/'[1]LOCH Calc COE Calc'!$C$28)</f>
        <v/>
      </c>
      <c r="V1357" t="str">
        <f>IF(L1357="","",Q1357/'[1]LOCH Calc COE Calc'!$C$28)</f>
        <v/>
      </c>
      <c r="W1357" t="str">
        <f>IF(L1357="","",R1357/'[1]LOCH Calc COE Calc'!$C$28)</f>
        <v/>
      </c>
    </row>
    <row r="1358" spans="12:23" x14ac:dyDescent="0.25">
      <c r="L1358" s="4" t="str">
        <f>IF('[1]All Data '!BE1363="","",'[1]All Data '!BE1363)</f>
        <v/>
      </c>
      <c r="M1358" t="str">
        <f>IF('[1]All Data '!BF1363="","",'[1]All Data '!BF1363)</f>
        <v/>
      </c>
      <c r="N1358" s="5" t="str">
        <f>IF('[1]All Data '!BB1363="","",'[1]All Data '!BC1363/'[1]All Data '!BH1363)</f>
        <v/>
      </c>
      <c r="O1358" s="5" t="str">
        <f t="shared" si="23"/>
        <v/>
      </c>
      <c r="P1358" s="5" t="str">
        <f>IF(M1358="","",$C$2*(1-L1358)*907.2/0.621371*N1358*[1]Transportation!$M$40)</f>
        <v/>
      </c>
      <c r="Q1358" s="5" t="str">
        <f>IF(L1358="","",IF([1]Inputs_Outputs!$B$5="Herbaceous",(LCA!$E$29*'[1]LOCH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8" s="5" t="str">
        <f>IF(M1358="","",$E$2*1000*'[1]LOCH Calc COE Calc'!$C$44)</f>
        <v/>
      </c>
      <c r="S1358" s="6" t="str">
        <f>IF(N1358="","",SUM(O1358:R1358)/('[1]LOCH Calc COE Calc'!$C$28))</f>
        <v/>
      </c>
      <c r="T1358" t="str">
        <f>IF(L1358="","",O1358/'[1]LOCH Calc COE Calc'!$C$28)</f>
        <v/>
      </c>
      <c r="U1358" t="str">
        <f>IF(L1358="","",P1358/'[1]LOCH Calc COE Calc'!$C$28)</f>
        <v/>
      </c>
      <c r="V1358" t="str">
        <f>IF(L1358="","",Q1358/'[1]LOCH Calc COE Calc'!$C$28)</f>
        <v/>
      </c>
      <c r="W1358" t="str">
        <f>IF(L1358="","",R1358/'[1]LOCH Calc COE Calc'!$C$28)</f>
        <v/>
      </c>
    </row>
    <row r="1359" spans="12:23" x14ac:dyDescent="0.25">
      <c r="L1359" s="4" t="str">
        <f>IF('[1]All Data '!BE1364="","",'[1]All Data '!BE1364)</f>
        <v/>
      </c>
      <c r="M1359" t="str">
        <f>IF('[1]All Data '!BF1364="","",'[1]All Data '!BF1364)</f>
        <v/>
      </c>
      <c r="N1359" s="5" t="str">
        <f>IF('[1]All Data '!BB1364="","",'[1]All Data '!BC1364/'[1]All Data '!BH1364)</f>
        <v/>
      </c>
      <c r="O1359" s="5" t="str">
        <f t="shared" si="23"/>
        <v/>
      </c>
      <c r="P1359" s="5" t="str">
        <f>IF(M1359="","",$C$2*(1-L1359)*907.2/0.621371*N1359*[1]Transportation!$M$40)</f>
        <v/>
      </c>
      <c r="Q1359" s="5" t="str">
        <f>IF(L1359="","",IF([1]Inputs_Outputs!$B$5="Herbaceous",(LCA!$E$29*'[1]LOCH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59" s="5" t="str">
        <f>IF(M1359="","",$E$2*1000*'[1]LOCH Calc COE Calc'!$C$44)</f>
        <v/>
      </c>
      <c r="S1359" s="6" t="str">
        <f>IF(N1359="","",SUM(O1359:R1359)/('[1]LOCH Calc COE Calc'!$C$28))</f>
        <v/>
      </c>
      <c r="T1359" t="str">
        <f>IF(L1359="","",O1359/'[1]LOCH Calc COE Calc'!$C$28)</f>
        <v/>
      </c>
      <c r="U1359" t="str">
        <f>IF(L1359="","",P1359/'[1]LOCH Calc COE Calc'!$C$28)</f>
        <v/>
      </c>
      <c r="V1359" t="str">
        <f>IF(L1359="","",Q1359/'[1]LOCH Calc COE Calc'!$C$28)</f>
        <v/>
      </c>
      <c r="W1359" t="str">
        <f>IF(L1359="","",R1359/'[1]LOCH Calc COE Calc'!$C$28)</f>
        <v/>
      </c>
    </row>
    <row r="1360" spans="12:23" x14ac:dyDescent="0.25">
      <c r="L1360" s="4" t="str">
        <f>IF('[1]All Data '!BE1365="","",'[1]All Data '!BE1365)</f>
        <v/>
      </c>
      <c r="M1360" t="str">
        <f>IF('[1]All Data '!BF1365="","",'[1]All Data '!BF1365)</f>
        <v/>
      </c>
      <c r="N1360" s="5" t="str">
        <f>IF('[1]All Data '!BB1365="","",'[1]All Data '!BC1365/'[1]All Data '!BH1365)</f>
        <v/>
      </c>
      <c r="O1360" s="5" t="str">
        <f t="shared" si="23"/>
        <v/>
      </c>
      <c r="P1360" s="5" t="str">
        <f>IF(M1360="","",$C$2*(1-L1360)*907.2/0.621371*N1360*[1]Transportation!$M$40)</f>
        <v/>
      </c>
      <c r="Q1360" s="5" t="str">
        <f>IF(L1360="","",IF([1]Inputs_Outputs!$B$5="Herbaceous",(LCA!$E$29*'[1]LOCH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0" s="5" t="str">
        <f>IF(M1360="","",$E$2*1000*'[1]LOCH Calc COE Calc'!$C$44)</f>
        <v/>
      </c>
      <c r="S1360" s="6" t="str">
        <f>IF(N1360="","",SUM(O1360:R1360)/('[1]LOCH Calc COE Calc'!$C$28))</f>
        <v/>
      </c>
      <c r="T1360" t="str">
        <f>IF(L1360="","",O1360/'[1]LOCH Calc COE Calc'!$C$28)</f>
        <v/>
      </c>
      <c r="U1360" t="str">
        <f>IF(L1360="","",P1360/'[1]LOCH Calc COE Calc'!$C$28)</f>
        <v/>
      </c>
      <c r="V1360" t="str">
        <f>IF(L1360="","",Q1360/'[1]LOCH Calc COE Calc'!$C$28)</f>
        <v/>
      </c>
      <c r="W1360" t="str">
        <f>IF(L1360="","",R1360/'[1]LOCH Calc COE Calc'!$C$28)</f>
        <v/>
      </c>
    </row>
    <row r="1361" spans="12:23" x14ac:dyDescent="0.25">
      <c r="L1361" s="4" t="str">
        <f>IF('[1]All Data '!BE1366="","",'[1]All Data '!BE1366)</f>
        <v/>
      </c>
      <c r="M1361" t="str">
        <f>IF('[1]All Data '!BF1366="","",'[1]All Data '!BF1366)</f>
        <v/>
      </c>
      <c r="N1361" s="5" t="str">
        <f>IF('[1]All Data '!BB1366="","",'[1]All Data '!BC1366/'[1]All Data '!BH1366)</f>
        <v/>
      </c>
      <c r="O1361" s="5" t="str">
        <f t="shared" si="23"/>
        <v/>
      </c>
      <c r="P1361" s="5" t="str">
        <f>IF(M1361="","",$C$2*(1-L1361)*907.2/0.621371*N1361*[1]Transportation!$M$40)</f>
        <v/>
      </c>
      <c r="Q1361" s="5" t="str">
        <f>IF(L1361="","",IF([1]Inputs_Outputs!$B$5="Herbaceous",(LCA!$E$29*'[1]LOCH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1" s="5" t="str">
        <f>IF(M1361="","",$E$2*1000*'[1]LOCH Calc COE Calc'!$C$44)</f>
        <v/>
      </c>
      <c r="S1361" s="6" t="str">
        <f>IF(N1361="","",SUM(O1361:R1361)/('[1]LOCH Calc COE Calc'!$C$28))</f>
        <v/>
      </c>
      <c r="T1361" t="str">
        <f>IF(L1361="","",O1361/'[1]LOCH Calc COE Calc'!$C$28)</f>
        <v/>
      </c>
      <c r="U1361" t="str">
        <f>IF(L1361="","",P1361/'[1]LOCH Calc COE Calc'!$C$28)</f>
        <v/>
      </c>
      <c r="V1361" t="str">
        <f>IF(L1361="","",Q1361/'[1]LOCH Calc COE Calc'!$C$28)</f>
        <v/>
      </c>
      <c r="W1361" t="str">
        <f>IF(L1361="","",R1361/'[1]LOCH Calc COE Calc'!$C$28)</f>
        <v/>
      </c>
    </row>
    <row r="1362" spans="12:23" x14ac:dyDescent="0.25">
      <c r="L1362" s="4" t="str">
        <f>IF('[1]All Data '!BE1367="","",'[1]All Data '!BE1367)</f>
        <v/>
      </c>
      <c r="M1362" t="str">
        <f>IF('[1]All Data '!BF1367="","",'[1]All Data '!BF1367)</f>
        <v/>
      </c>
      <c r="N1362" s="5" t="str">
        <f>IF('[1]All Data '!BB1367="","",'[1]All Data '!BC1367/'[1]All Data '!BH1367)</f>
        <v/>
      </c>
      <c r="O1362" s="5" t="str">
        <f t="shared" si="23"/>
        <v/>
      </c>
      <c r="P1362" s="5" t="str">
        <f>IF(M1362="","",$C$2*(1-L1362)*907.2/0.621371*N1362*[1]Transportation!$M$40)</f>
        <v/>
      </c>
      <c r="Q1362" s="5" t="str">
        <f>IF(L1362="","",IF([1]Inputs_Outputs!$B$5="Herbaceous",(LCA!$E$29*'[1]LOCH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2" s="5" t="str">
        <f>IF(M1362="","",$E$2*1000*'[1]LOCH Calc COE Calc'!$C$44)</f>
        <v/>
      </c>
      <c r="S1362" s="6" t="str">
        <f>IF(N1362="","",SUM(O1362:R1362)/('[1]LOCH Calc COE Calc'!$C$28))</f>
        <v/>
      </c>
      <c r="T1362" t="str">
        <f>IF(L1362="","",O1362/'[1]LOCH Calc COE Calc'!$C$28)</f>
        <v/>
      </c>
      <c r="U1362" t="str">
        <f>IF(L1362="","",P1362/'[1]LOCH Calc COE Calc'!$C$28)</f>
        <v/>
      </c>
      <c r="V1362" t="str">
        <f>IF(L1362="","",Q1362/'[1]LOCH Calc COE Calc'!$C$28)</f>
        <v/>
      </c>
      <c r="W1362" t="str">
        <f>IF(L1362="","",R1362/'[1]LOCH Calc COE Calc'!$C$28)</f>
        <v/>
      </c>
    </row>
    <row r="1363" spans="12:23" x14ac:dyDescent="0.25">
      <c r="L1363" s="4" t="str">
        <f>IF('[1]All Data '!BE1368="","",'[1]All Data '!BE1368)</f>
        <v/>
      </c>
      <c r="M1363" t="str">
        <f>IF('[1]All Data '!BF1368="","",'[1]All Data '!BF1368)</f>
        <v/>
      </c>
      <c r="N1363" s="5" t="str">
        <f>IF('[1]All Data '!BB1368="","",'[1]All Data '!BC1368/'[1]All Data '!BH1368)</f>
        <v/>
      </c>
      <c r="O1363" s="5" t="str">
        <f t="shared" si="23"/>
        <v/>
      </c>
      <c r="P1363" s="5" t="str">
        <f>IF(M1363="","",$C$2*(1-L1363)*907.2/0.621371*N1363*[1]Transportation!$M$40)</f>
        <v/>
      </c>
      <c r="Q1363" s="5" t="str">
        <f>IF(L1363="","",IF([1]Inputs_Outputs!$B$5="Herbaceous",(LCA!$E$29*'[1]LOCH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3" s="5" t="str">
        <f>IF(M1363="","",$E$2*1000*'[1]LOCH Calc COE Calc'!$C$44)</f>
        <v/>
      </c>
      <c r="S1363" s="6" t="str">
        <f>IF(N1363="","",SUM(O1363:R1363)/('[1]LOCH Calc COE Calc'!$C$28))</f>
        <v/>
      </c>
      <c r="T1363" t="str">
        <f>IF(L1363="","",O1363/'[1]LOCH Calc COE Calc'!$C$28)</f>
        <v/>
      </c>
      <c r="U1363" t="str">
        <f>IF(L1363="","",P1363/'[1]LOCH Calc COE Calc'!$C$28)</f>
        <v/>
      </c>
      <c r="V1363" t="str">
        <f>IF(L1363="","",Q1363/'[1]LOCH Calc COE Calc'!$C$28)</f>
        <v/>
      </c>
      <c r="W1363" t="str">
        <f>IF(L1363="","",R1363/'[1]LOCH Calc COE Calc'!$C$28)</f>
        <v/>
      </c>
    </row>
    <row r="1364" spans="12:23" x14ac:dyDescent="0.25">
      <c r="L1364" s="4" t="str">
        <f>IF('[1]All Data '!BE1369="","",'[1]All Data '!BE1369)</f>
        <v/>
      </c>
      <c r="M1364" t="str">
        <f>IF('[1]All Data '!BF1369="","",'[1]All Data '!BF1369)</f>
        <v/>
      </c>
      <c r="N1364" s="5" t="str">
        <f>IF('[1]All Data '!BB1369="","",'[1]All Data '!BC1369/'[1]All Data '!BH1369)</f>
        <v/>
      </c>
      <c r="O1364" s="5" t="str">
        <f t="shared" si="23"/>
        <v/>
      </c>
      <c r="P1364" s="5" t="str">
        <f>IF(M1364="","",$C$2*(1-L1364)*907.2/0.621371*N1364*[1]Transportation!$M$40)</f>
        <v/>
      </c>
      <c r="Q1364" s="5" t="str">
        <f>IF(L1364="","",IF([1]Inputs_Outputs!$B$5="Herbaceous",(LCA!$E$29*'[1]LOCH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4" s="5" t="str">
        <f>IF(M1364="","",$E$2*1000*'[1]LOCH Calc COE Calc'!$C$44)</f>
        <v/>
      </c>
      <c r="S1364" s="6" t="str">
        <f>IF(N1364="","",SUM(O1364:R1364)/('[1]LOCH Calc COE Calc'!$C$28))</f>
        <v/>
      </c>
      <c r="T1364" t="str">
        <f>IF(L1364="","",O1364/'[1]LOCH Calc COE Calc'!$C$28)</f>
        <v/>
      </c>
      <c r="U1364" t="str">
        <f>IF(L1364="","",P1364/'[1]LOCH Calc COE Calc'!$C$28)</f>
        <v/>
      </c>
      <c r="V1364" t="str">
        <f>IF(L1364="","",Q1364/'[1]LOCH Calc COE Calc'!$C$28)</f>
        <v/>
      </c>
      <c r="W1364" t="str">
        <f>IF(L1364="","",R1364/'[1]LOCH Calc COE Calc'!$C$28)</f>
        <v/>
      </c>
    </row>
    <row r="1365" spans="12:23" x14ac:dyDescent="0.25">
      <c r="L1365" s="4" t="str">
        <f>IF('[1]All Data '!BE1370="","",'[1]All Data '!BE1370)</f>
        <v/>
      </c>
      <c r="M1365" t="str">
        <f>IF('[1]All Data '!BF1370="","",'[1]All Data '!BF1370)</f>
        <v/>
      </c>
      <c r="N1365" s="5" t="str">
        <f>IF('[1]All Data '!BB1370="","",'[1]All Data '!BC1370/'[1]All Data '!BH1370)</f>
        <v/>
      </c>
      <c r="O1365" s="5" t="str">
        <f t="shared" si="23"/>
        <v/>
      </c>
      <c r="P1365" s="5" t="str">
        <f>IF(M1365="","",$C$2*(1-L1365)*907.2/0.621371*N1365*[1]Transportation!$M$40)</f>
        <v/>
      </c>
      <c r="Q1365" s="5" t="str">
        <f>IF(L1365="","",IF([1]Inputs_Outputs!$B$5="Herbaceous",(LCA!$E$29*'[1]LOCH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5" s="5" t="str">
        <f>IF(M1365="","",$E$2*1000*'[1]LOCH Calc COE Calc'!$C$44)</f>
        <v/>
      </c>
      <c r="S1365" s="6" t="str">
        <f>IF(N1365="","",SUM(O1365:R1365)/('[1]LOCH Calc COE Calc'!$C$28))</f>
        <v/>
      </c>
      <c r="T1365" t="str">
        <f>IF(L1365="","",O1365/'[1]LOCH Calc COE Calc'!$C$28)</f>
        <v/>
      </c>
      <c r="U1365" t="str">
        <f>IF(L1365="","",P1365/'[1]LOCH Calc COE Calc'!$C$28)</f>
        <v/>
      </c>
      <c r="V1365" t="str">
        <f>IF(L1365="","",Q1365/'[1]LOCH Calc COE Calc'!$C$28)</f>
        <v/>
      </c>
      <c r="W1365" t="str">
        <f>IF(L1365="","",R1365/'[1]LOCH Calc COE Calc'!$C$28)</f>
        <v/>
      </c>
    </row>
    <row r="1366" spans="12:23" x14ac:dyDescent="0.25">
      <c r="L1366" s="4" t="str">
        <f>IF('[1]All Data '!BE1371="","",'[1]All Data '!BE1371)</f>
        <v/>
      </c>
      <c r="M1366" t="str">
        <f>IF('[1]All Data '!BF1371="","",'[1]All Data '!BF1371)</f>
        <v/>
      </c>
      <c r="N1366" s="5" t="str">
        <f>IF('[1]All Data '!BB1371="","",'[1]All Data '!BC1371/'[1]All Data '!BH1371)</f>
        <v/>
      </c>
      <c r="O1366" s="5" t="str">
        <f t="shared" si="23"/>
        <v/>
      </c>
      <c r="P1366" s="5" t="str">
        <f>IF(M1366="","",$C$2*(1-L1366)*907.2/0.621371*N1366*[1]Transportation!$M$40)</f>
        <v/>
      </c>
      <c r="Q1366" s="5" t="str">
        <f>IF(L1366="","",IF([1]Inputs_Outputs!$B$5="Herbaceous",(LCA!$E$29*'[1]LOCH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6" s="5" t="str">
        <f>IF(M1366="","",$E$2*1000*'[1]LOCH Calc COE Calc'!$C$44)</f>
        <v/>
      </c>
      <c r="S1366" s="6" t="str">
        <f>IF(N1366="","",SUM(O1366:R1366)/('[1]LOCH Calc COE Calc'!$C$28))</f>
        <v/>
      </c>
      <c r="T1366" t="str">
        <f>IF(L1366="","",O1366/'[1]LOCH Calc COE Calc'!$C$28)</f>
        <v/>
      </c>
      <c r="U1366" t="str">
        <f>IF(L1366="","",P1366/'[1]LOCH Calc COE Calc'!$C$28)</f>
        <v/>
      </c>
      <c r="V1366" t="str">
        <f>IF(L1366="","",Q1366/'[1]LOCH Calc COE Calc'!$C$28)</f>
        <v/>
      </c>
      <c r="W1366" t="str">
        <f>IF(L1366="","",R1366/'[1]LOCH Calc COE Calc'!$C$28)</f>
        <v/>
      </c>
    </row>
    <row r="1367" spans="12:23" x14ac:dyDescent="0.25">
      <c r="L1367" s="4" t="str">
        <f>IF('[1]All Data '!BE1372="","",'[1]All Data '!BE1372)</f>
        <v/>
      </c>
      <c r="M1367" t="str">
        <f>IF('[1]All Data '!BF1372="","",'[1]All Data '!BF1372)</f>
        <v/>
      </c>
      <c r="N1367" s="5" t="str">
        <f>IF('[1]All Data '!BB1372="","",'[1]All Data '!BC1372/'[1]All Data '!BH1372)</f>
        <v/>
      </c>
      <c r="O1367" s="5" t="str">
        <f t="shared" si="23"/>
        <v/>
      </c>
      <c r="P1367" s="5" t="str">
        <f>IF(M1367="","",$C$2*(1-L1367)*907.2/0.621371*N1367*[1]Transportation!$M$40)</f>
        <v/>
      </c>
      <c r="Q1367" s="5" t="str">
        <f>IF(L1367="","",IF([1]Inputs_Outputs!$B$5="Herbaceous",(LCA!$E$29*'[1]LOCH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7" s="5" t="str">
        <f>IF(M1367="","",$E$2*1000*'[1]LOCH Calc COE Calc'!$C$44)</f>
        <v/>
      </c>
      <c r="S1367" s="6" t="str">
        <f>IF(N1367="","",SUM(O1367:R1367)/('[1]LOCH Calc COE Calc'!$C$28))</f>
        <v/>
      </c>
      <c r="T1367" t="str">
        <f>IF(L1367="","",O1367/'[1]LOCH Calc COE Calc'!$C$28)</f>
        <v/>
      </c>
      <c r="U1367" t="str">
        <f>IF(L1367="","",P1367/'[1]LOCH Calc COE Calc'!$C$28)</f>
        <v/>
      </c>
      <c r="V1367" t="str">
        <f>IF(L1367="","",Q1367/'[1]LOCH Calc COE Calc'!$C$28)</f>
        <v/>
      </c>
      <c r="W1367" t="str">
        <f>IF(L1367="","",R1367/'[1]LOCH Calc COE Calc'!$C$28)</f>
        <v/>
      </c>
    </row>
    <row r="1368" spans="12:23" x14ac:dyDescent="0.25">
      <c r="L1368" s="4" t="str">
        <f>IF('[1]All Data '!BE1373="","",'[1]All Data '!BE1373)</f>
        <v/>
      </c>
      <c r="M1368" t="str">
        <f>IF('[1]All Data '!BF1373="","",'[1]All Data '!BF1373)</f>
        <v/>
      </c>
      <c r="N1368" s="5" t="str">
        <f>IF('[1]All Data '!BB1373="","",'[1]All Data '!BC1373/'[1]All Data '!BH1373)</f>
        <v/>
      </c>
      <c r="O1368" s="5" t="str">
        <f t="shared" si="23"/>
        <v/>
      </c>
      <c r="P1368" s="5" t="str">
        <f>IF(M1368="","",$C$2*(1-L1368)*907.2/0.621371*N1368*[1]Transportation!$M$40)</f>
        <v/>
      </c>
      <c r="Q1368" s="5" t="str">
        <f>IF(L1368="","",IF([1]Inputs_Outputs!$B$5="Herbaceous",(LCA!$E$29*'[1]LOCH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8" s="5" t="str">
        <f>IF(M1368="","",$E$2*1000*'[1]LOCH Calc COE Calc'!$C$44)</f>
        <v/>
      </c>
      <c r="S1368" s="6" t="str">
        <f>IF(N1368="","",SUM(O1368:R1368)/('[1]LOCH Calc COE Calc'!$C$28))</f>
        <v/>
      </c>
      <c r="T1368" t="str">
        <f>IF(L1368="","",O1368/'[1]LOCH Calc COE Calc'!$C$28)</f>
        <v/>
      </c>
      <c r="U1368" t="str">
        <f>IF(L1368="","",P1368/'[1]LOCH Calc COE Calc'!$C$28)</f>
        <v/>
      </c>
      <c r="V1368" t="str">
        <f>IF(L1368="","",Q1368/'[1]LOCH Calc COE Calc'!$C$28)</f>
        <v/>
      </c>
      <c r="W1368" t="str">
        <f>IF(L1368="","",R1368/'[1]LOCH Calc COE Calc'!$C$28)</f>
        <v/>
      </c>
    </row>
    <row r="1369" spans="12:23" x14ac:dyDescent="0.25">
      <c r="L1369" s="4" t="str">
        <f>IF('[1]All Data '!BE1374="","",'[1]All Data '!BE1374)</f>
        <v/>
      </c>
      <c r="M1369" t="str">
        <f>IF('[1]All Data '!BF1374="","",'[1]All Data '!BF1374)</f>
        <v/>
      </c>
      <c r="N1369" s="5" t="str">
        <f>IF('[1]All Data '!BB1374="","",'[1]All Data '!BC1374/'[1]All Data '!BH1374)</f>
        <v/>
      </c>
      <c r="O1369" s="5" t="str">
        <f t="shared" si="23"/>
        <v/>
      </c>
      <c r="P1369" s="5" t="str">
        <f>IF(M1369="","",$C$2*(1-L1369)*907.2/0.621371*N1369*[1]Transportation!$M$40)</f>
        <v/>
      </c>
      <c r="Q1369" s="5" t="str">
        <f>IF(L1369="","",IF([1]Inputs_Outputs!$B$5="Herbaceous",(LCA!$E$29*'[1]LOCH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69" s="5" t="str">
        <f>IF(M1369="","",$E$2*1000*'[1]LOCH Calc COE Calc'!$C$44)</f>
        <v/>
      </c>
      <c r="S1369" s="6" t="str">
        <f>IF(N1369="","",SUM(O1369:R1369)/('[1]LOCH Calc COE Calc'!$C$28))</f>
        <v/>
      </c>
      <c r="T1369" t="str">
        <f>IF(L1369="","",O1369/'[1]LOCH Calc COE Calc'!$C$28)</f>
        <v/>
      </c>
      <c r="U1369" t="str">
        <f>IF(L1369="","",P1369/'[1]LOCH Calc COE Calc'!$C$28)</f>
        <v/>
      </c>
      <c r="V1369" t="str">
        <f>IF(L1369="","",Q1369/'[1]LOCH Calc COE Calc'!$C$28)</f>
        <v/>
      </c>
      <c r="W1369" t="str">
        <f>IF(L1369="","",R1369/'[1]LOCH Calc COE Calc'!$C$28)</f>
        <v/>
      </c>
    </row>
    <row r="1370" spans="12:23" x14ac:dyDescent="0.25">
      <c r="L1370" s="4" t="str">
        <f>IF('[1]All Data '!BE1375="","",'[1]All Data '!BE1375)</f>
        <v/>
      </c>
      <c r="M1370" t="str">
        <f>IF('[1]All Data '!BF1375="","",'[1]All Data '!BF1375)</f>
        <v/>
      </c>
      <c r="N1370" s="5" t="str">
        <f>IF('[1]All Data '!BB1375="","",'[1]All Data '!BC1375/'[1]All Data '!BH1375)</f>
        <v/>
      </c>
      <c r="O1370" s="5" t="str">
        <f t="shared" si="23"/>
        <v/>
      </c>
      <c r="P1370" s="5" t="str">
        <f>IF(M1370="","",$C$2*(1-L1370)*907.2/0.621371*N1370*[1]Transportation!$M$40)</f>
        <v/>
      </c>
      <c r="Q1370" s="5" t="str">
        <f>IF(L1370="","",IF([1]Inputs_Outputs!$B$5="Herbaceous",(LCA!$E$29*'[1]LOCH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0" s="5" t="str">
        <f>IF(M1370="","",$E$2*1000*'[1]LOCH Calc COE Calc'!$C$44)</f>
        <v/>
      </c>
      <c r="S1370" s="6" t="str">
        <f>IF(N1370="","",SUM(O1370:R1370)/('[1]LOCH Calc COE Calc'!$C$28))</f>
        <v/>
      </c>
      <c r="T1370" t="str">
        <f>IF(L1370="","",O1370/'[1]LOCH Calc COE Calc'!$C$28)</f>
        <v/>
      </c>
      <c r="U1370" t="str">
        <f>IF(L1370="","",P1370/'[1]LOCH Calc COE Calc'!$C$28)</f>
        <v/>
      </c>
      <c r="V1370" t="str">
        <f>IF(L1370="","",Q1370/'[1]LOCH Calc COE Calc'!$C$28)</f>
        <v/>
      </c>
      <c r="W1370" t="str">
        <f>IF(L1370="","",R1370/'[1]LOCH Calc COE Calc'!$C$28)</f>
        <v/>
      </c>
    </row>
    <row r="1371" spans="12:23" x14ac:dyDescent="0.25">
      <c r="L1371" s="4" t="str">
        <f>IF('[1]All Data '!BE1376="","",'[1]All Data '!BE1376)</f>
        <v/>
      </c>
      <c r="M1371" t="str">
        <f>IF('[1]All Data '!BF1376="","",'[1]All Data '!BF1376)</f>
        <v/>
      </c>
      <c r="N1371" s="5" t="str">
        <f>IF('[1]All Data '!BB1376="","",'[1]All Data '!BC1376/'[1]All Data '!BH1376)</f>
        <v/>
      </c>
      <c r="O1371" s="5" t="str">
        <f t="shared" si="23"/>
        <v/>
      </c>
      <c r="P1371" s="5" t="str">
        <f>IF(M1371="","",$C$2*(1-L1371)*907.2/0.621371*N1371*[1]Transportation!$M$40)</f>
        <v/>
      </c>
      <c r="Q1371" s="5" t="str">
        <f>IF(L1371="","",IF([1]Inputs_Outputs!$B$5="Herbaceous",(LCA!$E$29*'[1]LOCH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1" s="5" t="str">
        <f>IF(M1371="","",$E$2*1000*'[1]LOCH Calc COE Calc'!$C$44)</f>
        <v/>
      </c>
      <c r="S1371" s="6" t="str">
        <f>IF(N1371="","",SUM(O1371:R1371)/('[1]LOCH Calc COE Calc'!$C$28))</f>
        <v/>
      </c>
      <c r="T1371" t="str">
        <f>IF(L1371="","",O1371/'[1]LOCH Calc COE Calc'!$C$28)</f>
        <v/>
      </c>
      <c r="U1371" t="str">
        <f>IF(L1371="","",P1371/'[1]LOCH Calc COE Calc'!$C$28)</f>
        <v/>
      </c>
      <c r="V1371" t="str">
        <f>IF(L1371="","",Q1371/'[1]LOCH Calc COE Calc'!$C$28)</f>
        <v/>
      </c>
      <c r="W1371" t="str">
        <f>IF(L1371="","",R1371/'[1]LOCH Calc COE Calc'!$C$28)</f>
        <v/>
      </c>
    </row>
    <row r="1372" spans="12:23" x14ac:dyDescent="0.25">
      <c r="L1372" s="4" t="str">
        <f>IF('[1]All Data '!BE1377="","",'[1]All Data '!BE1377)</f>
        <v/>
      </c>
      <c r="M1372" t="str">
        <f>IF('[1]All Data '!BF1377="","",'[1]All Data '!BF1377)</f>
        <v/>
      </c>
      <c r="N1372" s="5" t="str">
        <f>IF('[1]All Data '!BB1377="","",'[1]All Data '!BC1377/'[1]All Data '!BH1377)</f>
        <v/>
      </c>
      <c r="O1372" s="5" t="str">
        <f t="shared" si="23"/>
        <v/>
      </c>
      <c r="P1372" s="5" t="str">
        <f>IF(M1372="","",$C$2*(1-L1372)*907.2/0.621371*N1372*[1]Transportation!$M$40)</f>
        <v/>
      </c>
      <c r="Q1372" s="5" t="str">
        <f>IF(L1372="","",IF([1]Inputs_Outputs!$B$5="Herbaceous",(LCA!$E$29*'[1]LOCH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2" s="5" t="str">
        <f>IF(M1372="","",$E$2*1000*'[1]LOCH Calc COE Calc'!$C$44)</f>
        <v/>
      </c>
      <c r="S1372" s="6" t="str">
        <f>IF(N1372="","",SUM(O1372:R1372)/('[1]LOCH Calc COE Calc'!$C$28))</f>
        <v/>
      </c>
      <c r="T1372" t="str">
        <f>IF(L1372="","",O1372/'[1]LOCH Calc COE Calc'!$C$28)</f>
        <v/>
      </c>
      <c r="U1372" t="str">
        <f>IF(L1372="","",P1372/'[1]LOCH Calc COE Calc'!$C$28)</f>
        <v/>
      </c>
      <c r="V1372" t="str">
        <f>IF(L1372="","",Q1372/'[1]LOCH Calc COE Calc'!$C$28)</f>
        <v/>
      </c>
      <c r="W1372" t="str">
        <f>IF(L1372="","",R1372/'[1]LOCH Calc COE Calc'!$C$28)</f>
        <v/>
      </c>
    </row>
    <row r="1373" spans="12:23" x14ac:dyDescent="0.25">
      <c r="L1373" s="4" t="str">
        <f>IF('[1]All Data '!BE1378="","",'[1]All Data '!BE1378)</f>
        <v/>
      </c>
      <c r="M1373" t="str">
        <f>IF('[1]All Data '!BF1378="","",'[1]All Data '!BF1378)</f>
        <v/>
      </c>
      <c r="N1373" s="5" t="str">
        <f>IF('[1]All Data '!BB1378="","",'[1]All Data '!BC1378/'[1]All Data '!BH1378)</f>
        <v/>
      </c>
      <c r="O1373" s="5" t="str">
        <f t="shared" si="23"/>
        <v/>
      </c>
      <c r="P1373" s="5" t="str">
        <f>IF(M1373="","",$C$2*(1-L1373)*907.2/0.621371*N1373*[1]Transportation!$M$40)</f>
        <v/>
      </c>
      <c r="Q1373" s="5" t="str">
        <f>IF(L1373="","",IF([1]Inputs_Outputs!$B$5="Herbaceous",(LCA!$E$29*'[1]LOCH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3" s="5" t="str">
        <f>IF(M1373="","",$E$2*1000*'[1]LOCH Calc COE Calc'!$C$44)</f>
        <v/>
      </c>
      <c r="S1373" s="6" t="str">
        <f>IF(N1373="","",SUM(O1373:R1373)/('[1]LOCH Calc COE Calc'!$C$28))</f>
        <v/>
      </c>
      <c r="T1373" t="str">
        <f>IF(L1373="","",O1373/'[1]LOCH Calc COE Calc'!$C$28)</f>
        <v/>
      </c>
      <c r="U1373" t="str">
        <f>IF(L1373="","",P1373/'[1]LOCH Calc COE Calc'!$C$28)</f>
        <v/>
      </c>
      <c r="V1373" t="str">
        <f>IF(L1373="","",Q1373/'[1]LOCH Calc COE Calc'!$C$28)</f>
        <v/>
      </c>
      <c r="W1373" t="str">
        <f>IF(L1373="","",R1373/'[1]LOCH Calc COE Calc'!$C$28)</f>
        <v/>
      </c>
    </row>
    <row r="1374" spans="12:23" x14ac:dyDescent="0.25">
      <c r="L1374" s="4" t="str">
        <f>IF('[1]All Data '!BE1379="","",'[1]All Data '!BE1379)</f>
        <v/>
      </c>
      <c r="M1374" t="str">
        <f>IF('[1]All Data '!BF1379="","",'[1]All Data '!BF1379)</f>
        <v/>
      </c>
      <c r="N1374" s="5" t="str">
        <f>IF('[1]All Data '!BB1379="","",'[1]All Data '!BC1379/'[1]All Data '!BH1379)</f>
        <v/>
      </c>
      <c r="O1374" s="5" t="str">
        <f t="shared" si="23"/>
        <v/>
      </c>
      <c r="P1374" s="5" t="str">
        <f>IF(M1374="","",$C$2*(1-L1374)*907.2/0.621371*N1374*[1]Transportation!$M$40)</f>
        <v/>
      </c>
      <c r="Q1374" s="5" t="str">
        <f>IF(L1374="","",IF([1]Inputs_Outputs!$B$5="Herbaceous",(LCA!$E$29*'[1]LOCH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4" s="5" t="str">
        <f>IF(M1374="","",$E$2*1000*'[1]LOCH Calc COE Calc'!$C$44)</f>
        <v/>
      </c>
      <c r="S1374" s="6" t="str">
        <f>IF(N1374="","",SUM(O1374:R1374)/('[1]LOCH Calc COE Calc'!$C$28))</f>
        <v/>
      </c>
      <c r="T1374" t="str">
        <f>IF(L1374="","",O1374/'[1]LOCH Calc COE Calc'!$C$28)</f>
        <v/>
      </c>
      <c r="U1374" t="str">
        <f>IF(L1374="","",P1374/'[1]LOCH Calc COE Calc'!$C$28)</f>
        <v/>
      </c>
      <c r="V1374" t="str">
        <f>IF(L1374="","",Q1374/'[1]LOCH Calc COE Calc'!$C$28)</f>
        <v/>
      </c>
      <c r="W1374" t="str">
        <f>IF(L1374="","",R1374/'[1]LOCH Calc COE Calc'!$C$28)</f>
        <v/>
      </c>
    </row>
    <row r="1375" spans="12:23" x14ac:dyDescent="0.25">
      <c r="L1375" s="4" t="str">
        <f>IF('[1]All Data '!BE1380="","",'[1]All Data '!BE1380)</f>
        <v/>
      </c>
      <c r="M1375" t="str">
        <f>IF('[1]All Data '!BF1380="","",'[1]All Data '!BF1380)</f>
        <v/>
      </c>
      <c r="N1375" s="5" t="str">
        <f>IF('[1]All Data '!BB1380="","",'[1]All Data '!BC1380/'[1]All Data '!BH1380)</f>
        <v/>
      </c>
      <c r="O1375" s="5" t="str">
        <f t="shared" si="23"/>
        <v/>
      </c>
      <c r="P1375" s="5" t="str">
        <f>IF(M1375="","",$C$2*(1-L1375)*907.2/0.621371*N1375*[1]Transportation!$M$40)</f>
        <v/>
      </c>
      <c r="Q1375" s="5" t="str">
        <f>IF(L1375="","",IF([1]Inputs_Outputs!$B$5="Herbaceous",(LCA!$E$29*'[1]LOCH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5" s="5" t="str">
        <f>IF(M1375="","",$E$2*1000*'[1]LOCH Calc COE Calc'!$C$44)</f>
        <v/>
      </c>
      <c r="S1375" s="6" t="str">
        <f>IF(N1375="","",SUM(O1375:R1375)/('[1]LOCH Calc COE Calc'!$C$28))</f>
        <v/>
      </c>
      <c r="T1375" t="str">
        <f>IF(L1375="","",O1375/'[1]LOCH Calc COE Calc'!$C$28)</f>
        <v/>
      </c>
      <c r="U1375" t="str">
        <f>IF(L1375="","",P1375/'[1]LOCH Calc COE Calc'!$C$28)</f>
        <v/>
      </c>
      <c r="V1375" t="str">
        <f>IF(L1375="","",Q1375/'[1]LOCH Calc COE Calc'!$C$28)</f>
        <v/>
      </c>
      <c r="W1375" t="str">
        <f>IF(L1375="","",R1375/'[1]LOCH Calc COE Calc'!$C$28)</f>
        <v/>
      </c>
    </row>
    <row r="1376" spans="12:23" x14ac:dyDescent="0.25">
      <c r="L1376" s="4" t="str">
        <f>IF('[1]All Data '!BE1381="","",'[1]All Data '!BE1381)</f>
        <v/>
      </c>
      <c r="M1376" t="str">
        <f>IF('[1]All Data '!BF1381="","",'[1]All Data '!BF1381)</f>
        <v/>
      </c>
      <c r="N1376" s="5" t="str">
        <f>IF('[1]All Data '!BB1381="","",'[1]All Data '!BC1381/'[1]All Data '!BH1381)</f>
        <v/>
      </c>
      <c r="O1376" s="5" t="str">
        <f t="shared" si="23"/>
        <v/>
      </c>
      <c r="P1376" s="5" t="str">
        <f>IF(M1376="","",$C$2*(1-L1376)*907.2/0.621371*N1376*[1]Transportation!$M$40)</f>
        <v/>
      </c>
      <c r="Q1376" s="5" t="str">
        <f>IF(L1376="","",IF([1]Inputs_Outputs!$B$5="Herbaceous",(LCA!$E$29*'[1]LOCH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6" s="5" t="str">
        <f>IF(M1376="","",$E$2*1000*'[1]LOCH Calc COE Calc'!$C$44)</f>
        <v/>
      </c>
      <c r="S1376" s="6" t="str">
        <f>IF(N1376="","",SUM(O1376:R1376)/('[1]LOCH Calc COE Calc'!$C$28))</f>
        <v/>
      </c>
      <c r="T1376" t="str">
        <f>IF(L1376="","",O1376/'[1]LOCH Calc COE Calc'!$C$28)</f>
        <v/>
      </c>
      <c r="U1376" t="str">
        <f>IF(L1376="","",P1376/'[1]LOCH Calc COE Calc'!$C$28)</f>
        <v/>
      </c>
      <c r="V1376" t="str">
        <f>IF(L1376="","",Q1376/'[1]LOCH Calc COE Calc'!$C$28)</f>
        <v/>
      </c>
      <c r="W1376" t="str">
        <f>IF(L1376="","",R1376/'[1]LOCH Calc COE Calc'!$C$28)</f>
        <v/>
      </c>
    </row>
    <row r="1377" spans="12:23" x14ac:dyDescent="0.25">
      <c r="L1377" s="4" t="str">
        <f>IF('[1]All Data '!BE1382="","",'[1]All Data '!BE1382)</f>
        <v/>
      </c>
      <c r="M1377" t="str">
        <f>IF('[1]All Data '!BF1382="","",'[1]All Data '!BF1382)</f>
        <v/>
      </c>
      <c r="N1377" s="5" t="str">
        <f>IF('[1]All Data '!BB1382="","",'[1]All Data '!BC1382/'[1]All Data '!BH1382)</f>
        <v/>
      </c>
      <c r="O1377" s="5" t="str">
        <f t="shared" si="23"/>
        <v/>
      </c>
      <c r="P1377" s="5" t="str">
        <f>IF(M1377="","",$C$2*(1-L1377)*907.2/0.621371*N1377*[1]Transportation!$M$40)</f>
        <v/>
      </c>
      <c r="Q1377" s="5" t="str">
        <f>IF(L1377="","",IF([1]Inputs_Outputs!$B$5="Herbaceous",(LCA!$E$29*'[1]LOCH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7" s="5" t="str">
        <f>IF(M1377="","",$E$2*1000*'[1]LOCH Calc COE Calc'!$C$44)</f>
        <v/>
      </c>
      <c r="S1377" s="6" t="str">
        <f>IF(N1377="","",SUM(O1377:R1377)/('[1]LOCH Calc COE Calc'!$C$28))</f>
        <v/>
      </c>
      <c r="T1377" t="str">
        <f>IF(L1377="","",O1377/'[1]LOCH Calc COE Calc'!$C$28)</f>
        <v/>
      </c>
      <c r="U1377" t="str">
        <f>IF(L1377="","",P1377/'[1]LOCH Calc COE Calc'!$C$28)</f>
        <v/>
      </c>
      <c r="V1377" t="str">
        <f>IF(L1377="","",Q1377/'[1]LOCH Calc COE Calc'!$C$28)</f>
        <v/>
      </c>
      <c r="W1377" t="str">
        <f>IF(L1377="","",R1377/'[1]LOCH Calc COE Calc'!$C$28)</f>
        <v/>
      </c>
    </row>
    <row r="1378" spans="12:23" x14ac:dyDescent="0.25">
      <c r="L1378" s="4" t="str">
        <f>IF('[1]All Data '!BE1383="","",'[1]All Data '!BE1383)</f>
        <v/>
      </c>
      <c r="M1378" t="str">
        <f>IF('[1]All Data '!BF1383="","",'[1]All Data '!BF1383)</f>
        <v/>
      </c>
      <c r="N1378" s="5" t="str">
        <f>IF('[1]All Data '!BB1383="","",'[1]All Data '!BC1383/'[1]All Data '!BH1383)</f>
        <v/>
      </c>
      <c r="O1378" s="5" t="str">
        <f t="shared" si="23"/>
        <v/>
      </c>
      <c r="P1378" s="5" t="str">
        <f>IF(M1378="","",$C$2*(1-L1378)*907.2/0.621371*N1378*[1]Transportation!$M$40)</f>
        <v/>
      </c>
      <c r="Q1378" s="5" t="str">
        <f>IF(L1378="","",IF([1]Inputs_Outputs!$B$5="Herbaceous",(LCA!$E$29*'[1]LOCH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8" s="5" t="str">
        <f>IF(M1378="","",$E$2*1000*'[1]LOCH Calc COE Calc'!$C$44)</f>
        <v/>
      </c>
      <c r="S1378" s="6" t="str">
        <f>IF(N1378="","",SUM(O1378:R1378)/('[1]LOCH Calc COE Calc'!$C$28))</f>
        <v/>
      </c>
      <c r="T1378" t="str">
        <f>IF(L1378="","",O1378/'[1]LOCH Calc COE Calc'!$C$28)</f>
        <v/>
      </c>
      <c r="U1378" t="str">
        <f>IF(L1378="","",P1378/'[1]LOCH Calc COE Calc'!$C$28)</f>
        <v/>
      </c>
      <c r="V1378" t="str">
        <f>IF(L1378="","",Q1378/'[1]LOCH Calc COE Calc'!$C$28)</f>
        <v/>
      </c>
      <c r="W1378" t="str">
        <f>IF(L1378="","",R1378/'[1]LOCH Calc COE Calc'!$C$28)</f>
        <v/>
      </c>
    </row>
    <row r="1379" spans="12:23" x14ac:dyDescent="0.25">
      <c r="L1379" s="4" t="str">
        <f>IF('[1]All Data '!BE1384="","",'[1]All Data '!BE1384)</f>
        <v/>
      </c>
      <c r="M1379" t="str">
        <f>IF('[1]All Data '!BF1384="","",'[1]All Data '!BF1384)</f>
        <v/>
      </c>
      <c r="N1379" s="5" t="str">
        <f>IF('[1]All Data '!BB1384="","",'[1]All Data '!BC1384/'[1]All Data '!BH1384)</f>
        <v/>
      </c>
      <c r="O1379" s="5" t="str">
        <f t="shared" si="23"/>
        <v/>
      </c>
      <c r="P1379" s="5" t="str">
        <f>IF(M1379="","",$C$2*(1-L1379)*907.2/0.621371*N1379*[1]Transportation!$M$40)</f>
        <v/>
      </c>
      <c r="Q1379" s="5" t="str">
        <f>IF(L1379="","",IF([1]Inputs_Outputs!$B$5="Herbaceous",(LCA!$E$29*'[1]LOCH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79" s="5" t="str">
        <f>IF(M1379="","",$E$2*1000*'[1]LOCH Calc COE Calc'!$C$44)</f>
        <v/>
      </c>
      <c r="S1379" s="6" t="str">
        <f>IF(N1379="","",SUM(O1379:R1379)/('[1]LOCH Calc COE Calc'!$C$28))</f>
        <v/>
      </c>
      <c r="T1379" t="str">
        <f>IF(L1379="","",O1379/'[1]LOCH Calc COE Calc'!$C$28)</f>
        <v/>
      </c>
      <c r="U1379" t="str">
        <f>IF(L1379="","",P1379/'[1]LOCH Calc COE Calc'!$C$28)</f>
        <v/>
      </c>
      <c r="V1379" t="str">
        <f>IF(L1379="","",Q1379/'[1]LOCH Calc COE Calc'!$C$28)</f>
        <v/>
      </c>
      <c r="W1379" t="str">
        <f>IF(L1379="","",R1379/'[1]LOCH Calc COE Calc'!$C$28)</f>
        <v/>
      </c>
    </row>
    <row r="1380" spans="12:23" x14ac:dyDescent="0.25">
      <c r="L1380" s="4" t="str">
        <f>IF('[1]All Data '!BE1385="","",'[1]All Data '!BE1385)</f>
        <v/>
      </c>
      <c r="M1380" t="str">
        <f>IF('[1]All Data '!BF1385="","",'[1]All Data '!BF1385)</f>
        <v/>
      </c>
      <c r="N1380" s="5" t="str">
        <f>IF('[1]All Data '!BB1385="","",'[1]All Data '!BC1385/'[1]All Data '!BH1385)</f>
        <v/>
      </c>
      <c r="O1380" s="5" t="str">
        <f t="shared" si="23"/>
        <v/>
      </c>
      <c r="P1380" s="5" t="str">
        <f>IF(M1380="","",$C$2*(1-L1380)*907.2/0.621371*N1380*[1]Transportation!$M$40)</f>
        <v/>
      </c>
      <c r="Q1380" s="5" t="str">
        <f>IF(L1380="","",IF([1]Inputs_Outputs!$B$5="Herbaceous",(LCA!$E$29*'[1]LOCH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0" s="5" t="str">
        <f>IF(M1380="","",$E$2*1000*'[1]LOCH Calc COE Calc'!$C$44)</f>
        <v/>
      </c>
      <c r="S1380" s="6" t="str">
        <f>IF(N1380="","",SUM(O1380:R1380)/('[1]LOCH Calc COE Calc'!$C$28))</f>
        <v/>
      </c>
      <c r="T1380" t="str">
        <f>IF(L1380="","",O1380/'[1]LOCH Calc COE Calc'!$C$28)</f>
        <v/>
      </c>
      <c r="U1380" t="str">
        <f>IF(L1380="","",P1380/'[1]LOCH Calc COE Calc'!$C$28)</f>
        <v/>
      </c>
      <c r="V1380" t="str">
        <f>IF(L1380="","",Q1380/'[1]LOCH Calc COE Calc'!$C$28)</f>
        <v/>
      </c>
      <c r="W1380" t="str">
        <f>IF(L1380="","",R1380/'[1]LOCH Calc COE Calc'!$C$28)</f>
        <v/>
      </c>
    </row>
    <row r="1381" spans="12:23" x14ac:dyDescent="0.25">
      <c r="L1381" s="4" t="str">
        <f>IF('[1]All Data '!BE1386="","",'[1]All Data '!BE1386)</f>
        <v/>
      </c>
      <c r="M1381" t="str">
        <f>IF('[1]All Data '!BF1386="","",'[1]All Data '!BF1386)</f>
        <v/>
      </c>
      <c r="N1381" s="5" t="str">
        <f>IF('[1]All Data '!BB1386="","",'[1]All Data '!BC1386/'[1]All Data '!BH1386)</f>
        <v/>
      </c>
      <c r="O1381" s="5" t="str">
        <f t="shared" si="23"/>
        <v/>
      </c>
      <c r="P1381" s="5" t="str">
        <f>IF(M1381="","",$C$2*(1-L1381)*907.2/0.621371*N1381*[1]Transportation!$M$40)</f>
        <v/>
      </c>
      <c r="Q1381" s="5" t="str">
        <f>IF(L1381="","",IF([1]Inputs_Outputs!$B$5="Herbaceous",(LCA!$E$29*'[1]LOCH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1" s="5" t="str">
        <f>IF(M1381="","",$E$2*1000*'[1]LOCH Calc COE Calc'!$C$44)</f>
        <v/>
      </c>
      <c r="S1381" s="6" t="str">
        <f>IF(N1381="","",SUM(O1381:R1381)/('[1]LOCH Calc COE Calc'!$C$28))</f>
        <v/>
      </c>
      <c r="T1381" t="str">
        <f>IF(L1381="","",O1381/'[1]LOCH Calc COE Calc'!$C$28)</f>
        <v/>
      </c>
      <c r="U1381" t="str">
        <f>IF(L1381="","",P1381/'[1]LOCH Calc COE Calc'!$C$28)</f>
        <v/>
      </c>
      <c r="V1381" t="str">
        <f>IF(L1381="","",Q1381/'[1]LOCH Calc COE Calc'!$C$28)</f>
        <v/>
      </c>
      <c r="W1381" t="str">
        <f>IF(L1381="","",R1381/'[1]LOCH Calc COE Calc'!$C$28)</f>
        <v/>
      </c>
    </row>
    <row r="1382" spans="12:23" x14ac:dyDescent="0.25">
      <c r="L1382" s="4" t="str">
        <f>IF('[1]All Data '!BE1387="","",'[1]All Data '!BE1387)</f>
        <v/>
      </c>
      <c r="M1382" t="str">
        <f>IF('[1]All Data '!BF1387="","",'[1]All Data '!BF1387)</f>
        <v/>
      </c>
      <c r="N1382" s="5" t="str">
        <f>IF('[1]All Data '!BB1387="","",'[1]All Data '!BC1387/'[1]All Data '!BH1387)</f>
        <v/>
      </c>
      <c r="O1382" s="5" t="str">
        <f t="shared" si="23"/>
        <v/>
      </c>
      <c r="P1382" s="5" t="str">
        <f>IF(M1382="","",$C$2*(1-L1382)*907.2/0.621371*N1382*[1]Transportation!$M$40)</f>
        <v/>
      </c>
      <c r="Q1382" s="5" t="str">
        <f>IF(L1382="","",IF([1]Inputs_Outputs!$B$5="Herbaceous",(LCA!$E$29*'[1]LOCH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2" s="5" t="str">
        <f>IF(M1382="","",$E$2*1000*'[1]LOCH Calc COE Calc'!$C$44)</f>
        <v/>
      </c>
      <c r="S1382" s="6" t="str">
        <f>IF(N1382="","",SUM(O1382:R1382)/('[1]LOCH Calc COE Calc'!$C$28))</f>
        <v/>
      </c>
      <c r="T1382" t="str">
        <f>IF(L1382="","",O1382/'[1]LOCH Calc COE Calc'!$C$28)</f>
        <v/>
      </c>
      <c r="U1382" t="str">
        <f>IF(L1382="","",P1382/'[1]LOCH Calc COE Calc'!$C$28)</f>
        <v/>
      </c>
      <c r="V1382" t="str">
        <f>IF(L1382="","",Q1382/'[1]LOCH Calc COE Calc'!$C$28)</f>
        <v/>
      </c>
      <c r="W1382" t="str">
        <f>IF(L1382="","",R1382/'[1]LOCH Calc COE Calc'!$C$28)</f>
        <v/>
      </c>
    </row>
    <row r="1383" spans="12:23" x14ac:dyDescent="0.25">
      <c r="L1383" s="4" t="str">
        <f>IF('[1]All Data '!BE1388="","",'[1]All Data '!BE1388)</f>
        <v/>
      </c>
      <c r="M1383" t="str">
        <f>IF('[1]All Data '!BF1388="","",'[1]All Data '!BF1388)</f>
        <v/>
      </c>
      <c r="N1383" s="5" t="str">
        <f>IF('[1]All Data '!BB1388="","",'[1]All Data '!BC1388/'[1]All Data '!BH1388)</f>
        <v/>
      </c>
      <c r="O1383" s="5" t="str">
        <f t="shared" si="23"/>
        <v/>
      </c>
      <c r="P1383" s="5" t="str">
        <f>IF(M1383="","",$C$2*(1-L1383)*907.2/0.621371*N1383*[1]Transportation!$M$40)</f>
        <v/>
      </c>
      <c r="Q1383" s="5" t="str">
        <f>IF(L1383="","",IF([1]Inputs_Outputs!$B$5="Herbaceous",(LCA!$E$29*'[1]LOCH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3" s="5" t="str">
        <f>IF(M1383="","",$E$2*1000*'[1]LOCH Calc COE Calc'!$C$44)</f>
        <v/>
      </c>
      <c r="S1383" s="6" t="str">
        <f>IF(N1383="","",SUM(O1383:R1383)/('[1]LOCH Calc COE Calc'!$C$28))</f>
        <v/>
      </c>
      <c r="T1383" t="str">
        <f>IF(L1383="","",O1383/'[1]LOCH Calc COE Calc'!$C$28)</f>
        <v/>
      </c>
      <c r="U1383" t="str">
        <f>IF(L1383="","",P1383/'[1]LOCH Calc COE Calc'!$C$28)</f>
        <v/>
      </c>
      <c r="V1383" t="str">
        <f>IF(L1383="","",Q1383/'[1]LOCH Calc COE Calc'!$C$28)</f>
        <v/>
      </c>
      <c r="W1383" t="str">
        <f>IF(L1383="","",R1383/'[1]LOCH Calc COE Calc'!$C$28)</f>
        <v/>
      </c>
    </row>
    <row r="1384" spans="12:23" x14ac:dyDescent="0.25">
      <c r="L1384" s="4" t="str">
        <f>IF('[1]All Data '!BE1389="","",'[1]All Data '!BE1389)</f>
        <v/>
      </c>
      <c r="M1384" t="str">
        <f>IF('[1]All Data '!BF1389="","",'[1]All Data '!BF1389)</f>
        <v/>
      </c>
      <c r="N1384" s="5" t="str">
        <f>IF('[1]All Data '!BB1389="","",'[1]All Data '!BC1389/'[1]All Data '!BH1389)</f>
        <v/>
      </c>
      <c r="O1384" s="5" t="str">
        <f t="shared" si="23"/>
        <v/>
      </c>
      <c r="P1384" s="5" t="str">
        <f>IF(M1384="","",$C$2*(1-L1384)*907.2/0.621371*N1384*[1]Transportation!$M$40)</f>
        <v/>
      </c>
      <c r="Q1384" s="5" t="str">
        <f>IF(L1384="","",IF([1]Inputs_Outputs!$B$5="Herbaceous",(LCA!$E$29*'[1]LOCH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4" s="5" t="str">
        <f>IF(M1384="","",$E$2*1000*'[1]LOCH Calc COE Calc'!$C$44)</f>
        <v/>
      </c>
      <c r="S1384" s="6" t="str">
        <f>IF(N1384="","",SUM(O1384:R1384)/('[1]LOCH Calc COE Calc'!$C$28))</f>
        <v/>
      </c>
      <c r="T1384" t="str">
        <f>IF(L1384="","",O1384/'[1]LOCH Calc COE Calc'!$C$28)</f>
        <v/>
      </c>
      <c r="U1384" t="str">
        <f>IF(L1384="","",P1384/'[1]LOCH Calc COE Calc'!$C$28)</f>
        <v/>
      </c>
      <c r="V1384" t="str">
        <f>IF(L1384="","",Q1384/'[1]LOCH Calc COE Calc'!$C$28)</f>
        <v/>
      </c>
      <c r="W1384" t="str">
        <f>IF(L1384="","",R1384/'[1]LOCH Calc COE Calc'!$C$28)</f>
        <v/>
      </c>
    </row>
    <row r="1385" spans="12:23" x14ac:dyDescent="0.25">
      <c r="L1385" s="4" t="str">
        <f>IF('[1]All Data '!BE1390="","",'[1]All Data '!BE1390)</f>
        <v/>
      </c>
      <c r="M1385" t="str">
        <f>IF('[1]All Data '!BF1390="","",'[1]All Data '!BF1390)</f>
        <v/>
      </c>
      <c r="N1385" s="5" t="str">
        <f>IF('[1]All Data '!BB1390="","",'[1]All Data '!BC1390/'[1]All Data '!BH1390)</f>
        <v/>
      </c>
      <c r="O1385" s="5" t="str">
        <f t="shared" si="23"/>
        <v/>
      </c>
      <c r="P1385" s="5" t="str">
        <f>IF(M1385="","",$C$2*(1-L1385)*907.2/0.621371*N1385*[1]Transportation!$M$40)</f>
        <v/>
      </c>
      <c r="Q1385" s="5" t="str">
        <f>IF(L1385="","",IF([1]Inputs_Outputs!$B$5="Herbaceous",(LCA!$E$29*'[1]LOCH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5" s="5" t="str">
        <f>IF(M1385="","",$E$2*1000*'[1]LOCH Calc COE Calc'!$C$44)</f>
        <v/>
      </c>
      <c r="S1385" s="6" t="str">
        <f>IF(N1385="","",SUM(O1385:R1385)/('[1]LOCH Calc COE Calc'!$C$28))</f>
        <v/>
      </c>
      <c r="T1385" t="str">
        <f>IF(L1385="","",O1385/'[1]LOCH Calc COE Calc'!$C$28)</f>
        <v/>
      </c>
      <c r="U1385" t="str">
        <f>IF(L1385="","",P1385/'[1]LOCH Calc COE Calc'!$C$28)</f>
        <v/>
      </c>
      <c r="V1385" t="str">
        <f>IF(L1385="","",Q1385/'[1]LOCH Calc COE Calc'!$C$28)</f>
        <v/>
      </c>
      <c r="W1385" t="str">
        <f>IF(L1385="","",R1385/'[1]LOCH Calc COE Calc'!$C$28)</f>
        <v/>
      </c>
    </row>
    <row r="1386" spans="12:23" x14ac:dyDescent="0.25">
      <c r="L1386" s="4" t="str">
        <f>IF('[1]All Data '!BE1391="","",'[1]All Data '!BE1391)</f>
        <v/>
      </c>
      <c r="M1386" t="str">
        <f>IF('[1]All Data '!BF1391="","",'[1]All Data '!BF1391)</f>
        <v/>
      </c>
      <c r="N1386" s="5" t="str">
        <f>IF('[1]All Data '!BB1391="","",'[1]All Data '!BC1391/'[1]All Data '!BH1391)</f>
        <v/>
      </c>
      <c r="O1386" s="5" t="str">
        <f t="shared" si="23"/>
        <v/>
      </c>
      <c r="P1386" s="5" t="str">
        <f>IF(M1386="","",$C$2*(1-L1386)*907.2/0.621371*N1386*[1]Transportation!$M$40)</f>
        <v/>
      </c>
      <c r="Q1386" s="5" t="str">
        <f>IF(L1386="","",IF([1]Inputs_Outputs!$B$5="Herbaceous",(LCA!$E$29*'[1]LOCH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6" s="5" t="str">
        <f>IF(M1386="","",$E$2*1000*'[1]LOCH Calc COE Calc'!$C$44)</f>
        <v/>
      </c>
      <c r="S1386" s="6" t="str">
        <f>IF(N1386="","",SUM(O1386:R1386)/('[1]LOCH Calc COE Calc'!$C$28))</f>
        <v/>
      </c>
      <c r="T1386" t="str">
        <f>IF(L1386="","",O1386/'[1]LOCH Calc COE Calc'!$C$28)</f>
        <v/>
      </c>
      <c r="U1386" t="str">
        <f>IF(L1386="","",P1386/'[1]LOCH Calc COE Calc'!$C$28)</f>
        <v/>
      </c>
      <c r="V1386" t="str">
        <f>IF(L1386="","",Q1386/'[1]LOCH Calc COE Calc'!$C$28)</f>
        <v/>
      </c>
      <c r="W1386" t="str">
        <f>IF(L1386="","",R1386/'[1]LOCH Calc COE Calc'!$C$28)</f>
        <v/>
      </c>
    </row>
    <row r="1387" spans="12:23" x14ac:dyDescent="0.25">
      <c r="L1387" s="4" t="str">
        <f>IF('[1]All Data '!BE1392="","",'[1]All Data '!BE1392)</f>
        <v/>
      </c>
      <c r="M1387" t="str">
        <f>IF('[1]All Data '!BF1392="","",'[1]All Data '!BF1392)</f>
        <v/>
      </c>
      <c r="N1387" s="5" t="str">
        <f>IF('[1]All Data '!BB1392="","",'[1]All Data '!BC1392/'[1]All Data '!BH1392)</f>
        <v/>
      </c>
      <c r="O1387" s="5" t="str">
        <f t="shared" si="23"/>
        <v/>
      </c>
      <c r="P1387" s="5" t="str">
        <f>IF(M1387="","",$C$2*(1-L1387)*907.2/0.621371*N1387*[1]Transportation!$M$40)</f>
        <v/>
      </c>
      <c r="Q1387" s="5" t="str">
        <f>IF(L1387="","",IF([1]Inputs_Outputs!$B$5="Herbaceous",(LCA!$E$29*'[1]LOCH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7" s="5" t="str">
        <f>IF(M1387="","",$E$2*1000*'[1]LOCH Calc COE Calc'!$C$44)</f>
        <v/>
      </c>
      <c r="S1387" s="6" t="str">
        <f>IF(N1387="","",SUM(O1387:R1387)/('[1]LOCH Calc COE Calc'!$C$28))</f>
        <v/>
      </c>
      <c r="T1387" t="str">
        <f>IF(L1387="","",O1387/'[1]LOCH Calc COE Calc'!$C$28)</f>
        <v/>
      </c>
      <c r="U1387" t="str">
        <f>IF(L1387="","",P1387/'[1]LOCH Calc COE Calc'!$C$28)</f>
        <v/>
      </c>
      <c r="V1387" t="str">
        <f>IF(L1387="","",Q1387/'[1]LOCH Calc COE Calc'!$C$28)</f>
        <v/>
      </c>
      <c r="W1387" t="str">
        <f>IF(L1387="","",R1387/'[1]LOCH Calc COE Calc'!$C$28)</f>
        <v/>
      </c>
    </row>
    <row r="1388" spans="12:23" x14ac:dyDescent="0.25">
      <c r="L1388" s="4" t="str">
        <f>IF('[1]All Data '!BE1393="","",'[1]All Data '!BE1393)</f>
        <v/>
      </c>
      <c r="M1388" t="str">
        <f>IF('[1]All Data '!BF1393="","",'[1]All Data '!BF1393)</f>
        <v/>
      </c>
      <c r="N1388" s="5" t="str">
        <f>IF('[1]All Data '!BB1393="","",'[1]All Data '!BC1393/'[1]All Data '!BH1393)</f>
        <v/>
      </c>
      <c r="O1388" s="5" t="str">
        <f t="shared" si="23"/>
        <v/>
      </c>
      <c r="P1388" s="5" t="str">
        <f>IF(M1388="","",$C$2*(1-L1388)*907.2/0.621371*N1388*[1]Transportation!$M$40)</f>
        <v/>
      </c>
      <c r="Q1388" s="5" t="str">
        <f>IF(L1388="","",IF([1]Inputs_Outputs!$B$5="Herbaceous",(LCA!$E$29*'[1]LOCH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8" s="5" t="str">
        <f>IF(M1388="","",$E$2*1000*'[1]LOCH Calc COE Calc'!$C$44)</f>
        <v/>
      </c>
      <c r="S1388" s="6" t="str">
        <f>IF(N1388="","",SUM(O1388:R1388)/('[1]LOCH Calc COE Calc'!$C$28))</f>
        <v/>
      </c>
      <c r="T1388" t="str">
        <f>IF(L1388="","",O1388/'[1]LOCH Calc COE Calc'!$C$28)</f>
        <v/>
      </c>
      <c r="U1388" t="str">
        <f>IF(L1388="","",P1388/'[1]LOCH Calc COE Calc'!$C$28)</f>
        <v/>
      </c>
      <c r="V1388" t="str">
        <f>IF(L1388="","",Q1388/'[1]LOCH Calc COE Calc'!$C$28)</f>
        <v/>
      </c>
      <c r="W1388" t="str">
        <f>IF(L1388="","",R1388/'[1]LOCH Calc COE Calc'!$C$28)</f>
        <v/>
      </c>
    </row>
    <row r="1389" spans="12:23" x14ac:dyDescent="0.25">
      <c r="L1389" s="4" t="str">
        <f>IF('[1]All Data '!BE1394="","",'[1]All Data '!BE1394)</f>
        <v/>
      </c>
      <c r="M1389" t="str">
        <f>IF('[1]All Data '!BF1394="","",'[1]All Data '!BF1394)</f>
        <v/>
      </c>
      <c r="N1389" s="5" t="str">
        <f>IF('[1]All Data '!BB1394="","",'[1]All Data '!BC1394/'[1]All Data '!BH1394)</f>
        <v/>
      </c>
      <c r="O1389" s="5" t="str">
        <f t="shared" si="23"/>
        <v/>
      </c>
      <c r="P1389" s="5" t="str">
        <f>IF(M1389="","",$C$2*(1-L1389)*907.2/0.621371*N1389*[1]Transportation!$M$40)</f>
        <v/>
      </c>
      <c r="Q1389" s="5" t="str">
        <f>IF(L1389="","",IF([1]Inputs_Outputs!$B$5="Herbaceous",(LCA!$E$29*'[1]LOCH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89" s="5" t="str">
        <f>IF(M1389="","",$E$2*1000*'[1]LOCH Calc COE Calc'!$C$44)</f>
        <v/>
      </c>
      <c r="S1389" s="6" t="str">
        <f>IF(N1389="","",SUM(O1389:R1389)/('[1]LOCH Calc COE Calc'!$C$28))</f>
        <v/>
      </c>
      <c r="T1389" t="str">
        <f>IF(L1389="","",O1389/'[1]LOCH Calc COE Calc'!$C$28)</f>
        <v/>
      </c>
      <c r="U1389" t="str">
        <f>IF(L1389="","",P1389/'[1]LOCH Calc COE Calc'!$C$28)</f>
        <v/>
      </c>
      <c r="V1389" t="str">
        <f>IF(L1389="","",Q1389/'[1]LOCH Calc COE Calc'!$C$28)</f>
        <v/>
      </c>
      <c r="W1389" t="str">
        <f>IF(L1389="","",R1389/'[1]LOCH Calc COE Calc'!$C$28)</f>
        <v/>
      </c>
    </row>
    <row r="1390" spans="12:23" x14ac:dyDescent="0.25">
      <c r="L1390" s="4" t="str">
        <f>IF('[1]All Data '!BE1395="","",'[1]All Data '!BE1395)</f>
        <v/>
      </c>
      <c r="M1390" t="str">
        <f>IF('[1]All Data '!BF1395="","",'[1]All Data '!BF1395)</f>
        <v/>
      </c>
      <c r="N1390" s="5" t="str">
        <f>IF('[1]All Data '!BB1395="","",'[1]All Data '!BC1395/'[1]All Data '!BH1395)</f>
        <v/>
      </c>
      <c r="O1390" s="5" t="str">
        <f t="shared" si="23"/>
        <v/>
      </c>
      <c r="P1390" s="5" t="str">
        <f>IF(M1390="","",$C$2*(1-L1390)*907.2/0.621371*N1390*[1]Transportation!$M$40)</f>
        <v/>
      </c>
      <c r="Q1390" s="5" t="str">
        <f>IF(L1390="","",IF([1]Inputs_Outputs!$B$5="Herbaceous",(LCA!$E$29*'[1]LOCH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0" s="5" t="str">
        <f>IF(M1390="","",$E$2*1000*'[1]LOCH Calc COE Calc'!$C$44)</f>
        <v/>
      </c>
      <c r="S1390" s="6" t="str">
        <f>IF(N1390="","",SUM(O1390:R1390)/('[1]LOCH Calc COE Calc'!$C$28))</f>
        <v/>
      </c>
      <c r="T1390" t="str">
        <f>IF(L1390="","",O1390/'[1]LOCH Calc COE Calc'!$C$28)</f>
        <v/>
      </c>
      <c r="U1390" t="str">
        <f>IF(L1390="","",P1390/'[1]LOCH Calc COE Calc'!$C$28)</f>
        <v/>
      </c>
      <c r="V1390" t="str">
        <f>IF(L1390="","",Q1390/'[1]LOCH Calc COE Calc'!$C$28)</f>
        <v/>
      </c>
      <c r="W1390" t="str">
        <f>IF(L1390="","",R1390/'[1]LOCH Calc COE Calc'!$C$28)</f>
        <v/>
      </c>
    </row>
    <row r="1391" spans="12:23" x14ac:dyDescent="0.25">
      <c r="L1391" s="4" t="str">
        <f>IF('[1]All Data '!BE1396="","",'[1]All Data '!BE1396)</f>
        <v/>
      </c>
      <c r="M1391" t="str">
        <f>IF('[1]All Data '!BF1396="","",'[1]All Data '!BF1396)</f>
        <v/>
      </c>
      <c r="N1391" s="5" t="str">
        <f>IF('[1]All Data '!BB1396="","",'[1]All Data '!BC1396/'[1]All Data '!BH1396)</f>
        <v/>
      </c>
      <c r="O1391" s="5" t="str">
        <f t="shared" si="23"/>
        <v/>
      </c>
      <c r="P1391" s="5" t="str">
        <f>IF(M1391="","",$C$2*(1-L1391)*907.2/0.621371*N1391*[1]Transportation!$M$40)</f>
        <v/>
      </c>
      <c r="Q1391" s="5" t="str">
        <f>IF(L1391="","",IF([1]Inputs_Outputs!$B$5="Herbaceous",(LCA!$E$29*'[1]LOCH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1" s="5" t="str">
        <f>IF(M1391="","",$E$2*1000*'[1]LOCH Calc COE Calc'!$C$44)</f>
        <v/>
      </c>
      <c r="S1391" s="6" t="str">
        <f>IF(N1391="","",SUM(O1391:R1391)/('[1]LOCH Calc COE Calc'!$C$28))</f>
        <v/>
      </c>
      <c r="T1391" t="str">
        <f>IF(L1391="","",O1391/'[1]LOCH Calc COE Calc'!$C$28)</f>
        <v/>
      </c>
      <c r="U1391" t="str">
        <f>IF(L1391="","",P1391/'[1]LOCH Calc COE Calc'!$C$28)</f>
        <v/>
      </c>
      <c r="V1391" t="str">
        <f>IF(L1391="","",Q1391/'[1]LOCH Calc COE Calc'!$C$28)</f>
        <v/>
      </c>
      <c r="W1391" t="str">
        <f>IF(L1391="","",R1391/'[1]LOCH Calc COE Calc'!$C$28)</f>
        <v/>
      </c>
    </row>
    <row r="1392" spans="12:23" x14ac:dyDescent="0.25">
      <c r="L1392" s="4" t="str">
        <f>IF('[1]All Data '!BE1397="","",'[1]All Data '!BE1397)</f>
        <v/>
      </c>
      <c r="M1392" t="str">
        <f>IF('[1]All Data '!BF1397="","",'[1]All Data '!BF1397)</f>
        <v/>
      </c>
      <c r="N1392" s="5" t="str">
        <f>IF('[1]All Data '!BB1397="","",'[1]All Data '!BC1397/'[1]All Data '!BH1397)</f>
        <v/>
      </c>
      <c r="O1392" s="5" t="str">
        <f t="shared" si="23"/>
        <v/>
      </c>
      <c r="P1392" s="5" t="str">
        <f>IF(M1392="","",$C$2*(1-L1392)*907.2/0.621371*N1392*[1]Transportation!$M$40)</f>
        <v/>
      </c>
      <c r="Q1392" s="5" t="str">
        <f>IF(L1392="","",IF([1]Inputs_Outputs!$B$5="Herbaceous",(LCA!$E$29*'[1]LOCH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2" s="5" t="str">
        <f>IF(M1392="","",$E$2*1000*'[1]LOCH Calc COE Calc'!$C$44)</f>
        <v/>
      </c>
      <c r="S1392" s="6" t="str">
        <f>IF(N1392="","",SUM(O1392:R1392)/('[1]LOCH Calc COE Calc'!$C$28))</f>
        <v/>
      </c>
      <c r="T1392" t="str">
        <f>IF(L1392="","",O1392/'[1]LOCH Calc COE Calc'!$C$28)</f>
        <v/>
      </c>
      <c r="U1392" t="str">
        <f>IF(L1392="","",P1392/'[1]LOCH Calc COE Calc'!$C$28)</f>
        <v/>
      </c>
      <c r="V1392" t="str">
        <f>IF(L1392="","",Q1392/'[1]LOCH Calc COE Calc'!$C$28)</f>
        <v/>
      </c>
      <c r="W1392" t="str">
        <f>IF(L1392="","",R1392/'[1]LOCH Calc COE Calc'!$C$28)</f>
        <v/>
      </c>
    </row>
    <row r="1393" spans="12:23" x14ac:dyDescent="0.25">
      <c r="L1393" s="4" t="str">
        <f>IF('[1]All Data '!BE1398="","",'[1]All Data '!BE1398)</f>
        <v/>
      </c>
      <c r="M1393" t="str">
        <f>IF('[1]All Data '!BF1398="","",'[1]All Data '!BF1398)</f>
        <v/>
      </c>
      <c r="N1393" s="5" t="str">
        <f>IF('[1]All Data '!BB1398="","",'[1]All Data '!BC1398/'[1]All Data '!BH1398)</f>
        <v/>
      </c>
      <c r="O1393" s="5" t="str">
        <f t="shared" si="23"/>
        <v/>
      </c>
      <c r="P1393" s="5" t="str">
        <f>IF(M1393="","",$C$2*(1-L1393)*907.2/0.621371*N1393*[1]Transportation!$M$40)</f>
        <v/>
      </c>
      <c r="Q1393" s="5" t="str">
        <f>IF(L1393="","",IF([1]Inputs_Outputs!$B$5="Herbaceous",(LCA!$E$29*'[1]LOCH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3" s="5" t="str">
        <f>IF(M1393="","",$E$2*1000*'[1]LOCH Calc COE Calc'!$C$44)</f>
        <v/>
      </c>
      <c r="S1393" s="6" t="str">
        <f>IF(N1393="","",SUM(O1393:R1393)/('[1]LOCH Calc COE Calc'!$C$28))</f>
        <v/>
      </c>
      <c r="T1393" t="str">
        <f>IF(L1393="","",O1393/'[1]LOCH Calc COE Calc'!$C$28)</f>
        <v/>
      </c>
      <c r="U1393" t="str">
        <f>IF(L1393="","",P1393/'[1]LOCH Calc COE Calc'!$C$28)</f>
        <v/>
      </c>
      <c r="V1393" t="str">
        <f>IF(L1393="","",Q1393/'[1]LOCH Calc COE Calc'!$C$28)</f>
        <v/>
      </c>
      <c r="W1393" t="str">
        <f>IF(L1393="","",R1393/'[1]LOCH Calc COE Calc'!$C$28)</f>
        <v/>
      </c>
    </row>
    <row r="1394" spans="12:23" x14ac:dyDescent="0.25">
      <c r="L1394" s="4" t="str">
        <f>IF('[1]All Data '!BE1399="","",'[1]All Data '!BE1399)</f>
        <v/>
      </c>
      <c r="M1394" t="str">
        <f>IF('[1]All Data '!BF1399="","",'[1]All Data '!BF1399)</f>
        <v/>
      </c>
      <c r="N1394" s="5" t="str">
        <f>IF('[1]All Data '!BB1399="","",'[1]All Data '!BC1399/'[1]All Data '!BH1399)</f>
        <v/>
      </c>
      <c r="O1394" s="5" t="str">
        <f t="shared" si="23"/>
        <v/>
      </c>
      <c r="P1394" s="5" t="str">
        <f>IF(M1394="","",$C$2*(1-L1394)*907.2/0.621371*N1394*[1]Transportation!$M$40)</f>
        <v/>
      </c>
      <c r="Q1394" s="5" t="str">
        <f>IF(L1394="","",IF([1]Inputs_Outputs!$B$5="Herbaceous",(LCA!$E$29*'[1]LOCH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4" s="5" t="str">
        <f>IF(M1394="","",$E$2*1000*'[1]LOCH Calc COE Calc'!$C$44)</f>
        <v/>
      </c>
      <c r="S1394" s="6" t="str">
        <f>IF(N1394="","",SUM(O1394:R1394)/('[1]LOCH Calc COE Calc'!$C$28))</f>
        <v/>
      </c>
      <c r="T1394" t="str">
        <f>IF(L1394="","",O1394/'[1]LOCH Calc COE Calc'!$C$28)</f>
        <v/>
      </c>
      <c r="U1394" t="str">
        <f>IF(L1394="","",P1394/'[1]LOCH Calc COE Calc'!$C$28)</f>
        <v/>
      </c>
      <c r="V1394" t="str">
        <f>IF(L1394="","",Q1394/'[1]LOCH Calc COE Calc'!$C$28)</f>
        <v/>
      </c>
      <c r="W1394" t="str">
        <f>IF(L1394="","",R1394/'[1]LOCH Calc COE Calc'!$C$28)</f>
        <v/>
      </c>
    </row>
    <row r="1395" spans="12:23" x14ac:dyDescent="0.25">
      <c r="L1395" s="4" t="str">
        <f>IF('[1]All Data '!BE1400="","",'[1]All Data '!BE1400)</f>
        <v/>
      </c>
      <c r="M1395" t="str">
        <f>IF('[1]All Data '!BF1400="","",'[1]All Data '!BF1400)</f>
        <v/>
      </c>
      <c r="N1395" s="5" t="str">
        <f>IF('[1]All Data '!BB1400="","",'[1]All Data '!BC1400/'[1]All Data '!BH1400)</f>
        <v/>
      </c>
      <c r="O1395" s="5" t="str">
        <f t="shared" si="23"/>
        <v/>
      </c>
      <c r="P1395" s="5" t="str">
        <f>IF(M1395="","",$C$2*(1-L1395)*907.2/0.621371*N1395*[1]Transportation!$M$40)</f>
        <v/>
      </c>
      <c r="Q1395" s="5" t="str">
        <f>IF(L1395="","",IF([1]Inputs_Outputs!$B$5="Herbaceous",(LCA!$E$29*'[1]LOCH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5" s="5" t="str">
        <f>IF(M1395="","",$E$2*1000*'[1]LOCH Calc COE Calc'!$C$44)</f>
        <v/>
      </c>
      <c r="S1395" s="6" t="str">
        <f>IF(N1395="","",SUM(O1395:R1395)/('[1]LOCH Calc COE Calc'!$C$28))</f>
        <v/>
      </c>
      <c r="T1395" t="str">
        <f>IF(L1395="","",O1395/'[1]LOCH Calc COE Calc'!$C$28)</f>
        <v/>
      </c>
      <c r="U1395" t="str">
        <f>IF(L1395="","",P1395/'[1]LOCH Calc COE Calc'!$C$28)</f>
        <v/>
      </c>
      <c r="V1395" t="str">
        <f>IF(L1395="","",Q1395/'[1]LOCH Calc COE Calc'!$C$28)</f>
        <v/>
      </c>
      <c r="W1395" t="str">
        <f>IF(L1395="","",R1395/'[1]LOCH Calc COE Calc'!$C$28)</f>
        <v/>
      </c>
    </row>
    <row r="1396" spans="12:23" x14ac:dyDescent="0.25">
      <c r="L1396" s="4" t="str">
        <f>IF('[1]All Data '!BE1401="","",'[1]All Data '!BE1401)</f>
        <v/>
      </c>
      <c r="M1396" t="str">
        <f>IF('[1]All Data '!BF1401="","",'[1]All Data '!BF1401)</f>
        <v/>
      </c>
      <c r="N1396" s="5" t="str">
        <f>IF('[1]All Data '!BB1401="","",'[1]All Data '!BC1401/'[1]All Data '!BH1401)</f>
        <v/>
      </c>
      <c r="O1396" s="5" t="str">
        <f t="shared" si="23"/>
        <v/>
      </c>
      <c r="P1396" s="5" t="str">
        <f>IF(M1396="","",$C$2*(1-L1396)*907.2/0.621371*N1396*[1]Transportation!$M$40)</f>
        <v/>
      </c>
      <c r="Q1396" s="5" t="str">
        <f>IF(L1396="","",IF([1]Inputs_Outputs!$B$5="Herbaceous",(LCA!$E$29*'[1]LOCH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6" s="5" t="str">
        <f>IF(M1396="","",$E$2*1000*'[1]LOCH Calc COE Calc'!$C$44)</f>
        <v/>
      </c>
      <c r="S1396" s="6" t="str">
        <f>IF(N1396="","",SUM(O1396:R1396)/('[1]LOCH Calc COE Calc'!$C$28))</f>
        <v/>
      </c>
      <c r="T1396" t="str">
        <f>IF(L1396="","",O1396/'[1]LOCH Calc COE Calc'!$C$28)</f>
        <v/>
      </c>
      <c r="U1396" t="str">
        <f>IF(L1396="","",P1396/'[1]LOCH Calc COE Calc'!$C$28)</f>
        <v/>
      </c>
      <c r="V1396" t="str">
        <f>IF(L1396="","",Q1396/'[1]LOCH Calc COE Calc'!$C$28)</f>
        <v/>
      </c>
      <c r="W1396" t="str">
        <f>IF(L1396="","",R1396/'[1]LOCH Calc COE Calc'!$C$28)</f>
        <v/>
      </c>
    </row>
    <row r="1397" spans="12:23" x14ac:dyDescent="0.25">
      <c r="L1397" s="4" t="str">
        <f>IF('[1]All Data '!BE1402="","",'[1]All Data '!BE1402)</f>
        <v/>
      </c>
      <c r="M1397" t="str">
        <f>IF('[1]All Data '!BF1402="","",'[1]All Data '!BF1402)</f>
        <v/>
      </c>
      <c r="N1397" s="5" t="str">
        <f>IF('[1]All Data '!BB1402="","",'[1]All Data '!BC1402/'[1]All Data '!BH1402)</f>
        <v/>
      </c>
      <c r="O1397" s="5" t="str">
        <f t="shared" si="23"/>
        <v/>
      </c>
      <c r="P1397" s="5" t="str">
        <f>IF(M1397="","",$C$2*(1-L1397)*907.2/0.621371*N1397*[1]Transportation!$M$40)</f>
        <v/>
      </c>
      <c r="Q1397" s="5" t="str">
        <f>IF(L1397="","",IF([1]Inputs_Outputs!$B$5="Herbaceous",(LCA!$E$29*'[1]LOCH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7" s="5" t="str">
        <f>IF(M1397="","",$E$2*1000*'[1]LOCH Calc COE Calc'!$C$44)</f>
        <v/>
      </c>
      <c r="S1397" s="6" t="str">
        <f>IF(N1397="","",SUM(O1397:R1397)/('[1]LOCH Calc COE Calc'!$C$28))</f>
        <v/>
      </c>
      <c r="T1397" t="str">
        <f>IF(L1397="","",O1397/'[1]LOCH Calc COE Calc'!$C$28)</f>
        <v/>
      </c>
      <c r="U1397" t="str">
        <f>IF(L1397="","",P1397/'[1]LOCH Calc COE Calc'!$C$28)</f>
        <v/>
      </c>
      <c r="V1397" t="str">
        <f>IF(L1397="","",Q1397/'[1]LOCH Calc COE Calc'!$C$28)</f>
        <v/>
      </c>
      <c r="W1397" t="str">
        <f>IF(L1397="","",R1397/'[1]LOCH Calc COE Calc'!$C$28)</f>
        <v/>
      </c>
    </row>
    <row r="1398" spans="12:23" x14ac:dyDescent="0.25">
      <c r="L1398" s="4" t="str">
        <f>IF('[1]All Data '!BE1403="","",'[1]All Data '!BE1403)</f>
        <v/>
      </c>
      <c r="M1398" t="str">
        <f>IF('[1]All Data '!BF1403="","",'[1]All Data '!BF1403)</f>
        <v/>
      </c>
      <c r="N1398" s="5" t="str">
        <f>IF('[1]All Data '!BB1403="","",'[1]All Data '!BC1403/'[1]All Data '!BH1403)</f>
        <v/>
      </c>
      <c r="O1398" s="5" t="str">
        <f t="shared" si="23"/>
        <v/>
      </c>
      <c r="P1398" s="5" t="str">
        <f>IF(M1398="","",$C$2*(1-L1398)*907.2/0.621371*N1398*[1]Transportation!$M$40)</f>
        <v/>
      </c>
      <c r="Q1398" s="5" t="str">
        <f>IF(L1398="","",IF([1]Inputs_Outputs!$B$5="Herbaceous",(LCA!$E$29*'[1]LOCH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8" s="5" t="str">
        <f>IF(M1398="","",$E$2*1000*'[1]LOCH Calc COE Calc'!$C$44)</f>
        <v/>
      </c>
      <c r="S1398" s="6" t="str">
        <f>IF(N1398="","",SUM(O1398:R1398)/('[1]LOCH Calc COE Calc'!$C$28))</f>
        <v/>
      </c>
      <c r="T1398" t="str">
        <f>IF(L1398="","",O1398/'[1]LOCH Calc COE Calc'!$C$28)</f>
        <v/>
      </c>
      <c r="U1398" t="str">
        <f>IF(L1398="","",P1398/'[1]LOCH Calc COE Calc'!$C$28)</f>
        <v/>
      </c>
      <c r="V1398" t="str">
        <f>IF(L1398="","",Q1398/'[1]LOCH Calc COE Calc'!$C$28)</f>
        <v/>
      </c>
      <c r="W1398" t="str">
        <f>IF(L1398="","",R1398/'[1]LOCH Calc COE Calc'!$C$28)</f>
        <v/>
      </c>
    </row>
    <row r="1399" spans="12:23" x14ac:dyDescent="0.25">
      <c r="L1399" s="4" t="str">
        <f>IF('[1]All Data '!BE1404="","",'[1]All Data '!BE1404)</f>
        <v/>
      </c>
      <c r="M1399" t="str">
        <f>IF('[1]All Data '!BF1404="","",'[1]All Data '!BF1404)</f>
        <v/>
      </c>
      <c r="N1399" s="5" t="str">
        <f>IF('[1]All Data '!BB1404="","",'[1]All Data '!BC1404/'[1]All Data '!BH1404)</f>
        <v/>
      </c>
      <c r="O1399" s="5" t="str">
        <f t="shared" si="23"/>
        <v/>
      </c>
      <c r="P1399" s="5" t="str">
        <f>IF(M1399="","",$C$2*(1-L1399)*907.2/0.621371*N1399*[1]Transportation!$M$40)</f>
        <v/>
      </c>
      <c r="Q1399" s="5" t="str">
        <f>IF(L1399="","",IF([1]Inputs_Outputs!$B$5="Herbaceous",(LCA!$E$29*'[1]LOCH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399" s="5" t="str">
        <f>IF(M1399="","",$E$2*1000*'[1]LOCH Calc COE Calc'!$C$44)</f>
        <v/>
      </c>
      <c r="S1399" s="6" t="str">
        <f>IF(N1399="","",SUM(O1399:R1399)/('[1]LOCH Calc COE Calc'!$C$28))</f>
        <v/>
      </c>
      <c r="T1399" t="str">
        <f>IF(L1399="","",O1399/'[1]LOCH Calc COE Calc'!$C$28)</f>
        <v/>
      </c>
      <c r="U1399" t="str">
        <f>IF(L1399="","",P1399/'[1]LOCH Calc COE Calc'!$C$28)</f>
        <v/>
      </c>
      <c r="V1399" t="str">
        <f>IF(L1399="","",Q1399/'[1]LOCH Calc COE Calc'!$C$28)</f>
        <v/>
      </c>
      <c r="W1399" t="str">
        <f>IF(L1399="","",R1399/'[1]LOCH Calc COE Calc'!$C$28)</f>
        <v/>
      </c>
    </row>
    <row r="1400" spans="12:23" x14ac:dyDescent="0.25">
      <c r="L1400" s="4" t="str">
        <f>IF('[1]All Data '!BE1405="","",'[1]All Data '!BE1405)</f>
        <v/>
      </c>
      <c r="M1400" t="str">
        <f>IF('[1]All Data '!BF1405="","",'[1]All Data '!BF1405)</f>
        <v/>
      </c>
      <c r="N1400" s="5" t="str">
        <f>IF('[1]All Data '!BB1405="","",'[1]All Data '!BC1405/'[1]All Data '!BH1405)</f>
        <v/>
      </c>
      <c r="O1400" s="5" t="str">
        <f t="shared" si="23"/>
        <v/>
      </c>
      <c r="P1400" s="5" t="str">
        <f>IF(M1400="","",$C$2*(1-L1400)*907.2/0.621371*N1400*[1]Transportation!$M$40)</f>
        <v/>
      </c>
      <c r="Q1400" s="5" t="str">
        <f>IF(L1400="","",IF([1]Inputs_Outputs!$B$5="Herbaceous",(LCA!$E$29*'[1]LOCH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0" s="5" t="str">
        <f>IF(M1400="","",$E$2*1000*'[1]LOCH Calc COE Calc'!$C$44)</f>
        <v/>
      </c>
      <c r="S1400" s="6" t="str">
        <f>IF(N1400="","",SUM(O1400:R1400)/('[1]LOCH Calc COE Calc'!$C$28))</f>
        <v/>
      </c>
      <c r="T1400" t="str">
        <f>IF(L1400="","",O1400/'[1]LOCH Calc COE Calc'!$C$28)</f>
        <v/>
      </c>
      <c r="U1400" t="str">
        <f>IF(L1400="","",P1400/'[1]LOCH Calc COE Calc'!$C$28)</f>
        <v/>
      </c>
      <c r="V1400" t="str">
        <f>IF(L1400="","",Q1400/'[1]LOCH Calc COE Calc'!$C$28)</f>
        <v/>
      </c>
      <c r="W1400" t="str">
        <f>IF(L1400="","",R1400/'[1]LOCH Calc COE Calc'!$C$28)</f>
        <v/>
      </c>
    </row>
    <row r="1401" spans="12:23" x14ac:dyDescent="0.25">
      <c r="L1401" s="4" t="str">
        <f>IF('[1]All Data '!BE1406="","",'[1]All Data '!BE1406)</f>
        <v/>
      </c>
      <c r="M1401" t="str">
        <f>IF('[1]All Data '!BF1406="","",'[1]All Data '!BF1406)</f>
        <v/>
      </c>
      <c r="N1401" s="5" t="str">
        <f>IF('[1]All Data '!BB1406="","",'[1]All Data '!BC1406/'[1]All Data '!BH1406)</f>
        <v/>
      </c>
      <c r="O1401" s="5" t="str">
        <f t="shared" si="23"/>
        <v/>
      </c>
      <c r="P1401" s="5" t="str">
        <f>IF(M1401="","",$C$2*(1-L1401)*907.2/0.621371*N1401*[1]Transportation!$M$40)</f>
        <v/>
      </c>
      <c r="Q1401" s="5" t="str">
        <f>IF(L1401="","",IF([1]Inputs_Outputs!$B$5="Herbaceous",(LCA!$E$29*'[1]LOCH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1" s="5" t="str">
        <f>IF(M1401="","",$E$2*1000*'[1]LOCH Calc COE Calc'!$C$44)</f>
        <v/>
      </c>
      <c r="S1401" s="6" t="str">
        <f>IF(N1401="","",SUM(O1401:R1401)/('[1]LOCH Calc COE Calc'!$C$28))</f>
        <v/>
      </c>
      <c r="T1401" t="str">
        <f>IF(L1401="","",O1401/'[1]LOCH Calc COE Calc'!$C$28)</f>
        <v/>
      </c>
      <c r="U1401" t="str">
        <f>IF(L1401="","",P1401/'[1]LOCH Calc COE Calc'!$C$28)</f>
        <v/>
      </c>
      <c r="V1401" t="str">
        <f>IF(L1401="","",Q1401/'[1]LOCH Calc COE Calc'!$C$28)</f>
        <v/>
      </c>
      <c r="W1401" t="str">
        <f>IF(L1401="","",R1401/'[1]LOCH Calc COE Calc'!$C$28)</f>
        <v/>
      </c>
    </row>
    <row r="1402" spans="12:23" x14ac:dyDescent="0.25">
      <c r="L1402" s="4" t="str">
        <f>IF('[1]All Data '!BE1407="","",'[1]All Data '!BE1407)</f>
        <v/>
      </c>
      <c r="M1402" t="str">
        <f>IF('[1]All Data '!BF1407="","",'[1]All Data '!BF1407)</f>
        <v/>
      </c>
      <c r="N1402" s="5" t="str">
        <f>IF('[1]All Data '!BB1407="","",'[1]All Data '!BC1407/'[1]All Data '!BH1407)</f>
        <v/>
      </c>
      <c r="O1402" s="5" t="str">
        <f t="shared" si="23"/>
        <v/>
      </c>
      <c r="P1402" s="5" t="str">
        <f>IF(M1402="","",$C$2*(1-L1402)*907.2/0.621371*N1402*[1]Transportation!$M$40)</f>
        <v/>
      </c>
      <c r="Q1402" s="5" t="str">
        <f>IF(L1402="","",IF([1]Inputs_Outputs!$B$5="Herbaceous",(LCA!$E$29*'[1]LOCH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2" s="5" t="str">
        <f>IF(M1402="","",$E$2*1000*'[1]LOCH Calc COE Calc'!$C$44)</f>
        <v/>
      </c>
      <c r="S1402" s="6" t="str">
        <f>IF(N1402="","",SUM(O1402:R1402)/('[1]LOCH Calc COE Calc'!$C$28))</f>
        <v/>
      </c>
      <c r="T1402" t="str">
        <f>IF(L1402="","",O1402/'[1]LOCH Calc COE Calc'!$C$28)</f>
        <v/>
      </c>
      <c r="U1402" t="str">
        <f>IF(L1402="","",P1402/'[1]LOCH Calc COE Calc'!$C$28)</f>
        <v/>
      </c>
      <c r="V1402" t="str">
        <f>IF(L1402="","",Q1402/'[1]LOCH Calc COE Calc'!$C$28)</f>
        <v/>
      </c>
      <c r="W1402" t="str">
        <f>IF(L1402="","",R1402/'[1]LOCH Calc COE Calc'!$C$28)</f>
        <v/>
      </c>
    </row>
    <row r="1403" spans="12:23" x14ac:dyDescent="0.25">
      <c r="L1403" s="4" t="str">
        <f>IF('[1]All Data '!BE1408="","",'[1]All Data '!BE1408)</f>
        <v/>
      </c>
      <c r="M1403" t="str">
        <f>IF('[1]All Data '!BF1408="","",'[1]All Data '!BF1408)</f>
        <v/>
      </c>
      <c r="N1403" s="5" t="str">
        <f>IF('[1]All Data '!BB1408="","",'[1]All Data '!BC1408/'[1]All Data '!BH1408)</f>
        <v/>
      </c>
      <c r="O1403" s="5" t="str">
        <f t="shared" si="23"/>
        <v/>
      </c>
      <c r="P1403" s="5" t="str">
        <f>IF(M1403="","",$C$2*(1-L1403)*907.2/0.621371*N1403*[1]Transportation!$M$40)</f>
        <v/>
      </c>
      <c r="Q1403" s="5" t="str">
        <f>IF(L1403="","",IF([1]Inputs_Outputs!$B$5="Herbaceous",(LCA!$E$29*'[1]LOCH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3" s="5" t="str">
        <f>IF(M1403="","",$E$2*1000*'[1]LOCH Calc COE Calc'!$C$44)</f>
        <v/>
      </c>
      <c r="S1403" s="6" t="str">
        <f>IF(N1403="","",SUM(O1403:R1403)/('[1]LOCH Calc COE Calc'!$C$28))</f>
        <v/>
      </c>
      <c r="T1403" t="str">
        <f>IF(L1403="","",O1403/'[1]LOCH Calc COE Calc'!$C$28)</f>
        <v/>
      </c>
      <c r="U1403" t="str">
        <f>IF(L1403="","",P1403/'[1]LOCH Calc COE Calc'!$C$28)</f>
        <v/>
      </c>
      <c r="V1403" t="str">
        <f>IF(L1403="","",Q1403/'[1]LOCH Calc COE Calc'!$C$28)</f>
        <v/>
      </c>
      <c r="W1403" t="str">
        <f>IF(L1403="","",R1403/'[1]LOCH Calc COE Calc'!$C$28)</f>
        <v/>
      </c>
    </row>
    <row r="1404" spans="12:23" x14ac:dyDescent="0.25">
      <c r="L1404" s="4" t="str">
        <f>IF('[1]All Data '!BE1409="","",'[1]All Data '!BE1409)</f>
        <v/>
      </c>
      <c r="M1404" t="str">
        <f>IF('[1]All Data '!BF1409="","",'[1]All Data '!BF1409)</f>
        <v/>
      </c>
      <c r="N1404" s="5" t="str">
        <f>IF('[1]All Data '!BB1409="","",'[1]All Data '!BC1409/'[1]All Data '!BH1409)</f>
        <v/>
      </c>
      <c r="O1404" s="5" t="str">
        <f t="shared" si="23"/>
        <v/>
      </c>
      <c r="P1404" s="5" t="str">
        <f>IF(M1404="","",$C$2*(1-L1404)*907.2/0.621371*N1404*[1]Transportation!$M$40)</f>
        <v/>
      </c>
      <c r="Q1404" s="5" t="str">
        <f>IF(L1404="","",IF([1]Inputs_Outputs!$B$5="Herbaceous",(LCA!$E$29*'[1]LOCH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4" s="5" t="str">
        <f>IF(M1404="","",$E$2*1000*'[1]LOCH Calc COE Calc'!$C$44)</f>
        <v/>
      </c>
      <c r="S1404" s="6" t="str">
        <f>IF(N1404="","",SUM(O1404:R1404)/('[1]LOCH Calc COE Calc'!$C$28))</f>
        <v/>
      </c>
      <c r="T1404" t="str">
        <f>IF(L1404="","",O1404/'[1]LOCH Calc COE Calc'!$C$28)</f>
        <v/>
      </c>
      <c r="U1404" t="str">
        <f>IF(L1404="","",P1404/'[1]LOCH Calc COE Calc'!$C$28)</f>
        <v/>
      </c>
      <c r="V1404" t="str">
        <f>IF(L1404="","",Q1404/'[1]LOCH Calc COE Calc'!$C$28)</f>
        <v/>
      </c>
      <c r="W1404" t="str">
        <f>IF(L1404="","",R1404/'[1]LOCH Calc COE Calc'!$C$28)</f>
        <v/>
      </c>
    </row>
    <row r="1405" spans="12:23" x14ac:dyDescent="0.25">
      <c r="L1405" s="4" t="str">
        <f>IF('[1]All Data '!BE1410="","",'[1]All Data '!BE1410)</f>
        <v/>
      </c>
      <c r="M1405" t="str">
        <f>IF('[1]All Data '!BF1410="","",'[1]All Data '!BF1410)</f>
        <v/>
      </c>
      <c r="N1405" s="5" t="str">
        <f>IF('[1]All Data '!BB1410="","",'[1]All Data '!BC1410/'[1]All Data '!BH1410)</f>
        <v/>
      </c>
      <c r="O1405" s="5" t="str">
        <f t="shared" si="23"/>
        <v/>
      </c>
      <c r="P1405" s="5" t="str">
        <f>IF(M1405="","",$C$2*(1-L1405)*907.2/0.621371*N1405*[1]Transportation!$M$40)</f>
        <v/>
      </c>
      <c r="Q1405" s="5" t="str">
        <f>IF(L1405="","",IF([1]Inputs_Outputs!$B$5="Herbaceous",(LCA!$E$29*'[1]LOCH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5" s="5" t="str">
        <f>IF(M1405="","",$E$2*1000*'[1]LOCH Calc COE Calc'!$C$44)</f>
        <v/>
      </c>
      <c r="S1405" s="6" t="str">
        <f>IF(N1405="","",SUM(O1405:R1405)/('[1]LOCH Calc COE Calc'!$C$28))</f>
        <v/>
      </c>
      <c r="T1405" t="str">
        <f>IF(L1405="","",O1405/'[1]LOCH Calc COE Calc'!$C$28)</f>
        <v/>
      </c>
      <c r="U1405" t="str">
        <f>IF(L1405="","",P1405/'[1]LOCH Calc COE Calc'!$C$28)</f>
        <v/>
      </c>
      <c r="V1405" t="str">
        <f>IF(L1405="","",Q1405/'[1]LOCH Calc COE Calc'!$C$28)</f>
        <v/>
      </c>
      <c r="W1405" t="str">
        <f>IF(L1405="","",R1405/'[1]LOCH Calc COE Calc'!$C$28)</f>
        <v/>
      </c>
    </row>
    <row r="1406" spans="12:23" x14ac:dyDescent="0.25">
      <c r="L1406" s="4" t="str">
        <f>IF('[1]All Data '!BE1411="","",'[1]All Data '!BE1411)</f>
        <v/>
      </c>
      <c r="M1406" t="str">
        <f>IF('[1]All Data '!BF1411="","",'[1]All Data '!BF1411)</f>
        <v/>
      </c>
      <c r="N1406" s="5" t="str">
        <f>IF('[1]All Data '!BB1411="","",'[1]All Data '!BC1411/'[1]All Data '!BH1411)</f>
        <v/>
      </c>
      <c r="O1406" s="5" t="str">
        <f t="shared" si="23"/>
        <v/>
      </c>
      <c r="P1406" s="5" t="str">
        <f>IF(M1406="","",$C$2*(1-L1406)*907.2/0.621371*N1406*[1]Transportation!$M$40)</f>
        <v/>
      </c>
      <c r="Q1406" s="5" t="str">
        <f>IF(L1406="","",IF([1]Inputs_Outputs!$B$5="Herbaceous",(LCA!$E$29*'[1]LOCH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6" s="5" t="str">
        <f>IF(M1406="","",$E$2*1000*'[1]LOCH Calc COE Calc'!$C$44)</f>
        <v/>
      </c>
      <c r="S1406" s="6" t="str">
        <f>IF(N1406="","",SUM(O1406:R1406)/('[1]LOCH Calc COE Calc'!$C$28))</f>
        <v/>
      </c>
      <c r="T1406" t="str">
        <f>IF(L1406="","",O1406/'[1]LOCH Calc COE Calc'!$C$28)</f>
        <v/>
      </c>
      <c r="U1406" t="str">
        <f>IF(L1406="","",P1406/'[1]LOCH Calc COE Calc'!$C$28)</f>
        <v/>
      </c>
      <c r="V1406" t="str">
        <f>IF(L1406="","",Q1406/'[1]LOCH Calc COE Calc'!$C$28)</f>
        <v/>
      </c>
      <c r="W1406" t="str">
        <f>IF(L1406="","",R1406/'[1]LOCH Calc COE Calc'!$C$28)</f>
        <v/>
      </c>
    </row>
    <row r="1407" spans="12:23" x14ac:dyDescent="0.25">
      <c r="L1407" s="4" t="str">
        <f>IF('[1]All Data '!BE1412="","",'[1]All Data '!BE1412)</f>
        <v/>
      </c>
      <c r="M1407" t="str">
        <f>IF('[1]All Data '!BF1412="","",'[1]All Data '!BF1412)</f>
        <v/>
      </c>
      <c r="N1407" s="5" t="str">
        <f>IF('[1]All Data '!BB1412="","",'[1]All Data '!BC1412/'[1]All Data '!BH1412)</f>
        <v/>
      </c>
      <c r="O1407" s="5" t="str">
        <f t="shared" si="23"/>
        <v/>
      </c>
      <c r="P1407" s="5" t="str">
        <f>IF(M1407="","",$C$2*(1-L1407)*907.2/0.621371*N1407*[1]Transportation!$M$40)</f>
        <v/>
      </c>
      <c r="Q1407" s="5" t="str">
        <f>IF(L1407="","",IF([1]Inputs_Outputs!$B$5="Herbaceous",(LCA!$E$29*'[1]LOCH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7" s="5" t="str">
        <f>IF(M1407="","",$E$2*1000*'[1]LOCH Calc COE Calc'!$C$44)</f>
        <v/>
      </c>
      <c r="S1407" s="6" t="str">
        <f>IF(N1407="","",SUM(O1407:R1407)/('[1]LOCH Calc COE Calc'!$C$28))</f>
        <v/>
      </c>
      <c r="T1407" t="str">
        <f>IF(L1407="","",O1407/'[1]LOCH Calc COE Calc'!$C$28)</f>
        <v/>
      </c>
      <c r="U1407" t="str">
        <f>IF(L1407="","",P1407/'[1]LOCH Calc COE Calc'!$C$28)</f>
        <v/>
      </c>
      <c r="V1407" t="str">
        <f>IF(L1407="","",Q1407/'[1]LOCH Calc COE Calc'!$C$28)</f>
        <v/>
      </c>
      <c r="W1407" t="str">
        <f>IF(L1407="","",R1407/'[1]LOCH Calc COE Calc'!$C$28)</f>
        <v/>
      </c>
    </row>
    <row r="1408" spans="12:23" x14ac:dyDescent="0.25">
      <c r="L1408" s="4" t="str">
        <f>IF('[1]All Data '!BE1413="","",'[1]All Data '!BE1413)</f>
        <v/>
      </c>
      <c r="M1408" t="str">
        <f>IF('[1]All Data '!BF1413="","",'[1]All Data '!BF1413)</f>
        <v/>
      </c>
      <c r="N1408" s="5" t="str">
        <f>IF('[1]All Data '!BB1413="","",'[1]All Data '!BC1413/'[1]All Data '!BH1413)</f>
        <v/>
      </c>
      <c r="O1408" s="5" t="str">
        <f t="shared" si="23"/>
        <v/>
      </c>
      <c r="P1408" s="5" t="str">
        <f>IF(M1408="","",$C$2*(1-L1408)*907.2/0.621371*N1408*[1]Transportation!$M$40)</f>
        <v/>
      </c>
      <c r="Q1408" s="5" t="str">
        <f>IF(L1408="","",IF([1]Inputs_Outputs!$B$5="Herbaceous",(LCA!$E$29*'[1]LOCH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8" s="5" t="str">
        <f>IF(M1408="","",$E$2*1000*'[1]LOCH Calc COE Calc'!$C$44)</f>
        <v/>
      </c>
      <c r="S1408" s="6" t="str">
        <f>IF(N1408="","",SUM(O1408:R1408)/('[1]LOCH Calc COE Calc'!$C$28))</f>
        <v/>
      </c>
      <c r="T1408" t="str">
        <f>IF(L1408="","",O1408/'[1]LOCH Calc COE Calc'!$C$28)</f>
        <v/>
      </c>
      <c r="U1408" t="str">
        <f>IF(L1408="","",P1408/'[1]LOCH Calc COE Calc'!$C$28)</f>
        <v/>
      </c>
      <c r="V1408" t="str">
        <f>IF(L1408="","",Q1408/'[1]LOCH Calc COE Calc'!$C$28)</f>
        <v/>
      </c>
      <c r="W1408" t="str">
        <f>IF(L1408="","",R1408/'[1]LOCH Calc COE Calc'!$C$28)</f>
        <v/>
      </c>
    </row>
    <row r="1409" spans="12:23" x14ac:dyDescent="0.25">
      <c r="L1409" s="4" t="str">
        <f>IF('[1]All Data '!BE1414="","",'[1]All Data '!BE1414)</f>
        <v/>
      </c>
      <c r="M1409" t="str">
        <f>IF('[1]All Data '!BF1414="","",'[1]All Data '!BF1414)</f>
        <v/>
      </c>
      <c r="N1409" s="5" t="str">
        <f>IF('[1]All Data '!BB1414="","",'[1]All Data '!BC1414/'[1]All Data '!BH1414)</f>
        <v/>
      </c>
      <c r="O1409" s="5" t="str">
        <f t="shared" si="23"/>
        <v/>
      </c>
      <c r="P1409" s="5" t="str">
        <f>IF(M1409="","",$C$2*(1-L1409)*907.2/0.621371*N1409*[1]Transportation!$M$40)</f>
        <v/>
      </c>
      <c r="Q1409" s="5" t="str">
        <f>IF(L1409="","",IF([1]Inputs_Outputs!$B$5="Herbaceous",(LCA!$E$29*'[1]LOCH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09" s="5" t="str">
        <f>IF(M1409="","",$E$2*1000*'[1]LOCH Calc COE Calc'!$C$44)</f>
        <v/>
      </c>
      <c r="S1409" s="6" t="str">
        <f>IF(N1409="","",SUM(O1409:R1409)/('[1]LOCH Calc COE Calc'!$C$28))</f>
        <v/>
      </c>
      <c r="T1409" t="str">
        <f>IF(L1409="","",O1409/'[1]LOCH Calc COE Calc'!$C$28)</f>
        <v/>
      </c>
      <c r="U1409" t="str">
        <f>IF(L1409="","",P1409/'[1]LOCH Calc COE Calc'!$C$28)</f>
        <v/>
      </c>
      <c r="V1409" t="str">
        <f>IF(L1409="","",Q1409/'[1]LOCH Calc COE Calc'!$C$28)</f>
        <v/>
      </c>
      <c r="W1409" t="str">
        <f>IF(L1409="","",R1409/'[1]LOCH Calc COE Calc'!$C$28)</f>
        <v/>
      </c>
    </row>
    <row r="1410" spans="12:23" x14ac:dyDescent="0.25">
      <c r="L1410" s="4" t="str">
        <f>IF('[1]All Data '!BE1415="","",'[1]All Data '!BE1415)</f>
        <v/>
      </c>
      <c r="M1410" t="str">
        <f>IF('[1]All Data '!BF1415="","",'[1]All Data '!BF1415)</f>
        <v/>
      </c>
      <c r="N1410" s="5" t="str">
        <f>IF('[1]All Data '!BB1415="","",'[1]All Data '!BC1415/'[1]All Data '!BH1415)</f>
        <v/>
      </c>
      <c r="O1410" s="5" t="str">
        <f t="shared" si="23"/>
        <v/>
      </c>
      <c r="P1410" s="5" t="str">
        <f>IF(M1410="","",$C$2*(1-L1410)*907.2/0.621371*N1410*[1]Transportation!$M$40)</f>
        <v/>
      </c>
      <c r="Q1410" s="5" t="str">
        <f>IF(L1410="","",IF([1]Inputs_Outputs!$B$5="Herbaceous",(LCA!$E$29*'[1]LOCH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0" s="5" t="str">
        <f>IF(M1410="","",$E$2*1000*'[1]LOCH Calc COE Calc'!$C$44)</f>
        <v/>
      </c>
      <c r="S1410" s="6" t="str">
        <f>IF(N1410="","",SUM(O1410:R1410)/('[1]LOCH Calc COE Calc'!$C$28))</f>
        <v/>
      </c>
      <c r="T1410" t="str">
        <f>IF(L1410="","",O1410/'[1]LOCH Calc COE Calc'!$C$28)</f>
        <v/>
      </c>
      <c r="U1410" t="str">
        <f>IF(L1410="","",P1410/'[1]LOCH Calc COE Calc'!$C$28)</f>
        <v/>
      </c>
      <c r="V1410" t="str">
        <f>IF(L1410="","",Q1410/'[1]LOCH Calc COE Calc'!$C$28)</f>
        <v/>
      </c>
      <c r="W1410" t="str">
        <f>IF(L1410="","",R1410/'[1]LOCH Calc COE Calc'!$C$28)</f>
        <v/>
      </c>
    </row>
    <row r="1411" spans="12:23" x14ac:dyDescent="0.25">
      <c r="L1411" s="4" t="str">
        <f>IF('[1]All Data '!BE1416="","",'[1]All Data '!BE1416)</f>
        <v/>
      </c>
      <c r="M1411" t="str">
        <f>IF('[1]All Data '!BF1416="","",'[1]All Data '!BF1416)</f>
        <v/>
      </c>
      <c r="N1411" s="5" t="str">
        <f>IF('[1]All Data '!BB1416="","",'[1]All Data '!BC1416/'[1]All Data '!BH1416)</f>
        <v/>
      </c>
      <c r="O1411" s="5" t="str">
        <f t="shared" si="23"/>
        <v/>
      </c>
      <c r="P1411" s="5" t="str">
        <f>IF(M1411="","",$C$2*(1-L1411)*907.2/0.621371*N1411*[1]Transportation!$M$40)</f>
        <v/>
      </c>
      <c r="Q1411" s="5" t="str">
        <f>IF(L1411="","",IF([1]Inputs_Outputs!$B$5="Herbaceous",(LCA!$E$29*'[1]LOCH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1" s="5" t="str">
        <f>IF(M1411="","",$E$2*1000*'[1]LOCH Calc COE Calc'!$C$44)</f>
        <v/>
      </c>
      <c r="S1411" s="6" t="str">
        <f>IF(N1411="","",SUM(O1411:R1411)/('[1]LOCH Calc COE Calc'!$C$28))</f>
        <v/>
      </c>
      <c r="T1411" t="str">
        <f>IF(L1411="","",O1411/'[1]LOCH Calc COE Calc'!$C$28)</f>
        <v/>
      </c>
      <c r="U1411" t="str">
        <f>IF(L1411="","",P1411/'[1]LOCH Calc COE Calc'!$C$28)</f>
        <v/>
      </c>
      <c r="V1411" t="str">
        <f>IF(L1411="","",Q1411/'[1]LOCH Calc COE Calc'!$C$28)</f>
        <v/>
      </c>
      <c r="W1411" t="str">
        <f>IF(L1411="","",R1411/'[1]LOCH Calc COE Calc'!$C$28)</f>
        <v/>
      </c>
    </row>
    <row r="1412" spans="12:23" x14ac:dyDescent="0.25">
      <c r="L1412" s="4" t="str">
        <f>IF('[1]All Data '!BE1417="","",'[1]All Data '!BE1417)</f>
        <v/>
      </c>
      <c r="M1412" t="str">
        <f>IF('[1]All Data '!BF1417="","",'[1]All Data '!BF1417)</f>
        <v/>
      </c>
      <c r="N1412" s="5" t="str">
        <f>IF('[1]All Data '!BB1417="","",'[1]All Data '!BC1417/'[1]All Data '!BH1417)</f>
        <v/>
      </c>
      <c r="O1412" s="5" t="str">
        <f t="shared" ref="O1412:O1475" si="24">IF(N1412="","",M1412*N1412)</f>
        <v/>
      </c>
      <c r="P1412" s="5" t="str">
        <f>IF(M1412="","",$C$2*(1-L1412)*907.2/0.621371*N1412*[1]Transportation!$M$40)</f>
        <v/>
      </c>
      <c r="Q1412" s="5" t="str">
        <f>IF(L1412="","",IF([1]Inputs_Outputs!$B$5="Herbaceous",(LCA!$E$29*'[1]LOCH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2" s="5" t="str">
        <f>IF(M1412="","",$E$2*1000*'[1]LOCH Calc COE Calc'!$C$44)</f>
        <v/>
      </c>
      <c r="S1412" s="6" t="str">
        <f>IF(N1412="","",SUM(O1412:R1412)/('[1]LOCH Calc COE Calc'!$C$28))</f>
        <v/>
      </c>
      <c r="T1412" t="str">
        <f>IF(L1412="","",O1412/'[1]LOCH Calc COE Calc'!$C$28)</f>
        <v/>
      </c>
      <c r="U1412" t="str">
        <f>IF(L1412="","",P1412/'[1]LOCH Calc COE Calc'!$C$28)</f>
        <v/>
      </c>
      <c r="V1412" t="str">
        <f>IF(L1412="","",Q1412/'[1]LOCH Calc COE Calc'!$C$28)</f>
        <v/>
      </c>
      <c r="W1412" t="str">
        <f>IF(L1412="","",R1412/'[1]LOCH Calc COE Calc'!$C$28)</f>
        <v/>
      </c>
    </row>
    <row r="1413" spans="12:23" x14ac:dyDescent="0.25">
      <c r="L1413" s="4" t="str">
        <f>IF('[1]All Data '!BE1418="","",'[1]All Data '!BE1418)</f>
        <v/>
      </c>
      <c r="M1413" t="str">
        <f>IF('[1]All Data '!BF1418="","",'[1]All Data '!BF1418)</f>
        <v/>
      </c>
      <c r="N1413" s="5" t="str">
        <f>IF('[1]All Data '!BB1418="","",'[1]All Data '!BC1418/'[1]All Data '!BH1418)</f>
        <v/>
      </c>
      <c r="O1413" s="5" t="str">
        <f t="shared" si="24"/>
        <v/>
      </c>
      <c r="P1413" s="5" t="str">
        <f>IF(M1413="","",$C$2*(1-L1413)*907.2/0.621371*N1413*[1]Transportation!$M$40)</f>
        <v/>
      </c>
      <c r="Q1413" s="5" t="str">
        <f>IF(L1413="","",IF([1]Inputs_Outputs!$B$5="Herbaceous",(LCA!$E$29*'[1]LOCH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3" s="5" t="str">
        <f>IF(M1413="","",$E$2*1000*'[1]LOCH Calc COE Calc'!$C$44)</f>
        <v/>
      </c>
      <c r="S1413" s="6" t="str">
        <f>IF(N1413="","",SUM(O1413:R1413)/('[1]LOCH Calc COE Calc'!$C$28))</f>
        <v/>
      </c>
      <c r="T1413" t="str">
        <f>IF(L1413="","",O1413/'[1]LOCH Calc COE Calc'!$C$28)</f>
        <v/>
      </c>
      <c r="U1413" t="str">
        <f>IF(L1413="","",P1413/'[1]LOCH Calc COE Calc'!$C$28)</f>
        <v/>
      </c>
      <c r="V1413" t="str">
        <f>IF(L1413="","",Q1413/'[1]LOCH Calc COE Calc'!$C$28)</f>
        <v/>
      </c>
      <c r="W1413" t="str">
        <f>IF(L1413="","",R1413/'[1]LOCH Calc COE Calc'!$C$28)</f>
        <v/>
      </c>
    </row>
    <row r="1414" spans="12:23" x14ac:dyDescent="0.25">
      <c r="L1414" s="4" t="str">
        <f>IF('[1]All Data '!BE1419="","",'[1]All Data '!BE1419)</f>
        <v/>
      </c>
      <c r="M1414" t="str">
        <f>IF('[1]All Data '!BF1419="","",'[1]All Data '!BF1419)</f>
        <v/>
      </c>
      <c r="N1414" s="5" t="str">
        <f>IF('[1]All Data '!BB1419="","",'[1]All Data '!BC1419/'[1]All Data '!BH1419)</f>
        <v/>
      </c>
      <c r="O1414" s="5" t="str">
        <f t="shared" si="24"/>
        <v/>
      </c>
      <c r="P1414" s="5" t="str">
        <f>IF(M1414="","",$C$2*(1-L1414)*907.2/0.621371*N1414*[1]Transportation!$M$40)</f>
        <v/>
      </c>
      <c r="Q1414" s="5" t="str">
        <f>IF(L1414="","",IF([1]Inputs_Outputs!$B$5="Herbaceous",(LCA!$E$29*'[1]LOCH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4" s="5" t="str">
        <f>IF(M1414="","",$E$2*1000*'[1]LOCH Calc COE Calc'!$C$44)</f>
        <v/>
      </c>
      <c r="S1414" s="6" t="str">
        <f>IF(N1414="","",SUM(O1414:R1414)/('[1]LOCH Calc COE Calc'!$C$28))</f>
        <v/>
      </c>
      <c r="T1414" t="str">
        <f>IF(L1414="","",O1414/'[1]LOCH Calc COE Calc'!$C$28)</f>
        <v/>
      </c>
      <c r="U1414" t="str">
        <f>IF(L1414="","",P1414/'[1]LOCH Calc COE Calc'!$C$28)</f>
        <v/>
      </c>
      <c r="V1414" t="str">
        <f>IF(L1414="","",Q1414/'[1]LOCH Calc COE Calc'!$C$28)</f>
        <v/>
      </c>
      <c r="W1414" t="str">
        <f>IF(L1414="","",R1414/'[1]LOCH Calc COE Calc'!$C$28)</f>
        <v/>
      </c>
    </row>
    <row r="1415" spans="12:23" x14ac:dyDescent="0.25">
      <c r="L1415" s="4" t="str">
        <f>IF('[1]All Data '!BE1420="","",'[1]All Data '!BE1420)</f>
        <v/>
      </c>
      <c r="M1415" t="str">
        <f>IF('[1]All Data '!BF1420="","",'[1]All Data '!BF1420)</f>
        <v/>
      </c>
      <c r="N1415" s="5" t="str">
        <f>IF('[1]All Data '!BB1420="","",'[1]All Data '!BC1420/'[1]All Data '!BH1420)</f>
        <v/>
      </c>
      <c r="O1415" s="5" t="str">
        <f t="shared" si="24"/>
        <v/>
      </c>
      <c r="P1415" s="5" t="str">
        <f>IF(M1415="","",$C$2*(1-L1415)*907.2/0.621371*N1415*[1]Transportation!$M$40)</f>
        <v/>
      </c>
      <c r="Q1415" s="5" t="str">
        <f>IF(L1415="","",IF([1]Inputs_Outputs!$B$5="Herbaceous",(LCA!$E$29*'[1]LOCH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5" s="5" t="str">
        <f>IF(M1415="","",$E$2*1000*'[1]LOCH Calc COE Calc'!$C$44)</f>
        <v/>
      </c>
      <c r="S1415" s="6" t="str">
        <f>IF(N1415="","",SUM(O1415:R1415)/('[1]LOCH Calc COE Calc'!$C$28))</f>
        <v/>
      </c>
      <c r="T1415" t="str">
        <f>IF(L1415="","",O1415/'[1]LOCH Calc COE Calc'!$C$28)</f>
        <v/>
      </c>
      <c r="U1415" t="str">
        <f>IF(L1415="","",P1415/'[1]LOCH Calc COE Calc'!$C$28)</f>
        <v/>
      </c>
      <c r="V1415" t="str">
        <f>IF(L1415="","",Q1415/'[1]LOCH Calc COE Calc'!$C$28)</f>
        <v/>
      </c>
      <c r="W1415" t="str">
        <f>IF(L1415="","",R1415/'[1]LOCH Calc COE Calc'!$C$28)</f>
        <v/>
      </c>
    </row>
    <row r="1416" spans="12:23" x14ac:dyDescent="0.25">
      <c r="L1416" s="4" t="str">
        <f>IF('[1]All Data '!BE1421="","",'[1]All Data '!BE1421)</f>
        <v/>
      </c>
      <c r="M1416" t="str">
        <f>IF('[1]All Data '!BF1421="","",'[1]All Data '!BF1421)</f>
        <v/>
      </c>
      <c r="N1416" s="5" t="str">
        <f>IF('[1]All Data '!BB1421="","",'[1]All Data '!BC1421/'[1]All Data '!BH1421)</f>
        <v/>
      </c>
      <c r="O1416" s="5" t="str">
        <f t="shared" si="24"/>
        <v/>
      </c>
      <c r="P1416" s="5" t="str">
        <f>IF(M1416="","",$C$2*(1-L1416)*907.2/0.621371*N1416*[1]Transportation!$M$40)</f>
        <v/>
      </c>
      <c r="Q1416" s="5" t="str">
        <f>IF(L1416="","",IF([1]Inputs_Outputs!$B$5="Herbaceous",(LCA!$E$29*'[1]LOCH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6" s="5" t="str">
        <f>IF(M1416="","",$E$2*1000*'[1]LOCH Calc COE Calc'!$C$44)</f>
        <v/>
      </c>
      <c r="S1416" s="6" t="str">
        <f>IF(N1416="","",SUM(O1416:R1416)/('[1]LOCH Calc COE Calc'!$C$28))</f>
        <v/>
      </c>
      <c r="T1416" t="str">
        <f>IF(L1416="","",O1416/'[1]LOCH Calc COE Calc'!$C$28)</f>
        <v/>
      </c>
      <c r="U1416" t="str">
        <f>IF(L1416="","",P1416/'[1]LOCH Calc COE Calc'!$C$28)</f>
        <v/>
      </c>
      <c r="V1416" t="str">
        <f>IF(L1416="","",Q1416/'[1]LOCH Calc COE Calc'!$C$28)</f>
        <v/>
      </c>
      <c r="W1416" t="str">
        <f>IF(L1416="","",R1416/'[1]LOCH Calc COE Calc'!$C$28)</f>
        <v/>
      </c>
    </row>
    <row r="1417" spans="12:23" x14ac:dyDescent="0.25">
      <c r="L1417" s="4" t="str">
        <f>IF('[1]All Data '!BE1422="","",'[1]All Data '!BE1422)</f>
        <v/>
      </c>
      <c r="M1417" t="str">
        <f>IF('[1]All Data '!BF1422="","",'[1]All Data '!BF1422)</f>
        <v/>
      </c>
      <c r="N1417" s="5" t="str">
        <f>IF('[1]All Data '!BB1422="","",'[1]All Data '!BC1422/'[1]All Data '!BH1422)</f>
        <v/>
      </c>
      <c r="O1417" s="5" t="str">
        <f t="shared" si="24"/>
        <v/>
      </c>
      <c r="P1417" s="5" t="str">
        <f>IF(M1417="","",$C$2*(1-L1417)*907.2/0.621371*N1417*[1]Transportation!$M$40)</f>
        <v/>
      </c>
      <c r="Q1417" s="5" t="str">
        <f>IF(L1417="","",IF([1]Inputs_Outputs!$B$5="Herbaceous",(LCA!$E$29*'[1]LOCH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7" s="5" t="str">
        <f>IF(M1417="","",$E$2*1000*'[1]LOCH Calc COE Calc'!$C$44)</f>
        <v/>
      </c>
      <c r="S1417" s="6" t="str">
        <f>IF(N1417="","",SUM(O1417:R1417)/('[1]LOCH Calc COE Calc'!$C$28))</f>
        <v/>
      </c>
      <c r="T1417" t="str">
        <f>IF(L1417="","",O1417/'[1]LOCH Calc COE Calc'!$C$28)</f>
        <v/>
      </c>
      <c r="U1417" t="str">
        <f>IF(L1417="","",P1417/'[1]LOCH Calc COE Calc'!$C$28)</f>
        <v/>
      </c>
      <c r="V1417" t="str">
        <f>IF(L1417="","",Q1417/'[1]LOCH Calc COE Calc'!$C$28)</f>
        <v/>
      </c>
      <c r="W1417" t="str">
        <f>IF(L1417="","",R1417/'[1]LOCH Calc COE Calc'!$C$28)</f>
        <v/>
      </c>
    </row>
    <row r="1418" spans="12:23" x14ac:dyDescent="0.25">
      <c r="L1418" s="4" t="str">
        <f>IF('[1]All Data '!BE1423="","",'[1]All Data '!BE1423)</f>
        <v/>
      </c>
      <c r="M1418" t="str">
        <f>IF('[1]All Data '!BF1423="","",'[1]All Data '!BF1423)</f>
        <v/>
      </c>
      <c r="N1418" s="5" t="str">
        <f>IF('[1]All Data '!BB1423="","",'[1]All Data '!BC1423/'[1]All Data '!BH1423)</f>
        <v/>
      </c>
      <c r="O1418" s="5" t="str">
        <f t="shared" si="24"/>
        <v/>
      </c>
      <c r="P1418" s="5" t="str">
        <f>IF(M1418="","",$C$2*(1-L1418)*907.2/0.621371*N1418*[1]Transportation!$M$40)</f>
        <v/>
      </c>
      <c r="Q1418" s="5" t="str">
        <f>IF(L1418="","",IF([1]Inputs_Outputs!$B$5="Herbaceous",(LCA!$E$29*'[1]LOCH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8" s="5" t="str">
        <f>IF(M1418="","",$E$2*1000*'[1]LOCH Calc COE Calc'!$C$44)</f>
        <v/>
      </c>
      <c r="S1418" s="6" t="str">
        <f>IF(N1418="","",SUM(O1418:R1418)/('[1]LOCH Calc COE Calc'!$C$28))</f>
        <v/>
      </c>
      <c r="T1418" t="str">
        <f>IF(L1418="","",O1418/'[1]LOCH Calc COE Calc'!$C$28)</f>
        <v/>
      </c>
      <c r="U1418" t="str">
        <f>IF(L1418="","",P1418/'[1]LOCH Calc COE Calc'!$C$28)</f>
        <v/>
      </c>
      <c r="V1418" t="str">
        <f>IF(L1418="","",Q1418/'[1]LOCH Calc COE Calc'!$C$28)</f>
        <v/>
      </c>
      <c r="W1418" t="str">
        <f>IF(L1418="","",R1418/'[1]LOCH Calc COE Calc'!$C$28)</f>
        <v/>
      </c>
    </row>
    <row r="1419" spans="12:23" x14ac:dyDescent="0.25">
      <c r="L1419" s="4" t="str">
        <f>IF('[1]All Data '!BE1424="","",'[1]All Data '!BE1424)</f>
        <v/>
      </c>
      <c r="M1419" t="str">
        <f>IF('[1]All Data '!BF1424="","",'[1]All Data '!BF1424)</f>
        <v/>
      </c>
      <c r="N1419" s="5" t="str">
        <f>IF('[1]All Data '!BB1424="","",'[1]All Data '!BC1424/'[1]All Data '!BH1424)</f>
        <v/>
      </c>
      <c r="O1419" s="5" t="str">
        <f t="shared" si="24"/>
        <v/>
      </c>
      <c r="P1419" s="5" t="str">
        <f>IF(M1419="","",$C$2*(1-L1419)*907.2/0.621371*N1419*[1]Transportation!$M$40)</f>
        <v/>
      </c>
      <c r="Q1419" s="5" t="str">
        <f>IF(L1419="","",IF([1]Inputs_Outputs!$B$5="Herbaceous",(LCA!$E$29*'[1]LOCH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19" s="5" t="str">
        <f>IF(M1419="","",$E$2*1000*'[1]LOCH Calc COE Calc'!$C$44)</f>
        <v/>
      </c>
      <c r="S1419" s="6" t="str">
        <f>IF(N1419="","",SUM(O1419:R1419)/('[1]LOCH Calc COE Calc'!$C$28))</f>
        <v/>
      </c>
      <c r="T1419" t="str">
        <f>IF(L1419="","",O1419/'[1]LOCH Calc COE Calc'!$C$28)</f>
        <v/>
      </c>
      <c r="U1419" t="str">
        <f>IF(L1419="","",P1419/'[1]LOCH Calc COE Calc'!$C$28)</f>
        <v/>
      </c>
      <c r="V1419" t="str">
        <f>IF(L1419="","",Q1419/'[1]LOCH Calc COE Calc'!$C$28)</f>
        <v/>
      </c>
      <c r="W1419" t="str">
        <f>IF(L1419="","",R1419/'[1]LOCH Calc COE Calc'!$C$28)</f>
        <v/>
      </c>
    </row>
    <row r="1420" spans="12:23" x14ac:dyDescent="0.25">
      <c r="L1420" s="4" t="str">
        <f>IF('[1]All Data '!BE1425="","",'[1]All Data '!BE1425)</f>
        <v/>
      </c>
      <c r="M1420" t="str">
        <f>IF('[1]All Data '!BF1425="","",'[1]All Data '!BF1425)</f>
        <v/>
      </c>
      <c r="N1420" s="5" t="str">
        <f>IF('[1]All Data '!BB1425="","",'[1]All Data '!BC1425/'[1]All Data '!BH1425)</f>
        <v/>
      </c>
      <c r="O1420" s="5" t="str">
        <f t="shared" si="24"/>
        <v/>
      </c>
      <c r="P1420" s="5" t="str">
        <f>IF(M1420="","",$C$2*(1-L1420)*907.2/0.621371*N1420*[1]Transportation!$M$40)</f>
        <v/>
      </c>
      <c r="Q1420" s="5" t="str">
        <f>IF(L1420="","",IF([1]Inputs_Outputs!$B$5="Herbaceous",(LCA!$E$29*'[1]LOCH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0" s="5" t="str">
        <f>IF(M1420="","",$E$2*1000*'[1]LOCH Calc COE Calc'!$C$44)</f>
        <v/>
      </c>
      <c r="S1420" s="6" t="str">
        <f>IF(N1420="","",SUM(O1420:R1420)/('[1]LOCH Calc COE Calc'!$C$28))</f>
        <v/>
      </c>
      <c r="T1420" t="str">
        <f>IF(L1420="","",O1420/'[1]LOCH Calc COE Calc'!$C$28)</f>
        <v/>
      </c>
      <c r="U1420" t="str">
        <f>IF(L1420="","",P1420/'[1]LOCH Calc COE Calc'!$C$28)</f>
        <v/>
      </c>
      <c r="V1420" t="str">
        <f>IF(L1420="","",Q1420/'[1]LOCH Calc COE Calc'!$C$28)</f>
        <v/>
      </c>
      <c r="W1420" t="str">
        <f>IF(L1420="","",R1420/'[1]LOCH Calc COE Calc'!$C$28)</f>
        <v/>
      </c>
    </row>
    <row r="1421" spans="12:23" x14ac:dyDescent="0.25">
      <c r="L1421" s="4" t="str">
        <f>IF('[1]All Data '!BE1426="","",'[1]All Data '!BE1426)</f>
        <v/>
      </c>
      <c r="M1421" t="str">
        <f>IF('[1]All Data '!BF1426="","",'[1]All Data '!BF1426)</f>
        <v/>
      </c>
      <c r="N1421" s="5" t="str">
        <f>IF('[1]All Data '!BB1426="","",'[1]All Data '!BC1426/'[1]All Data '!BH1426)</f>
        <v/>
      </c>
      <c r="O1421" s="5" t="str">
        <f t="shared" si="24"/>
        <v/>
      </c>
      <c r="P1421" s="5" t="str">
        <f>IF(M1421="","",$C$2*(1-L1421)*907.2/0.621371*N1421*[1]Transportation!$M$40)</f>
        <v/>
      </c>
      <c r="Q1421" s="5" t="str">
        <f>IF(L1421="","",IF([1]Inputs_Outputs!$B$5="Herbaceous",(LCA!$E$29*'[1]LOCH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1" s="5" t="str">
        <f>IF(M1421="","",$E$2*1000*'[1]LOCH Calc COE Calc'!$C$44)</f>
        <v/>
      </c>
      <c r="S1421" s="6" t="str">
        <f>IF(N1421="","",SUM(O1421:R1421)/('[1]LOCH Calc COE Calc'!$C$28))</f>
        <v/>
      </c>
      <c r="T1421" t="str">
        <f>IF(L1421="","",O1421/'[1]LOCH Calc COE Calc'!$C$28)</f>
        <v/>
      </c>
      <c r="U1421" t="str">
        <f>IF(L1421="","",P1421/'[1]LOCH Calc COE Calc'!$C$28)</f>
        <v/>
      </c>
      <c r="V1421" t="str">
        <f>IF(L1421="","",Q1421/'[1]LOCH Calc COE Calc'!$C$28)</f>
        <v/>
      </c>
      <c r="W1421" t="str">
        <f>IF(L1421="","",R1421/'[1]LOCH Calc COE Calc'!$C$28)</f>
        <v/>
      </c>
    </row>
    <row r="1422" spans="12:23" x14ac:dyDescent="0.25">
      <c r="L1422" s="4" t="str">
        <f>IF('[1]All Data '!BE1427="","",'[1]All Data '!BE1427)</f>
        <v/>
      </c>
      <c r="M1422" t="str">
        <f>IF('[1]All Data '!BF1427="","",'[1]All Data '!BF1427)</f>
        <v/>
      </c>
      <c r="N1422" s="5" t="str">
        <f>IF('[1]All Data '!BB1427="","",'[1]All Data '!BC1427/'[1]All Data '!BH1427)</f>
        <v/>
      </c>
      <c r="O1422" s="5" t="str">
        <f t="shared" si="24"/>
        <v/>
      </c>
      <c r="P1422" s="5" t="str">
        <f>IF(M1422="","",$C$2*(1-L1422)*907.2/0.621371*N1422*[1]Transportation!$M$40)</f>
        <v/>
      </c>
      <c r="Q1422" s="5" t="str">
        <f>IF(L1422="","",IF([1]Inputs_Outputs!$B$5="Herbaceous",(LCA!$E$29*'[1]LOCH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2" s="5" t="str">
        <f>IF(M1422="","",$E$2*1000*'[1]LOCH Calc COE Calc'!$C$44)</f>
        <v/>
      </c>
      <c r="S1422" s="6" t="str">
        <f>IF(N1422="","",SUM(O1422:R1422)/('[1]LOCH Calc COE Calc'!$C$28))</f>
        <v/>
      </c>
      <c r="T1422" t="str">
        <f>IF(L1422="","",O1422/'[1]LOCH Calc COE Calc'!$C$28)</f>
        <v/>
      </c>
      <c r="U1422" t="str">
        <f>IF(L1422="","",P1422/'[1]LOCH Calc COE Calc'!$C$28)</f>
        <v/>
      </c>
      <c r="V1422" t="str">
        <f>IF(L1422="","",Q1422/'[1]LOCH Calc COE Calc'!$C$28)</f>
        <v/>
      </c>
      <c r="W1422" t="str">
        <f>IF(L1422="","",R1422/'[1]LOCH Calc COE Calc'!$C$28)</f>
        <v/>
      </c>
    </row>
    <row r="1423" spans="12:23" x14ac:dyDescent="0.25">
      <c r="L1423" s="4" t="str">
        <f>IF('[1]All Data '!BE1428="","",'[1]All Data '!BE1428)</f>
        <v/>
      </c>
      <c r="M1423" t="str">
        <f>IF('[1]All Data '!BF1428="","",'[1]All Data '!BF1428)</f>
        <v/>
      </c>
      <c r="N1423" s="5" t="str">
        <f>IF('[1]All Data '!BB1428="","",'[1]All Data '!BC1428/'[1]All Data '!BH1428)</f>
        <v/>
      </c>
      <c r="O1423" s="5" t="str">
        <f t="shared" si="24"/>
        <v/>
      </c>
      <c r="P1423" s="5" t="str">
        <f>IF(M1423="","",$C$2*(1-L1423)*907.2/0.621371*N1423*[1]Transportation!$M$40)</f>
        <v/>
      </c>
      <c r="Q1423" s="5" t="str">
        <f>IF(L1423="","",IF([1]Inputs_Outputs!$B$5="Herbaceous",(LCA!$E$29*'[1]LOCH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3" s="5" t="str">
        <f>IF(M1423="","",$E$2*1000*'[1]LOCH Calc COE Calc'!$C$44)</f>
        <v/>
      </c>
      <c r="S1423" s="6" t="str">
        <f>IF(N1423="","",SUM(O1423:R1423)/('[1]LOCH Calc COE Calc'!$C$28))</f>
        <v/>
      </c>
      <c r="T1423" t="str">
        <f>IF(L1423="","",O1423/'[1]LOCH Calc COE Calc'!$C$28)</f>
        <v/>
      </c>
      <c r="U1423" t="str">
        <f>IF(L1423="","",P1423/'[1]LOCH Calc COE Calc'!$C$28)</f>
        <v/>
      </c>
      <c r="V1423" t="str">
        <f>IF(L1423="","",Q1423/'[1]LOCH Calc COE Calc'!$C$28)</f>
        <v/>
      </c>
      <c r="W1423" t="str">
        <f>IF(L1423="","",R1423/'[1]LOCH Calc COE Calc'!$C$28)</f>
        <v/>
      </c>
    </row>
    <row r="1424" spans="12:23" x14ac:dyDescent="0.25">
      <c r="L1424" s="4" t="str">
        <f>IF('[1]All Data '!BE1429="","",'[1]All Data '!BE1429)</f>
        <v/>
      </c>
      <c r="M1424" t="str">
        <f>IF('[1]All Data '!BF1429="","",'[1]All Data '!BF1429)</f>
        <v/>
      </c>
      <c r="N1424" s="5" t="str">
        <f>IF('[1]All Data '!BB1429="","",'[1]All Data '!BC1429/'[1]All Data '!BH1429)</f>
        <v/>
      </c>
      <c r="O1424" s="5" t="str">
        <f t="shared" si="24"/>
        <v/>
      </c>
      <c r="P1424" s="5" t="str">
        <f>IF(M1424="","",$C$2*(1-L1424)*907.2/0.621371*N1424*[1]Transportation!$M$40)</f>
        <v/>
      </c>
      <c r="Q1424" s="5" t="str">
        <f>IF(L1424="","",IF([1]Inputs_Outputs!$B$5="Herbaceous",(LCA!$E$29*'[1]LOCH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4" s="5" t="str">
        <f>IF(M1424="","",$E$2*1000*'[1]LOCH Calc COE Calc'!$C$44)</f>
        <v/>
      </c>
      <c r="S1424" s="6" t="str">
        <f>IF(N1424="","",SUM(O1424:R1424)/('[1]LOCH Calc COE Calc'!$C$28))</f>
        <v/>
      </c>
      <c r="T1424" t="str">
        <f>IF(L1424="","",O1424/'[1]LOCH Calc COE Calc'!$C$28)</f>
        <v/>
      </c>
      <c r="U1424" t="str">
        <f>IF(L1424="","",P1424/'[1]LOCH Calc COE Calc'!$C$28)</f>
        <v/>
      </c>
      <c r="V1424" t="str">
        <f>IF(L1424="","",Q1424/'[1]LOCH Calc COE Calc'!$C$28)</f>
        <v/>
      </c>
      <c r="W1424" t="str">
        <f>IF(L1424="","",R1424/'[1]LOCH Calc COE Calc'!$C$28)</f>
        <v/>
      </c>
    </row>
    <row r="1425" spans="12:23" x14ac:dyDescent="0.25">
      <c r="L1425" s="4" t="str">
        <f>IF('[1]All Data '!BE1430="","",'[1]All Data '!BE1430)</f>
        <v/>
      </c>
      <c r="M1425" t="str">
        <f>IF('[1]All Data '!BF1430="","",'[1]All Data '!BF1430)</f>
        <v/>
      </c>
      <c r="N1425" s="5" t="str">
        <f>IF('[1]All Data '!BB1430="","",'[1]All Data '!BC1430/'[1]All Data '!BH1430)</f>
        <v/>
      </c>
      <c r="O1425" s="5" t="str">
        <f t="shared" si="24"/>
        <v/>
      </c>
      <c r="P1425" s="5" t="str">
        <f>IF(M1425="","",$C$2*(1-L1425)*907.2/0.621371*N1425*[1]Transportation!$M$40)</f>
        <v/>
      </c>
      <c r="Q1425" s="5" t="str">
        <f>IF(L1425="","",IF([1]Inputs_Outputs!$B$5="Herbaceous",(LCA!$E$29*'[1]LOCH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5" s="5" t="str">
        <f>IF(M1425="","",$E$2*1000*'[1]LOCH Calc COE Calc'!$C$44)</f>
        <v/>
      </c>
      <c r="S1425" s="6" t="str">
        <f>IF(N1425="","",SUM(O1425:R1425)/('[1]LOCH Calc COE Calc'!$C$28))</f>
        <v/>
      </c>
      <c r="T1425" t="str">
        <f>IF(L1425="","",O1425/'[1]LOCH Calc COE Calc'!$C$28)</f>
        <v/>
      </c>
      <c r="U1425" t="str">
        <f>IF(L1425="","",P1425/'[1]LOCH Calc COE Calc'!$C$28)</f>
        <v/>
      </c>
      <c r="V1425" t="str">
        <f>IF(L1425="","",Q1425/'[1]LOCH Calc COE Calc'!$C$28)</f>
        <v/>
      </c>
      <c r="W1425" t="str">
        <f>IF(L1425="","",R1425/'[1]LOCH Calc COE Calc'!$C$28)</f>
        <v/>
      </c>
    </row>
    <row r="1426" spans="12:23" x14ac:dyDescent="0.25">
      <c r="L1426" s="4" t="str">
        <f>IF('[1]All Data '!BE1431="","",'[1]All Data '!BE1431)</f>
        <v/>
      </c>
      <c r="M1426" t="str">
        <f>IF('[1]All Data '!BF1431="","",'[1]All Data '!BF1431)</f>
        <v/>
      </c>
      <c r="N1426" s="5" t="str">
        <f>IF('[1]All Data '!BB1431="","",'[1]All Data '!BC1431/'[1]All Data '!BH1431)</f>
        <v/>
      </c>
      <c r="O1426" s="5" t="str">
        <f t="shared" si="24"/>
        <v/>
      </c>
      <c r="P1426" s="5" t="str">
        <f>IF(M1426="","",$C$2*(1-L1426)*907.2/0.621371*N1426*[1]Transportation!$M$40)</f>
        <v/>
      </c>
      <c r="Q1426" s="5" t="str">
        <f>IF(L1426="","",IF([1]Inputs_Outputs!$B$5="Herbaceous",(LCA!$E$29*'[1]LOCH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6" s="5" t="str">
        <f>IF(M1426="","",$E$2*1000*'[1]LOCH Calc COE Calc'!$C$44)</f>
        <v/>
      </c>
      <c r="S1426" s="6" t="str">
        <f>IF(N1426="","",SUM(O1426:R1426)/('[1]LOCH Calc COE Calc'!$C$28))</f>
        <v/>
      </c>
      <c r="T1426" t="str">
        <f>IF(L1426="","",O1426/'[1]LOCH Calc COE Calc'!$C$28)</f>
        <v/>
      </c>
      <c r="U1426" t="str">
        <f>IF(L1426="","",P1426/'[1]LOCH Calc COE Calc'!$C$28)</f>
        <v/>
      </c>
      <c r="V1426" t="str">
        <f>IF(L1426="","",Q1426/'[1]LOCH Calc COE Calc'!$C$28)</f>
        <v/>
      </c>
      <c r="W1426" t="str">
        <f>IF(L1426="","",R1426/'[1]LOCH Calc COE Calc'!$C$28)</f>
        <v/>
      </c>
    </row>
    <row r="1427" spans="12:23" x14ac:dyDescent="0.25">
      <c r="L1427" s="4" t="str">
        <f>IF('[1]All Data '!BE1432="","",'[1]All Data '!BE1432)</f>
        <v/>
      </c>
      <c r="M1427" t="str">
        <f>IF('[1]All Data '!BF1432="","",'[1]All Data '!BF1432)</f>
        <v/>
      </c>
      <c r="N1427" s="5" t="str">
        <f>IF('[1]All Data '!BB1432="","",'[1]All Data '!BC1432/'[1]All Data '!BH1432)</f>
        <v/>
      </c>
      <c r="O1427" s="5" t="str">
        <f t="shared" si="24"/>
        <v/>
      </c>
      <c r="P1427" s="5" t="str">
        <f>IF(M1427="","",$C$2*(1-L1427)*907.2/0.621371*N1427*[1]Transportation!$M$40)</f>
        <v/>
      </c>
      <c r="Q1427" s="5" t="str">
        <f>IF(L1427="","",IF([1]Inputs_Outputs!$B$5="Herbaceous",(LCA!$E$29*'[1]LOCH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7" s="5" t="str">
        <f>IF(M1427="","",$E$2*1000*'[1]LOCH Calc COE Calc'!$C$44)</f>
        <v/>
      </c>
      <c r="S1427" s="6" t="str">
        <f>IF(N1427="","",SUM(O1427:R1427)/('[1]LOCH Calc COE Calc'!$C$28))</f>
        <v/>
      </c>
      <c r="T1427" t="str">
        <f>IF(L1427="","",O1427/'[1]LOCH Calc COE Calc'!$C$28)</f>
        <v/>
      </c>
      <c r="U1427" t="str">
        <f>IF(L1427="","",P1427/'[1]LOCH Calc COE Calc'!$C$28)</f>
        <v/>
      </c>
      <c r="V1427" t="str">
        <f>IF(L1427="","",Q1427/'[1]LOCH Calc COE Calc'!$C$28)</f>
        <v/>
      </c>
      <c r="W1427" t="str">
        <f>IF(L1427="","",R1427/'[1]LOCH Calc COE Calc'!$C$28)</f>
        <v/>
      </c>
    </row>
    <row r="1428" spans="12:23" x14ac:dyDescent="0.25">
      <c r="L1428" s="4" t="str">
        <f>IF('[1]All Data '!BE1433="","",'[1]All Data '!BE1433)</f>
        <v/>
      </c>
      <c r="M1428" t="str">
        <f>IF('[1]All Data '!BF1433="","",'[1]All Data '!BF1433)</f>
        <v/>
      </c>
      <c r="N1428" s="5" t="str">
        <f>IF('[1]All Data '!BB1433="","",'[1]All Data '!BC1433/'[1]All Data '!BH1433)</f>
        <v/>
      </c>
      <c r="O1428" s="5" t="str">
        <f t="shared" si="24"/>
        <v/>
      </c>
      <c r="P1428" s="5" t="str">
        <f>IF(M1428="","",$C$2*(1-L1428)*907.2/0.621371*N1428*[1]Transportation!$M$40)</f>
        <v/>
      </c>
      <c r="Q1428" s="5" t="str">
        <f>IF(L1428="","",IF([1]Inputs_Outputs!$B$5="Herbaceous",(LCA!$E$29*'[1]LOCH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8" s="5" t="str">
        <f>IF(M1428="","",$E$2*1000*'[1]LOCH Calc COE Calc'!$C$44)</f>
        <v/>
      </c>
      <c r="S1428" s="6" t="str">
        <f>IF(N1428="","",SUM(O1428:R1428)/('[1]LOCH Calc COE Calc'!$C$28))</f>
        <v/>
      </c>
      <c r="T1428" t="str">
        <f>IF(L1428="","",O1428/'[1]LOCH Calc COE Calc'!$C$28)</f>
        <v/>
      </c>
      <c r="U1428" t="str">
        <f>IF(L1428="","",P1428/'[1]LOCH Calc COE Calc'!$C$28)</f>
        <v/>
      </c>
      <c r="V1428" t="str">
        <f>IF(L1428="","",Q1428/'[1]LOCH Calc COE Calc'!$C$28)</f>
        <v/>
      </c>
      <c r="W1428" t="str">
        <f>IF(L1428="","",R1428/'[1]LOCH Calc COE Calc'!$C$28)</f>
        <v/>
      </c>
    </row>
    <row r="1429" spans="12:23" x14ac:dyDescent="0.25">
      <c r="L1429" s="4" t="str">
        <f>IF('[1]All Data '!BE1434="","",'[1]All Data '!BE1434)</f>
        <v/>
      </c>
      <c r="M1429" t="str">
        <f>IF('[1]All Data '!BF1434="","",'[1]All Data '!BF1434)</f>
        <v/>
      </c>
      <c r="N1429" s="5" t="str">
        <f>IF('[1]All Data '!BB1434="","",'[1]All Data '!BC1434/'[1]All Data '!BH1434)</f>
        <v/>
      </c>
      <c r="O1429" s="5" t="str">
        <f t="shared" si="24"/>
        <v/>
      </c>
      <c r="P1429" s="5" t="str">
        <f>IF(M1429="","",$C$2*(1-L1429)*907.2/0.621371*N1429*[1]Transportation!$M$40)</f>
        <v/>
      </c>
      <c r="Q1429" s="5" t="str">
        <f>IF(L1429="","",IF([1]Inputs_Outputs!$B$5="Herbaceous",(LCA!$E$29*'[1]LOCH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29" s="5" t="str">
        <f>IF(M1429="","",$E$2*1000*'[1]LOCH Calc COE Calc'!$C$44)</f>
        <v/>
      </c>
      <c r="S1429" s="6" t="str">
        <f>IF(N1429="","",SUM(O1429:R1429)/('[1]LOCH Calc COE Calc'!$C$28))</f>
        <v/>
      </c>
      <c r="T1429" t="str">
        <f>IF(L1429="","",O1429/'[1]LOCH Calc COE Calc'!$C$28)</f>
        <v/>
      </c>
      <c r="U1429" t="str">
        <f>IF(L1429="","",P1429/'[1]LOCH Calc COE Calc'!$C$28)</f>
        <v/>
      </c>
      <c r="V1429" t="str">
        <f>IF(L1429="","",Q1429/'[1]LOCH Calc COE Calc'!$C$28)</f>
        <v/>
      </c>
      <c r="W1429" t="str">
        <f>IF(L1429="","",R1429/'[1]LOCH Calc COE Calc'!$C$28)</f>
        <v/>
      </c>
    </row>
    <row r="1430" spans="12:23" x14ac:dyDescent="0.25">
      <c r="L1430" s="4" t="str">
        <f>IF('[1]All Data '!BE1435="","",'[1]All Data '!BE1435)</f>
        <v/>
      </c>
      <c r="M1430" t="str">
        <f>IF('[1]All Data '!BF1435="","",'[1]All Data '!BF1435)</f>
        <v/>
      </c>
      <c r="N1430" s="5" t="str">
        <f>IF('[1]All Data '!BB1435="","",'[1]All Data '!BC1435/'[1]All Data '!BH1435)</f>
        <v/>
      </c>
      <c r="O1430" s="5" t="str">
        <f t="shared" si="24"/>
        <v/>
      </c>
      <c r="P1430" s="5" t="str">
        <f>IF(M1430="","",$C$2*(1-L1430)*907.2/0.621371*N1430*[1]Transportation!$M$40)</f>
        <v/>
      </c>
      <c r="Q1430" s="5" t="str">
        <f>IF(L1430="","",IF([1]Inputs_Outputs!$B$5="Herbaceous",(LCA!$E$29*'[1]LOCH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0" s="5" t="str">
        <f>IF(M1430="","",$E$2*1000*'[1]LOCH Calc COE Calc'!$C$44)</f>
        <v/>
      </c>
      <c r="S1430" s="6" t="str">
        <f>IF(N1430="","",SUM(O1430:R1430)/('[1]LOCH Calc COE Calc'!$C$28))</f>
        <v/>
      </c>
      <c r="T1430" t="str">
        <f>IF(L1430="","",O1430/'[1]LOCH Calc COE Calc'!$C$28)</f>
        <v/>
      </c>
      <c r="U1430" t="str">
        <f>IF(L1430="","",P1430/'[1]LOCH Calc COE Calc'!$C$28)</f>
        <v/>
      </c>
      <c r="V1430" t="str">
        <f>IF(L1430="","",Q1430/'[1]LOCH Calc COE Calc'!$C$28)</f>
        <v/>
      </c>
      <c r="W1430" t="str">
        <f>IF(L1430="","",R1430/'[1]LOCH Calc COE Calc'!$C$28)</f>
        <v/>
      </c>
    </row>
    <row r="1431" spans="12:23" x14ac:dyDescent="0.25">
      <c r="L1431" s="4" t="str">
        <f>IF('[1]All Data '!BE1436="","",'[1]All Data '!BE1436)</f>
        <v/>
      </c>
      <c r="M1431" t="str">
        <f>IF('[1]All Data '!BF1436="","",'[1]All Data '!BF1436)</f>
        <v/>
      </c>
      <c r="N1431" s="5" t="str">
        <f>IF('[1]All Data '!BB1436="","",'[1]All Data '!BC1436/'[1]All Data '!BH1436)</f>
        <v/>
      </c>
      <c r="O1431" s="5" t="str">
        <f t="shared" si="24"/>
        <v/>
      </c>
      <c r="P1431" s="5" t="str">
        <f>IF(M1431="","",$C$2*(1-L1431)*907.2/0.621371*N1431*[1]Transportation!$M$40)</f>
        <v/>
      </c>
      <c r="Q1431" s="5" t="str">
        <f>IF(L1431="","",IF([1]Inputs_Outputs!$B$5="Herbaceous",(LCA!$E$29*'[1]LOCH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1" s="5" t="str">
        <f>IF(M1431="","",$E$2*1000*'[1]LOCH Calc COE Calc'!$C$44)</f>
        <v/>
      </c>
      <c r="S1431" s="6" t="str">
        <f>IF(N1431="","",SUM(O1431:R1431)/('[1]LOCH Calc COE Calc'!$C$28))</f>
        <v/>
      </c>
      <c r="T1431" t="str">
        <f>IF(L1431="","",O1431/'[1]LOCH Calc COE Calc'!$C$28)</f>
        <v/>
      </c>
      <c r="U1431" t="str">
        <f>IF(L1431="","",P1431/'[1]LOCH Calc COE Calc'!$C$28)</f>
        <v/>
      </c>
      <c r="V1431" t="str">
        <f>IF(L1431="","",Q1431/'[1]LOCH Calc COE Calc'!$C$28)</f>
        <v/>
      </c>
      <c r="W1431" t="str">
        <f>IF(L1431="","",R1431/'[1]LOCH Calc COE Calc'!$C$28)</f>
        <v/>
      </c>
    </row>
    <row r="1432" spans="12:23" x14ac:dyDescent="0.25">
      <c r="L1432" s="4" t="str">
        <f>IF('[1]All Data '!BE1437="","",'[1]All Data '!BE1437)</f>
        <v/>
      </c>
      <c r="M1432" t="str">
        <f>IF('[1]All Data '!BF1437="","",'[1]All Data '!BF1437)</f>
        <v/>
      </c>
      <c r="N1432" s="5" t="str">
        <f>IF('[1]All Data '!BB1437="","",'[1]All Data '!BC1437/'[1]All Data '!BH1437)</f>
        <v/>
      </c>
      <c r="O1432" s="5" t="str">
        <f t="shared" si="24"/>
        <v/>
      </c>
      <c r="P1432" s="5" t="str">
        <f>IF(M1432="","",$C$2*(1-L1432)*907.2/0.621371*N1432*[1]Transportation!$M$40)</f>
        <v/>
      </c>
      <c r="Q1432" s="5" t="str">
        <f>IF(L1432="","",IF([1]Inputs_Outputs!$B$5="Herbaceous",(LCA!$E$29*'[1]LOCH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2" s="5" t="str">
        <f>IF(M1432="","",$E$2*1000*'[1]LOCH Calc COE Calc'!$C$44)</f>
        <v/>
      </c>
      <c r="S1432" s="6" t="str">
        <f>IF(N1432="","",SUM(O1432:R1432)/('[1]LOCH Calc COE Calc'!$C$28))</f>
        <v/>
      </c>
      <c r="T1432" t="str">
        <f>IF(L1432="","",O1432/'[1]LOCH Calc COE Calc'!$C$28)</f>
        <v/>
      </c>
      <c r="U1432" t="str">
        <f>IF(L1432="","",P1432/'[1]LOCH Calc COE Calc'!$C$28)</f>
        <v/>
      </c>
      <c r="V1432" t="str">
        <f>IF(L1432="","",Q1432/'[1]LOCH Calc COE Calc'!$C$28)</f>
        <v/>
      </c>
      <c r="W1432" t="str">
        <f>IF(L1432="","",R1432/'[1]LOCH Calc COE Calc'!$C$28)</f>
        <v/>
      </c>
    </row>
    <row r="1433" spans="12:23" x14ac:dyDescent="0.25">
      <c r="L1433" s="4" t="str">
        <f>IF('[1]All Data '!BE1438="","",'[1]All Data '!BE1438)</f>
        <v/>
      </c>
      <c r="M1433" t="str">
        <f>IF('[1]All Data '!BF1438="","",'[1]All Data '!BF1438)</f>
        <v/>
      </c>
      <c r="N1433" s="5" t="str">
        <f>IF('[1]All Data '!BB1438="","",'[1]All Data '!BC1438/'[1]All Data '!BH1438)</f>
        <v/>
      </c>
      <c r="O1433" s="5" t="str">
        <f t="shared" si="24"/>
        <v/>
      </c>
      <c r="P1433" s="5" t="str">
        <f>IF(M1433="","",$C$2*(1-L1433)*907.2/0.621371*N1433*[1]Transportation!$M$40)</f>
        <v/>
      </c>
      <c r="Q1433" s="5" t="str">
        <f>IF(L1433="","",IF([1]Inputs_Outputs!$B$5="Herbaceous",(LCA!$E$29*'[1]LOCH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3" s="5" t="str">
        <f>IF(M1433="","",$E$2*1000*'[1]LOCH Calc COE Calc'!$C$44)</f>
        <v/>
      </c>
      <c r="S1433" s="6" t="str">
        <f>IF(N1433="","",SUM(O1433:R1433)/('[1]LOCH Calc COE Calc'!$C$28))</f>
        <v/>
      </c>
      <c r="T1433" t="str">
        <f>IF(L1433="","",O1433/'[1]LOCH Calc COE Calc'!$C$28)</f>
        <v/>
      </c>
      <c r="U1433" t="str">
        <f>IF(L1433="","",P1433/'[1]LOCH Calc COE Calc'!$C$28)</f>
        <v/>
      </c>
      <c r="V1433" t="str">
        <f>IF(L1433="","",Q1433/'[1]LOCH Calc COE Calc'!$C$28)</f>
        <v/>
      </c>
      <c r="W1433" t="str">
        <f>IF(L1433="","",R1433/'[1]LOCH Calc COE Calc'!$C$28)</f>
        <v/>
      </c>
    </row>
    <row r="1434" spans="12:23" x14ac:dyDescent="0.25">
      <c r="L1434" s="4" t="str">
        <f>IF('[1]All Data '!BE1439="","",'[1]All Data '!BE1439)</f>
        <v/>
      </c>
      <c r="M1434" t="str">
        <f>IF('[1]All Data '!BF1439="","",'[1]All Data '!BF1439)</f>
        <v/>
      </c>
      <c r="N1434" s="5" t="str">
        <f>IF('[1]All Data '!BB1439="","",'[1]All Data '!BC1439/'[1]All Data '!BH1439)</f>
        <v/>
      </c>
      <c r="O1434" s="5" t="str">
        <f t="shared" si="24"/>
        <v/>
      </c>
      <c r="P1434" s="5" t="str">
        <f>IF(M1434="","",$C$2*(1-L1434)*907.2/0.621371*N1434*[1]Transportation!$M$40)</f>
        <v/>
      </c>
      <c r="Q1434" s="5" t="str">
        <f>IF(L1434="","",IF([1]Inputs_Outputs!$B$5="Herbaceous",(LCA!$E$29*'[1]LOCH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4" s="5" t="str">
        <f>IF(M1434="","",$E$2*1000*'[1]LOCH Calc COE Calc'!$C$44)</f>
        <v/>
      </c>
      <c r="S1434" s="6" t="str">
        <f>IF(N1434="","",SUM(O1434:R1434)/('[1]LOCH Calc COE Calc'!$C$28))</f>
        <v/>
      </c>
      <c r="T1434" t="str">
        <f>IF(L1434="","",O1434/'[1]LOCH Calc COE Calc'!$C$28)</f>
        <v/>
      </c>
      <c r="U1434" t="str">
        <f>IF(L1434="","",P1434/'[1]LOCH Calc COE Calc'!$C$28)</f>
        <v/>
      </c>
      <c r="V1434" t="str">
        <f>IF(L1434="","",Q1434/'[1]LOCH Calc COE Calc'!$C$28)</f>
        <v/>
      </c>
      <c r="W1434" t="str">
        <f>IF(L1434="","",R1434/'[1]LOCH Calc COE Calc'!$C$28)</f>
        <v/>
      </c>
    </row>
    <row r="1435" spans="12:23" x14ac:dyDescent="0.25">
      <c r="L1435" s="4" t="str">
        <f>IF('[1]All Data '!BE1440="","",'[1]All Data '!BE1440)</f>
        <v/>
      </c>
      <c r="M1435" t="str">
        <f>IF('[1]All Data '!BF1440="","",'[1]All Data '!BF1440)</f>
        <v/>
      </c>
      <c r="N1435" s="5" t="str">
        <f>IF('[1]All Data '!BB1440="","",'[1]All Data '!BC1440/'[1]All Data '!BH1440)</f>
        <v/>
      </c>
      <c r="O1435" s="5" t="str">
        <f t="shared" si="24"/>
        <v/>
      </c>
      <c r="P1435" s="5" t="str">
        <f>IF(M1435="","",$C$2*(1-L1435)*907.2/0.621371*N1435*[1]Transportation!$M$40)</f>
        <v/>
      </c>
      <c r="Q1435" s="5" t="str">
        <f>IF(L1435="","",IF([1]Inputs_Outputs!$B$5="Herbaceous",(LCA!$E$29*'[1]LOCH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5" s="5" t="str">
        <f>IF(M1435="","",$E$2*1000*'[1]LOCH Calc COE Calc'!$C$44)</f>
        <v/>
      </c>
      <c r="S1435" s="6" t="str">
        <f>IF(N1435="","",SUM(O1435:R1435)/('[1]LOCH Calc COE Calc'!$C$28))</f>
        <v/>
      </c>
      <c r="T1435" t="str">
        <f>IF(L1435="","",O1435/'[1]LOCH Calc COE Calc'!$C$28)</f>
        <v/>
      </c>
      <c r="U1435" t="str">
        <f>IF(L1435="","",P1435/'[1]LOCH Calc COE Calc'!$C$28)</f>
        <v/>
      </c>
      <c r="V1435" t="str">
        <f>IF(L1435="","",Q1435/'[1]LOCH Calc COE Calc'!$C$28)</f>
        <v/>
      </c>
      <c r="W1435" t="str">
        <f>IF(L1435="","",R1435/'[1]LOCH Calc COE Calc'!$C$28)</f>
        <v/>
      </c>
    </row>
    <row r="1436" spans="12:23" x14ac:dyDescent="0.25">
      <c r="L1436" s="4" t="str">
        <f>IF('[1]All Data '!BE1441="","",'[1]All Data '!BE1441)</f>
        <v/>
      </c>
      <c r="M1436" t="str">
        <f>IF('[1]All Data '!BF1441="","",'[1]All Data '!BF1441)</f>
        <v/>
      </c>
      <c r="N1436" s="5" t="str">
        <f>IF('[1]All Data '!BB1441="","",'[1]All Data '!BC1441/'[1]All Data '!BH1441)</f>
        <v/>
      </c>
      <c r="O1436" s="5" t="str">
        <f t="shared" si="24"/>
        <v/>
      </c>
      <c r="P1436" s="5" t="str">
        <f>IF(M1436="","",$C$2*(1-L1436)*907.2/0.621371*N1436*[1]Transportation!$M$40)</f>
        <v/>
      </c>
      <c r="Q1436" s="5" t="str">
        <f>IF(L1436="","",IF([1]Inputs_Outputs!$B$5="Herbaceous",(LCA!$E$29*'[1]LOCH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6" s="5" t="str">
        <f>IF(M1436="","",$E$2*1000*'[1]LOCH Calc COE Calc'!$C$44)</f>
        <v/>
      </c>
      <c r="S1436" s="6" t="str">
        <f>IF(N1436="","",SUM(O1436:R1436)/('[1]LOCH Calc COE Calc'!$C$28))</f>
        <v/>
      </c>
      <c r="T1436" t="str">
        <f>IF(L1436="","",O1436/'[1]LOCH Calc COE Calc'!$C$28)</f>
        <v/>
      </c>
      <c r="U1436" t="str">
        <f>IF(L1436="","",P1436/'[1]LOCH Calc COE Calc'!$C$28)</f>
        <v/>
      </c>
      <c r="V1436" t="str">
        <f>IF(L1436="","",Q1436/'[1]LOCH Calc COE Calc'!$C$28)</f>
        <v/>
      </c>
      <c r="W1436" t="str">
        <f>IF(L1436="","",R1436/'[1]LOCH Calc COE Calc'!$C$28)</f>
        <v/>
      </c>
    </row>
    <row r="1437" spans="12:23" x14ac:dyDescent="0.25">
      <c r="L1437" s="4" t="str">
        <f>IF('[1]All Data '!BE1442="","",'[1]All Data '!BE1442)</f>
        <v/>
      </c>
      <c r="M1437" t="str">
        <f>IF('[1]All Data '!BF1442="","",'[1]All Data '!BF1442)</f>
        <v/>
      </c>
      <c r="N1437" s="5" t="str">
        <f>IF('[1]All Data '!BB1442="","",'[1]All Data '!BC1442/'[1]All Data '!BH1442)</f>
        <v/>
      </c>
      <c r="O1437" s="5" t="str">
        <f t="shared" si="24"/>
        <v/>
      </c>
      <c r="P1437" s="5" t="str">
        <f>IF(M1437="","",$C$2*(1-L1437)*907.2/0.621371*N1437*[1]Transportation!$M$40)</f>
        <v/>
      </c>
      <c r="Q1437" s="5" t="str">
        <f>IF(L1437="","",IF([1]Inputs_Outputs!$B$5="Herbaceous",(LCA!$E$29*'[1]LOCH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7" s="5" t="str">
        <f>IF(M1437="","",$E$2*1000*'[1]LOCH Calc COE Calc'!$C$44)</f>
        <v/>
      </c>
      <c r="S1437" s="6" t="str">
        <f>IF(N1437="","",SUM(O1437:R1437)/('[1]LOCH Calc COE Calc'!$C$28))</f>
        <v/>
      </c>
      <c r="T1437" t="str">
        <f>IF(L1437="","",O1437/'[1]LOCH Calc COE Calc'!$C$28)</f>
        <v/>
      </c>
      <c r="U1437" t="str">
        <f>IF(L1437="","",P1437/'[1]LOCH Calc COE Calc'!$C$28)</f>
        <v/>
      </c>
      <c r="V1437" t="str">
        <f>IF(L1437="","",Q1437/'[1]LOCH Calc COE Calc'!$C$28)</f>
        <v/>
      </c>
      <c r="W1437" t="str">
        <f>IF(L1437="","",R1437/'[1]LOCH Calc COE Calc'!$C$28)</f>
        <v/>
      </c>
    </row>
    <row r="1438" spans="12:23" x14ac:dyDescent="0.25">
      <c r="L1438" s="4" t="str">
        <f>IF('[1]All Data '!BE1443="","",'[1]All Data '!BE1443)</f>
        <v/>
      </c>
      <c r="M1438" t="str">
        <f>IF('[1]All Data '!BF1443="","",'[1]All Data '!BF1443)</f>
        <v/>
      </c>
      <c r="N1438" s="5" t="str">
        <f>IF('[1]All Data '!BB1443="","",'[1]All Data '!BC1443/'[1]All Data '!BH1443)</f>
        <v/>
      </c>
      <c r="O1438" s="5" t="str">
        <f t="shared" si="24"/>
        <v/>
      </c>
      <c r="P1438" s="5" t="str">
        <f>IF(M1438="","",$C$2*(1-L1438)*907.2/0.621371*N1438*[1]Transportation!$M$40)</f>
        <v/>
      </c>
      <c r="Q1438" s="5" t="str">
        <f>IF(L1438="","",IF([1]Inputs_Outputs!$B$5="Herbaceous",(LCA!$E$29*'[1]LOCH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8" s="5" t="str">
        <f>IF(M1438="","",$E$2*1000*'[1]LOCH Calc COE Calc'!$C$44)</f>
        <v/>
      </c>
      <c r="S1438" s="6" t="str">
        <f>IF(N1438="","",SUM(O1438:R1438)/('[1]LOCH Calc COE Calc'!$C$28))</f>
        <v/>
      </c>
      <c r="T1438" t="str">
        <f>IF(L1438="","",O1438/'[1]LOCH Calc COE Calc'!$C$28)</f>
        <v/>
      </c>
      <c r="U1438" t="str">
        <f>IF(L1438="","",P1438/'[1]LOCH Calc COE Calc'!$C$28)</f>
        <v/>
      </c>
      <c r="V1438" t="str">
        <f>IF(L1438="","",Q1438/'[1]LOCH Calc COE Calc'!$C$28)</f>
        <v/>
      </c>
      <c r="W1438" t="str">
        <f>IF(L1438="","",R1438/'[1]LOCH Calc COE Calc'!$C$28)</f>
        <v/>
      </c>
    </row>
    <row r="1439" spans="12:23" x14ac:dyDescent="0.25">
      <c r="L1439" s="4" t="str">
        <f>IF('[1]All Data '!BE1444="","",'[1]All Data '!BE1444)</f>
        <v/>
      </c>
      <c r="M1439" t="str">
        <f>IF('[1]All Data '!BF1444="","",'[1]All Data '!BF1444)</f>
        <v/>
      </c>
      <c r="N1439" s="5" t="str">
        <f>IF('[1]All Data '!BB1444="","",'[1]All Data '!BC1444/'[1]All Data '!BH1444)</f>
        <v/>
      </c>
      <c r="O1439" s="5" t="str">
        <f t="shared" si="24"/>
        <v/>
      </c>
      <c r="P1439" s="5" t="str">
        <f>IF(M1439="","",$C$2*(1-L1439)*907.2/0.621371*N1439*[1]Transportation!$M$40)</f>
        <v/>
      </c>
      <c r="Q1439" s="5" t="str">
        <f>IF(L1439="","",IF([1]Inputs_Outputs!$B$5="Herbaceous",(LCA!$E$29*'[1]LOCH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39" s="5" t="str">
        <f>IF(M1439="","",$E$2*1000*'[1]LOCH Calc COE Calc'!$C$44)</f>
        <v/>
      </c>
      <c r="S1439" s="6" t="str">
        <f>IF(N1439="","",SUM(O1439:R1439)/('[1]LOCH Calc COE Calc'!$C$28))</f>
        <v/>
      </c>
      <c r="T1439" t="str">
        <f>IF(L1439="","",O1439/'[1]LOCH Calc COE Calc'!$C$28)</f>
        <v/>
      </c>
      <c r="U1439" t="str">
        <f>IF(L1439="","",P1439/'[1]LOCH Calc COE Calc'!$C$28)</f>
        <v/>
      </c>
      <c r="V1439" t="str">
        <f>IF(L1439="","",Q1439/'[1]LOCH Calc COE Calc'!$C$28)</f>
        <v/>
      </c>
      <c r="W1439" t="str">
        <f>IF(L1439="","",R1439/'[1]LOCH Calc COE Calc'!$C$28)</f>
        <v/>
      </c>
    </row>
    <row r="1440" spans="12:23" x14ac:dyDescent="0.25">
      <c r="L1440" s="4" t="str">
        <f>IF('[1]All Data '!BE1445="","",'[1]All Data '!BE1445)</f>
        <v/>
      </c>
      <c r="M1440" t="str">
        <f>IF('[1]All Data '!BF1445="","",'[1]All Data '!BF1445)</f>
        <v/>
      </c>
      <c r="N1440" s="5" t="str">
        <f>IF('[1]All Data '!BB1445="","",'[1]All Data '!BC1445/'[1]All Data '!BH1445)</f>
        <v/>
      </c>
      <c r="O1440" s="5" t="str">
        <f t="shared" si="24"/>
        <v/>
      </c>
      <c r="P1440" s="5" t="str">
        <f>IF(M1440="","",$C$2*(1-L1440)*907.2/0.621371*N1440*[1]Transportation!$M$40)</f>
        <v/>
      </c>
      <c r="Q1440" s="5" t="str">
        <f>IF(L1440="","",IF([1]Inputs_Outputs!$B$5="Herbaceous",(LCA!$E$29*'[1]LOCH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0" s="5" t="str">
        <f>IF(M1440="","",$E$2*1000*'[1]LOCH Calc COE Calc'!$C$44)</f>
        <v/>
      </c>
      <c r="S1440" s="6" t="str">
        <f>IF(N1440="","",SUM(O1440:R1440)/('[1]LOCH Calc COE Calc'!$C$28))</f>
        <v/>
      </c>
      <c r="T1440" t="str">
        <f>IF(L1440="","",O1440/'[1]LOCH Calc COE Calc'!$C$28)</f>
        <v/>
      </c>
      <c r="U1440" t="str">
        <f>IF(L1440="","",P1440/'[1]LOCH Calc COE Calc'!$C$28)</f>
        <v/>
      </c>
      <c r="V1440" t="str">
        <f>IF(L1440="","",Q1440/'[1]LOCH Calc COE Calc'!$C$28)</f>
        <v/>
      </c>
      <c r="W1440" t="str">
        <f>IF(L1440="","",R1440/'[1]LOCH Calc COE Calc'!$C$28)</f>
        <v/>
      </c>
    </row>
    <row r="1441" spans="12:23" x14ac:dyDescent="0.25">
      <c r="L1441" s="4" t="str">
        <f>IF('[1]All Data '!BE1446="","",'[1]All Data '!BE1446)</f>
        <v/>
      </c>
      <c r="M1441" t="str">
        <f>IF('[1]All Data '!BF1446="","",'[1]All Data '!BF1446)</f>
        <v/>
      </c>
      <c r="N1441" s="5" t="str">
        <f>IF('[1]All Data '!BB1446="","",'[1]All Data '!BC1446/'[1]All Data '!BH1446)</f>
        <v/>
      </c>
      <c r="O1441" s="5" t="str">
        <f t="shared" si="24"/>
        <v/>
      </c>
      <c r="P1441" s="5" t="str">
        <f>IF(M1441="","",$C$2*(1-L1441)*907.2/0.621371*N1441*[1]Transportation!$M$40)</f>
        <v/>
      </c>
      <c r="Q1441" s="5" t="str">
        <f>IF(L1441="","",IF([1]Inputs_Outputs!$B$5="Herbaceous",(LCA!$E$29*'[1]LOCH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1" s="5" t="str">
        <f>IF(M1441="","",$E$2*1000*'[1]LOCH Calc COE Calc'!$C$44)</f>
        <v/>
      </c>
      <c r="S1441" s="6" t="str">
        <f>IF(N1441="","",SUM(O1441:R1441)/('[1]LOCH Calc COE Calc'!$C$28))</f>
        <v/>
      </c>
      <c r="T1441" t="str">
        <f>IF(L1441="","",O1441/'[1]LOCH Calc COE Calc'!$C$28)</f>
        <v/>
      </c>
      <c r="U1441" t="str">
        <f>IF(L1441="","",P1441/'[1]LOCH Calc COE Calc'!$C$28)</f>
        <v/>
      </c>
      <c r="V1441" t="str">
        <f>IF(L1441="","",Q1441/'[1]LOCH Calc COE Calc'!$C$28)</f>
        <v/>
      </c>
      <c r="W1441" t="str">
        <f>IF(L1441="","",R1441/'[1]LOCH Calc COE Calc'!$C$28)</f>
        <v/>
      </c>
    </row>
    <row r="1442" spans="12:23" x14ac:dyDescent="0.25">
      <c r="L1442" s="4" t="str">
        <f>IF('[1]All Data '!BE1447="","",'[1]All Data '!BE1447)</f>
        <v/>
      </c>
      <c r="M1442" t="str">
        <f>IF('[1]All Data '!BF1447="","",'[1]All Data '!BF1447)</f>
        <v/>
      </c>
      <c r="N1442" s="5" t="str">
        <f>IF('[1]All Data '!BB1447="","",'[1]All Data '!BC1447/'[1]All Data '!BH1447)</f>
        <v/>
      </c>
      <c r="O1442" s="5" t="str">
        <f t="shared" si="24"/>
        <v/>
      </c>
      <c r="P1442" s="5" t="str">
        <f>IF(M1442="","",$C$2*(1-L1442)*907.2/0.621371*N1442*[1]Transportation!$M$40)</f>
        <v/>
      </c>
      <c r="Q1442" s="5" t="str">
        <f>IF(L1442="","",IF([1]Inputs_Outputs!$B$5="Herbaceous",(LCA!$E$29*'[1]LOCH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2" s="5" t="str">
        <f>IF(M1442="","",$E$2*1000*'[1]LOCH Calc COE Calc'!$C$44)</f>
        <v/>
      </c>
      <c r="S1442" s="6" t="str">
        <f>IF(N1442="","",SUM(O1442:R1442)/('[1]LOCH Calc COE Calc'!$C$28))</f>
        <v/>
      </c>
      <c r="T1442" t="str">
        <f>IF(L1442="","",O1442/'[1]LOCH Calc COE Calc'!$C$28)</f>
        <v/>
      </c>
      <c r="U1442" t="str">
        <f>IF(L1442="","",P1442/'[1]LOCH Calc COE Calc'!$C$28)</f>
        <v/>
      </c>
      <c r="V1442" t="str">
        <f>IF(L1442="","",Q1442/'[1]LOCH Calc COE Calc'!$C$28)</f>
        <v/>
      </c>
      <c r="W1442" t="str">
        <f>IF(L1442="","",R1442/'[1]LOCH Calc COE Calc'!$C$28)</f>
        <v/>
      </c>
    </row>
    <row r="1443" spans="12:23" x14ac:dyDescent="0.25">
      <c r="L1443" s="4" t="str">
        <f>IF('[1]All Data '!BE1448="","",'[1]All Data '!BE1448)</f>
        <v/>
      </c>
      <c r="M1443" t="str">
        <f>IF('[1]All Data '!BF1448="","",'[1]All Data '!BF1448)</f>
        <v/>
      </c>
      <c r="N1443" s="5" t="str">
        <f>IF('[1]All Data '!BB1448="","",'[1]All Data '!BC1448/'[1]All Data '!BH1448)</f>
        <v/>
      </c>
      <c r="O1443" s="5" t="str">
        <f t="shared" si="24"/>
        <v/>
      </c>
      <c r="P1443" s="5" t="str">
        <f>IF(M1443="","",$C$2*(1-L1443)*907.2/0.621371*N1443*[1]Transportation!$M$40)</f>
        <v/>
      </c>
      <c r="Q1443" s="5" t="str">
        <f>IF(L1443="","",IF([1]Inputs_Outputs!$B$5="Herbaceous",(LCA!$E$29*'[1]LOCH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3" s="5" t="str">
        <f>IF(M1443="","",$E$2*1000*'[1]LOCH Calc COE Calc'!$C$44)</f>
        <v/>
      </c>
      <c r="S1443" s="6" t="str">
        <f>IF(N1443="","",SUM(O1443:R1443)/('[1]LOCH Calc COE Calc'!$C$28))</f>
        <v/>
      </c>
      <c r="T1443" t="str">
        <f>IF(L1443="","",O1443/'[1]LOCH Calc COE Calc'!$C$28)</f>
        <v/>
      </c>
      <c r="U1443" t="str">
        <f>IF(L1443="","",P1443/'[1]LOCH Calc COE Calc'!$C$28)</f>
        <v/>
      </c>
      <c r="V1443" t="str">
        <f>IF(L1443="","",Q1443/'[1]LOCH Calc COE Calc'!$C$28)</f>
        <v/>
      </c>
      <c r="W1443" t="str">
        <f>IF(L1443="","",R1443/'[1]LOCH Calc COE Calc'!$C$28)</f>
        <v/>
      </c>
    </row>
    <row r="1444" spans="12:23" x14ac:dyDescent="0.25">
      <c r="L1444" s="4" t="str">
        <f>IF('[1]All Data '!BE1449="","",'[1]All Data '!BE1449)</f>
        <v/>
      </c>
      <c r="M1444" t="str">
        <f>IF('[1]All Data '!BF1449="","",'[1]All Data '!BF1449)</f>
        <v/>
      </c>
      <c r="N1444" s="5" t="str">
        <f>IF('[1]All Data '!BB1449="","",'[1]All Data '!BC1449/'[1]All Data '!BH1449)</f>
        <v/>
      </c>
      <c r="O1444" s="5" t="str">
        <f t="shared" si="24"/>
        <v/>
      </c>
      <c r="P1444" s="5" t="str">
        <f>IF(M1444="","",$C$2*(1-L1444)*907.2/0.621371*N1444*[1]Transportation!$M$40)</f>
        <v/>
      </c>
      <c r="Q1444" s="5" t="str">
        <f>IF(L1444="","",IF([1]Inputs_Outputs!$B$5="Herbaceous",(LCA!$E$29*'[1]LOCH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4" s="5" t="str">
        <f>IF(M1444="","",$E$2*1000*'[1]LOCH Calc COE Calc'!$C$44)</f>
        <v/>
      </c>
      <c r="S1444" s="6" t="str">
        <f>IF(N1444="","",SUM(O1444:R1444)/('[1]LOCH Calc COE Calc'!$C$28))</f>
        <v/>
      </c>
      <c r="T1444" t="str">
        <f>IF(L1444="","",O1444/'[1]LOCH Calc COE Calc'!$C$28)</f>
        <v/>
      </c>
      <c r="U1444" t="str">
        <f>IF(L1444="","",P1444/'[1]LOCH Calc COE Calc'!$C$28)</f>
        <v/>
      </c>
      <c r="V1444" t="str">
        <f>IF(L1444="","",Q1444/'[1]LOCH Calc COE Calc'!$C$28)</f>
        <v/>
      </c>
      <c r="W1444" t="str">
        <f>IF(L1444="","",R1444/'[1]LOCH Calc COE Calc'!$C$28)</f>
        <v/>
      </c>
    </row>
    <row r="1445" spans="12:23" x14ac:dyDescent="0.25">
      <c r="L1445" s="4" t="str">
        <f>IF('[1]All Data '!BE1450="","",'[1]All Data '!BE1450)</f>
        <v/>
      </c>
      <c r="M1445" t="str">
        <f>IF('[1]All Data '!BF1450="","",'[1]All Data '!BF1450)</f>
        <v/>
      </c>
      <c r="N1445" s="5" t="str">
        <f>IF('[1]All Data '!BB1450="","",'[1]All Data '!BC1450/'[1]All Data '!BH1450)</f>
        <v/>
      </c>
      <c r="O1445" s="5" t="str">
        <f t="shared" si="24"/>
        <v/>
      </c>
      <c r="P1445" s="5" t="str">
        <f>IF(M1445="","",$C$2*(1-L1445)*907.2/0.621371*N1445*[1]Transportation!$M$40)</f>
        <v/>
      </c>
      <c r="Q1445" s="5" t="str">
        <f>IF(L1445="","",IF([1]Inputs_Outputs!$B$5="Herbaceous",(LCA!$E$29*'[1]LOCH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5" s="5" t="str">
        <f>IF(M1445="","",$E$2*1000*'[1]LOCH Calc COE Calc'!$C$44)</f>
        <v/>
      </c>
      <c r="S1445" s="6" t="str">
        <f>IF(N1445="","",SUM(O1445:R1445)/('[1]LOCH Calc COE Calc'!$C$28))</f>
        <v/>
      </c>
      <c r="T1445" t="str">
        <f>IF(L1445="","",O1445/'[1]LOCH Calc COE Calc'!$C$28)</f>
        <v/>
      </c>
      <c r="U1445" t="str">
        <f>IF(L1445="","",P1445/'[1]LOCH Calc COE Calc'!$C$28)</f>
        <v/>
      </c>
      <c r="V1445" t="str">
        <f>IF(L1445="","",Q1445/'[1]LOCH Calc COE Calc'!$C$28)</f>
        <v/>
      </c>
      <c r="W1445" t="str">
        <f>IF(L1445="","",R1445/'[1]LOCH Calc COE Calc'!$C$28)</f>
        <v/>
      </c>
    </row>
    <row r="1446" spans="12:23" x14ac:dyDescent="0.25">
      <c r="L1446" s="4" t="str">
        <f>IF('[1]All Data '!BE1451="","",'[1]All Data '!BE1451)</f>
        <v/>
      </c>
      <c r="M1446" t="str">
        <f>IF('[1]All Data '!BF1451="","",'[1]All Data '!BF1451)</f>
        <v/>
      </c>
      <c r="N1446" s="5" t="str">
        <f>IF('[1]All Data '!BB1451="","",'[1]All Data '!BC1451/'[1]All Data '!BH1451)</f>
        <v/>
      </c>
      <c r="O1446" s="5" t="str">
        <f t="shared" si="24"/>
        <v/>
      </c>
      <c r="P1446" s="5" t="str">
        <f>IF(M1446="","",$C$2*(1-L1446)*907.2/0.621371*N1446*[1]Transportation!$M$40)</f>
        <v/>
      </c>
      <c r="Q1446" s="5" t="str">
        <f>IF(L1446="","",IF([1]Inputs_Outputs!$B$5="Herbaceous",(LCA!$E$29*'[1]LOCH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6" s="5" t="str">
        <f>IF(M1446="","",$E$2*1000*'[1]LOCH Calc COE Calc'!$C$44)</f>
        <v/>
      </c>
      <c r="S1446" s="6" t="str">
        <f>IF(N1446="","",SUM(O1446:R1446)/('[1]LOCH Calc COE Calc'!$C$28))</f>
        <v/>
      </c>
      <c r="T1446" t="str">
        <f>IF(L1446="","",O1446/'[1]LOCH Calc COE Calc'!$C$28)</f>
        <v/>
      </c>
      <c r="U1446" t="str">
        <f>IF(L1446="","",P1446/'[1]LOCH Calc COE Calc'!$C$28)</f>
        <v/>
      </c>
      <c r="V1446" t="str">
        <f>IF(L1446="","",Q1446/'[1]LOCH Calc COE Calc'!$C$28)</f>
        <v/>
      </c>
      <c r="W1446" t="str">
        <f>IF(L1446="","",R1446/'[1]LOCH Calc COE Calc'!$C$28)</f>
        <v/>
      </c>
    </row>
    <row r="1447" spans="12:23" x14ac:dyDescent="0.25">
      <c r="L1447" s="4" t="str">
        <f>IF('[1]All Data '!BE1452="","",'[1]All Data '!BE1452)</f>
        <v/>
      </c>
      <c r="M1447" t="str">
        <f>IF('[1]All Data '!BF1452="","",'[1]All Data '!BF1452)</f>
        <v/>
      </c>
      <c r="N1447" s="5" t="str">
        <f>IF('[1]All Data '!BB1452="","",'[1]All Data '!BC1452/'[1]All Data '!BH1452)</f>
        <v/>
      </c>
      <c r="O1447" s="5" t="str">
        <f t="shared" si="24"/>
        <v/>
      </c>
      <c r="P1447" s="5" t="str">
        <f>IF(M1447="","",$C$2*(1-L1447)*907.2/0.621371*N1447*[1]Transportation!$M$40)</f>
        <v/>
      </c>
      <c r="Q1447" s="5" t="str">
        <f>IF(L1447="","",IF([1]Inputs_Outputs!$B$5="Herbaceous",(LCA!$E$29*'[1]LOCH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7" s="5" t="str">
        <f>IF(M1447="","",$E$2*1000*'[1]LOCH Calc COE Calc'!$C$44)</f>
        <v/>
      </c>
      <c r="S1447" s="6" t="str">
        <f>IF(N1447="","",SUM(O1447:R1447)/('[1]LOCH Calc COE Calc'!$C$28))</f>
        <v/>
      </c>
      <c r="T1447" t="str">
        <f>IF(L1447="","",O1447/'[1]LOCH Calc COE Calc'!$C$28)</f>
        <v/>
      </c>
      <c r="U1447" t="str">
        <f>IF(L1447="","",P1447/'[1]LOCH Calc COE Calc'!$C$28)</f>
        <v/>
      </c>
      <c r="V1447" t="str">
        <f>IF(L1447="","",Q1447/'[1]LOCH Calc COE Calc'!$C$28)</f>
        <v/>
      </c>
      <c r="W1447" t="str">
        <f>IF(L1447="","",R1447/'[1]LOCH Calc COE Calc'!$C$28)</f>
        <v/>
      </c>
    </row>
    <row r="1448" spans="12:23" x14ac:dyDescent="0.25">
      <c r="L1448" s="4" t="str">
        <f>IF('[1]All Data '!BE1453="","",'[1]All Data '!BE1453)</f>
        <v/>
      </c>
      <c r="M1448" t="str">
        <f>IF('[1]All Data '!BF1453="","",'[1]All Data '!BF1453)</f>
        <v/>
      </c>
      <c r="N1448" s="5" t="str">
        <f>IF('[1]All Data '!BB1453="","",'[1]All Data '!BC1453/'[1]All Data '!BH1453)</f>
        <v/>
      </c>
      <c r="O1448" s="5" t="str">
        <f t="shared" si="24"/>
        <v/>
      </c>
      <c r="P1448" s="5" t="str">
        <f>IF(M1448="","",$C$2*(1-L1448)*907.2/0.621371*N1448*[1]Transportation!$M$40)</f>
        <v/>
      </c>
      <c r="Q1448" s="5" t="str">
        <f>IF(L1448="","",IF([1]Inputs_Outputs!$B$5="Herbaceous",(LCA!$E$29*'[1]LOCH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8" s="5" t="str">
        <f>IF(M1448="","",$E$2*1000*'[1]LOCH Calc COE Calc'!$C$44)</f>
        <v/>
      </c>
      <c r="S1448" s="6" t="str">
        <f>IF(N1448="","",SUM(O1448:R1448)/('[1]LOCH Calc COE Calc'!$C$28))</f>
        <v/>
      </c>
      <c r="T1448" t="str">
        <f>IF(L1448="","",O1448/'[1]LOCH Calc COE Calc'!$C$28)</f>
        <v/>
      </c>
      <c r="U1448" t="str">
        <f>IF(L1448="","",P1448/'[1]LOCH Calc COE Calc'!$C$28)</f>
        <v/>
      </c>
      <c r="V1448" t="str">
        <f>IF(L1448="","",Q1448/'[1]LOCH Calc COE Calc'!$C$28)</f>
        <v/>
      </c>
      <c r="W1448" t="str">
        <f>IF(L1448="","",R1448/'[1]LOCH Calc COE Calc'!$C$28)</f>
        <v/>
      </c>
    </row>
    <row r="1449" spans="12:23" x14ac:dyDescent="0.25">
      <c r="L1449" s="4" t="str">
        <f>IF('[1]All Data '!BE1454="","",'[1]All Data '!BE1454)</f>
        <v/>
      </c>
      <c r="M1449" t="str">
        <f>IF('[1]All Data '!BF1454="","",'[1]All Data '!BF1454)</f>
        <v/>
      </c>
      <c r="N1449" s="5" t="str">
        <f>IF('[1]All Data '!BB1454="","",'[1]All Data '!BC1454/'[1]All Data '!BH1454)</f>
        <v/>
      </c>
      <c r="O1449" s="5" t="str">
        <f t="shared" si="24"/>
        <v/>
      </c>
      <c r="P1449" s="5" t="str">
        <f>IF(M1449="","",$C$2*(1-L1449)*907.2/0.621371*N1449*[1]Transportation!$M$40)</f>
        <v/>
      </c>
      <c r="Q1449" s="5" t="str">
        <f>IF(L1449="","",IF([1]Inputs_Outputs!$B$5="Herbaceous",(LCA!$E$29*'[1]LOCH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49" s="5" t="str">
        <f>IF(M1449="","",$E$2*1000*'[1]LOCH Calc COE Calc'!$C$44)</f>
        <v/>
      </c>
      <c r="S1449" s="6" t="str">
        <f>IF(N1449="","",SUM(O1449:R1449)/('[1]LOCH Calc COE Calc'!$C$28))</f>
        <v/>
      </c>
      <c r="T1449" t="str">
        <f>IF(L1449="","",O1449/'[1]LOCH Calc COE Calc'!$C$28)</f>
        <v/>
      </c>
      <c r="U1449" t="str">
        <f>IF(L1449="","",P1449/'[1]LOCH Calc COE Calc'!$C$28)</f>
        <v/>
      </c>
      <c r="V1449" t="str">
        <f>IF(L1449="","",Q1449/'[1]LOCH Calc COE Calc'!$C$28)</f>
        <v/>
      </c>
      <c r="W1449" t="str">
        <f>IF(L1449="","",R1449/'[1]LOCH Calc COE Calc'!$C$28)</f>
        <v/>
      </c>
    </row>
    <row r="1450" spans="12:23" x14ac:dyDescent="0.25">
      <c r="L1450" s="4" t="str">
        <f>IF('[1]All Data '!BE1455="","",'[1]All Data '!BE1455)</f>
        <v/>
      </c>
      <c r="M1450" t="str">
        <f>IF('[1]All Data '!BF1455="","",'[1]All Data '!BF1455)</f>
        <v/>
      </c>
      <c r="N1450" s="5" t="str">
        <f>IF('[1]All Data '!BB1455="","",'[1]All Data '!BC1455/'[1]All Data '!BH1455)</f>
        <v/>
      </c>
      <c r="O1450" s="5" t="str">
        <f t="shared" si="24"/>
        <v/>
      </c>
      <c r="P1450" s="5" t="str">
        <f>IF(M1450="","",$C$2*(1-L1450)*907.2/0.621371*N1450*[1]Transportation!$M$40)</f>
        <v/>
      </c>
      <c r="Q1450" s="5" t="str">
        <f>IF(L1450="","",IF([1]Inputs_Outputs!$B$5="Herbaceous",(LCA!$E$29*'[1]LOCH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0" s="5" t="str">
        <f>IF(M1450="","",$E$2*1000*'[1]LOCH Calc COE Calc'!$C$44)</f>
        <v/>
      </c>
      <c r="S1450" s="6" t="str">
        <f>IF(N1450="","",SUM(O1450:R1450)/('[1]LOCH Calc COE Calc'!$C$28))</f>
        <v/>
      </c>
      <c r="T1450" t="str">
        <f>IF(L1450="","",O1450/'[1]LOCH Calc COE Calc'!$C$28)</f>
        <v/>
      </c>
      <c r="U1450" t="str">
        <f>IF(L1450="","",P1450/'[1]LOCH Calc COE Calc'!$C$28)</f>
        <v/>
      </c>
      <c r="V1450" t="str">
        <f>IF(L1450="","",Q1450/'[1]LOCH Calc COE Calc'!$C$28)</f>
        <v/>
      </c>
      <c r="W1450" t="str">
        <f>IF(L1450="","",R1450/'[1]LOCH Calc COE Calc'!$C$28)</f>
        <v/>
      </c>
    </row>
    <row r="1451" spans="12:23" x14ac:dyDescent="0.25">
      <c r="L1451" s="4" t="str">
        <f>IF('[1]All Data '!BE1456="","",'[1]All Data '!BE1456)</f>
        <v/>
      </c>
      <c r="M1451" t="str">
        <f>IF('[1]All Data '!BF1456="","",'[1]All Data '!BF1456)</f>
        <v/>
      </c>
      <c r="N1451" s="5" t="str">
        <f>IF('[1]All Data '!BB1456="","",'[1]All Data '!BC1456/'[1]All Data '!BH1456)</f>
        <v/>
      </c>
      <c r="O1451" s="5" t="str">
        <f t="shared" si="24"/>
        <v/>
      </c>
      <c r="P1451" s="5" t="str">
        <f>IF(M1451="","",$C$2*(1-L1451)*907.2/0.621371*N1451*[1]Transportation!$M$40)</f>
        <v/>
      </c>
      <c r="Q1451" s="5" t="str">
        <f>IF(L1451="","",IF([1]Inputs_Outputs!$B$5="Herbaceous",(LCA!$E$29*'[1]LOCH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1" s="5" t="str">
        <f>IF(M1451="","",$E$2*1000*'[1]LOCH Calc COE Calc'!$C$44)</f>
        <v/>
      </c>
      <c r="S1451" s="6" t="str">
        <f>IF(N1451="","",SUM(O1451:R1451)/('[1]LOCH Calc COE Calc'!$C$28))</f>
        <v/>
      </c>
      <c r="T1451" t="str">
        <f>IF(L1451="","",O1451/'[1]LOCH Calc COE Calc'!$C$28)</f>
        <v/>
      </c>
      <c r="U1451" t="str">
        <f>IF(L1451="","",P1451/'[1]LOCH Calc COE Calc'!$C$28)</f>
        <v/>
      </c>
      <c r="V1451" t="str">
        <f>IF(L1451="","",Q1451/'[1]LOCH Calc COE Calc'!$C$28)</f>
        <v/>
      </c>
      <c r="W1451" t="str">
        <f>IF(L1451="","",R1451/'[1]LOCH Calc COE Calc'!$C$28)</f>
        <v/>
      </c>
    </row>
    <row r="1452" spans="12:23" x14ac:dyDescent="0.25">
      <c r="L1452" s="4" t="str">
        <f>IF('[1]All Data '!BE1457="","",'[1]All Data '!BE1457)</f>
        <v/>
      </c>
      <c r="M1452" t="str">
        <f>IF('[1]All Data '!BF1457="","",'[1]All Data '!BF1457)</f>
        <v/>
      </c>
      <c r="N1452" s="5" t="str">
        <f>IF('[1]All Data '!BB1457="","",'[1]All Data '!BC1457/'[1]All Data '!BH1457)</f>
        <v/>
      </c>
      <c r="O1452" s="5" t="str">
        <f t="shared" si="24"/>
        <v/>
      </c>
      <c r="P1452" s="5" t="str">
        <f>IF(M1452="","",$C$2*(1-L1452)*907.2/0.621371*N1452*[1]Transportation!$M$40)</f>
        <v/>
      </c>
      <c r="Q1452" s="5" t="str">
        <f>IF(L1452="","",IF([1]Inputs_Outputs!$B$5="Herbaceous",(LCA!$E$29*'[1]LOCH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2" s="5" t="str">
        <f>IF(M1452="","",$E$2*1000*'[1]LOCH Calc COE Calc'!$C$44)</f>
        <v/>
      </c>
      <c r="S1452" s="6" t="str">
        <f>IF(N1452="","",SUM(O1452:R1452)/('[1]LOCH Calc COE Calc'!$C$28))</f>
        <v/>
      </c>
      <c r="T1452" t="str">
        <f>IF(L1452="","",O1452/'[1]LOCH Calc COE Calc'!$C$28)</f>
        <v/>
      </c>
      <c r="U1452" t="str">
        <f>IF(L1452="","",P1452/'[1]LOCH Calc COE Calc'!$C$28)</f>
        <v/>
      </c>
      <c r="V1452" t="str">
        <f>IF(L1452="","",Q1452/'[1]LOCH Calc COE Calc'!$C$28)</f>
        <v/>
      </c>
      <c r="W1452" t="str">
        <f>IF(L1452="","",R1452/'[1]LOCH Calc COE Calc'!$C$28)</f>
        <v/>
      </c>
    </row>
    <row r="1453" spans="12:23" x14ac:dyDescent="0.25">
      <c r="L1453" s="4" t="str">
        <f>IF('[1]All Data '!BE1458="","",'[1]All Data '!BE1458)</f>
        <v/>
      </c>
      <c r="M1453" t="str">
        <f>IF('[1]All Data '!BF1458="","",'[1]All Data '!BF1458)</f>
        <v/>
      </c>
      <c r="N1453" s="5" t="str">
        <f>IF('[1]All Data '!BB1458="","",'[1]All Data '!BC1458/'[1]All Data '!BH1458)</f>
        <v/>
      </c>
      <c r="O1453" s="5" t="str">
        <f t="shared" si="24"/>
        <v/>
      </c>
      <c r="P1453" s="5" t="str">
        <f>IF(M1453="","",$C$2*(1-L1453)*907.2/0.621371*N1453*[1]Transportation!$M$40)</f>
        <v/>
      </c>
      <c r="Q1453" s="5" t="str">
        <f>IF(L1453="","",IF([1]Inputs_Outputs!$B$5="Herbaceous",(LCA!$E$29*'[1]LOCH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3" s="5" t="str">
        <f>IF(M1453="","",$E$2*1000*'[1]LOCH Calc COE Calc'!$C$44)</f>
        <v/>
      </c>
      <c r="S1453" s="6" t="str">
        <f>IF(N1453="","",SUM(O1453:R1453)/('[1]LOCH Calc COE Calc'!$C$28))</f>
        <v/>
      </c>
      <c r="T1453" t="str">
        <f>IF(L1453="","",O1453/'[1]LOCH Calc COE Calc'!$C$28)</f>
        <v/>
      </c>
      <c r="U1453" t="str">
        <f>IF(L1453="","",P1453/'[1]LOCH Calc COE Calc'!$C$28)</f>
        <v/>
      </c>
      <c r="V1453" t="str">
        <f>IF(L1453="","",Q1453/'[1]LOCH Calc COE Calc'!$C$28)</f>
        <v/>
      </c>
      <c r="W1453" t="str">
        <f>IF(L1453="","",R1453/'[1]LOCH Calc COE Calc'!$C$28)</f>
        <v/>
      </c>
    </row>
    <row r="1454" spans="12:23" x14ac:dyDescent="0.25">
      <c r="L1454" s="4" t="str">
        <f>IF('[1]All Data '!BE1459="","",'[1]All Data '!BE1459)</f>
        <v/>
      </c>
      <c r="M1454" t="str">
        <f>IF('[1]All Data '!BF1459="","",'[1]All Data '!BF1459)</f>
        <v/>
      </c>
      <c r="N1454" s="5" t="str">
        <f>IF('[1]All Data '!BB1459="","",'[1]All Data '!BC1459/'[1]All Data '!BH1459)</f>
        <v/>
      </c>
      <c r="O1454" s="5" t="str">
        <f t="shared" si="24"/>
        <v/>
      </c>
      <c r="P1454" s="5" t="str">
        <f>IF(M1454="","",$C$2*(1-L1454)*907.2/0.621371*N1454*[1]Transportation!$M$40)</f>
        <v/>
      </c>
      <c r="Q1454" s="5" t="str">
        <f>IF(L1454="","",IF([1]Inputs_Outputs!$B$5="Herbaceous",(LCA!$E$29*'[1]LOCH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4" s="5" t="str">
        <f>IF(M1454="","",$E$2*1000*'[1]LOCH Calc COE Calc'!$C$44)</f>
        <v/>
      </c>
      <c r="S1454" s="6" t="str">
        <f>IF(N1454="","",SUM(O1454:R1454)/('[1]LOCH Calc COE Calc'!$C$28))</f>
        <v/>
      </c>
      <c r="T1454" t="str">
        <f>IF(L1454="","",O1454/'[1]LOCH Calc COE Calc'!$C$28)</f>
        <v/>
      </c>
      <c r="U1454" t="str">
        <f>IF(L1454="","",P1454/'[1]LOCH Calc COE Calc'!$C$28)</f>
        <v/>
      </c>
      <c r="V1454" t="str">
        <f>IF(L1454="","",Q1454/'[1]LOCH Calc COE Calc'!$C$28)</f>
        <v/>
      </c>
      <c r="W1454" t="str">
        <f>IF(L1454="","",R1454/'[1]LOCH Calc COE Calc'!$C$28)</f>
        <v/>
      </c>
    </row>
    <row r="1455" spans="12:23" x14ac:dyDescent="0.25">
      <c r="L1455" s="4" t="str">
        <f>IF('[1]All Data '!BE1460="","",'[1]All Data '!BE1460)</f>
        <v/>
      </c>
      <c r="M1455" t="str">
        <f>IF('[1]All Data '!BF1460="","",'[1]All Data '!BF1460)</f>
        <v/>
      </c>
      <c r="N1455" s="5" t="str">
        <f>IF('[1]All Data '!BB1460="","",'[1]All Data '!BC1460/'[1]All Data '!BH1460)</f>
        <v/>
      </c>
      <c r="O1455" s="5" t="str">
        <f t="shared" si="24"/>
        <v/>
      </c>
      <c r="P1455" s="5" t="str">
        <f>IF(M1455="","",$C$2*(1-L1455)*907.2/0.621371*N1455*[1]Transportation!$M$40)</f>
        <v/>
      </c>
      <c r="Q1455" s="5" t="str">
        <f>IF(L1455="","",IF([1]Inputs_Outputs!$B$5="Herbaceous",(LCA!$E$29*'[1]LOCH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5" s="5" t="str">
        <f>IF(M1455="","",$E$2*1000*'[1]LOCH Calc COE Calc'!$C$44)</f>
        <v/>
      </c>
      <c r="S1455" s="6" t="str">
        <f>IF(N1455="","",SUM(O1455:R1455)/('[1]LOCH Calc COE Calc'!$C$28))</f>
        <v/>
      </c>
      <c r="T1455" t="str">
        <f>IF(L1455="","",O1455/'[1]LOCH Calc COE Calc'!$C$28)</f>
        <v/>
      </c>
      <c r="U1455" t="str">
        <f>IF(L1455="","",P1455/'[1]LOCH Calc COE Calc'!$C$28)</f>
        <v/>
      </c>
      <c r="V1455" t="str">
        <f>IF(L1455="","",Q1455/'[1]LOCH Calc COE Calc'!$C$28)</f>
        <v/>
      </c>
      <c r="W1455" t="str">
        <f>IF(L1455="","",R1455/'[1]LOCH Calc COE Calc'!$C$28)</f>
        <v/>
      </c>
    </row>
    <row r="1456" spans="12:23" x14ac:dyDescent="0.25">
      <c r="L1456" s="4" t="str">
        <f>IF('[1]All Data '!BE1461="","",'[1]All Data '!BE1461)</f>
        <v/>
      </c>
      <c r="M1456" t="str">
        <f>IF('[1]All Data '!BF1461="","",'[1]All Data '!BF1461)</f>
        <v/>
      </c>
      <c r="N1456" s="5" t="str">
        <f>IF('[1]All Data '!BB1461="","",'[1]All Data '!BC1461/'[1]All Data '!BH1461)</f>
        <v/>
      </c>
      <c r="O1456" s="5" t="str">
        <f t="shared" si="24"/>
        <v/>
      </c>
      <c r="P1456" s="5" t="str">
        <f>IF(M1456="","",$C$2*(1-L1456)*907.2/0.621371*N1456*[1]Transportation!$M$40)</f>
        <v/>
      </c>
      <c r="Q1456" s="5" t="str">
        <f>IF(L1456="","",IF([1]Inputs_Outputs!$B$5="Herbaceous",(LCA!$E$29*'[1]LOCH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6" s="5" t="str">
        <f>IF(M1456="","",$E$2*1000*'[1]LOCH Calc COE Calc'!$C$44)</f>
        <v/>
      </c>
      <c r="S1456" s="6" t="str">
        <f>IF(N1456="","",SUM(O1456:R1456)/('[1]LOCH Calc COE Calc'!$C$28))</f>
        <v/>
      </c>
      <c r="T1456" t="str">
        <f>IF(L1456="","",O1456/'[1]LOCH Calc COE Calc'!$C$28)</f>
        <v/>
      </c>
      <c r="U1456" t="str">
        <f>IF(L1456="","",P1456/'[1]LOCH Calc COE Calc'!$C$28)</f>
        <v/>
      </c>
      <c r="V1456" t="str">
        <f>IF(L1456="","",Q1456/'[1]LOCH Calc COE Calc'!$C$28)</f>
        <v/>
      </c>
      <c r="W1456" t="str">
        <f>IF(L1456="","",R1456/'[1]LOCH Calc COE Calc'!$C$28)</f>
        <v/>
      </c>
    </row>
    <row r="1457" spans="12:23" x14ac:dyDescent="0.25">
      <c r="L1457" s="4" t="str">
        <f>IF('[1]All Data '!BE1462="","",'[1]All Data '!BE1462)</f>
        <v/>
      </c>
      <c r="M1457" t="str">
        <f>IF('[1]All Data '!BF1462="","",'[1]All Data '!BF1462)</f>
        <v/>
      </c>
      <c r="N1457" s="5" t="str">
        <f>IF('[1]All Data '!BB1462="","",'[1]All Data '!BC1462/'[1]All Data '!BH1462)</f>
        <v/>
      </c>
      <c r="O1457" s="5" t="str">
        <f t="shared" si="24"/>
        <v/>
      </c>
      <c r="P1457" s="5" t="str">
        <f>IF(M1457="","",$C$2*(1-L1457)*907.2/0.621371*N1457*[1]Transportation!$M$40)</f>
        <v/>
      </c>
      <c r="Q1457" s="5" t="str">
        <f>IF(L1457="","",IF([1]Inputs_Outputs!$B$5="Herbaceous",(LCA!$E$29*'[1]LOCH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7" s="5" t="str">
        <f>IF(M1457="","",$E$2*1000*'[1]LOCH Calc COE Calc'!$C$44)</f>
        <v/>
      </c>
      <c r="S1457" s="6" t="str">
        <f>IF(N1457="","",SUM(O1457:R1457)/('[1]LOCH Calc COE Calc'!$C$28))</f>
        <v/>
      </c>
      <c r="T1457" t="str">
        <f>IF(L1457="","",O1457/'[1]LOCH Calc COE Calc'!$C$28)</f>
        <v/>
      </c>
      <c r="U1457" t="str">
        <f>IF(L1457="","",P1457/'[1]LOCH Calc COE Calc'!$C$28)</f>
        <v/>
      </c>
      <c r="V1457" t="str">
        <f>IF(L1457="","",Q1457/'[1]LOCH Calc COE Calc'!$C$28)</f>
        <v/>
      </c>
      <c r="W1457" t="str">
        <f>IF(L1457="","",R1457/'[1]LOCH Calc COE Calc'!$C$28)</f>
        <v/>
      </c>
    </row>
    <row r="1458" spans="12:23" x14ac:dyDescent="0.25">
      <c r="L1458" s="4" t="str">
        <f>IF('[1]All Data '!BE1463="","",'[1]All Data '!BE1463)</f>
        <v/>
      </c>
      <c r="M1458" t="str">
        <f>IF('[1]All Data '!BF1463="","",'[1]All Data '!BF1463)</f>
        <v/>
      </c>
      <c r="N1458" s="5" t="str">
        <f>IF('[1]All Data '!BB1463="","",'[1]All Data '!BC1463/'[1]All Data '!BH1463)</f>
        <v/>
      </c>
      <c r="O1458" s="5" t="str">
        <f t="shared" si="24"/>
        <v/>
      </c>
      <c r="P1458" s="5" t="str">
        <f>IF(M1458="","",$C$2*(1-L1458)*907.2/0.621371*N1458*[1]Transportation!$M$40)</f>
        <v/>
      </c>
      <c r="Q1458" s="5" t="str">
        <f>IF(L1458="","",IF([1]Inputs_Outputs!$B$5="Herbaceous",(LCA!$E$29*'[1]LOCH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8" s="5" t="str">
        <f>IF(M1458="","",$E$2*1000*'[1]LOCH Calc COE Calc'!$C$44)</f>
        <v/>
      </c>
      <c r="S1458" s="6" t="str">
        <f>IF(N1458="","",SUM(O1458:R1458)/('[1]LOCH Calc COE Calc'!$C$28))</f>
        <v/>
      </c>
      <c r="T1458" t="str">
        <f>IF(L1458="","",O1458/'[1]LOCH Calc COE Calc'!$C$28)</f>
        <v/>
      </c>
      <c r="U1458" t="str">
        <f>IF(L1458="","",P1458/'[1]LOCH Calc COE Calc'!$C$28)</f>
        <v/>
      </c>
      <c r="V1458" t="str">
        <f>IF(L1458="","",Q1458/'[1]LOCH Calc COE Calc'!$C$28)</f>
        <v/>
      </c>
      <c r="W1458" t="str">
        <f>IF(L1458="","",R1458/'[1]LOCH Calc COE Calc'!$C$28)</f>
        <v/>
      </c>
    </row>
    <row r="1459" spans="12:23" x14ac:dyDescent="0.25">
      <c r="L1459" s="4" t="str">
        <f>IF('[1]All Data '!BE1464="","",'[1]All Data '!BE1464)</f>
        <v/>
      </c>
      <c r="M1459" t="str">
        <f>IF('[1]All Data '!BF1464="","",'[1]All Data '!BF1464)</f>
        <v/>
      </c>
      <c r="N1459" s="5" t="str">
        <f>IF('[1]All Data '!BB1464="","",'[1]All Data '!BC1464/'[1]All Data '!BH1464)</f>
        <v/>
      </c>
      <c r="O1459" s="5" t="str">
        <f t="shared" si="24"/>
        <v/>
      </c>
      <c r="P1459" s="5" t="str">
        <f>IF(M1459="","",$C$2*(1-L1459)*907.2/0.621371*N1459*[1]Transportation!$M$40)</f>
        <v/>
      </c>
      <c r="Q1459" s="5" t="str">
        <f>IF(L1459="","",IF([1]Inputs_Outputs!$B$5="Herbaceous",(LCA!$E$29*'[1]LOCH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59" s="5" t="str">
        <f>IF(M1459="","",$E$2*1000*'[1]LOCH Calc COE Calc'!$C$44)</f>
        <v/>
      </c>
      <c r="S1459" s="6" t="str">
        <f>IF(N1459="","",SUM(O1459:R1459)/('[1]LOCH Calc COE Calc'!$C$28))</f>
        <v/>
      </c>
      <c r="T1459" t="str">
        <f>IF(L1459="","",O1459/'[1]LOCH Calc COE Calc'!$C$28)</f>
        <v/>
      </c>
      <c r="U1459" t="str">
        <f>IF(L1459="","",P1459/'[1]LOCH Calc COE Calc'!$C$28)</f>
        <v/>
      </c>
      <c r="V1459" t="str">
        <f>IF(L1459="","",Q1459/'[1]LOCH Calc COE Calc'!$C$28)</f>
        <v/>
      </c>
      <c r="W1459" t="str">
        <f>IF(L1459="","",R1459/'[1]LOCH Calc COE Calc'!$C$28)</f>
        <v/>
      </c>
    </row>
    <row r="1460" spans="12:23" x14ac:dyDescent="0.25">
      <c r="L1460" s="4" t="str">
        <f>IF('[1]All Data '!BE1465="","",'[1]All Data '!BE1465)</f>
        <v/>
      </c>
      <c r="M1460" t="str">
        <f>IF('[1]All Data '!BF1465="","",'[1]All Data '!BF1465)</f>
        <v/>
      </c>
      <c r="N1460" s="5" t="str">
        <f>IF('[1]All Data '!BB1465="","",'[1]All Data '!BC1465/'[1]All Data '!BH1465)</f>
        <v/>
      </c>
      <c r="O1460" s="5" t="str">
        <f t="shared" si="24"/>
        <v/>
      </c>
      <c r="P1460" s="5" t="str">
        <f>IF(M1460="","",$C$2*(1-L1460)*907.2/0.621371*N1460*[1]Transportation!$M$40)</f>
        <v/>
      </c>
      <c r="Q1460" s="5" t="str">
        <f>IF(L1460="","",IF([1]Inputs_Outputs!$B$5="Herbaceous",(LCA!$E$29*'[1]LOCH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0" s="5" t="str">
        <f>IF(M1460="","",$E$2*1000*'[1]LOCH Calc COE Calc'!$C$44)</f>
        <v/>
      </c>
      <c r="S1460" s="6" t="str">
        <f>IF(N1460="","",SUM(O1460:R1460)/('[1]LOCH Calc COE Calc'!$C$28))</f>
        <v/>
      </c>
      <c r="T1460" t="str">
        <f>IF(L1460="","",O1460/'[1]LOCH Calc COE Calc'!$C$28)</f>
        <v/>
      </c>
      <c r="U1460" t="str">
        <f>IF(L1460="","",P1460/'[1]LOCH Calc COE Calc'!$C$28)</f>
        <v/>
      </c>
      <c r="V1460" t="str">
        <f>IF(L1460="","",Q1460/'[1]LOCH Calc COE Calc'!$C$28)</f>
        <v/>
      </c>
      <c r="W1460" t="str">
        <f>IF(L1460="","",R1460/'[1]LOCH Calc COE Calc'!$C$28)</f>
        <v/>
      </c>
    </row>
    <row r="1461" spans="12:23" x14ac:dyDescent="0.25">
      <c r="L1461" s="4" t="str">
        <f>IF('[1]All Data '!BE1466="","",'[1]All Data '!BE1466)</f>
        <v/>
      </c>
      <c r="M1461" t="str">
        <f>IF('[1]All Data '!BF1466="","",'[1]All Data '!BF1466)</f>
        <v/>
      </c>
      <c r="N1461" s="5" t="str">
        <f>IF('[1]All Data '!BB1466="","",'[1]All Data '!BC1466/'[1]All Data '!BH1466)</f>
        <v/>
      </c>
      <c r="O1461" s="5" t="str">
        <f t="shared" si="24"/>
        <v/>
      </c>
      <c r="P1461" s="5" t="str">
        <f>IF(M1461="","",$C$2*(1-L1461)*907.2/0.621371*N1461*[1]Transportation!$M$40)</f>
        <v/>
      </c>
      <c r="Q1461" s="5" t="str">
        <f>IF(L1461="","",IF([1]Inputs_Outputs!$B$5="Herbaceous",(LCA!$E$29*'[1]LOCH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1" s="5" t="str">
        <f>IF(M1461="","",$E$2*1000*'[1]LOCH Calc COE Calc'!$C$44)</f>
        <v/>
      </c>
      <c r="S1461" s="6" t="str">
        <f>IF(N1461="","",SUM(O1461:R1461)/('[1]LOCH Calc COE Calc'!$C$28))</f>
        <v/>
      </c>
      <c r="T1461" t="str">
        <f>IF(L1461="","",O1461/'[1]LOCH Calc COE Calc'!$C$28)</f>
        <v/>
      </c>
      <c r="U1461" t="str">
        <f>IF(L1461="","",P1461/'[1]LOCH Calc COE Calc'!$C$28)</f>
        <v/>
      </c>
      <c r="V1461" t="str">
        <f>IF(L1461="","",Q1461/'[1]LOCH Calc COE Calc'!$C$28)</f>
        <v/>
      </c>
      <c r="W1461" t="str">
        <f>IF(L1461="","",R1461/'[1]LOCH Calc COE Calc'!$C$28)</f>
        <v/>
      </c>
    </row>
    <row r="1462" spans="12:23" x14ac:dyDescent="0.25">
      <c r="L1462" s="4" t="str">
        <f>IF('[1]All Data '!BE1467="","",'[1]All Data '!BE1467)</f>
        <v/>
      </c>
      <c r="M1462" t="str">
        <f>IF('[1]All Data '!BF1467="","",'[1]All Data '!BF1467)</f>
        <v/>
      </c>
      <c r="N1462" s="5" t="str">
        <f>IF('[1]All Data '!BB1467="","",'[1]All Data '!BC1467/'[1]All Data '!BH1467)</f>
        <v/>
      </c>
      <c r="O1462" s="5" t="str">
        <f t="shared" si="24"/>
        <v/>
      </c>
      <c r="P1462" s="5" t="str">
        <f>IF(M1462="","",$C$2*(1-L1462)*907.2/0.621371*N1462*[1]Transportation!$M$40)</f>
        <v/>
      </c>
      <c r="Q1462" s="5" t="str">
        <f>IF(L1462="","",IF([1]Inputs_Outputs!$B$5="Herbaceous",(LCA!$E$29*'[1]LOCH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2" s="5" t="str">
        <f>IF(M1462="","",$E$2*1000*'[1]LOCH Calc COE Calc'!$C$44)</f>
        <v/>
      </c>
      <c r="S1462" s="6" t="str">
        <f>IF(N1462="","",SUM(O1462:R1462)/('[1]LOCH Calc COE Calc'!$C$28))</f>
        <v/>
      </c>
      <c r="T1462" t="str">
        <f>IF(L1462="","",O1462/'[1]LOCH Calc COE Calc'!$C$28)</f>
        <v/>
      </c>
      <c r="U1462" t="str">
        <f>IF(L1462="","",P1462/'[1]LOCH Calc COE Calc'!$C$28)</f>
        <v/>
      </c>
      <c r="V1462" t="str">
        <f>IF(L1462="","",Q1462/'[1]LOCH Calc COE Calc'!$C$28)</f>
        <v/>
      </c>
      <c r="W1462" t="str">
        <f>IF(L1462="","",R1462/'[1]LOCH Calc COE Calc'!$C$28)</f>
        <v/>
      </c>
    </row>
    <row r="1463" spans="12:23" x14ac:dyDescent="0.25">
      <c r="L1463" s="4" t="str">
        <f>IF('[1]All Data '!BE1468="","",'[1]All Data '!BE1468)</f>
        <v/>
      </c>
      <c r="M1463" t="str">
        <f>IF('[1]All Data '!BF1468="","",'[1]All Data '!BF1468)</f>
        <v/>
      </c>
      <c r="N1463" s="5" t="str">
        <f>IF('[1]All Data '!BB1468="","",'[1]All Data '!BC1468/'[1]All Data '!BH1468)</f>
        <v/>
      </c>
      <c r="O1463" s="5" t="str">
        <f t="shared" si="24"/>
        <v/>
      </c>
      <c r="P1463" s="5" t="str">
        <f>IF(M1463="","",$C$2*(1-L1463)*907.2/0.621371*N1463*[1]Transportation!$M$40)</f>
        <v/>
      </c>
      <c r="Q1463" s="5" t="str">
        <f>IF(L1463="","",IF([1]Inputs_Outputs!$B$5="Herbaceous",(LCA!$E$29*'[1]LOCH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3" s="5" t="str">
        <f>IF(M1463="","",$E$2*1000*'[1]LOCH Calc COE Calc'!$C$44)</f>
        <v/>
      </c>
      <c r="S1463" s="6" t="str">
        <f>IF(N1463="","",SUM(O1463:R1463)/('[1]LOCH Calc COE Calc'!$C$28))</f>
        <v/>
      </c>
      <c r="T1463" t="str">
        <f>IF(L1463="","",O1463/'[1]LOCH Calc COE Calc'!$C$28)</f>
        <v/>
      </c>
      <c r="U1463" t="str">
        <f>IF(L1463="","",P1463/'[1]LOCH Calc COE Calc'!$C$28)</f>
        <v/>
      </c>
      <c r="V1463" t="str">
        <f>IF(L1463="","",Q1463/'[1]LOCH Calc COE Calc'!$C$28)</f>
        <v/>
      </c>
      <c r="W1463" t="str">
        <f>IF(L1463="","",R1463/'[1]LOCH Calc COE Calc'!$C$28)</f>
        <v/>
      </c>
    </row>
    <row r="1464" spans="12:23" x14ac:dyDescent="0.25">
      <c r="L1464" s="4" t="str">
        <f>IF('[1]All Data '!BE1469="","",'[1]All Data '!BE1469)</f>
        <v/>
      </c>
      <c r="M1464" t="str">
        <f>IF('[1]All Data '!BF1469="","",'[1]All Data '!BF1469)</f>
        <v/>
      </c>
      <c r="N1464" s="5" t="str">
        <f>IF('[1]All Data '!BB1469="","",'[1]All Data '!BC1469/'[1]All Data '!BH1469)</f>
        <v/>
      </c>
      <c r="O1464" s="5" t="str">
        <f t="shared" si="24"/>
        <v/>
      </c>
      <c r="P1464" s="5" t="str">
        <f>IF(M1464="","",$C$2*(1-L1464)*907.2/0.621371*N1464*[1]Transportation!$M$40)</f>
        <v/>
      </c>
      <c r="Q1464" s="5" t="str">
        <f>IF(L1464="","",IF([1]Inputs_Outputs!$B$5="Herbaceous",(LCA!$E$29*'[1]LOCH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4" s="5" t="str">
        <f>IF(M1464="","",$E$2*1000*'[1]LOCH Calc COE Calc'!$C$44)</f>
        <v/>
      </c>
      <c r="S1464" s="6" t="str">
        <f>IF(N1464="","",SUM(O1464:R1464)/('[1]LOCH Calc COE Calc'!$C$28))</f>
        <v/>
      </c>
      <c r="T1464" t="str">
        <f>IF(L1464="","",O1464/'[1]LOCH Calc COE Calc'!$C$28)</f>
        <v/>
      </c>
      <c r="U1464" t="str">
        <f>IF(L1464="","",P1464/'[1]LOCH Calc COE Calc'!$C$28)</f>
        <v/>
      </c>
      <c r="V1464" t="str">
        <f>IF(L1464="","",Q1464/'[1]LOCH Calc COE Calc'!$C$28)</f>
        <v/>
      </c>
      <c r="W1464" t="str">
        <f>IF(L1464="","",R1464/'[1]LOCH Calc COE Calc'!$C$28)</f>
        <v/>
      </c>
    </row>
    <row r="1465" spans="12:23" x14ac:dyDescent="0.25">
      <c r="L1465" s="4" t="str">
        <f>IF('[1]All Data '!BE1470="","",'[1]All Data '!BE1470)</f>
        <v/>
      </c>
      <c r="M1465" t="str">
        <f>IF('[1]All Data '!BF1470="","",'[1]All Data '!BF1470)</f>
        <v/>
      </c>
      <c r="N1465" s="5" t="str">
        <f>IF('[1]All Data '!BB1470="","",'[1]All Data '!BC1470/'[1]All Data '!BH1470)</f>
        <v/>
      </c>
      <c r="O1465" s="5" t="str">
        <f t="shared" si="24"/>
        <v/>
      </c>
      <c r="P1465" s="5" t="str">
        <f>IF(M1465="","",$C$2*(1-L1465)*907.2/0.621371*N1465*[1]Transportation!$M$40)</f>
        <v/>
      </c>
      <c r="Q1465" s="5" t="str">
        <f>IF(L1465="","",IF([1]Inputs_Outputs!$B$5="Herbaceous",(LCA!$E$29*'[1]LOCH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5" s="5" t="str">
        <f>IF(M1465="","",$E$2*1000*'[1]LOCH Calc COE Calc'!$C$44)</f>
        <v/>
      </c>
      <c r="S1465" s="6" t="str">
        <f>IF(N1465="","",SUM(O1465:R1465)/('[1]LOCH Calc COE Calc'!$C$28))</f>
        <v/>
      </c>
      <c r="T1465" t="str">
        <f>IF(L1465="","",O1465/'[1]LOCH Calc COE Calc'!$C$28)</f>
        <v/>
      </c>
      <c r="U1465" t="str">
        <f>IF(L1465="","",P1465/'[1]LOCH Calc COE Calc'!$C$28)</f>
        <v/>
      </c>
      <c r="V1465" t="str">
        <f>IF(L1465="","",Q1465/'[1]LOCH Calc COE Calc'!$C$28)</f>
        <v/>
      </c>
      <c r="W1465" t="str">
        <f>IF(L1465="","",R1465/'[1]LOCH Calc COE Calc'!$C$28)</f>
        <v/>
      </c>
    </row>
    <row r="1466" spans="12:23" x14ac:dyDescent="0.25">
      <c r="L1466" s="4" t="str">
        <f>IF('[1]All Data '!BE1471="","",'[1]All Data '!BE1471)</f>
        <v/>
      </c>
      <c r="M1466" t="str">
        <f>IF('[1]All Data '!BF1471="","",'[1]All Data '!BF1471)</f>
        <v/>
      </c>
      <c r="N1466" s="5" t="str">
        <f>IF('[1]All Data '!BB1471="","",'[1]All Data '!BC1471/'[1]All Data '!BH1471)</f>
        <v/>
      </c>
      <c r="O1466" s="5" t="str">
        <f t="shared" si="24"/>
        <v/>
      </c>
      <c r="P1466" s="5" t="str">
        <f>IF(M1466="","",$C$2*(1-L1466)*907.2/0.621371*N1466*[1]Transportation!$M$40)</f>
        <v/>
      </c>
      <c r="Q1466" s="5" t="str">
        <f>IF(L1466="","",IF([1]Inputs_Outputs!$B$5="Herbaceous",(LCA!$E$29*'[1]LOCH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6" s="5" t="str">
        <f>IF(M1466="","",$E$2*1000*'[1]LOCH Calc COE Calc'!$C$44)</f>
        <v/>
      </c>
      <c r="S1466" s="6" t="str">
        <f>IF(N1466="","",SUM(O1466:R1466)/('[1]LOCH Calc COE Calc'!$C$28))</f>
        <v/>
      </c>
      <c r="T1466" t="str">
        <f>IF(L1466="","",O1466/'[1]LOCH Calc COE Calc'!$C$28)</f>
        <v/>
      </c>
      <c r="U1466" t="str">
        <f>IF(L1466="","",P1466/'[1]LOCH Calc COE Calc'!$C$28)</f>
        <v/>
      </c>
      <c r="V1466" t="str">
        <f>IF(L1466="","",Q1466/'[1]LOCH Calc COE Calc'!$C$28)</f>
        <v/>
      </c>
      <c r="W1466" t="str">
        <f>IF(L1466="","",R1466/'[1]LOCH Calc COE Calc'!$C$28)</f>
        <v/>
      </c>
    </row>
    <row r="1467" spans="12:23" x14ac:dyDescent="0.25">
      <c r="L1467" s="4" t="str">
        <f>IF('[1]All Data '!BE1472="","",'[1]All Data '!BE1472)</f>
        <v/>
      </c>
      <c r="M1467" t="str">
        <f>IF('[1]All Data '!BF1472="","",'[1]All Data '!BF1472)</f>
        <v/>
      </c>
      <c r="N1467" s="5" t="str">
        <f>IF('[1]All Data '!BB1472="","",'[1]All Data '!BC1472/'[1]All Data '!BH1472)</f>
        <v/>
      </c>
      <c r="O1467" s="5" t="str">
        <f t="shared" si="24"/>
        <v/>
      </c>
      <c r="P1467" s="5" t="str">
        <f>IF(M1467="","",$C$2*(1-L1467)*907.2/0.621371*N1467*[1]Transportation!$M$40)</f>
        <v/>
      </c>
      <c r="Q1467" s="5" t="str">
        <f>IF(L1467="","",IF([1]Inputs_Outputs!$B$5="Herbaceous",(LCA!$E$29*'[1]LOCH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7" s="5" t="str">
        <f>IF(M1467="","",$E$2*1000*'[1]LOCH Calc COE Calc'!$C$44)</f>
        <v/>
      </c>
      <c r="S1467" s="6" t="str">
        <f>IF(N1467="","",SUM(O1467:R1467)/('[1]LOCH Calc COE Calc'!$C$28))</f>
        <v/>
      </c>
      <c r="T1467" t="str">
        <f>IF(L1467="","",O1467/'[1]LOCH Calc COE Calc'!$C$28)</f>
        <v/>
      </c>
      <c r="U1467" t="str">
        <f>IF(L1467="","",P1467/'[1]LOCH Calc COE Calc'!$C$28)</f>
        <v/>
      </c>
      <c r="V1467" t="str">
        <f>IF(L1467="","",Q1467/'[1]LOCH Calc COE Calc'!$C$28)</f>
        <v/>
      </c>
      <c r="W1467" t="str">
        <f>IF(L1467="","",R1467/'[1]LOCH Calc COE Calc'!$C$28)</f>
        <v/>
      </c>
    </row>
    <row r="1468" spans="12:23" x14ac:dyDescent="0.25">
      <c r="L1468" s="4" t="str">
        <f>IF('[1]All Data '!BE1473="","",'[1]All Data '!BE1473)</f>
        <v/>
      </c>
      <c r="M1468" t="str">
        <f>IF('[1]All Data '!BF1473="","",'[1]All Data '!BF1473)</f>
        <v/>
      </c>
      <c r="N1468" s="5" t="str">
        <f>IF('[1]All Data '!BB1473="","",'[1]All Data '!BC1473/'[1]All Data '!BH1473)</f>
        <v/>
      </c>
      <c r="O1468" s="5" t="str">
        <f t="shared" si="24"/>
        <v/>
      </c>
      <c r="P1468" s="5" t="str">
        <f>IF(M1468="","",$C$2*(1-L1468)*907.2/0.621371*N1468*[1]Transportation!$M$40)</f>
        <v/>
      </c>
      <c r="Q1468" s="5" t="str">
        <f>IF(L1468="","",IF([1]Inputs_Outputs!$B$5="Herbaceous",(LCA!$E$29*'[1]LOCH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8" s="5" t="str">
        <f>IF(M1468="","",$E$2*1000*'[1]LOCH Calc COE Calc'!$C$44)</f>
        <v/>
      </c>
      <c r="S1468" s="6" t="str">
        <f>IF(N1468="","",SUM(O1468:R1468)/('[1]LOCH Calc COE Calc'!$C$28))</f>
        <v/>
      </c>
      <c r="T1468" t="str">
        <f>IF(L1468="","",O1468/'[1]LOCH Calc COE Calc'!$C$28)</f>
        <v/>
      </c>
      <c r="U1468" t="str">
        <f>IF(L1468="","",P1468/'[1]LOCH Calc COE Calc'!$C$28)</f>
        <v/>
      </c>
      <c r="V1468" t="str">
        <f>IF(L1468="","",Q1468/'[1]LOCH Calc COE Calc'!$C$28)</f>
        <v/>
      </c>
      <c r="W1468" t="str">
        <f>IF(L1468="","",R1468/'[1]LOCH Calc COE Calc'!$C$28)</f>
        <v/>
      </c>
    </row>
    <row r="1469" spans="12:23" x14ac:dyDescent="0.25">
      <c r="L1469" s="4" t="str">
        <f>IF('[1]All Data '!BE1474="","",'[1]All Data '!BE1474)</f>
        <v/>
      </c>
      <c r="M1469" t="str">
        <f>IF('[1]All Data '!BF1474="","",'[1]All Data '!BF1474)</f>
        <v/>
      </c>
      <c r="N1469" s="5" t="str">
        <f>IF('[1]All Data '!BB1474="","",'[1]All Data '!BC1474/'[1]All Data '!BH1474)</f>
        <v/>
      </c>
      <c r="O1469" s="5" t="str">
        <f t="shared" si="24"/>
        <v/>
      </c>
      <c r="P1469" s="5" t="str">
        <f>IF(M1469="","",$C$2*(1-L1469)*907.2/0.621371*N1469*[1]Transportation!$M$40)</f>
        <v/>
      </c>
      <c r="Q1469" s="5" t="str">
        <f>IF(L1469="","",IF([1]Inputs_Outputs!$B$5="Herbaceous",(LCA!$E$29*'[1]LOCH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69" s="5" t="str">
        <f>IF(M1469="","",$E$2*1000*'[1]LOCH Calc COE Calc'!$C$44)</f>
        <v/>
      </c>
      <c r="S1469" s="6" t="str">
        <f>IF(N1469="","",SUM(O1469:R1469)/('[1]LOCH Calc COE Calc'!$C$28))</f>
        <v/>
      </c>
      <c r="T1469" t="str">
        <f>IF(L1469="","",O1469/'[1]LOCH Calc COE Calc'!$C$28)</f>
        <v/>
      </c>
      <c r="U1469" t="str">
        <f>IF(L1469="","",P1469/'[1]LOCH Calc COE Calc'!$C$28)</f>
        <v/>
      </c>
      <c r="V1469" t="str">
        <f>IF(L1469="","",Q1469/'[1]LOCH Calc COE Calc'!$C$28)</f>
        <v/>
      </c>
      <c r="W1469" t="str">
        <f>IF(L1469="","",R1469/'[1]LOCH Calc COE Calc'!$C$28)</f>
        <v/>
      </c>
    </row>
    <row r="1470" spans="12:23" x14ac:dyDescent="0.25">
      <c r="L1470" s="4" t="str">
        <f>IF('[1]All Data '!BE1475="","",'[1]All Data '!BE1475)</f>
        <v/>
      </c>
      <c r="M1470" t="str">
        <f>IF('[1]All Data '!BF1475="","",'[1]All Data '!BF1475)</f>
        <v/>
      </c>
      <c r="N1470" s="5" t="str">
        <f>IF('[1]All Data '!BB1475="","",'[1]All Data '!BC1475/'[1]All Data '!BH1475)</f>
        <v/>
      </c>
      <c r="O1470" s="5" t="str">
        <f t="shared" si="24"/>
        <v/>
      </c>
      <c r="P1470" s="5" t="str">
        <f>IF(M1470="","",$C$2*(1-L1470)*907.2/0.621371*N1470*[1]Transportation!$M$40)</f>
        <v/>
      </c>
      <c r="Q1470" s="5" t="str">
        <f>IF(L1470="","",IF([1]Inputs_Outputs!$B$5="Herbaceous",(LCA!$E$29*'[1]LOCH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0" s="5" t="str">
        <f>IF(M1470="","",$E$2*1000*'[1]LOCH Calc COE Calc'!$C$44)</f>
        <v/>
      </c>
      <c r="S1470" s="6" t="str">
        <f>IF(N1470="","",SUM(O1470:R1470)/('[1]LOCH Calc COE Calc'!$C$28))</f>
        <v/>
      </c>
      <c r="T1470" t="str">
        <f>IF(L1470="","",O1470/'[1]LOCH Calc COE Calc'!$C$28)</f>
        <v/>
      </c>
      <c r="U1470" t="str">
        <f>IF(L1470="","",P1470/'[1]LOCH Calc COE Calc'!$C$28)</f>
        <v/>
      </c>
      <c r="V1470" t="str">
        <f>IF(L1470="","",Q1470/'[1]LOCH Calc COE Calc'!$C$28)</f>
        <v/>
      </c>
      <c r="W1470" t="str">
        <f>IF(L1470="","",R1470/'[1]LOCH Calc COE Calc'!$C$28)</f>
        <v/>
      </c>
    </row>
    <row r="1471" spans="12:23" x14ac:dyDescent="0.25">
      <c r="L1471" s="4" t="str">
        <f>IF('[1]All Data '!BE1476="","",'[1]All Data '!BE1476)</f>
        <v/>
      </c>
      <c r="M1471" t="str">
        <f>IF('[1]All Data '!BF1476="","",'[1]All Data '!BF1476)</f>
        <v/>
      </c>
      <c r="N1471" s="5" t="str">
        <f>IF('[1]All Data '!BB1476="","",'[1]All Data '!BC1476/'[1]All Data '!BH1476)</f>
        <v/>
      </c>
      <c r="O1471" s="5" t="str">
        <f t="shared" si="24"/>
        <v/>
      </c>
      <c r="P1471" s="5" t="str">
        <f>IF(M1471="","",$C$2*(1-L1471)*907.2/0.621371*N1471*[1]Transportation!$M$40)</f>
        <v/>
      </c>
      <c r="Q1471" s="5" t="str">
        <f>IF(L1471="","",IF([1]Inputs_Outputs!$B$5="Herbaceous",(LCA!$E$29*'[1]LOCH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1" s="5" t="str">
        <f>IF(M1471="","",$E$2*1000*'[1]LOCH Calc COE Calc'!$C$44)</f>
        <v/>
      </c>
      <c r="S1471" s="6" t="str">
        <f>IF(N1471="","",SUM(O1471:R1471)/('[1]LOCH Calc COE Calc'!$C$28))</f>
        <v/>
      </c>
      <c r="T1471" t="str">
        <f>IF(L1471="","",O1471/'[1]LOCH Calc COE Calc'!$C$28)</f>
        <v/>
      </c>
      <c r="U1471" t="str">
        <f>IF(L1471="","",P1471/'[1]LOCH Calc COE Calc'!$C$28)</f>
        <v/>
      </c>
      <c r="V1471" t="str">
        <f>IF(L1471="","",Q1471/'[1]LOCH Calc COE Calc'!$C$28)</f>
        <v/>
      </c>
      <c r="W1471" t="str">
        <f>IF(L1471="","",R1471/'[1]LOCH Calc COE Calc'!$C$28)</f>
        <v/>
      </c>
    </row>
    <row r="1472" spans="12:23" x14ac:dyDescent="0.25">
      <c r="L1472" s="4" t="str">
        <f>IF('[1]All Data '!BE1477="","",'[1]All Data '!BE1477)</f>
        <v/>
      </c>
      <c r="M1472" t="str">
        <f>IF('[1]All Data '!BF1477="","",'[1]All Data '!BF1477)</f>
        <v/>
      </c>
      <c r="N1472" s="5" t="str">
        <f>IF('[1]All Data '!BB1477="","",'[1]All Data '!BC1477/'[1]All Data '!BH1477)</f>
        <v/>
      </c>
      <c r="O1472" s="5" t="str">
        <f t="shared" si="24"/>
        <v/>
      </c>
      <c r="P1472" s="5" t="str">
        <f>IF(M1472="","",$C$2*(1-L1472)*907.2/0.621371*N1472*[1]Transportation!$M$40)</f>
        <v/>
      </c>
      <c r="Q1472" s="5" t="str">
        <f>IF(L1472="","",IF([1]Inputs_Outputs!$B$5="Herbaceous",(LCA!$E$29*'[1]LOCH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2" s="5" t="str">
        <f>IF(M1472="","",$E$2*1000*'[1]LOCH Calc COE Calc'!$C$44)</f>
        <v/>
      </c>
      <c r="S1472" s="6" t="str">
        <f>IF(N1472="","",SUM(O1472:R1472)/('[1]LOCH Calc COE Calc'!$C$28))</f>
        <v/>
      </c>
      <c r="T1472" t="str">
        <f>IF(L1472="","",O1472/'[1]LOCH Calc COE Calc'!$C$28)</f>
        <v/>
      </c>
      <c r="U1472" t="str">
        <f>IF(L1472="","",P1472/'[1]LOCH Calc COE Calc'!$C$28)</f>
        <v/>
      </c>
      <c r="V1472" t="str">
        <f>IF(L1472="","",Q1472/'[1]LOCH Calc COE Calc'!$C$28)</f>
        <v/>
      </c>
      <c r="W1472" t="str">
        <f>IF(L1472="","",R1472/'[1]LOCH Calc COE Calc'!$C$28)</f>
        <v/>
      </c>
    </row>
    <row r="1473" spans="12:23" x14ac:dyDescent="0.25">
      <c r="L1473" s="4" t="str">
        <f>IF('[1]All Data '!BE1478="","",'[1]All Data '!BE1478)</f>
        <v/>
      </c>
      <c r="M1473" t="str">
        <f>IF('[1]All Data '!BF1478="","",'[1]All Data '!BF1478)</f>
        <v/>
      </c>
      <c r="N1473" s="5" t="str">
        <f>IF('[1]All Data '!BB1478="","",'[1]All Data '!BC1478/'[1]All Data '!BH1478)</f>
        <v/>
      </c>
      <c r="O1473" s="5" t="str">
        <f t="shared" si="24"/>
        <v/>
      </c>
      <c r="P1473" s="5" t="str">
        <f>IF(M1473="","",$C$2*(1-L1473)*907.2/0.621371*N1473*[1]Transportation!$M$40)</f>
        <v/>
      </c>
      <c r="Q1473" s="5" t="str">
        <f>IF(L1473="","",IF([1]Inputs_Outputs!$B$5="Herbaceous",(LCA!$E$29*'[1]LOCH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3" s="5" t="str">
        <f>IF(M1473="","",$E$2*1000*'[1]LOCH Calc COE Calc'!$C$44)</f>
        <v/>
      </c>
      <c r="S1473" s="6" t="str">
        <f>IF(N1473="","",SUM(O1473:R1473)/('[1]LOCH Calc COE Calc'!$C$28))</f>
        <v/>
      </c>
      <c r="T1473" t="str">
        <f>IF(L1473="","",O1473/'[1]LOCH Calc COE Calc'!$C$28)</f>
        <v/>
      </c>
      <c r="U1473" t="str">
        <f>IF(L1473="","",P1473/'[1]LOCH Calc COE Calc'!$C$28)</f>
        <v/>
      </c>
      <c r="V1473" t="str">
        <f>IF(L1473="","",Q1473/'[1]LOCH Calc COE Calc'!$C$28)</f>
        <v/>
      </c>
      <c r="W1473" t="str">
        <f>IF(L1473="","",R1473/'[1]LOCH Calc COE Calc'!$C$28)</f>
        <v/>
      </c>
    </row>
    <row r="1474" spans="12:23" x14ac:dyDescent="0.25">
      <c r="L1474" s="4" t="str">
        <f>IF('[1]All Data '!BE1479="","",'[1]All Data '!BE1479)</f>
        <v/>
      </c>
      <c r="M1474" t="str">
        <f>IF('[1]All Data '!BF1479="","",'[1]All Data '!BF1479)</f>
        <v/>
      </c>
      <c r="N1474" s="5" t="str">
        <f>IF('[1]All Data '!BB1479="","",'[1]All Data '!BC1479/'[1]All Data '!BH1479)</f>
        <v/>
      </c>
      <c r="O1474" s="5" t="str">
        <f t="shared" si="24"/>
        <v/>
      </c>
      <c r="P1474" s="5" t="str">
        <f>IF(M1474="","",$C$2*(1-L1474)*907.2/0.621371*N1474*[1]Transportation!$M$40)</f>
        <v/>
      </c>
      <c r="Q1474" s="5" t="str">
        <f>IF(L1474="","",IF([1]Inputs_Outputs!$B$5="Herbaceous",(LCA!$E$29*'[1]LOCH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4" s="5" t="str">
        <f>IF(M1474="","",$E$2*1000*'[1]LOCH Calc COE Calc'!$C$44)</f>
        <v/>
      </c>
      <c r="S1474" s="6" t="str">
        <f>IF(N1474="","",SUM(O1474:R1474)/('[1]LOCH Calc COE Calc'!$C$28))</f>
        <v/>
      </c>
      <c r="T1474" t="str">
        <f>IF(L1474="","",O1474/'[1]LOCH Calc COE Calc'!$C$28)</f>
        <v/>
      </c>
      <c r="U1474" t="str">
        <f>IF(L1474="","",P1474/'[1]LOCH Calc COE Calc'!$C$28)</f>
        <v/>
      </c>
      <c r="V1474" t="str">
        <f>IF(L1474="","",Q1474/'[1]LOCH Calc COE Calc'!$C$28)</f>
        <v/>
      </c>
      <c r="W1474" t="str">
        <f>IF(L1474="","",R1474/'[1]LOCH Calc COE Calc'!$C$28)</f>
        <v/>
      </c>
    </row>
    <row r="1475" spans="12:23" x14ac:dyDescent="0.25">
      <c r="L1475" s="4" t="str">
        <f>IF('[1]All Data '!BE1480="","",'[1]All Data '!BE1480)</f>
        <v/>
      </c>
      <c r="M1475" t="str">
        <f>IF('[1]All Data '!BF1480="","",'[1]All Data '!BF1480)</f>
        <v/>
      </c>
      <c r="N1475" s="5" t="str">
        <f>IF('[1]All Data '!BB1480="","",'[1]All Data '!BC1480/'[1]All Data '!BH1480)</f>
        <v/>
      </c>
      <c r="O1475" s="5" t="str">
        <f t="shared" si="24"/>
        <v/>
      </c>
      <c r="P1475" s="5" t="str">
        <f>IF(M1475="","",$C$2*(1-L1475)*907.2/0.621371*N1475*[1]Transportation!$M$40)</f>
        <v/>
      </c>
      <c r="Q1475" s="5" t="str">
        <f>IF(L1475="","",IF([1]Inputs_Outputs!$B$5="Herbaceous",(LCA!$E$29*'[1]LOCH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5" s="5" t="str">
        <f>IF(M1475="","",$E$2*1000*'[1]LOCH Calc COE Calc'!$C$44)</f>
        <v/>
      </c>
      <c r="S1475" s="6" t="str">
        <f>IF(N1475="","",SUM(O1475:R1475)/('[1]LOCH Calc COE Calc'!$C$28))</f>
        <v/>
      </c>
      <c r="T1475" t="str">
        <f>IF(L1475="","",O1475/'[1]LOCH Calc COE Calc'!$C$28)</f>
        <v/>
      </c>
      <c r="U1475" t="str">
        <f>IF(L1475="","",P1475/'[1]LOCH Calc COE Calc'!$C$28)</f>
        <v/>
      </c>
      <c r="V1475" t="str">
        <f>IF(L1475="","",Q1475/'[1]LOCH Calc COE Calc'!$C$28)</f>
        <v/>
      </c>
      <c r="W1475" t="str">
        <f>IF(L1475="","",R1475/'[1]LOCH Calc COE Calc'!$C$28)</f>
        <v/>
      </c>
    </row>
    <row r="1476" spans="12:23" x14ac:dyDescent="0.25">
      <c r="L1476" s="4" t="str">
        <f>IF('[1]All Data '!BE1481="","",'[1]All Data '!BE1481)</f>
        <v/>
      </c>
      <c r="M1476" t="str">
        <f>IF('[1]All Data '!BF1481="","",'[1]All Data '!BF1481)</f>
        <v/>
      </c>
      <c r="N1476" s="5" t="str">
        <f>IF('[1]All Data '!BB1481="","",'[1]All Data '!BC1481/'[1]All Data '!BH1481)</f>
        <v/>
      </c>
      <c r="O1476" s="5" t="str">
        <f t="shared" ref="O1476:O1539" si="25">IF(N1476="","",M1476*N1476)</f>
        <v/>
      </c>
      <c r="P1476" s="5" t="str">
        <f>IF(M1476="","",$C$2*(1-L1476)*907.2/0.621371*N1476*[1]Transportation!$M$40)</f>
        <v/>
      </c>
      <c r="Q1476" s="5" t="str">
        <f>IF(L1476="","",IF([1]Inputs_Outputs!$B$5="Herbaceous",(LCA!$E$29*'[1]LOCH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6" s="5" t="str">
        <f>IF(M1476="","",$E$2*1000*'[1]LOCH Calc COE Calc'!$C$44)</f>
        <v/>
      </c>
      <c r="S1476" s="6" t="str">
        <f>IF(N1476="","",SUM(O1476:R1476)/('[1]LOCH Calc COE Calc'!$C$28))</f>
        <v/>
      </c>
      <c r="T1476" t="str">
        <f>IF(L1476="","",O1476/'[1]LOCH Calc COE Calc'!$C$28)</f>
        <v/>
      </c>
      <c r="U1476" t="str">
        <f>IF(L1476="","",P1476/'[1]LOCH Calc COE Calc'!$C$28)</f>
        <v/>
      </c>
      <c r="V1476" t="str">
        <f>IF(L1476="","",Q1476/'[1]LOCH Calc COE Calc'!$C$28)</f>
        <v/>
      </c>
      <c r="W1476" t="str">
        <f>IF(L1476="","",R1476/'[1]LOCH Calc COE Calc'!$C$28)</f>
        <v/>
      </c>
    </row>
    <row r="1477" spans="12:23" x14ac:dyDescent="0.25">
      <c r="L1477" s="4" t="str">
        <f>IF('[1]All Data '!BE1482="","",'[1]All Data '!BE1482)</f>
        <v/>
      </c>
      <c r="M1477" t="str">
        <f>IF('[1]All Data '!BF1482="","",'[1]All Data '!BF1482)</f>
        <v/>
      </c>
      <c r="N1477" s="5" t="str">
        <f>IF('[1]All Data '!BB1482="","",'[1]All Data '!BC1482/'[1]All Data '!BH1482)</f>
        <v/>
      </c>
      <c r="O1477" s="5" t="str">
        <f t="shared" si="25"/>
        <v/>
      </c>
      <c r="P1477" s="5" t="str">
        <f>IF(M1477="","",$C$2*(1-L1477)*907.2/0.621371*N1477*[1]Transportation!$M$40)</f>
        <v/>
      </c>
      <c r="Q1477" s="5" t="str">
        <f>IF(L1477="","",IF([1]Inputs_Outputs!$B$5="Herbaceous",(LCA!$E$29*'[1]LOCH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7" s="5" t="str">
        <f>IF(M1477="","",$E$2*1000*'[1]LOCH Calc COE Calc'!$C$44)</f>
        <v/>
      </c>
      <c r="S1477" s="6" t="str">
        <f>IF(N1477="","",SUM(O1477:R1477)/('[1]LOCH Calc COE Calc'!$C$28))</f>
        <v/>
      </c>
      <c r="T1477" t="str">
        <f>IF(L1477="","",O1477/'[1]LOCH Calc COE Calc'!$C$28)</f>
        <v/>
      </c>
      <c r="U1477" t="str">
        <f>IF(L1477="","",P1477/'[1]LOCH Calc COE Calc'!$C$28)</f>
        <v/>
      </c>
      <c r="V1477" t="str">
        <f>IF(L1477="","",Q1477/'[1]LOCH Calc COE Calc'!$C$28)</f>
        <v/>
      </c>
      <c r="W1477" t="str">
        <f>IF(L1477="","",R1477/'[1]LOCH Calc COE Calc'!$C$28)</f>
        <v/>
      </c>
    </row>
    <row r="1478" spans="12:23" x14ac:dyDescent="0.25">
      <c r="L1478" s="4" t="str">
        <f>IF('[1]All Data '!BE1483="","",'[1]All Data '!BE1483)</f>
        <v/>
      </c>
      <c r="M1478" t="str">
        <f>IF('[1]All Data '!BF1483="","",'[1]All Data '!BF1483)</f>
        <v/>
      </c>
      <c r="N1478" s="5" t="str">
        <f>IF('[1]All Data '!BB1483="","",'[1]All Data '!BC1483/'[1]All Data '!BH1483)</f>
        <v/>
      </c>
      <c r="O1478" s="5" t="str">
        <f t="shared" si="25"/>
        <v/>
      </c>
      <c r="P1478" s="5" t="str">
        <f>IF(M1478="","",$C$2*(1-L1478)*907.2/0.621371*N1478*[1]Transportation!$M$40)</f>
        <v/>
      </c>
      <c r="Q1478" s="5" t="str">
        <f>IF(L1478="","",IF([1]Inputs_Outputs!$B$5="Herbaceous",(LCA!$E$29*'[1]LOCH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8" s="5" t="str">
        <f>IF(M1478="","",$E$2*1000*'[1]LOCH Calc COE Calc'!$C$44)</f>
        <v/>
      </c>
      <c r="S1478" s="6" t="str">
        <f>IF(N1478="","",SUM(O1478:R1478)/('[1]LOCH Calc COE Calc'!$C$28))</f>
        <v/>
      </c>
      <c r="T1478" t="str">
        <f>IF(L1478="","",O1478/'[1]LOCH Calc COE Calc'!$C$28)</f>
        <v/>
      </c>
      <c r="U1478" t="str">
        <f>IF(L1478="","",P1478/'[1]LOCH Calc COE Calc'!$C$28)</f>
        <v/>
      </c>
      <c r="V1478" t="str">
        <f>IF(L1478="","",Q1478/'[1]LOCH Calc COE Calc'!$C$28)</f>
        <v/>
      </c>
      <c r="W1478" t="str">
        <f>IF(L1478="","",R1478/'[1]LOCH Calc COE Calc'!$C$28)</f>
        <v/>
      </c>
    </row>
    <row r="1479" spans="12:23" x14ac:dyDescent="0.25">
      <c r="L1479" s="4" t="str">
        <f>IF('[1]All Data '!BE1484="","",'[1]All Data '!BE1484)</f>
        <v/>
      </c>
      <c r="M1479" t="str">
        <f>IF('[1]All Data '!BF1484="","",'[1]All Data '!BF1484)</f>
        <v/>
      </c>
      <c r="N1479" s="5" t="str">
        <f>IF('[1]All Data '!BB1484="","",'[1]All Data '!BC1484/'[1]All Data '!BH1484)</f>
        <v/>
      </c>
      <c r="O1479" s="5" t="str">
        <f t="shared" si="25"/>
        <v/>
      </c>
      <c r="P1479" s="5" t="str">
        <f>IF(M1479="","",$C$2*(1-L1479)*907.2/0.621371*N1479*[1]Transportation!$M$40)</f>
        <v/>
      </c>
      <c r="Q1479" s="5" t="str">
        <f>IF(L1479="","",IF([1]Inputs_Outputs!$B$5="Herbaceous",(LCA!$E$29*'[1]LOCH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79" s="5" t="str">
        <f>IF(M1479="","",$E$2*1000*'[1]LOCH Calc COE Calc'!$C$44)</f>
        <v/>
      </c>
      <c r="S1479" s="6" t="str">
        <f>IF(N1479="","",SUM(O1479:R1479)/('[1]LOCH Calc COE Calc'!$C$28))</f>
        <v/>
      </c>
      <c r="T1479" t="str">
        <f>IF(L1479="","",O1479/'[1]LOCH Calc COE Calc'!$C$28)</f>
        <v/>
      </c>
      <c r="U1479" t="str">
        <f>IF(L1479="","",P1479/'[1]LOCH Calc COE Calc'!$C$28)</f>
        <v/>
      </c>
      <c r="V1479" t="str">
        <f>IF(L1479="","",Q1479/'[1]LOCH Calc COE Calc'!$C$28)</f>
        <v/>
      </c>
      <c r="W1479" t="str">
        <f>IF(L1479="","",R1479/'[1]LOCH Calc COE Calc'!$C$28)</f>
        <v/>
      </c>
    </row>
    <row r="1480" spans="12:23" x14ac:dyDescent="0.25">
      <c r="L1480" s="4" t="str">
        <f>IF('[1]All Data '!BE1485="","",'[1]All Data '!BE1485)</f>
        <v/>
      </c>
      <c r="M1480" t="str">
        <f>IF('[1]All Data '!BF1485="","",'[1]All Data '!BF1485)</f>
        <v/>
      </c>
      <c r="N1480" s="5" t="str">
        <f>IF('[1]All Data '!BB1485="","",'[1]All Data '!BC1485/'[1]All Data '!BH1485)</f>
        <v/>
      </c>
      <c r="O1480" s="5" t="str">
        <f t="shared" si="25"/>
        <v/>
      </c>
      <c r="P1480" s="5" t="str">
        <f>IF(M1480="","",$C$2*(1-L1480)*907.2/0.621371*N1480*[1]Transportation!$M$40)</f>
        <v/>
      </c>
      <c r="Q1480" s="5" t="str">
        <f>IF(L1480="","",IF([1]Inputs_Outputs!$B$5="Herbaceous",(LCA!$E$29*'[1]LOCH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0" s="5" t="str">
        <f>IF(M1480="","",$E$2*1000*'[1]LOCH Calc COE Calc'!$C$44)</f>
        <v/>
      </c>
      <c r="S1480" s="6" t="str">
        <f>IF(N1480="","",SUM(O1480:R1480)/('[1]LOCH Calc COE Calc'!$C$28))</f>
        <v/>
      </c>
      <c r="T1480" t="str">
        <f>IF(L1480="","",O1480/'[1]LOCH Calc COE Calc'!$C$28)</f>
        <v/>
      </c>
      <c r="U1480" t="str">
        <f>IF(L1480="","",P1480/'[1]LOCH Calc COE Calc'!$C$28)</f>
        <v/>
      </c>
      <c r="V1480" t="str">
        <f>IF(L1480="","",Q1480/'[1]LOCH Calc COE Calc'!$C$28)</f>
        <v/>
      </c>
      <c r="W1480" t="str">
        <f>IF(L1480="","",R1480/'[1]LOCH Calc COE Calc'!$C$28)</f>
        <v/>
      </c>
    </row>
    <row r="1481" spans="12:23" x14ac:dyDescent="0.25">
      <c r="L1481" s="4" t="str">
        <f>IF('[1]All Data '!BE1486="","",'[1]All Data '!BE1486)</f>
        <v/>
      </c>
      <c r="M1481" t="str">
        <f>IF('[1]All Data '!BF1486="","",'[1]All Data '!BF1486)</f>
        <v/>
      </c>
      <c r="N1481" s="5" t="str">
        <f>IF('[1]All Data '!BB1486="","",'[1]All Data '!BC1486/'[1]All Data '!BH1486)</f>
        <v/>
      </c>
      <c r="O1481" s="5" t="str">
        <f t="shared" si="25"/>
        <v/>
      </c>
      <c r="P1481" s="5" t="str">
        <f>IF(M1481="","",$C$2*(1-L1481)*907.2/0.621371*N1481*[1]Transportation!$M$40)</f>
        <v/>
      </c>
      <c r="Q1481" s="5" t="str">
        <f>IF(L1481="","",IF([1]Inputs_Outputs!$B$5="Herbaceous",(LCA!$E$29*'[1]LOCH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1" s="5" t="str">
        <f>IF(M1481="","",$E$2*1000*'[1]LOCH Calc COE Calc'!$C$44)</f>
        <v/>
      </c>
      <c r="S1481" s="6" t="str">
        <f>IF(N1481="","",SUM(O1481:R1481)/('[1]LOCH Calc COE Calc'!$C$28))</f>
        <v/>
      </c>
      <c r="T1481" t="str">
        <f>IF(L1481="","",O1481/'[1]LOCH Calc COE Calc'!$C$28)</f>
        <v/>
      </c>
      <c r="U1481" t="str">
        <f>IF(L1481="","",P1481/'[1]LOCH Calc COE Calc'!$C$28)</f>
        <v/>
      </c>
      <c r="V1481" t="str">
        <f>IF(L1481="","",Q1481/'[1]LOCH Calc COE Calc'!$C$28)</f>
        <v/>
      </c>
      <c r="W1481" t="str">
        <f>IF(L1481="","",R1481/'[1]LOCH Calc COE Calc'!$C$28)</f>
        <v/>
      </c>
    </row>
    <row r="1482" spans="12:23" x14ac:dyDescent="0.25">
      <c r="L1482" s="4" t="str">
        <f>IF('[1]All Data '!BE1487="","",'[1]All Data '!BE1487)</f>
        <v/>
      </c>
      <c r="M1482" t="str">
        <f>IF('[1]All Data '!BF1487="","",'[1]All Data '!BF1487)</f>
        <v/>
      </c>
      <c r="N1482" s="5" t="str">
        <f>IF('[1]All Data '!BB1487="","",'[1]All Data '!BC1487/'[1]All Data '!BH1487)</f>
        <v/>
      </c>
      <c r="O1482" s="5" t="str">
        <f t="shared" si="25"/>
        <v/>
      </c>
      <c r="P1482" s="5" t="str">
        <f>IF(M1482="","",$C$2*(1-L1482)*907.2/0.621371*N1482*[1]Transportation!$M$40)</f>
        <v/>
      </c>
      <c r="Q1482" s="5" t="str">
        <f>IF(L1482="","",IF([1]Inputs_Outputs!$B$5="Herbaceous",(LCA!$E$29*'[1]LOCH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2" s="5" t="str">
        <f>IF(M1482="","",$E$2*1000*'[1]LOCH Calc COE Calc'!$C$44)</f>
        <v/>
      </c>
      <c r="S1482" s="6" t="str">
        <f>IF(N1482="","",SUM(O1482:R1482)/('[1]LOCH Calc COE Calc'!$C$28))</f>
        <v/>
      </c>
      <c r="T1482" t="str">
        <f>IF(L1482="","",O1482/'[1]LOCH Calc COE Calc'!$C$28)</f>
        <v/>
      </c>
      <c r="U1482" t="str">
        <f>IF(L1482="","",P1482/'[1]LOCH Calc COE Calc'!$C$28)</f>
        <v/>
      </c>
      <c r="V1482" t="str">
        <f>IF(L1482="","",Q1482/'[1]LOCH Calc COE Calc'!$C$28)</f>
        <v/>
      </c>
      <c r="W1482" t="str">
        <f>IF(L1482="","",R1482/'[1]LOCH Calc COE Calc'!$C$28)</f>
        <v/>
      </c>
    </row>
    <row r="1483" spans="12:23" x14ac:dyDescent="0.25">
      <c r="L1483" s="4" t="str">
        <f>IF('[1]All Data '!BE1488="","",'[1]All Data '!BE1488)</f>
        <v/>
      </c>
      <c r="M1483" t="str">
        <f>IF('[1]All Data '!BF1488="","",'[1]All Data '!BF1488)</f>
        <v/>
      </c>
      <c r="N1483" s="5" t="str">
        <f>IF('[1]All Data '!BB1488="","",'[1]All Data '!BC1488/'[1]All Data '!BH1488)</f>
        <v/>
      </c>
      <c r="O1483" s="5" t="str">
        <f t="shared" si="25"/>
        <v/>
      </c>
      <c r="P1483" s="5" t="str">
        <f>IF(M1483="","",$C$2*(1-L1483)*907.2/0.621371*N1483*[1]Transportation!$M$40)</f>
        <v/>
      </c>
      <c r="Q1483" s="5" t="str">
        <f>IF(L1483="","",IF([1]Inputs_Outputs!$B$5="Herbaceous",(LCA!$E$29*'[1]LOCH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3" s="5" t="str">
        <f>IF(M1483="","",$E$2*1000*'[1]LOCH Calc COE Calc'!$C$44)</f>
        <v/>
      </c>
      <c r="S1483" s="6" t="str">
        <f>IF(N1483="","",SUM(O1483:R1483)/('[1]LOCH Calc COE Calc'!$C$28))</f>
        <v/>
      </c>
      <c r="T1483" t="str">
        <f>IF(L1483="","",O1483/'[1]LOCH Calc COE Calc'!$C$28)</f>
        <v/>
      </c>
      <c r="U1483" t="str">
        <f>IF(L1483="","",P1483/'[1]LOCH Calc COE Calc'!$C$28)</f>
        <v/>
      </c>
      <c r="V1483" t="str">
        <f>IF(L1483="","",Q1483/'[1]LOCH Calc COE Calc'!$C$28)</f>
        <v/>
      </c>
      <c r="W1483" t="str">
        <f>IF(L1483="","",R1483/'[1]LOCH Calc COE Calc'!$C$28)</f>
        <v/>
      </c>
    </row>
    <row r="1484" spans="12:23" x14ac:dyDescent="0.25">
      <c r="L1484" s="4" t="str">
        <f>IF('[1]All Data '!BE1489="","",'[1]All Data '!BE1489)</f>
        <v/>
      </c>
      <c r="M1484" t="str">
        <f>IF('[1]All Data '!BF1489="","",'[1]All Data '!BF1489)</f>
        <v/>
      </c>
      <c r="N1484" s="5" t="str">
        <f>IF('[1]All Data '!BB1489="","",'[1]All Data '!BC1489/'[1]All Data '!BH1489)</f>
        <v/>
      </c>
      <c r="O1484" s="5" t="str">
        <f t="shared" si="25"/>
        <v/>
      </c>
      <c r="P1484" s="5" t="str">
        <f>IF(M1484="","",$C$2*(1-L1484)*907.2/0.621371*N1484*[1]Transportation!$M$40)</f>
        <v/>
      </c>
      <c r="Q1484" s="5" t="str">
        <f>IF(L1484="","",IF([1]Inputs_Outputs!$B$5="Herbaceous",(LCA!$E$29*'[1]LOCH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4" s="5" t="str">
        <f>IF(M1484="","",$E$2*1000*'[1]LOCH Calc COE Calc'!$C$44)</f>
        <v/>
      </c>
      <c r="S1484" s="6" t="str">
        <f>IF(N1484="","",SUM(O1484:R1484)/('[1]LOCH Calc COE Calc'!$C$28))</f>
        <v/>
      </c>
      <c r="T1484" t="str">
        <f>IF(L1484="","",O1484/'[1]LOCH Calc COE Calc'!$C$28)</f>
        <v/>
      </c>
      <c r="U1484" t="str">
        <f>IF(L1484="","",P1484/'[1]LOCH Calc COE Calc'!$C$28)</f>
        <v/>
      </c>
      <c r="V1484" t="str">
        <f>IF(L1484="","",Q1484/'[1]LOCH Calc COE Calc'!$C$28)</f>
        <v/>
      </c>
      <c r="W1484" t="str">
        <f>IF(L1484="","",R1484/'[1]LOCH Calc COE Calc'!$C$28)</f>
        <v/>
      </c>
    </row>
    <row r="1485" spans="12:23" x14ac:dyDescent="0.25">
      <c r="L1485" s="4" t="str">
        <f>IF('[1]All Data '!BE1490="","",'[1]All Data '!BE1490)</f>
        <v/>
      </c>
      <c r="M1485" t="str">
        <f>IF('[1]All Data '!BF1490="","",'[1]All Data '!BF1490)</f>
        <v/>
      </c>
      <c r="N1485" s="5" t="str">
        <f>IF('[1]All Data '!BB1490="","",'[1]All Data '!BC1490/'[1]All Data '!BH1490)</f>
        <v/>
      </c>
      <c r="O1485" s="5" t="str">
        <f t="shared" si="25"/>
        <v/>
      </c>
      <c r="P1485" s="5" t="str">
        <f>IF(M1485="","",$C$2*(1-L1485)*907.2/0.621371*N1485*[1]Transportation!$M$40)</f>
        <v/>
      </c>
      <c r="Q1485" s="5" t="str">
        <f>IF(L1485="","",IF([1]Inputs_Outputs!$B$5="Herbaceous",(LCA!$E$29*'[1]LOCH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5" s="5" t="str">
        <f>IF(M1485="","",$E$2*1000*'[1]LOCH Calc COE Calc'!$C$44)</f>
        <v/>
      </c>
      <c r="S1485" s="6" t="str">
        <f>IF(N1485="","",SUM(O1485:R1485)/('[1]LOCH Calc COE Calc'!$C$28))</f>
        <v/>
      </c>
      <c r="T1485" t="str">
        <f>IF(L1485="","",O1485/'[1]LOCH Calc COE Calc'!$C$28)</f>
        <v/>
      </c>
      <c r="U1485" t="str">
        <f>IF(L1485="","",P1485/'[1]LOCH Calc COE Calc'!$C$28)</f>
        <v/>
      </c>
      <c r="V1485" t="str">
        <f>IF(L1485="","",Q1485/'[1]LOCH Calc COE Calc'!$C$28)</f>
        <v/>
      </c>
      <c r="W1485" t="str">
        <f>IF(L1485="","",R1485/'[1]LOCH Calc COE Calc'!$C$28)</f>
        <v/>
      </c>
    </row>
    <row r="1486" spans="12:23" x14ac:dyDescent="0.25">
      <c r="L1486" s="4" t="str">
        <f>IF('[1]All Data '!BE1491="","",'[1]All Data '!BE1491)</f>
        <v/>
      </c>
      <c r="M1486" t="str">
        <f>IF('[1]All Data '!BF1491="","",'[1]All Data '!BF1491)</f>
        <v/>
      </c>
      <c r="N1486" s="5" t="str">
        <f>IF('[1]All Data '!BB1491="","",'[1]All Data '!BC1491/'[1]All Data '!BH1491)</f>
        <v/>
      </c>
      <c r="O1486" s="5" t="str">
        <f t="shared" si="25"/>
        <v/>
      </c>
      <c r="P1486" s="5" t="str">
        <f>IF(M1486="","",$C$2*(1-L1486)*907.2/0.621371*N1486*[1]Transportation!$M$40)</f>
        <v/>
      </c>
      <c r="Q1486" s="5" t="str">
        <f>IF(L1486="","",IF([1]Inputs_Outputs!$B$5="Herbaceous",(LCA!$E$29*'[1]LOCH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6" s="5" t="str">
        <f>IF(M1486="","",$E$2*1000*'[1]LOCH Calc COE Calc'!$C$44)</f>
        <v/>
      </c>
      <c r="S1486" s="6" t="str">
        <f>IF(N1486="","",SUM(O1486:R1486)/('[1]LOCH Calc COE Calc'!$C$28))</f>
        <v/>
      </c>
      <c r="T1486" t="str">
        <f>IF(L1486="","",O1486/'[1]LOCH Calc COE Calc'!$C$28)</f>
        <v/>
      </c>
      <c r="U1486" t="str">
        <f>IF(L1486="","",P1486/'[1]LOCH Calc COE Calc'!$C$28)</f>
        <v/>
      </c>
      <c r="V1486" t="str">
        <f>IF(L1486="","",Q1486/'[1]LOCH Calc COE Calc'!$C$28)</f>
        <v/>
      </c>
      <c r="W1486" t="str">
        <f>IF(L1486="","",R1486/'[1]LOCH Calc COE Calc'!$C$28)</f>
        <v/>
      </c>
    </row>
    <row r="1487" spans="12:23" x14ac:dyDescent="0.25">
      <c r="L1487" s="4" t="str">
        <f>IF('[1]All Data '!BE1492="","",'[1]All Data '!BE1492)</f>
        <v/>
      </c>
      <c r="M1487" t="str">
        <f>IF('[1]All Data '!BF1492="","",'[1]All Data '!BF1492)</f>
        <v/>
      </c>
      <c r="N1487" s="5" t="str">
        <f>IF('[1]All Data '!BB1492="","",'[1]All Data '!BC1492/'[1]All Data '!BH1492)</f>
        <v/>
      </c>
      <c r="O1487" s="5" t="str">
        <f t="shared" si="25"/>
        <v/>
      </c>
      <c r="P1487" s="5" t="str">
        <f>IF(M1487="","",$C$2*(1-L1487)*907.2/0.621371*N1487*[1]Transportation!$M$40)</f>
        <v/>
      </c>
      <c r="Q1487" s="5" t="str">
        <f>IF(L1487="","",IF([1]Inputs_Outputs!$B$5="Herbaceous",(LCA!$E$29*'[1]LOCH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7" s="5" t="str">
        <f>IF(M1487="","",$E$2*1000*'[1]LOCH Calc COE Calc'!$C$44)</f>
        <v/>
      </c>
      <c r="S1487" s="6" t="str">
        <f>IF(N1487="","",SUM(O1487:R1487)/('[1]LOCH Calc COE Calc'!$C$28))</f>
        <v/>
      </c>
      <c r="T1487" t="str">
        <f>IF(L1487="","",O1487/'[1]LOCH Calc COE Calc'!$C$28)</f>
        <v/>
      </c>
      <c r="U1487" t="str">
        <f>IF(L1487="","",P1487/'[1]LOCH Calc COE Calc'!$C$28)</f>
        <v/>
      </c>
      <c r="V1487" t="str">
        <f>IF(L1487="","",Q1487/'[1]LOCH Calc COE Calc'!$C$28)</f>
        <v/>
      </c>
      <c r="W1487" t="str">
        <f>IF(L1487="","",R1487/'[1]LOCH Calc COE Calc'!$C$28)</f>
        <v/>
      </c>
    </row>
    <row r="1488" spans="12:23" x14ac:dyDescent="0.25">
      <c r="L1488" s="4" t="str">
        <f>IF('[1]All Data '!BE1493="","",'[1]All Data '!BE1493)</f>
        <v/>
      </c>
      <c r="M1488" t="str">
        <f>IF('[1]All Data '!BF1493="","",'[1]All Data '!BF1493)</f>
        <v/>
      </c>
      <c r="N1488" s="5" t="str">
        <f>IF('[1]All Data '!BB1493="","",'[1]All Data '!BC1493/'[1]All Data '!BH1493)</f>
        <v/>
      </c>
      <c r="O1488" s="5" t="str">
        <f t="shared" si="25"/>
        <v/>
      </c>
      <c r="P1488" s="5" t="str">
        <f>IF(M1488="","",$C$2*(1-L1488)*907.2/0.621371*N1488*[1]Transportation!$M$40)</f>
        <v/>
      </c>
      <c r="Q1488" s="5" t="str">
        <f>IF(L1488="","",IF([1]Inputs_Outputs!$B$5="Herbaceous",(LCA!$E$29*'[1]LOCH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8" s="5" t="str">
        <f>IF(M1488="","",$E$2*1000*'[1]LOCH Calc COE Calc'!$C$44)</f>
        <v/>
      </c>
      <c r="S1488" s="6" t="str">
        <f>IF(N1488="","",SUM(O1488:R1488)/('[1]LOCH Calc COE Calc'!$C$28))</f>
        <v/>
      </c>
      <c r="T1488" t="str">
        <f>IF(L1488="","",O1488/'[1]LOCH Calc COE Calc'!$C$28)</f>
        <v/>
      </c>
      <c r="U1488" t="str">
        <f>IF(L1488="","",P1488/'[1]LOCH Calc COE Calc'!$C$28)</f>
        <v/>
      </c>
      <c r="V1488" t="str">
        <f>IF(L1488="","",Q1488/'[1]LOCH Calc COE Calc'!$C$28)</f>
        <v/>
      </c>
      <c r="W1488" t="str">
        <f>IF(L1488="","",R1488/'[1]LOCH Calc COE Calc'!$C$28)</f>
        <v/>
      </c>
    </row>
    <row r="1489" spans="12:23" x14ac:dyDescent="0.25">
      <c r="L1489" s="4" t="str">
        <f>IF('[1]All Data '!BE1494="","",'[1]All Data '!BE1494)</f>
        <v/>
      </c>
      <c r="M1489" t="str">
        <f>IF('[1]All Data '!BF1494="","",'[1]All Data '!BF1494)</f>
        <v/>
      </c>
      <c r="N1489" s="5" t="str">
        <f>IF('[1]All Data '!BB1494="","",'[1]All Data '!BC1494/'[1]All Data '!BH1494)</f>
        <v/>
      </c>
      <c r="O1489" s="5" t="str">
        <f t="shared" si="25"/>
        <v/>
      </c>
      <c r="P1489" s="5" t="str">
        <f>IF(M1489="","",$C$2*(1-L1489)*907.2/0.621371*N1489*[1]Transportation!$M$40)</f>
        <v/>
      </c>
      <c r="Q1489" s="5" t="str">
        <f>IF(L1489="","",IF([1]Inputs_Outputs!$B$5="Herbaceous",(LCA!$E$29*'[1]LOCH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89" s="5" t="str">
        <f>IF(M1489="","",$E$2*1000*'[1]LOCH Calc COE Calc'!$C$44)</f>
        <v/>
      </c>
      <c r="S1489" s="6" t="str">
        <f>IF(N1489="","",SUM(O1489:R1489)/('[1]LOCH Calc COE Calc'!$C$28))</f>
        <v/>
      </c>
      <c r="T1489" t="str">
        <f>IF(L1489="","",O1489/'[1]LOCH Calc COE Calc'!$C$28)</f>
        <v/>
      </c>
      <c r="U1489" t="str">
        <f>IF(L1489="","",P1489/'[1]LOCH Calc COE Calc'!$C$28)</f>
        <v/>
      </c>
      <c r="V1489" t="str">
        <f>IF(L1489="","",Q1489/'[1]LOCH Calc COE Calc'!$C$28)</f>
        <v/>
      </c>
      <c r="W1489" t="str">
        <f>IF(L1489="","",R1489/'[1]LOCH Calc COE Calc'!$C$28)</f>
        <v/>
      </c>
    </row>
    <row r="1490" spans="12:23" x14ac:dyDescent="0.25">
      <c r="L1490" s="4" t="str">
        <f>IF('[1]All Data '!BE1495="","",'[1]All Data '!BE1495)</f>
        <v/>
      </c>
      <c r="M1490" t="str">
        <f>IF('[1]All Data '!BF1495="","",'[1]All Data '!BF1495)</f>
        <v/>
      </c>
      <c r="N1490" s="5" t="str">
        <f>IF('[1]All Data '!BB1495="","",'[1]All Data '!BC1495/'[1]All Data '!BH1495)</f>
        <v/>
      </c>
      <c r="O1490" s="5" t="str">
        <f t="shared" si="25"/>
        <v/>
      </c>
      <c r="P1490" s="5" t="str">
        <f>IF(M1490="","",$C$2*(1-L1490)*907.2/0.621371*N1490*[1]Transportation!$M$40)</f>
        <v/>
      </c>
      <c r="Q1490" s="5" t="str">
        <f>IF(L1490="","",IF([1]Inputs_Outputs!$B$5="Herbaceous",(LCA!$E$29*'[1]LOCH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0" s="5" t="str">
        <f>IF(M1490="","",$E$2*1000*'[1]LOCH Calc COE Calc'!$C$44)</f>
        <v/>
      </c>
      <c r="S1490" s="6" t="str">
        <f>IF(N1490="","",SUM(O1490:R1490)/('[1]LOCH Calc COE Calc'!$C$28))</f>
        <v/>
      </c>
      <c r="T1490" t="str">
        <f>IF(L1490="","",O1490/'[1]LOCH Calc COE Calc'!$C$28)</f>
        <v/>
      </c>
      <c r="U1490" t="str">
        <f>IF(L1490="","",P1490/'[1]LOCH Calc COE Calc'!$C$28)</f>
        <v/>
      </c>
      <c r="V1490" t="str">
        <f>IF(L1490="","",Q1490/'[1]LOCH Calc COE Calc'!$C$28)</f>
        <v/>
      </c>
      <c r="W1490" t="str">
        <f>IF(L1490="","",R1490/'[1]LOCH Calc COE Calc'!$C$28)</f>
        <v/>
      </c>
    </row>
    <row r="1491" spans="12:23" x14ac:dyDescent="0.25">
      <c r="L1491" s="4" t="str">
        <f>IF('[1]All Data '!BE1496="","",'[1]All Data '!BE1496)</f>
        <v/>
      </c>
      <c r="M1491" t="str">
        <f>IF('[1]All Data '!BF1496="","",'[1]All Data '!BF1496)</f>
        <v/>
      </c>
      <c r="N1491" s="5" t="str">
        <f>IF('[1]All Data '!BB1496="","",'[1]All Data '!BC1496/'[1]All Data '!BH1496)</f>
        <v/>
      </c>
      <c r="O1491" s="5" t="str">
        <f t="shared" si="25"/>
        <v/>
      </c>
      <c r="P1491" s="5" t="str">
        <f>IF(M1491="","",$C$2*(1-L1491)*907.2/0.621371*N1491*[1]Transportation!$M$40)</f>
        <v/>
      </c>
      <c r="Q1491" s="5" t="str">
        <f>IF(L1491="","",IF([1]Inputs_Outputs!$B$5="Herbaceous",(LCA!$E$29*'[1]LOCH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1" s="5" t="str">
        <f>IF(M1491="","",$E$2*1000*'[1]LOCH Calc COE Calc'!$C$44)</f>
        <v/>
      </c>
      <c r="S1491" s="6" t="str">
        <f>IF(N1491="","",SUM(O1491:R1491)/('[1]LOCH Calc COE Calc'!$C$28))</f>
        <v/>
      </c>
      <c r="T1491" t="str">
        <f>IF(L1491="","",O1491/'[1]LOCH Calc COE Calc'!$C$28)</f>
        <v/>
      </c>
      <c r="U1491" t="str">
        <f>IF(L1491="","",P1491/'[1]LOCH Calc COE Calc'!$C$28)</f>
        <v/>
      </c>
      <c r="V1491" t="str">
        <f>IF(L1491="","",Q1491/'[1]LOCH Calc COE Calc'!$C$28)</f>
        <v/>
      </c>
      <c r="W1491" t="str">
        <f>IF(L1491="","",R1491/'[1]LOCH Calc COE Calc'!$C$28)</f>
        <v/>
      </c>
    </row>
    <row r="1492" spans="12:23" x14ac:dyDescent="0.25">
      <c r="L1492" s="4" t="str">
        <f>IF('[1]All Data '!BE1497="","",'[1]All Data '!BE1497)</f>
        <v/>
      </c>
      <c r="M1492" t="str">
        <f>IF('[1]All Data '!BF1497="","",'[1]All Data '!BF1497)</f>
        <v/>
      </c>
      <c r="N1492" s="5" t="str">
        <f>IF('[1]All Data '!BB1497="","",'[1]All Data '!BC1497/'[1]All Data '!BH1497)</f>
        <v/>
      </c>
      <c r="O1492" s="5" t="str">
        <f t="shared" si="25"/>
        <v/>
      </c>
      <c r="P1492" s="5" t="str">
        <f>IF(M1492="","",$C$2*(1-L1492)*907.2/0.621371*N1492*[1]Transportation!$M$40)</f>
        <v/>
      </c>
      <c r="Q1492" s="5" t="str">
        <f>IF(L1492="","",IF([1]Inputs_Outputs!$B$5="Herbaceous",(LCA!$E$29*'[1]LOCH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2" s="5" t="str">
        <f>IF(M1492="","",$E$2*1000*'[1]LOCH Calc COE Calc'!$C$44)</f>
        <v/>
      </c>
      <c r="S1492" s="6" t="str">
        <f>IF(N1492="","",SUM(O1492:R1492)/('[1]LOCH Calc COE Calc'!$C$28))</f>
        <v/>
      </c>
      <c r="T1492" t="str">
        <f>IF(L1492="","",O1492/'[1]LOCH Calc COE Calc'!$C$28)</f>
        <v/>
      </c>
      <c r="U1492" t="str">
        <f>IF(L1492="","",P1492/'[1]LOCH Calc COE Calc'!$C$28)</f>
        <v/>
      </c>
      <c r="V1492" t="str">
        <f>IF(L1492="","",Q1492/'[1]LOCH Calc COE Calc'!$C$28)</f>
        <v/>
      </c>
      <c r="W1492" t="str">
        <f>IF(L1492="","",R1492/'[1]LOCH Calc COE Calc'!$C$28)</f>
        <v/>
      </c>
    </row>
    <row r="1493" spans="12:23" x14ac:dyDescent="0.25">
      <c r="L1493" s="4" t="str">
        <f>IF('[1]All Data '!BE1498="","",'[1]All Data '!BE1498)</f>
        <v/>
      </c>
      <c r="M1493" t="str">
        <f>IF('[1]All Data '!BF1498="","",'[1]All Data '!BF1498)</f>
        <v/>
      </c>
      <c r="N1493" s="5" t="str">
        <f>IF('[1]All Data '!BB1498="","",'[1]All Data '!BC1498/'[1]All Data '!BH1498)</f>
        <v/>
      </c>
      <c r="O1493" s="5" t="str">
        <f t="shared" si="25"/>
        <v/>
      </c>
      <c r="P1493" s="5" t="str">
        <f>IF(M1493="","",$C$2*(1-L1493)*907.2/0.621371*N1493*[1]Transportation!$M$40)</f>
        <v/>
      </c>
      <c r="Q1493" s="5" t="str">
        <f>IF(L1493="","",IF([1]Inputs_Outputs!$B$5="Herbaceous",(LCA!$E$29*'[1]LOCH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3" s="5" t="str">
        <f>IF(M1493="","",$E$2*1000*'[1]LOCH Calc COE Calc'!$C$44)</f>
        <v/>
      </c>
      <c r="S1493" s="6" t="str">
        <f>IF(N1493="","",SUM(O1493:R1493)/('[1]LOCH Calc COE Calc'!$C$28))</f>
        <v/>
      </c>
      <c r="T1493" t="str">
        <f>IF(L1493="","",O1493/'[1]LOCH Calc COE Calc'!$C$28)</f>
        <v/>
      </c>
      <c r="U1493" t="str">
        <f>IF(L1493="","",P1493/'[1]LOCH Calc COE Calc'!$C$28)</f>
        <v/>
      </c>
      <c r="V1493" t="str">
        <f>IF(L1493="","",Q1493/'[1]LOCH Calc COE Calc'!$C$28)</f>
        <v/>
      </c>
      <c r="W1493" t="str">
        <f>IF(L1493="","",R1493/'[1]LOCH Calc COE Calc'!$C$28)</f>
        <v/>
      </c>
    </row>
    <row r="1494" spans="12:23" x14ac:dyDescent="0.25">
      <c r="L1494" s="4" t="str">
        <f>IF('[1]All Data '!BE1499="","",'[1]All Data '!BE1499)</f>
        <v/>
      </c>
      <c r="M1494" t="str">
        <f>IF('[1]All Data '!BF1499="","",'[1]All Data '!BF1499)</f>
        <v/>
      </c>
      <c r="N1494" s="5" t="str">
        <f>IF('[1]All Data '!BB1499="","",'[1]All Data '!BC1499/'[1]All Data '!BH1499)</f>
        <v/>
      </c>
      <c r="O1494" s="5" t="str">
        <f t="shared" si="25"/>
        <v/>
      </c>
      <c r="P1494" s="5" t="str">
        <f>IF(M1494="","",$C$2*(1-L1494)*907.2/0.621371*N1494*[1]Transportation!$M$40)</f>
        <v/>
      </c>
      <c r="Q1494" s="5" t="str">
        <f>IF(L1494="","",IF([1]Inputs_Outputs!$B$5="Herbaceous",(LCA!$E$29*'[1]LOCH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4" s="5" t="str">
        <f>IF(M1494="","",$E$2*1000*'[1]LOCH Calc COE Calc'!$C$44)</f>
        <v/>
      </c>
      <c r="S1494" s="6" t="str">
        <f>IF(N1494="","",SUM(O1494:R1494)/('[1]LOCH Calc COE Calc'!$C$28))</f>
        <v/>
      </c>
      <c r="T1494" t="str">
        <f>IF(L1494="","",O1494/'[1]LOCH Calc COE Calc'!$C$28)</f>
        <v/>
      </c>
      <c r="U1494" t="str">
        <f>IF(L1494="","",P1494/'[1]LOCH Calc COE Calc'!$C$28)</f>
        <v/>
      </c>
      <c r="V1494" t="str">
        <f>IF(L1494="","",Q1494/'[1]LOCH Calc COE Calc'!$C$28)</f>
        <v/>
      </c>
      <c r="W1494" t="str">
        <f>IF(L1494="","",R1494/'[1]LOCH Calc COE Calc'!$C$28)</f>
        <v/>
      </c>
    </row>
    <row r="1495" spans="12:23" x14ac:dyDescent="0.25">
      <c r="L1495" s="4" t="str">
        <f>IF('[1]All Data '!BE1500="","",'[1]All Data '!BE1500)</f>
        <v/>
      </c>
      <c r="M1495" t="str">
        <f>IF('[1]All Data '!BF1500="","",'[1]All Data '!BF1500)</f>
        <v/>
      </c>
      <c r="N1495" s="5" t="str">
        <f>IF('[1]All Data '!BB1500="","",'[1]All Data '!BC1500/'[1]All Data '!BH1500)</f>
        <v/>
      </c>
      <c r="O1495" s="5" t="str">
        <f t="shared" si="25"/>
        <v/>
      </c>
      <c r="P1495" s="5" t="str">
        <f>IF(M1495="","",$C$2*(1-L1495)*907.2/0.621371*N1495*[1]Transportation!$M$40)</f>
        <v/>
      </c>
      <c r="Q1495" s="5" t="str">
        <f>IF(L1495="","",IF([1]Inputs_Outputs!$B$5="Herbaceous",(LCA!$E$29*'[1]LOCH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5" s="5" t="str">
        <f>IF(M1495="","",$E$2*1000*'[1]LOCH Calc COE Calc'!$C$44)</f>
        <v/>
      </c>
      <c r="S1495" s="6" t="str">
        <f>IF(N1495="","",SUM(O1495:R1495)/('[1]LOCH Calc COE Calc'!$C$28))</f>
        <v/>
      </c>
      <c r="T1495" t="str">
        <f>IF(L1495="","",O1495/'[1]LOCH Calc COE Calc'!$C$28)</f>
        <v/>
      </c>
      <c r="U1495" t="str">
        <f>IF(L1495="","",P1495/'[1]LOCH Calc COE Calc'!$C$28)</f>
        <v/>
      </c>
      <c r="V1495" t="str">
        <f>IF(L1495="","",Q1495/'[1]LOCH Calc COE Calc'!$C$28)</f>
        <v/>
      </c>
      <c r="W1495" t="str">
        <f>IF(L1495="","",R1495/'[1]LOCH Calc COE Calc'!$C$28)</f>
        <v/>
      </c>
    </row>
    <row r="1496" spans="12:23" x14ac:dyDescent="0.25">
      <c r="L1496" s="4" t="str">
        <f>IF('[1]All Data '!BE1501="","",'[1]All Data '!BE1501)</f>
        <v/>
      </c>
      <c r="M1496" t="str">
        <f>IF('[1]All Data '!BF1501="","",'[1]All Data '!BF1501)</f>
        <v/>
      </c>
      <c r="N1496" s="5" t="str">
        <f>IF('[1]All Data '!BB1501="","",'[1]All Data '!BC1501/'[1]All Data '!BH1501)</f>
        <v/>
      </c>
      <c r="O1496" s="5" t="str">
        <f t="shared" si="25"/>
        <v/>
      </c>
      <c r="P1496" s="5" t="str">
        <f>IF(M1496="","",$C$2*(1-L1496)*907.2/0.621371*N1496*[1]Transportation!$M$40)</f>
        <v/>
      </c>
      <c r="Q1496" s="5" t="str">
        <f>IF(L1496="","",IF([1]Inputs_Outputs!$B$5="Herbaceous",(LCA!$E$29*'[1]LOCH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6" s="5" t="str">
        <f>IF(M1496="","",$E$2*1000*'[1]LOCH Calc COE Calc'!$C$44)</f>
        <v/>
      </c>
      <c r="S1496" s="6" t="str">
        <f>IF(N1496="","",SUM(O1496:R1496)/('[1]LOCH Calc COE Calc'!$C$28))</f>
        <v/>
      </c>
      <c r="T1496" t="str">
        <f>IF(L1496="","",O1496/'[1]LOCH Calc COE Calc'!$C$28)</f>
        <v/>
      </c>
      <c r="U1496" t="str">
        <f>IF(L1496="","",P1496/'[1]LOCH Calc COE Calc'!$C$28)</f>
        <v/>
      </c>
      <c r="V1496" t="str">
        <f>IF(L1496="","",Q1496/'[1]LOCH Calc COE Calc'!$C$28)</f>
        <v/>
      </c>
      <c r="W1496" t="str">
        <f>IF(L1496="","",R1496/'[1]LOCH Calc COE Calc'!$C$28)</f>
        <v/>
      </c>
    </row>
    <row r="1497" spans="12:23" x14ac:dyDescent="0.25">
      <c r="L1497" s="4" t="str">
        <f>IF('[1]All Data '!BE1502="","",'[1]All Data '!BE1502)</f>
        <v/>
      </c>
      <c r="M1497" t="str">
        <f>IF('[1]All Data '!BF1502="","",'[1]All Data '!BF1502)</f>
        <v/>
      </c>
      <c r="N1497" s="5" t="str">
        <f>IF('[1]All Data '!BB1502="","",'[1]All Data '!BC1502/'[1]All Data '!BH1502)</f>
        <v/>
      </c>
      <c r="O1497" s="5" t="str">
        <f t="shared" si="25"/>
        <v/>
      </c>
      <c r="P1497" s="5" t="str">
        <f>IF(M1497="","",$C$2*(1-L1497)*907.2/0.621371*N1497*[1]Transportation!$M$40)</f>
        <v/>
      </c>
      <c r="Q1497" s="5" t="str">
        <f>IF(L1497="","",IF([1]Inputs_Outputs!$B$5="Herbaceous",(LCA!$E$29*'[1]LOCH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7" s="5" t="str">
        <f>IF(M1497="","",$E$2*1000*'[1]LOCH Calc COE Calc'!$C$44)</f>
        <v/>
      </c>
      <c r="S1497" s="6" t="str">
        <f>IF(N1497="","",SUM(O1497:R1497)/('[1]LOCH Calc COE Calc'!$C$28))</f>
        <v/>
      </c>
      <c r="T1497" t="str">
        <f>IF(L1497="","",O1497/'[1]LOCH Calc COE Calc'!$C$28)</f>
        <v/>
      </c>
      <c r="U1497" t="str">
        <f>IF(L1497="","",P1497/'[1]LOCH Calc COE Calc'!$C$28)</f>
        <v/>
      </c>
      <c r="V1497" t="str">
        <f>IF(L1497="","",Q1497/'[1]LOCH Calc COE Calc'!$C$28)</f>
        <v/>
      </c>
      <c r="W1497" t="str">
        <f>IF(L1497="","",R1497/'[1]LOCH Calc COE Calc'!$C$28)</f>
        <v/>
      </c>
    </row>
    <row r="1498" spans="12:23" x14ac:dyDescent="0.25">
      <c r="L1498" s="4" t="str">
        <f>IF('[1]All Data '!BE1503="","",'[1]All Data '!BE1503)</f>
        <v/>
      </c>
      <c r="M1498" t="str">
        <f>IF('[1]All Data '!BF1503="","",'[1]All Data '!BF1503)</f>
        <v/>
      </c>
      <c r="N1498" s="5" t="str">
        <f>IF('[1]All Data '!BB1503="","",'[1]All Data '!BC1503/'[1]All Data '!BH1503)</f>
        <v/>
      </c>
      <c r="O1498" s="5" t="str">
        <f t="shared" si="25"/>
        <v/>
      </c>
      <c r="P1498" s="5" t="str">
        <f>IF(M1498="","",$C$2*(1-L1498)*907.2/0.621371*N1498*[1]Transportation!$M$40)</f>
        <v/>
      </c>
      <c r="Q1498" s="5" t="str">
        <f>IF(L1498="","",IF([1]Inputs_Outputs!$B$5="Herbaceous",(LCA!$E$29*'[1]LOCH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8" s="5" t="str">
        <f>IF(M1498="","",$E$2*1000*'[1]LOCH Calc COE Calc'!$C$44)</f>
        <v/>
      </c>
      <c r="S1498" s="6" t="str">
        <f>IF(N1498="","",SUM(O1498:R1498)/('[1]LOCH Calc COE Calc'!$C$28))</f>
        <v/>
      </c>
      <c r="T1498" t="str">
        <f>IF(L1498="","",O1498/'[1]LOCH Calc COE Calc'!$C$28)</f>
        <v/>
      </c>
      <c r="U1498" t="str">
        <f>IF(L1498="","",P1498/'[1]LOCH Calc COE Calc'!$C$28)</f>
        <v/>
      </c>
      <c r="V1498" t="str">
        <f>IF(L1498="","",Q1498/'[1]LOCH Calc COE Calc'!$C$28)</f>
        <v/>
      </c>
      <c r="W1498" t="str">
        <f>IF(L1498="","",R1498/'[1]LOCH Calc COE Calc'!$C$28)</f>
        <v/>
      </c>
    </row>
    <row r="1499" spans="12:23" x14ac:dyDescent="0.25">
      <c r="L1499" s="4" t="str">
        <f>IF('[1]All Data '!BE1504="","",'[1]All Data '!BE1504)</f>
        <v/>
      </c>
      <c r="M1499" t="str">
        <f>IF('[1]All Data '!BF1504="","",'[1]All Data '!BF1504)</f>
        <v/>
      </c>
      <c r="N1499" s="5" t="str">
        <f>IF('[1]All Data '!BB1504="","",'[1]All Data '!BC1504/'[1]All Data '!BH1504)</f>
        <v/>
      </c>
      <c r="O1499" s="5" t="str">
        <f t="shared" si="25"/>
        <v/>
      </c>
      <c r="P1499" s="5" t="str">
        <f>IF(M1499="","",$C$2*(1-L1499)*907.2/0.621371*N1499*[1]Transportation!$M$40)</f>
        <v/>
      </c>
      <c r="Q1499" s="5" t="str">
        <f>IF(L1499="","",IF([1]Inputs_Outputs!$B$5="Herbaceous",(LCA!$E$29*'[1]LOCH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499" s="5" t="str">
        <f>IF(M1499="","",$E$2*1000*'[1]LOCH Calc COE Calc'!$C$44)</f>
        <v/>
      </c>
      <c r="S1499" s="6" t="str">
        <f>IF(N1499="","",SUM(O1499:R1499)/('[1]LOCH Calc COE Calc'!$C$28))</f>
        <v/>
      </c>
      <c r="T1499" t="str">
        <f>IF(L1499="","",O1499/'[1]LOCH Calc COE Calc'!$C$28)</f>
        <v/>
      </c>
      <c r="U1499" t="str">
        <f>IF(L1499="","",P1499/'[1]LOCH Calc COE Calc'!$C$28)</f>
        <v/>
      </c>
      <c r="V1499" t="str">
        <f>IF(L1499="","",Q1499/'[1]LOCH Calc COE Calc'!$C$28)</f>
        <v/>
      </c>
      <c r="W1499" t="str">
        <f>IF(L1499="","",R1499/'[1]LOCH Calc COE Calc'!$C$28)</f>
        <v/>
      </c>
    </row>
    <row r="1500" spans="12:23" x14ac:dyDescent="0.25">
      <c r="L1500" s="4" t="str">
        <f>IF('[1]All Data '!BE1505="","",'[1]All Data '!BE1505)</f>
        <v/>
      </c>
      <c r="M1500" t="str">
        <f>IF('[1]All Data '!BF1505="","",'[1]All Data '!BF1505)</f>
        <v/>
      </c>
      <c r="N1500" s="5" t="str">
        <f>IF('[1]All Data '!BB1505="","",'[1]All Data '!BC1505/'[1]All Data '!BH1505)</f>
        <v/>
      </c>
      <c r="O1500" s="5" t="str">
        <f t="shared" si="25"/>
        <v/>
      </c>
      <c r="P1500" s="5" t="str">
        <f>IF(M1500="","",$C$2*(1-L1500)*907.2/0.621371*N1500*[1]Transportation!$M$40)</f>
        <v/>
      </c>
      <c r="Q1500" s="5" t="str">
        <f>IF(L1500="","",IF([1]Inputs_Outputs!$B$5="Herbaceous",(LCA!$E$29*'[1]LOCH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0" s="5" t="str">
        <f>IF(M1500="","",$E$2*1000*'[1]LOCH Calc COE Calc'!$C$44)</f>
        <v/>
      </c>
      <c r="S1500" s="6" t="str">
        <f>IF(N1500="","",SUM(O1500:R1500)/('[1]LOCH Calc COE Calc'!$C$28))</f>
        <v/>
      </c>
      <c r="T1500" t="str">
        <f>IF(L1500="","",O1500/'[1]LOCH Calc COE Calc'!$C$28)</f>
        <v/>
      </c>
      <c r="U1500" t="str">
        <f>IF(L1500="","",P1500/'[1]LOCH Calc COE Calc'!$C$28)</f>
        <v/>
      </c>
      <c r="V1500" t="str">
        <f>IF(L1500="","",Q1500/'[1]LOCH Calc COE Calc'!$C$28)</f>
        <v/>
      </c>
      <c r="W1500" t="str">
        <f>IF(L1500="","",R1500/'[1]LOCH Calc COE Calc'!$C$28)</f>
        <v/>
      </c>
    </row>
    <row r="1501" spans="12:23" x14ac:dyDescent="0.25">
      <c r="L1501" s="4" t="str">
        <f>IF('[1]All Data '!BE1506="","",'[1]All Data '!BE1506)</f>
        <v/>
      </c>
      <c r="M1501" t="str">
        <f>IF('[1]All Data '!BF1506="","",'[1]All Data '!BF1506)</f>
        <v/>
      </c>
      <c r="N1501" s="5" t="str">
        <f>IF('[1]All Data '!BB1506="","",'[1]All Data '!BC1506/'[1]All Data '!BH1506)</f>
        <v/>
      </c>
      <c r="O1501" s="5" t="str">
        <f t="shared" si="25"/>
        <v/>
      </c>
      <c r="P1501" s="5" t="str">
        <f>IF(M1501="","",$C$2*(1-L1501)*907.2/0.621371*N1501*[1]Transportation!$M$40)</f>
        <v/>
      </c>
      <c r="Q1501" s="5" t="str">
        <f>IF(L1501="","",IF([1]Inputs_Outputs!$B$5="Herbaceous",(LCA!$E$29*'[1]LOCH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1" s="5" t="str">
        <f>IF(M1501="","",$E$2*1000*'[1]LOCH Calc COE Calc'!$C$44)</f>
        <v/>
      </c>
      <c r="S1501" s="6" t="str">
        <f>IF(N1501="","",SUM(O1501:R1501)/('[1]LOCH Calc COE Calc'!$C$28))</f>
        <v/>
      </c>
      <c r="T1501" t="str">
        <f>IF(L1501="","",O1501/'[1]LOCH Calc COE Calc'!$C$28)</f>
        <v/>
      </c>
      <c r="U1501" t="str">
        <f>IF(L1501="","",P1501/'[1]LOCH Calc COE Calc'!$C$28)</f>
        <v/>
      </c>
      <c r="V1501" t="str">
        <f>IF(L1501="","",Q1501/'[1]LOCH Calc COE Calc'!$C$28)</f>
        <v/>
      </c>
      <c r="W1501" t="str">
        <f>IF(L1501="","",R1501/'[1]LOCH Calc COE Calc'!$C$28)</f>
        <v/>
      </c>
    </row>
    <row r="1502" spans="12:23" x14ac:dyDescent="0.25">
      <c r="L1502" s="4" t="str">
        <f>IF('[1]All Data '!BE1507="","",'[1]All Data '!BE1507)</f>
        <v/>
      </c>
      <c r="M1502" t="str">
        <f>IF('[1]All Data '!BF1507="","",'[1]All Data '!BF1507)</f>
        <v/>
      </c>
      <c r="N1502" s="5" t="str">
        <f>IF('[1]All Data '!BB1507="","",'[1]All Data '!BC1507/'[1]All Data '!BH1507)</f>
        <v/>
      </c>
      <c r="O1502" s="5" t="str">
        <f t="shared" si="25"/>
        <v/>
      </c>
      <c r="P1502" s="5" t="str">
        <f>IF(M1502="","",$C$2*(1-L1502)*907.2/0.621371*N1502*[1]Transportation!$M$40)</f>
        <v/>
      </c>
      <c r="Q1502" s="5" t="str">
        <f>IF(L1502="","",IF([1]Inputs_Outputs!$B$5="Herbaceous",(LCA!$E$29*'[1]LOCH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2" s="5" t="str">
        <f>IF(M1502="","",$E$2*1000*'[1]LOCH Calc COE Calc'!$C$44)</f>
        <v/>
      </c>
      <c r="S1502" s="6" t="str">
        <f>IF(N1502="","",SUM(O1502:R1502)/('[1]LOCH Calc COE Calc'!$C$28))</f>
        <v/>
      </c>
      <c r="T1502" t="str">
        <f>IF(L1502="","",O1502/'[1]LOCH Calc COE Calc'!$C$28)</f>
        <v/>
      </c>
      <c r="U1502" t="str">
        <f>IF(L1502="","",P1502/'[1]LOCH Calc COE Calc'!$C$28)</f>
        <v/>
      </c>
      <c r="V1502" t="str">
        <f>IF(L1502="","",Q1502/'[1]LOCH Calc COE Calc'!$C$28)</f>
        <v/>
      </c>
      <c r="W1502" t="str">
        <f>IF(L1502="","",R1502/'[1]LOCH Calc COE Calc'!$C$28)</f>
        <v/>
      </c>
    </row>
    <row r="1503" spans="12:23" x14ac:dyDescent="0.25">
      <c r="L1503" s="4" t="str">
        <f>IF('[1]All Data '!BE1508="","",'[1]All Data '!BE1508)</f>
        <v/>
      </c>
      <c r="M1503" t="str">
        <f>IF('[1]All Data '!BF1508="","",'[1]All Data '!BF1508)</f>
        <v/>
      </c>
      <c r="N1503" s="5" t="str">
        <f>IF('[1]All Data '!BB1508="","",'[1]All Data '!BC1508/'[1]All Data '!BH1508)</f>
        <v/>
      </c>
      <c r="O1503" s="5" t="str">
        <f t="shared" si="25"/>
        <v/>
      </c>
      <c r="P1503" s="5" t="str">
        <f>IF(M1503="","",$C$2*(1-L1503)*907.2/0.621371*N1503*[1]Transportation!$M$40)</f>
        <v/>
      </c>
      <c r="Q1503" s="5" t="str">
        <f>IF(L1503="","",IF([1]Inputs_Outputs!$B$5="Herbaceous",(LCA!$E$29*'[1]LOCH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3" s="5" t="str">
        <f>IF(M1503="","",$E$2*1000*'[1]LOCH Calc COE Calc'!$C$44)</f>
        <v/>
      </c>
      <c r="S1503" s="6" t="str">
        <f>IF(N1503="","",SUM(O1503:R1503)/('[1]LOCH Calc COE Calc'!$C$28))</f>
        <v/>
      </c>
      <c r="T1503" t="str">
        <f>IF(L1503="","",O1503/'[1]LOCH Calc COE Calc'!$C$28)</f>
        <v/>
      </c>
      <c r="U1503" t="str">
        <f>IF(L1503="","",P1503/'[1]LOCH Calc COE Calc'!$C$28)</f>
        <v/>
      </c>
      <c r="V1503" t="str">
        <f>IF(L1503="","",Q1503/'[1]LOCH Calc COE Calc'!$C$28)</f>
        <v/>
      </c>
      <c r="W1503" t="str">
        <f>IF(L1503="","",R1503/'[1]LOCH Calc COE Calc'!$C$28)</f>
        <v/>
      </c>
    </row>
    <row r="1504" spans="12:23" x14ac:dyDescent="0.25">
      <c r="L1504" s="4" t="str">
        <f>IF('[1]All Data '!BE1509="","",'[1]All Data '!BE1509)</f>
        <v/>
      </c>
      <c r="M1504" t="str">
        <f>IF('[1]All Data '!BF1509="","",'[1]All Data '!BF1509)</f>
        <v/>
      </c>
      <c r="N1504" s="5" t="str">
        <f>IF('[1]All Data '!BB1509="","",'[1]All Data '!BC1509/'[1]All Data '!BH1509)</f>
        <v/>
      </c>
      <c r="O1504" s="5" t="str">
        <f t="shared" si="25"/>
        <v/>
      </c>
      <c r="P1504" s="5" t="str">
        <f>IF(M1504="","",$C$2*(1-L1504)*907.2/0.621371*N1504*[1]Transportation!$M$40)</f>
        <v/>
      </c>
      <c r="Q1504" s="5" t="str">
        <f>IF(L1504="","",IF([1]Inputs_Outputs!$B$5="Herbaceous",(LCA!$E$29*'[1]LOCH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4" s="5" t="str">
        <f>IF(M1504="","",$E$2*1000*'[1]LOCH Calc COE Calc'!$C$44)</f>
        <v/>
      </c>
      <c r="S1504" s="6" t="str">
        <f>IF(N1504="","",SUM(O1504:R1504)/('[1]LOCH Calc COE Calc'!$C$28))</f>
        <v/>
      </c>
      <c r="T1504" t="str">
        <f>IF(L1504="","",O1504/'[1]LOCH Calc COE Calc'!$C$28)</f>
        <v/>
      </c>
      <c r="U1504" t="str">
        <f>IF(L1504="","",P1504/'[1]LOCH Calc COE Calc'!$C$28)</f>
        <v/>
      </c>
      <c r="V1504" t="str">
        <f>IF(L1504="","",Q1504/'[1]LOCH Calc COE Calc'!$C$28)</f>
        <v/>
      </c>
      <c r="W1504" t="str">
        <f>IF(L1504="","",R1504/'[1]LOCH Calc COE Calc'!$C$28)</f>
        <v/>
      </c>
    </row>
    <row r="1505" spans="12:23" x14ac:dyDescent="0.25">
      <c r="L1505" s="4" t="str">
        <f>IF('[1]All Data '!BE1510="","",'[1]All Data '!BE1510)</f>
        <v/>
      </c>
      <c r="M1505" t="str">
        <f>IF('[1]All Data '!BF1510="","",'[1]All Data '!BF1510)</f>
        <v/>
      </c>
      <c r="N1505" s="5" t="str">
        <f>IF('[1]All Data '!BB1510="","",'[1]All Data '!BC1510/'[1]All Data '!BH1510)</f>
        <v/>
      </c>
      <c r="O1505" s="5" t="str">
        <f t="shared" si="25"/>
        <v/>
      </c>
      <c r="P1505" s="5" t="str">
        <f>IF(M1505="","",$C$2*(1-L1505)*907.2/0.621371*N1505*[1]Transportation!$M$40)</f>
        <v/>
      </c>
      <c r="Q1505" s="5" t="str">
        <f>IF(L1505="","",IF([1]Inputs_Outputs!$B$5="Herbaceous",(LCA!$E$29*'[1]LOCH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5" s="5" t="str">
        <f>IF(M1505="","",$E$2*1000*'[1]LOCH Calc COE Calc'!$C$44)</f>
        <v/>
      </c>
      <c r="S1505" s="6" t="str">
        <f>IF(N1505="","",SUM(O1505:R1505)/('[1]LOCH Calc COE Calc'!$C$28))</f>
        <v/>
      </c>
      <c r="T1505" t="str">
        <f>IF(L1505="","",O1505/'[1]LOCH Calc COE Calc'!$C$28)</f>
        <v/>
      </c>
      <c r="U1505" t="str">
        <f>IF(L1505="","",P1505/'[1]LOCH Calc COE Calc'!$C$28)</f>
        <v/>
      </c>
      <c r="V1505" t="str">
        <f>IF(L1505="","",Q1505/'[1]LOCH Calc COE Calc'!$C$28)</f>
        <v/>
      </c>
      <c r="W1505" t="str">
        <f>IF(L1505="","",R1505/'[1]LOCH Calc COE Calc'!$C$28)</f>
        <v/>
      </c>
    </row>
    <row r="1506" spans="12:23" x14ac:dyDescent="0.25">
      <c r="L1506" s="4" t="str">
        <f>IF('[1]All Data '!BE1511="","",'[1]All Data '!BE1511)</f>
        <v/>
      </c>
      <c r="M1506" t="str">
        <f>IF('[1]All Data '!BF1511="","",'[1]All Data '!BF1511)</f>
        <v/>
      </c>
      <c r="N1506" s="5" t="str">
        <f>IF('[1]All Data '!BB1511="","",'[1]All Data '!BC1511/'[1]All Data '!BH1511)</f>
        <v/>
      </c>
      <c r="O1506" s="5" t="str">
        <f t="shared" si="25"/>
        <v/>
      </c>
      <c r="P1506" s="5" t="str">
        <f>IF(M1506="","",$C$2*(1-L1506)*907.2/0.621371*N1506*[1]Transportation!$M$40)</f>
        <v/>
      </c>
      <c r="Q1506" s="5" t="str">
        <f>IF(L1506="","",IF([1]Inputs_Outputs!$B$5="Herbaceous",(LCA!$E$29*'[1]LOCH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6" s="5" t="str">
        <f>IF(M1506="","",$E$2*1000*'[1]LOCH Calc COE Calc'!$C$44)</f>
        <v/>
      </c>
      <c r="S1506" s="6" t="str">
        <f>IF(N1506="","",SUM(O1506:R1506)/('[1]LOCH Calc COE Calc'!$C$28))</f>
        <v/>
      </c>
      <c r="T1506" t="str">
        <f>IF(L1506="","",O1506/'[1]LOCH Calc COE Calc'!$C$28)</f>
        <v/>
      </c>
      <c r="U1506" t="str">
        <f>IF(L1506="","",P1506/'[1]LOCH Calc COE Calc'!$C$28)</f>
        <v/>
      </c>
      <c r="V1506" t="str">
        <f>IF(L1506="","",Q1506/'[1]LOCH Calc COE Calc'!$C$28)</f>
        <v/>
      </c>
      <c r="W1506" t="str">
        <f>IF(L1506="","",R1506/'[1]LOCH Calc COE Calc'!$C$28)</f>
        <v/>
      </c>
    </row>
    <row r="1507" spans="12:23" x14ac:dyDescent="0.25">
      <c r="L1507" s="4" t="str">
        <f>IF('[1]All Data '!BE1512="","",'[1]All Data '!BE1512)</f>
        <v/>
      </c>
      <c r="M1507" t="str">
        <f>IF('[1]All Data '!BF1512="","",'[1]All Data '!BF1512)</f>
        <v/>
      </c>
      <c r="N1507" s="5" t="str">
        <f>IF('[1]All Data '!BB1512="","",'[1]All Data '!BC1512/'[1]All Data '!BH1512)</f>
        <v/>
      </c>
      <c r="O1507" s="5" t="str">
        <f t="shared" si="25"/>
        <v/>
      </c>
      <c r="P1507" s="5" t="str">
        <f>IF(M1507="","",$C$2*(1-L1507)*907.2/0.621371*N1507*[1]Transportation!$M$40)</f>
        <v/>
      </c>
      <c r="Q1507" s="5" t="str">
        <f>IF(L1507="","",IF([1]Inputs_Outputs!$B$5="Herbaceous",(LCA!$E$29*'[1]LOCH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7" s="5" t="str">
        <f>IF(M1507="","",$E$2*1000*'[1]LOCH Calc COE Calc'!$C$44)</f>
        <v/>
      </c>
      <c r="S1507" s="6" t="str">
        <f>IF(N1507="","",SUM(O1507:R1507)/('[1]LOCH Calc COE Calc'!$C$28))</f>
        <v/>
      </c>
      <c r="T1507" t="str">
        <f>IF(L1507="","",O1507/'[1]LOCH Calc COE Calc'!$C$28)</f>
        <v/>
      </c>
      <c r="U1507" t="str">
        <f>IF(L1507="","",P1507/'[1]LOCH Calc COE Calc'!$C$28)</f>
        <v/>
      </c>
      <c r="V1507" t="str">
        <f>IF(L1507="","",Q1507/'[1]LOCH Calc COE Calc'!$C$28)</f>
        <v/>
      </c>
      <c r="W1507" t="str">
        <f>IF(L1507="","",R1507/'[1]LOCH Calc COE Calc'!$C$28)</f>
        <v/>
      </c>
    </row>
    <row r="1508" spans="12:23" x14ac:dyDescent="0.25">
      <c r="L1508" s="4" t="str">
        <f>IF('[1]All Data '!BE1513="","",'[1]All Data '!BE1513)</f>
        <v/>
      </c>
      <c r="M1508" t="str">
        <f>IF('[1]All Data '!BF1513="","",'[1]All Data '!BF1513)</f>
        <v/>
      </c>
      <c r="N1508" s="5" t="str">
        <f>IF('[1]All Data '!BB1513="","",'[1]All Data '!BC1513/'[1]All Data '!BH1513)</f>
        <v/>
      </c>
      <c r="O1508" s="5" t="str">
        <f t="shared" si="25"/>
        <v/>
      </c>
      <c r="P1508" s="5" t="str">
        <f>IF(M1508="","",$C$2*(1-L1508)*907.2/0.621371*N1508*[1]Transportation!$M$40)</f>
        <v/>
      </c>
      <c r="Q1508" s="5" t="str">
        <f>IF(L1508="","",IF([1]Inputs_Outputs!$B$5="Herbaceous",(LCA!$E$29*'[1]LOCH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8" s="5" t="str">
        <f>IF(M1508="","",$E$2*1000*'[1]LOCH Calc COE Calc'!$C$44)</f>
        <v/>
      </c>
      <c r="S1508" s="6" t="str">
        <f>IF(N1508="","",SUM(O1508:R1508)/('[1]LOCH Calc COE Calc'!$C$28))</f>
        <v/>
      </c>
      <c r="T1508" t="str">
        <f>IF(L1508="","",O1508/'[1]LOCH Calc COE Calc'!$C$28)</f>
        <v/>
      </c>
      <c r="U1508" t="str">
        <f>IF(L1508="","",P1508/'[1]LOCH Calc COE Calc'!$C$28)</f>
        <v/>
      </c>
      <c r="V1508" t="str">
        <f>IF(L1508="","",Q1508/'[1]LOCH Calc COE Calc'!$C$28)</f>
        <v/>
      </c>
      <c r="W1508" t="str">
        <f>IF(L1508="","",R1508/'[1]LOCH Calc COE Calc'!$C$28)</f>
        <v/>
      </c>
    </row>
    <row r="1509" spans="12:23" x14ac:dyDescent="0.25">
      <c r="L1509" s="4" t="str">
        <f>IF('[1]All Data '!BE1514="","",'[1]All Data '!BE1514)</f>
        <v/>
      </c>
      <c r="M1509" t="str">
        <f>IF('[1]All Data '!BF1514="","",'[1]All Data '!BF1514)</f>
        <v/>
      </c>
      <c r="N1509" s="5" t="str">
        <f>IF('[1]All Data '!BB1514="","",'[1]All Data '!BC1514/'[1]All Data '!BH1514)</f>
        <v/>
      </c>
      <c r="O1509" s="5" t="str">
        <f t="shared" si="25"/>
        <v/>
      </c>
      <c r="P1509" s="5" t="str">
        <f>IF(M1509="","",$C$2*(1-L1509)*907.2/0.621371*N1509*[1]Transportation!$M$40)</f>
        <v/>
      </c>
      <c r="Q1509" s="5" t="str">
        <f>IF(L1509="","",IF([1]Inputs_Outputs!$B$5="Herbaceous",(LCA!$E$29*'[1]LOCH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09" s="5" t="str">
        <f>IF(M1509="","",$E$2*1000*'[1]LOCH Calc COE Calc'!$C$44)</f>
        <v/>
      </c>
      <c r="S1509" s="6" t="str">
        <f>IF(N1509="","",SUM(O1509:R1509)/('[1]LOCH Calc COE Calc'!$C$28))</f>
        <v/>
      </c>
      <c r="T1509" t="str">
        <f>IF(L1509="","",O1509/'[1]LOCH Calc COE Calc'!$C$28)</f>
        <v/>
      </c>
      <c r="U1509" t="str">
        <f>IF(L1509="","",P1509/'[1]LOCH Calc COE Calc'!$C$28)</f>
        <v/>
      </c>
      <c r="V1509" t="str">
        <f>IF(L1509="","",Q1509/'[1]LOCH Calc COE Calc'!$C$28)</f>
        <v/>
      </c>
      <c r="W1509" t="str">
        <f>IF(L1509="","",R1509/'[1]LOCH Calc COE Calc'!$C$28)</f>
        <v/>
      </c>
    </row>
    <row r="1510" spans="12:23" x14ac:dyDescent="0.25">
      <c r="L1510" s="4" t="str">
        <f>IF('[1]All Data '!BE1515="","",'[1]All Data '!BE1515)</f>
        <v/>
      </c>
      <c r="M1510" t="str">
        <f>IF('[1]All Data '!BF1515="","",'[1]All Data '!BF1515)</f>
        <v/>
      </c>
      <c r="N1510" s="5" t="str">
        <f>IF('[1]All Data '!BB1515="","",'[1]All Data '!BC1515/'[1]All Data '!BH1515)</f>
        <v/>
      </c>
      <c r="O1510" s="5" t="str">
        <f t="shared" si="25"/>
        <v/>
      </c>
      <c r="P1510" s="5" t="str">
        <f>IF(M1510="","",$C$2*(1-L1510)*907.2/0.621371*N1510*[1]Transportation!$M$40)</f>
        <v/>
      </c>
      <c r="Q1510" s="5" t="str">
        <f>IF(L1510="","",IF([1]Inputs_Outputs!$B$5="Herbaceous",(LCA!$E$29*'[1]LOCH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0" s="5" t="str">
        <f>IF(M1510="","",$E$2*1000*'[1]LOCH Calc COE Calc'!$C$44)</f>
        <v/>
      </c>
      <c r="S1510" s="6" t="str">
        <f>IF(N1510="","",SUM(O1510:R1510)/('[1]LOCH Calc COE Calc'!$C$28))</f>
        <v/>
      </c>
      <c r="T1510" t="str">
        <f>IF(L1510="","",O1510/'[1]LOCH Calc COE Calc'!$C$28)</f>
        <v/>
      </c>
      <c r="U1510" t="str">
        <f>IF(L1510="","",P1510/'[1]LOCH Calc COE Calc'!$C$28)</f>
        <v/>
      </c>
      <c r="V1510" t="str">
        <f>IF(L1510="","",Q1510/'[1]LOCH Calc COE Calc'!$C$28)</f>
        <v/>
      </c>
      <c r="W1510" t="str">
        <f>IF(L1510="","",R1510/'[1]LOCH Calc COE Calc'!$C$28)</f>
        <v/>
      </c>
    </row>
    <row r="1511" spans="12:23" x14ac:dyDescent="0.25">
      <c r="L1511" s="4" t="str">
        <f>IF('[1]All Data '!BE1516="","",'[1]All Data '!BE1516)</f>
        <v/>
      </c>
      <c r="M1511" t="str">
        <f>IF('[1]All Data '!BF1516="","",'[1]All Data '!BF1516)</f>
        <v/>
      </c>
      <c r="N1511" s="5" t="str">
        <f>IF('[1]All Data '!BB1516="","",'[1]All Data '!BC1516/'[1]All Data '!BH1516)</f>
        <v/>
      </c>
      <c r="O1511" s="5" t="str">
        <f t="shared" si="25"/>
        <v/>
      </c>
      <c r="P1511" s="5" t="str">
        <f>IF(M1511="","",$C$2*(1-L1511)*907.2/0.621371*N1511*[1]Transportation!$M$40)</f>
        <v/>
      </c>
      <c r="Q1511" s="5" t="str">
        <f>IF(L1511="","",IF([1]Inputs_Outputs!$B$5="Herbaceous",(LCA!$E$29*'[1]LOCH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1" s="5" t="str">
        <f>IF(M1511="","",$E$2*1000*'[1]LOCH Calc COE Calc'!$C$44)</f>
        <v/>
      </c>
      <c r="S1511" s="6" t="str">
        <f>IF(N1511="","",SUM(O1511:R1511)/('[1]LOCH Calc COE Calc'!$C$28))</f>
        <v/>
      </c>
      <c r="T1511" t="str">
        <f>IF(L1511="","",O1511/'[1]LOCH Calc COE Calc'!$C$28)</f>
        <v/>
      </c>
      <c r="U1511" t="str">
        <f>IF(L1511="","",P1511/'[1]LOCH Calc COE Calc'!$C$28)</f>
        <v/>
      </c>
      <c r="V1511" t="str">
        <f>IF(L1511="","",Q1511/'[1]LOCH Calc COE Calc'!$C$28)</f>
        <v/>
      </c>
      <c r="W1511" t="str">
        <f>IF(L1511="","",R1511/'[1]LOCH Calc COE Calc'!$C$28)</f>
        <v/>
      </c>
    </row>
    <row r="1512" spans="12:23" x14ac:dyDescent="0.25">
      <c r="L1512" s="4" t="str">
        <f>IF('[1]All Data '!BE1517="","",'[1]All Data '!BE1517)</f>
        <v/>
      </c>
      <c r="M1512" t="str">
        <f>IF('[1]All Data '!BF1517="","",'[1]All Data '!BF1517)</f>
        <v/>
      </c>
      <c r="N1512" s="5" t="str">
        <f>IF('[1]All Data '!BB1517="","",'[1]All Data '!BC1517/'[1]All Data '!BH1517)</f>
        <v/>
      </c>
      <c r="O1512" s="5" t="str">
        <f t="shared" si="25"/>
        <v/>
      </c>
      <c r="P1512" s="5" t="str">
        <f>IF(M1512="","",$C$2*(1-L1512)*907.2/0.621371*N1512*[1]Transportation!$M$40)</f>
        <v/>
      </c>
      <c r="Q1512" s="5" t="str">
        <f>IF(L1512="","",IF([1]Inputs_Outputs!$B$5="Herbaceous",(LCA!$E$29*'[1]LOCH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2" s="5" t="str">
        <f>IF(M1512="","",$E$2*1000*'[1]LOCH Calc COE Calc'!$C$44)</f>
        <v/>
      </c>
      <c r="S1512" s="6" t="str">
        <f>IF(N1512="","",SUM(O1512:R1512)/('[1]LOCH Calc COE Calc'!$C$28))</f>
        <v/>
      </c>
      <c r="T1512" t="str">
        <f>IF(L1512="","",O1512/'[1]LOCH Calc COE Calc'!$C$28)</f>
        <v/>
      </c>
      <c r="U1512" t="str">
        <f>IF(L1512="","",P1512/'[1]LOCH Calc COE Calc'!$C$28)</f>
        <v/>
      </c>
      <c r="V1512" t="str">
        <f>IF(L1512="","",Q1512/'[1]LOCH Calc COE Calc'!$C$28)</f>
        <v/>
      </c>
      <c r="W1512" t="str">
        <f>IF(L1512="","",R1512/'[1]LOCH Calc COE Calc'!$C$28)</f>
        <v/>
      </c>
    </row>
    <row r="1513" spans="12:23" x14ac:dyDescent="0.25">
      <c r="L1513" s="4" t="str">
        <f>IF('[1]All Data '!BE1518="","",'[1]All Data '!BE1518)</f>
        <v/>
      </c>
      <c r="M1513" t="str">
        <f>IF('[1]All Data '!BF1518="","",'[1]All Data '!BF1518)</f>
        <v/>
      </c>
      <c r="N1513" s="5" t="str">
        <f>IF('[1]All Data '!BB1518="","",'[1]All Data '!BC1518/'[1]All Data '!BH1518)</f>
        <v/>
      </c>
      <c r="O1513" s="5" t="str">
        <f t="shared" si="25"/>
        <v/>
      </c>
      <c r="P1513" s="5" t="str">
        <f>IF(M1513="","",$C$2*(1-L1513)*907.2/0.621371*N1513*[1]Transportation!$M$40)</f>
        <v/>
      </c>
      <c r="Q1513" s="5" t="str">
        <f>IF(L1513="","",IF([1]Inputs_Outputs!$B$5="Herbaceous",(LCA!$E$29*'[1]LOCH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3" s="5" t="str">
        <f>IF(M1513="","",$E$2*1000*'[1]LOCH Calc COE Calc'!$C$44)</f>
        <v/>
      </c>
      <c r="S1513" s="6" t="str">
        <f>IF(N1513="","",SUM(O1513:R1513)/('[1]LOCH Calc COE Calc'!$C$28))</f>
        <v/>
      </c>
      <c r="T1513" t="str">
        <f>IF(L1513="","",O1513/'[1]LOCH Calc COE Calc'!$C$28)</f>
        <v/>
      </c>
      <c r="U1513" t="str">
        <f>IF(L1513="","",P1513/'[1]LOCH Calc COE Calc'!$C$28)</f>
        <v/>
      </c>
      <c r="V1513" t="str">
        <f>IF(L1513="","",Q1513/'[1]LOCH Calc COE Calc'!$C$28)</f>
        <v/>
      </c>
      <c r="W1513" t="str">
        <f>IF(L1513="","",R1513/'[1]LOCH Calc COE Calc'!$C$28)</f>
        <v/>
      </c>
    </row>
    <row r="1514" spans="12:23" x14ac:dyDescent="0.25">
      <c r="L1514" s="4" t="str">
        <f>IF('[1]All Data '!BE1519="","",'[1]All Data '!BE1519)</f>
        <v/>
      </c>
      <c r="M1514" t="str">
        <f>IF('[1]All Data '!BF1519="","",'[1]All Data '!BF1519)</f>
        <v/>
      </c>
      <c r="N1514" s="5" t="str">
        <f>IF('[1]All Data '!BB1519="","",'[1]All Data '!BC1519/'[1]All Data '!BH1519)</f>
        <v/>
      </c>
      <c r="O1514" s="5" t="str">
        <f t="shared" si="25"/>
        <v/>
      </c>
      <c r="P1514" s="5" t="str">
        <f>IF(M1514="","",$C$2*(1-L1514)*907.2/0.621371*N1514*[1]Transportation!$M$40)</f>
        <v/>
      </c>
      <c r="Q1514" s="5" t="str">
        <f>IF(L1514="","",IF([1]Inputs_Outputs!$B$5="Herbaceous",(LCA!$E$29*'[1]LOCH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4" s="5" t="str">
        <f>IF(M1514="","",$E$2*1000*'[1]LOCH Calc COE Calc'!$C$44)</f>
        <v/>
      </c>
      <c r="S1514" s="6" t="str">
        <f>IF(N1514="","",SUM(O1514:R1514)/('[1]LOCH Calc COE Calc'!$C$28))</f>
        <v/>
      </c>
      <c r="T1514" t="str">
        <f>IF(L1514="","",O1514/'[1]LOCH Calc COE Calc'!$C$28)</f>
        <v/>
      </c>
      <c r="U1514" t="str">
        <f>IF(L1514="","",P1514/'[1]LOCH Calc COE Calc'!$C$28)</f>
        <v/>
      </c>
      <c r="V1514" t="str">
        <f>IF(L1514="","",Q1514/'[1]LOCH Calc COE Calc'!$C$28)</f>
        <v/>
      </c>
      <c r="W1514" t="str">
        <f>IF(L1514="","",R1514/'[1]LOCH Calc COE Calc'!$C$28)</f>
        <v/>
      </c>
    </row>
    <row r="1515" spans="12:23" x14ac:dyDescent="0.25">
      <c r="L1515" s="4" t="str">
        <f>IF('[1]All Data '!BE1520="","",'[1]All Data '!BE1520)</f>
        <v/>
      </c>
      <c r="M1515" t="str">
        <f>IF('[1]All Data '!BF1520="","",'[1]All Data '!BF1520)</f>
        <v/>
      </c>
      <c r="N1515" s="5" t="str">
        <f>IF('[1]All Data '!BB1520="","",'[1]All Data '!BC1520/'[1]All Data '!BH1520)</f>
        <v/>
      </c>
      <c r="O1515" s="5" t="str">
        <f t="shared" si="25"/>
        <v/>
      </c>
      <c r="P1515" s="5" t="str">
        <f>IF(M1515="","",$C$2*(1-L1515)*907.2/0.621371*N1515*[1]Transportation!$M$40)</f>
        <v/>
      </c>
      <c r="Q1515" s="5" t="str">
        <f>IF(L1515="","",IF([1]Inputs_Outputs!$B$5="Herbaceous",(LCA!$E$29*'[1]LOCH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5" s="5" t="str">
        <f>IF(M1515="","",$E$2*1000*'[1]LOCH Calc COE Calc'!$C$44)</f>
        <v/>
      </c>
      <c r="S1515" s="6" t="str">
        <f>IF(N1515="","",SUM(O1515:R1515)/('[1]LOCH Calc COE Calc'!$C$28))</f>
        <v/>
      </c>
      <c r="T1515" t="str">
        <f>IF(L1515="","",O1515/'[1]LOCH Calc COE Calc'!$C$28)</f>
        <v/>
      </c>
      <c r="U1515" t="str">
        <f>IF(L1515="","",P1515/'[1]LOCH Calc COE Calc'!$C$28)</f>
        <v/>
      </c>
      <c r="V1515" t="str">
        <f>IF(L1515="","",Q1515/'[1]LOCH Calc COE Calc'!$C$28)</f>
        <v/>
      </c>
      <c r="W1515" t="str">
        <f>IF(L1515="","",R1515/'[1]LOCH Calc COE Calc'!$C$28)</f>
        <v/>
      </c>
    </row>
    <row r="1516" spans="12:23" x14ac:dyDescent="0.25">
      <c r="L1516" s="4" t="str">
        <f>IF('[1]All Data '!BE1521="","",'[1]All Data '!BE1521)</f>
        <v/>
      </c>
      <c r="M1516" t="str">
        <f>IF('[1]All Data '!BF1521="","",'[1]All Data '!BF1521)</f>
        <v/>
      </c>
      <c r="N1516" s="5" t="str">
        <f>IF('[1]All Data '!BB1521="","",'[1]All Data '!BC1521/'[1]All Data '!BH1521)</f>
        <v/>
      </c>
      <c r="O1516" s="5" t="str">
        <f t="shared" si="25"/>
        <v/>
      </c>
      <c r="P1516" s="5" t="str">
        <f>IF(M1516="","",$C$2*(1-L1516)*907.2/0.621371*N1516*[1]Transportation!$M$40)</f>
        <v/>
      </c>
      <c r="Q1516" s="5" t="str">
        <f>IF(L1516="","",IF([1]Inputs_Outputs!$B$5="Herbaceous",(LCA!$E$29*'[1]LOCH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6" s="5" t="str">
        <f>IF(M1516="","",$E$2*1000*'[1]LOCH Calc COE Calc'!$C$44)</f>
        <v/>
      </c>
      <c r="S1516" s="6" t="str">
        <f>IF(N1516="","",SUM(O1516:R1516)/('[1]LOCH Calc COE Calc'!$C$28))</f>
        <v/>
      </c>
      <c r="T1516" t="str">
        <f>IF(L1516="","",O1516/'[1]LOCH Calc COE Calc'!$C$28)</f>
        <v/>
      </c>
      <c r="U1516" t="str">
        <f>IF(L1516="","",P1516/'[1]LOCH Calc COE Calc'!$C$28)</f>
        <v/>
      </c>
      <c r="V1516" t="str">
        <f>IF(L1516="","",Q1516/'[1]LOCH Calc COE Calc'!$C$28)</f>
        <v/>
      </c>
      <c r="W1516" t="str">
        <f>IF(L1516="","",R1516/'[1]LOCH Calc COE Calc'!$C$28)</f>
        <v/>
      </c>
    </row>
    <row r="1517" spans="12:23" x14ac:dyDescent="0.25">
      <c r="L1517" s="4" t="str">
        <f>IF('[1]All Data '!BE1522="","",'[1]All Data '!BE1522)</f>
        <v/>
      </c>
      <c r="M1517" t="str">
        <f>IF('[1]All Data '!BF1522="","",'[1]All Data '!BF1522)</f>
        <v/>
      </c>
      <c r="N1517" s="5" t="str">
        <f>IF('[1]All Data '!BB1522="","",'[1]All Data '!BC1522/'[1]All Data '!BH1522)</f>
        <v/>
      </c>
      <c r="O1517" s="5" t="str">
        <f t="shared" si="25"/>
        <v/>
      </c>
      <c r="P1517" s="5" t="str">
        <f>IF(M1517="","",$C$2*(1-L1517)*907.2/0.621371*N1517*[1]Transportation!$M$40)</f>
        <v/>
      </c>
      <c r="Q1517" s="5" t="str">
        <f>IF(L1517="","",IF([1]Inputs_Outputs!$B$5="Herbaceous",(LCA!$E$29*'[1]LOCH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7" s="5" t="str">
        <f>IF(M1517="","",$E$2*1000*'[1]LOCH Calc COE Calc'!$C$44)</f>
        <v/>
      </c>
      <c r="S1517" s="6" t="str">
        <f>IF(N1517="","",SUM(O1517:R1517)/('[1]LOCH Calc COE Calc'!$C$28))</f>
        <v/>
      </c>
      <c r="T1517" t="str">
        <f>IF(L1517="","",O1517/'[1]LOCH Calc COE Calc'!$C$28)</f>
        <v/>
      </c>
      <c r="U1517" t="str">
        <f>IF(L1517="","",P1517/'[1]LOCH Calc COE Calc'!$C$28)</f>
        <v/>
      </c>
      <c r="V1517" t="str">
        <f>IF(L1517="","",Q1517/'[1]LOCH Calc COE Calc'!$C$28)</f>
        <v/>
      </c>
      <c r="W1517" t="str">
        <f>IF(L1517="","",R1517/'[1]LOCH Calc COE Calc'!$C$28)</f>
        <v/>
      </c>
    </row>
    <row r="1518" spans="12:23" x14ac:dyDescent="0.25">
      <c r="L1518" s="4" t="str">
        <f>IF('[1]All Data '!BE1523="","",'[1]All Data '!BE1523)</f>
        <v/>
      </c>
      <c r="M1518" t="str">
        <f>IF('[1]All Data '!BF1523="","",'[1]All Data '!BF1523)</f>
        <v/>
      </c>
      <c r="N1518" s="5" t="str">
        <f>IF('[1]All Data '!BB1523="","",'[1]All Data '!BC1523/'[1]All Data '!BH1523)</f>
        <v/>
      </c>
      <c r="O1518" s="5" t="str">
        <f t="shared" si="25"/>
        <v/>
      </c>
      <c r="P1518" s="5" t="str">
        <f>IF(M1518="","",$C$2*(1-L1518)*907.2/0.621371*N1518*[1]Transportation!$M$40)</f>
        <v/>
      </c>
      <c r="Q1518" s="5" t="str">
        <f>IF(L1518="","",IF([1]Inputs_Outputs!$B$5="Herbaceous",(LCA!$E$29*'[1]LOCH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8" s="5" t="str">
        <f>IF(M1518="","",$E$2*1000*'[1]LOCH Calc COE Calc'!$C$44)</f>
        <v/>
      </c>
      <c r="S1518" s="6" t="str">
        <f>IF(N1518="","",SUM(O1518:R1518)/('[1]LOCH Calc COE Calc'!$C$28))</f>
        <v/>
      </c>
      <c r="T1518" t="str">
        <f>IF(L1518="","",O1518/'[1]LOCH Calc COE Calc'!$C$28)</f>
        <v/>
      </c>
      <c r="U1518" t="str">
        <f>IF(L1518="","",P1518/'[1]LOCH Calc COE Calc'!$C$28)</f>
        <v/>
      </c>
      <c r="V1518" t="str">
        <f>IF(L1518="","",Q1518/'[1]LOCH Calc COE Calc'!$C$28)</f>
        <v/>
      </c>
      <c r="W1518" t="str">
        <f>IF(L1518="","",R1518/'[1]LOCH Calc COE Calc'!$C$28)</f>
        <v/>
      </c>
    </row>
    <row r="1519" spans="12:23" x14ac:dyDescent="0.25">
      <c r="L1519" s="4" t="str">
        <f>IF('[1]All Data '!BE1524="","",'[1]All Data '!BE1524)</f>
        <v/>
      </c>
      <c r="M1519" t="str">
        <f>IF('[1]All Data '!BF1524="","",'[1]All Data '!BF1524)</f>
        <v/>
      </c>
      <c r="N1519" s="5" t="str">
        <f>IF('[1]All Data '!BB1524="","",'[1]All Data '!BC1524/'[1]All Data '!BH1524)</f>
        <v/>
      </c>
      <c r="O1519" s="5" t="str">
        <f t="shared" si="25"/>
        <v/>
      </c>
      <c r="P1519" s="5" t="str">
        <f>IF(M1519="","",$C$2*(1-L1519)*907.2/0.621371*N1519*[1]Transportation!$M$40)</f>
        <v/>
      </c>
      <c r="Q1519" s="5" t="str">
        <f>IF(L1519="","",IF([1]Inputs_Outputs!$B$5="Herbaceous",(LCA!$E$29*'[1]LOCH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19" s="5" t="str">
        <f>IF(M1519="","",$E$2*1000*'[1]LOCH Calc COE Calc'!$C$44)</f>
        <v/>
      </c>
      <c r="S1519" s="6" t="str">
        <f>IF(N1519="","",SUM(O1519:R1519)/('[1]LOCH Calc COE Calc'!$C$28))</f>
        <v/>
      </c>
      <c r="T1519" t="str">
        <f>IF(L1519="","",O1519/'[1]LOCH Calc COE Calc'!$C$28)</f>
        <v/>
      </c>
      <c r="U1519" t="str">
        <f>IF(L1519="","",P1519/'[1]LOCH Calc COE Calc'!$C$28)</f>
        <v/>
      </c>
      <c r="V1519" t="str">
        <f>IF(L1519="","",Q1519/'[1]LOCH Calc COE Calc'!$C$28)</f>
        <v/>
      </c>
      <c r="W1519" t="str">
        <f>IF(L1519="","",R1519/'[1]LOCH Calc COE Calc'!$C$28)</f>
        <v/>
      </c>
    </row>
    <row r="1520" spans="12:23" x14ac:dyDescent="0.25">
      <c r="L1520" s="4" t="str">
        <f>IF('[1]All Data '!BE1525="","",'[1]All Data '!BE1525)</f>
        <v/>
      </c>
      <c r="M1520" t="str">
        <f>IF('[1]All Data '!BF1525="","",'[1]All Data '!BF1525)</f>
        <v/>
      </c>
      <c r="N1520" s="5" t="str">
        <f>IF('[1]All Data '!BB1525="","",'[1]All Data '!BC1525/'[1]All Data '!BH1525)</f>
        <v/>
      </c>
      <c r="O1520" s="5" t="str">
        <f t="shared" si="25"/>
        <v/>
      </c>
      <c r="P1520" s="5" t="str">
        <f>IF(M1520="","",$C$2*(1-L1520)*907.2/0.621371*N1520*[1]Transportation!$M$40)</f>
        <v/>
      </c>
      <c r="Q1520" s="5" t="str">
        <f>IF(L1520="","",IF([1]Inputs_Outputs!$B$5="Herbaceous",(LCA!$E$29*'[1]LOCH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0" s="5" t="str">
        <f>IF(M1520="","",$E$2*1000*'[1]LOCH Calc COE Calc'!$C$44)</f>
        <v/>
      </c>
      <c r="S1520" s="6" t="str">
        <f>IF(N1520="","",SUM(O1520:R1520)/('[1]LOCH Calc COE Calc'!$C$28))</f>
        <v/>
      </c>
      <c r="T1520" t="str">
        <f>IF(L1520="","",O1520/'[1]LOCH Calc COE Calc'!$C$28)</f>
        <v/>
      </c>
      <c r="U1520" t="str">
        <f>IF(L1520="","",P1520/'[1]LOCH Calc COE Calc'!$C$28)</f>
        <v/>
      </c>
      <c r="V1520" t="str">
        <f>IF(L1520="","",Q1520/'[1]LOCH Calc COE Calc'!$C$28)</f>
        <v/>
      </c>
      <c r="W1520" t="str">
        <f>IF(L1520="","",R1520/'[1]LOCH Calc COE Calc'!$C$28)</f>
        <v/>
      </c>
    </row>
    <row r="1521" spans="12:23" x14ac:dyDescent="0.25">
      <c r="L1521" s="4" t="str">
        <f>IF('[1]All Data '!BE1526="","",'[1]All Data '!BE1526)</f>
        <v/>
      </c>
      <c r="M1521" t="str">
        <f>IF('[1]All Data '!BF1526="","",'[1]All Data '!BF1526)</f>
        <v/>
      </c>
      <c r="N1521" s="5" t="str">
        <f>IF('[1]All Data '!BB1526="","",'[1]All Data '!BC1526/'[1]All Data '!BH1526)</f>
        <v/>
      </c>
      <c r="O1521" s="5" t="str">
        <f t="shared" si="25"/>
        <v/>
      </c>
      <c r="P1521" s="5" t="str">
        <f>IF(M1521="","",$C$2*(1-L1521)*907.2/0.621371*N1521*[1]Transportation!$M$40)</f>
        <v/>
      </c>
      <c r="Q1521" s="5" t="str">
        <f>IF(L1521="","",IF([1]Inputs_Outputs!$B$5="Herbaceous",(LCA!$E$29*'[1]LOCH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1" s="5" t="str">
        <f>IF(M1521="","",$E$2*1000*'[1]LOCH Calc COE Calc'!$C$44)</f>
        <v/>
      </c>
      <c r="S1521" s="6" t="str">
        <f>IF(N1521="","",SUM(O1521:R1521)/('[1]LOCH Calc COE Calc'!$C$28))</f>
        <v/>
      </c>
      <c r="T1521" t="str">
        <f>IF(L1521="","",O1521/'[1]LOCH Calc COE Calc'!$C$28)</f>
        <v/>
      </c>
      <c r="U1521" t="str">
        <f>IF(L1521="","",P1521/'[1]LOCH Calc COE Calc'!$C$28)</f>
        <v/>
      </c>
      <c r="V1521" t="str">
        <f>IF(L1521="","",Q1521/'[1]LOCH Calc COE Calc'!$C$28)</f>
        <v/>
      </c>
      <c r="W1521" t="str">
        <f>IF(L1521="","",R1521/'[1]LOCH Calc COE Calc'!$C$28)</f>
        <v/>
      </c>
    </row>
    <row r="1522" spans="12:23" x14ac:dyDescent="0.25">
      <c r="L1522" s="4" t="str">
        <f>IF('[1]All Data '!BE1527="","",'[1]All Data '!BE1527)</f>
        <v/>
      </c>
      <c r="M1522" t="str">
        <f>IF('[1]All Data '!BF1527="","",'[1]All Data '!BF1527)</f>
        <v/>
      </c>
      <c r="N1522" s="5" t="str">
        <f>IF('[1]All Data '!BB1527="","",'[1]All Data '!BC1527/'[1]All Data '!BH1527)</f>
        <v/>
      </c>
      <c r="O1522" s="5" t="str">
        <f t="shared" si="25"/>
        <v/>
      </c>
      <c r="P1522" s="5" t="str">
        <f>IF(M1522="","",$C$2*(1-L1522)*907.2/0.621371*N1522*[1]Transportation!$M$40)</f>
        <v/>
      </c>
      <c r="Q1522" s="5" t="str">
        <f>IF(L1522="","",IF([1]Inputs_Outputs!$B$5="Herbaceous",(LCA!$E$29*'[1]LOCH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2" s="5" t="str">
        <f>IF(M1522="","",$E$2*1000*'[1]LOCH Calc COE Calc'!$C$44)</f>
        <v/>
      </c>
      <c r="S1522" s="6" t="str">
        <f>IF(N1522="","",SUM(O1522:R1522)/('[1]LOCH Calc COE Calc'!$C$28))</f>
        <v/>
      </c>
      <c r="T1522" t="str">
        <f>IF(L1522="","",O1522/'[1]LOCH Calc COE Calc'!$C$28)</f>
        <v/>
      </c>
      <c r="U1522" t="str">
        <f>IF(L1522="","",P1522/'[1]LOCH Calc COE Calc'!$C$28)</f>
        <v/>
      </c>
      <c r="V1522" t="str">
        <f>IF(L1522="","",Q1522/'[1]LOCH Calc COE Calc'!$C$28)</f>
        <v/>
      </c>
      <c r="W1522" t="str">
        <f>IF(L1522="","",R1522/'[1]LOCH Calc COE Calc'!$C$28)</f>
        <v/>
      </c>
    </row>
    <row r="1523" spans="12:23" x14ac:dyDescent="0.25">
      <c r="L1523" s="4" t="str">
        <f>IF('[1]All Data '!BE1528="","",'[1]All Data '!BE1528)</f>
        <v/>
      </c>
      <c r="M1523" t="str">
        <f>IF('[1]All Data '!BF1528="","",'[1]All Data '!BF1528)</f>
        <v/>
      </c>
      <c r="N1523" s="5" t="str">
        <f>IF('[1]All Data '!BB1528="","",'[1]All Data '!BC1528/'[1]All Data '!BH1528)</f>
        <v/>
      </c>
      <c r="O1523" s="5" t="str">
        <f t="shared" si="25"/>
        <v/>
      </c>
      <c r="P1523" s="5" t="str">
        <f>IF(M1523="","",$C$2*(1-L1523)*907.2/0.621371*N1523*[1]Transportation!$M$40)</f>
        <v/>
      </c>
      <c r="Q1523" s="5" t="str">
        <f>IF(L1523="","",IF([1]Inputs_Outputs!$B$5="Herbaceous",(LCA!$E$29*'[1]LOCH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3" s="5" t="str">
        <f>IF(M1523="","",$E$2*1000*'[1]LOCH Calc COE Calc'!$C$44)</f>
        <v/>
      </c>
      <c r="S1523" s="6" t="str">
        <f>IF(N1523="","",SUM(O1523:R1523)/('[1]LOCH Calc COE Calc'!$C$28))</f>
        <v/>
      </c>
      <c r="T1523" t="str">
        <f>IF(L1523="","",O1523/'[1]LOCH Calc COE Calc'!$C$28)</f>
        <v/>
      </c>
      <c r="U1523" t="str">
        <f>IF(L1523="","",P1523/'[1]LOCH Calc COE Calc'!$C$28)</f>
        <v/>
      </c>
      <c r="V1523" t="str">
        <f>IF(L1523="","",Q1523/'[1]LOCH Calc COE Calc'!$C$28)</f>
        <v/>
      </c>
      <c r="W1523" t="str">
        <f>IF(L1523="","",R1523/'[1]LOCH Calc COE Calc'!$C$28)</f>
        <v/>
      </c>
    </row>
    <row r="1524" spans="12:23" x14ac:dyDescent="0.25">
      <c r="L1524" s="4" t="str">
        <f>IF('[1]All Data '!BE1529="","",'[1]All Data '!BE1529)</f>
        <v/>
      </c>
      <c r="M1524" t="str">
        <f>IF('[1]All Data '!BF1529="","",'[1]All Data '!BF1529)</f>
        <v/>
      </c>
      <c r="N1524" s="5" t="str">
        <f>IF('[1]All Data '!BB1529="","",'[1]All Data '!BC1529/'[1]All Data '!BH1529)</f>
        <v/>
      </c>
      <c r="O1524" s="5" t="str">
        <f t="shared" si="25"/>
        <v/>
      </c>
      <c r="P1524" s="5" t="str">
        <f>IF(M1524="","",$C$2*(1-L1524)*907.2/0.621371*N1524*[1]Transportation!$M$40)</f>
        <v/>
      </c>
      <c r="Q1524" s="5" t="str">
        <f>IF(L1524="","",IF([1]Inputs_Outputs!$B$5="Herbaceous",(LCA!$E$29*'[1]LOCH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4" s="5" t="str">
        <f>IF(M1524="","",$E$2*1000*'[1]LOCH Calc COE Calc'!$C$44)</f>
        <v/>
      </c>
      <c r="S1524" s="6" t="str">
        <f>IF(N1524="","",SUM(O1524:R1524)/('[1]LOCH Calc COE Calc'!$C$28))</f>
        <v/>
      </c>
      <c r="T1524" t="str">
        <f>IF(L1524="","",O1524/'[1]LOCH Calc COE Calc'!$C$28)</f>
        <v/>
      </c>
      <c r="U1524" t="str">
        <f>IF(L1524="","",P1524/'[1]LOCH Calc COE Calc'!$C$28)</f>
        <v/>
      </c>
      <c r="V1524" t="str">
        <f>IF(L1524="","",Q1524/'[1]LOCH Calc COE Calc'!$C$28)</f>
        <v/>
      </c>
      <c r="W1524" t="str">
        <f>IF(L1524="","",R1524/'[1]LOCH Calc COE Calc'!$C$28)</f>
        <v/>
      </c>
    </row>
    <row r="1525" spans="12:23" x14ac:dyDescent="0.25">
      <c r="L1525" s="4" t="str">
        <f>IF('[1]All Data '!BE1530="","",'[1]All Data '!BE1530)</f>
        <v/>
      </c>
      <c r="M1525" t="str">
        <f>IF('[1]All Data '!BF1530="","",'[1]All Data '!BF1530)</f>
        <v/>
      </c>
      <c r="N1525" s="5" t="str">
        <f>IF('[1]All Data '!BB1530="","",'[1]All Data '!BC1530/'[1]All Data '!BH1530)</f>
        <v/>
      </c>
      <c r="O1525" s="5" t="str">
        <f t="shared" si="25"/>
        <v/>
      </c>
      <c r="P1525" s="5" t="str">
        <f>IF(M1525="","",$C$2*(1-L1525)*907.2/0.621371*N1525*[1]Transportation!$M$40)</f>
        <v/>
      </c>
      <c r="Q1525" s="5" t="str">
        <f>IF(L1525="","",IF([1]Inputs_Outputs!$B$5="Herbaceous",(LCA!$E$29*'[1]LOCH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5" s="5" t="str">
        <f>IF(M1525="","",$E$2*1000*'[1]LOCH Calc COE Calc'!$C$44)</f>
        <v/>
      </c>
      <c r="S1525" s="6" t="str">
        <f>IF(N1525="","",SUM(O1525:R1525)/('[1]LOCH Calc COE Calc'!$C$28))</f>
        <v/>
      </c>
      <c r="T1525" t="str">
        <f>IF(L1525="","",O1525/'[1]LOCH Calc COE Calc'!$C$28)</f>
        <v/>
      </c>
      <c r="U1525" t="str">
        <f>IF(L1525="","",P1525/'[1]LOCH Calc COE Calc'!$C$28)</f>
        <v/>
      </c>
      <c r="V1525" t="str">
        <f>IF(L1525="","",Q1525/'[1]LOCH Calc COE Calc'!$C$28)</f>
        <v/>
      </c>
      <c r="W1525" t="str">
        <f>IF(L1525="","",R1525/'[1]LOCH Calc COE Calc'!$C$28)</f>
        <v/>
      </c>
    </row>
    <row r="1526" spans="12:23" x14ac:dyDescent="0.25">
      <c r="L1526" s="4" t="str">
        <f>IF('[1]All Data '!BE1531="","",'[1]All Data '!BE1531)</f>
        <v/>
      </c>
      <c r="M1526" t="str">
        <f>IF('[1]All Data '!BF1531="","",'[1]All Data '!BF1531)</f>
        <v/>
      </c>
      <c r="N1526" s="5" t="str">
        <f>IF('[1]All Data '!BB1531="","",'[1]All Data '!BC1531/'[1]All Data '!BH1531)</f>
        <v/>
      </c>
      <c r="O1526" s="5" t="str">
        <f t="shared" si="25"/>
        <v/>
      </c>
      <c r="P1526" s="5" t="str">
        <f>IF(M1526="","",$C$2*(1-L1526)*907.2/0.621371*N1526*[1]Transportation!$M$40)</f>
        <v/>
      </c>
      <c r="Q1526" s="5" t="str">
        <f>IF(L1526="","",IF([1]Inputs_Outputs!$B$5="Herbaceous",(LCA!$E$29*'[1]LOCH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6" s="5" t="str">
        <f>IF(M1526="","",$E$2*1000*'[1]LOCH Calc COE Calc'!$C$44)</f>
        <v/>
      </c>
      <c r="S1526" s="6" t="str">
        <f>IF(N1526="","",SUM(O1526:R1526)/('[1]LOCH Calc COE Calc'!$C$28))</f>
        <v/>
      </c>
      <c r="T1526" t="str">
        <f>IF(L1526="","",O1526/'[1]LOCH Calc COE Calc'!$C$28)</f>
        <v/>
      </c>
      <c r="U1526" t="str">
        <f>IF(L1526="","",P1526/'[1]LOCH Calc COE Calc'!$C$28)</f>
        <v/>
      </c>
      <c r="V1526" t="str">
        <f>IF(L1526="","",Q1526/'[1]LOCH Calc COE Calc'!$C$28)</f>
        <v/>
      </c>
      <c r="W1526" t="str">
        <f>IF(L1526="","",R1526/'[1]LOCH Calc COE Calc'!$C$28)</f>
        <v/>
      </c>
    </row>
    <row r="1527" spans="12:23" x14ac:dyDescent="0.25">
      <c r="L1527" s="4" t="str">
        <f>IF('[1]All Data '!BE1532="","",'[1]All Data '!BE1532)</f>
        <v/>
      </c>
      <c r="M1527" t="str">
        <f>IF('[1]All Data '!BF1532="","",'[1]All Data '!BF1532)</f>
        <v/>
      </c>
      <c r="N1527" s="5" t="str">
        <f>IF('[1]All Data '!BB1532="","",'[1]All Data '!BC1532/'[1]All Data '!BH1532)</f>
        <v/>
      </c>
      <c r="O1527" s="5" t="str">
        <f t="shared" si="25"/>
        <v/>
      </c>
      <c r="P1527" s="5" t="str">
        <f>IF(M1527="","",$C$2*(1-L1527)*907.2/0.621371*N1527*[1]Transportation!$M$40)</f>
        <v/>
      </c>
      <c r="Q1527" s="5" t="str">
        <f>IF(L1527="","",IF([1]Inputs_Outputs!$B$5="Herbaceous",(LCA!$E$29*'[1]LOCH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7" s="5" t="str">
        <f>IF(M1527="","",$E$2*1000*'[1]LOCH Calc COE Calc'!$C$44)</f>
        <v/>
      </c>
      <c r="S1527" s="6" t="str">
        <f>IF(N1527="","",SUM(O1527:R1527)/('[1]LOCH Calc COE Calc'!$C$28))</f>
        <v/>
      </c>
      <c r="T1527" t="str">
        <f>IF(L1527="","",O1527/'[1]LOCH Calc COE Calc'!$C$28)</f>
        <v/>
      </c>
      <c r="U1527" t="str">
        <f>IF(L1527="","",P1527/'[1]LOCH Calc COE Calc'!$C$28)</f>
        <v/>
      </c>
      <c r="V1527" t="str">
        <f>IF(L1527="","",Q1527/'[1]LOCH Calc COE Calc'!$C$28)</f>
        <v/>
      </c>
      <c r="W1527" t="str">
        <f>IF(L1527="","",R1527/'[1]LOCH Calc COE Calc'!$C$28)</f>
        <v/>
      </c>
    </row>
    <row r="1528" spans="12:23" x14ac:dyDescent="0.25">
      <c r="L1528" s="4" t="str">
        <f>IF('[1]All Data '!BE1533="","",'[1]All Data '!BE1533)</f>
        <v/>
      </c>
      <c r="M1528" t="str">
        <f>IF('[1]All Data '!BF1533="","",'[1]All Data '!BF1533)</f>
        <v/>
      </c>
      <c r="N1528" s="5" t="str">
        <f>IF('[1]All Data '!BB1533="","",'[1]All Data '!BC1533/'[1]All Data '!BH1533)</f>
        <v/>
      </c>
      <c r="O1528" s="5" t="str">
        <f t="shared" si="25"/>
        <v/>
      </c>
      <c r="P1528" s="5" t="str">
        <f>IF(M1528="","",$C$2*(1-L1528)*907.2/0.621371*N1528*[1]Transportation!$M$40)</f>
        <v/>
      </c>
      <c r="Q1528" s="5" t="str">
        <f>IF(L1528="","",IF([1]Inputs_Outputs!$B$5="Herbaceous",(LCA!$E$29*'[1]LOCH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8" s="5" t="str">
        <f>IF(M1528="","",$E$2*1000*'[1]LOCH Calc COE Calc'!$C$44)</f>
        <v/>
      </c>
      <c r="S1528" s="6" t="str">
        <f>IF(N1528="","",SUM(O1528:R1528)/('[1]LOCH Calc COE Calc'!$C$28))</f>
        <v/>
      </c>
      <c r="T1528" t="str">
        <f>IF(L1528="","",O1528/'[1]LOCH Calc COE Calc'!$C$28)</f>
        <v/>
      </c>
      <c r="U1528" t="str">
        <f>IF(L1528="","",P1528/'[1]LOCH Calc COE Calc'!$C$28)</f>
        <v/>
      </c>
      <c r="V1528" t="str">
        <f>IF(L1528="","",Q1528/'[1]LOCH Calc COE Calc'!$C$28)</f>
        <v/>
      </c>
      <c r="W1528" t="str">
        <f>IF(L1528="","",R1528/'[1]LOCH Calc COE Calc'!$C$28)</f>
        <v/>
      </c>
    </row>
    <row r="1529" spans="12:23" x14ac:dyDescent="0.25">
      <c r="L1529" s="4" t="str">
        <f>IF('[1]All Data '!BE1534="","",'[1]All Data '!BE1534)</f>
        <v/>
      </c>
      <c r="M1529" t="str">
        <f>IF('[1]All Data '!BF1534="","",'[1]All Data '!BF1534)</f>
        <v/>
      </c>
      <c r="N1529" s="5" t="str">
        <f>IF('[1]All Data '!BB1534="","",'[1]All Data '!BC1534/'[1]All Data '!BH1534)</f>
        <v/>
      </c>
      <c r="O1529" s="5" t="str">
        <f t="shared" si="25"/>
        <v/>
      </c>
      <c r="P1529" s="5" t="str">
        <f>IF(M1529="","",$C$2*(1-L1529)*907.2/0.621371*N1529*[1]Transportation!$M$40)</f>
        <v/>
      </c>
      <c r="Q1529" s="5" t="str">
        <f>IF(L1529="","",IF([1]Inputs_Outputs!$B$5="Herbaceous",(LCA!$E$29*'[1]LOCH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29" s="5" t="str">
        <f>IF(M1529="","",$E$2*1000*'[1]LOCH Calc COE Calc'!$C$44)</f>
        <v/>
      </c>
      <c r="S1529" s="6" t="str">
        <f>IF(N1529="","",SUM(O1529:R1529)/('[1]LOCH Calc COE Calc'!$C$28))</f>
        <v/>
      </c>
      <c r="T1529" t="str">
        <f>IF(L1529="","",O1529/'[1]LOCH Calc COE Calc'!$C$28)</f>
        <v/>
      </c>
      <c r="U1529" t="str">
        <f>IF(L1529="","",P1529/'[1]LOCH Calc COE Calc'!$C$28)</f>
        <v/>
      </c>
      <c r="V1529" t="str">
        <f>IF(L1529="","",Q1529/'[1]LOCH Calc COE Calc'!$C$28)</f>
        <v/>
      </c>
      <c r="W1529" t="str">
        <f>IF(L1529="","",R1529/'[1]LOCH Calc COE Calc'!$C$28)</f>
        <v/>
      </c>
    </row>
    <row r="1530" spans="12:23" x14ac:dyDescent="0.25">
      <c r="L1530" s="4" t="str">
        <f>IF('[1]All Data '!BE1535="","",'[1]All Data '!BE1535)</f>
        <v/>
      </c>
      <c r="M1530" t="str">
        <f>IF('[1]All Data '!BF1535="","",'[1]All Data '!BF1535)</f>
        <v/>
      </c>
      <c r="N1530" s="5" t="str">
        <f>IF('[1]All Data '!BB1535="","",'[1]All Data '!BC1535/'[1]All Data '!BH1535)</f>
        <v/>
      </c>
      <c r="O1530" s="5" t="str">
        <f t="shared" si="25"/>
        <v/>
      </c>
      <c r="P1530" s="5" t="str">
        <f>IF(M1530="","",$C$2*(1-L1530)*907.2/0.621371*N1530*[1]Transportation!$M$40)</f>
        <v/>
      </c>
      <c r="Q1530" s="5" t="str">
        <f>IF(L1530="","",IF([1]Inputs_Outputs!$B$5="Herbaceous",(LCA!$E$29*'[1]LOCH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0" s="5" t="str">
        <f>IF(M1530="","",$E$2*1000*'[1]LOCH Calc COE Calc'!$C$44)</f>
        <v/>
      </c>
      <c r="S1530" s="6" t="str">
        <f>IF(N1530="","",SUM(O1530:R1530)/('[1]LOCH Calc COE Calc'!$C$28))</f>
        <v/>
      </c>
      <c r="T1530" t="str">
        <f>IF(L1530="","",O1530/'[1]LOCH Calc COE Calc'!$C$28)</f>
        <v/>
      </c>
      <c r="U1530" t="str">
        <f>IF(L1530="","",P1530/'[1]LOCH Calc COE Calc'!$C$28)</f>
        <v/>
      </c>
      <c r="V1530" t="str">
        <f>IF(L1530="","",Q1530/'[1]LOCH Calc COE Calc'!$C$28)</f>
        <v/>
      </c>
      <c r="W1530" t="str">
        <f>IF(L1530="","",R1530/'[1]LOCH Calc COE Calc'!$C$28)</f>
        <v/>
      </c>
    </row>
    <row r="1531" spans="12:23" x14ac:dyDescent="0.25">
      <c r="L1531" s="4" t="str">
        <f>IF('[1]All Data '!BE1536="","",'[1]All Data '!BE1536)</f>
        <v/>
      </c>
      <c r="M1531" t="str">
        <f>IF('[1]All Data '!BF1536="","",'[1]All Data '!BF1536)</f>
        <v/>
      </c>
      <c r="N1531" s="5" t="str">
        <f>IF('[1]All Data '!BB1536="","",'[1]All Data '!BC1536/'[1]All Data '!BH1536)</f>
        <v/>
      </c>
      <c r="O1531" s="5" t="str">
        <f t="shared" si="25"/>
        <v/>
      </c>
      <c r="P1531" s="5" t="str">
        <f>IF(M1531="","",$C$2*(1-L1531)*907.2/0.621371*N1531*[1]Transportation!$M$40)</f>
        <v/>
      </c>
      <c r="Q1531" s="5" t="str">
        <f>IF(L1531="","",IF([1]Inputs_Outputs!$B$5="Herbaceous",(LCA!$E$29*'[1]LOCH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1" s="5" t="str">
        <f>IF(M1531="","",$E$2*1000*'[1]LOCH Calc COE Calc'!$C$44)</f>
        <v/>
      </c>
      <c r="S1531" s="6" t="str">
        <f>IF(N1531="","",SUM(O1531:R1531)/('[1]LOCH Calc COE Calc'!$C$28))</f>
        <v/>
      </c>
      <c r="T1531" t="str">
        <f>IF(L1531="","",O1531/'[1]LOCH Calc COE Calc'!$C$28)</f>
        <v/>
      </c>
      <c r="U1531" t="str">
        <f>IF(L1531="","",P1531/'[1]LOCH Calc COE Calc'!$C$28)</f>
        <v/>
      </c>
      <c r="V1531" t="str">
        <f>IF(L1531="","",Q1531/'[1]LOCH Calc COE Calc'!$C$28)</f>
        <v/>
      </c>
      <c r="W1531" t="str">
        <f>IF(L1531="","",R1531/'[1]LOCH Calc COE Calc'!$C$28)</f>
        <v/>
      </c>
    </row>
    <row r="1532" spans="12:23" x14ac:dyDescent="0.25">
      <c r="L1532" s="4" t="str">
        <f>IF('[1]All Data '!BE1537="","",'[1]All Data '!BE1537)</f>
        <v/>
      </c>
      <c r="M1532" t="str">
        <f>IF('[1]All Data '!BF1537="","",'[1]All Data '!BF1537)</f>
        <v/>
      </c>
      <c r="N1532" s="5" t="str">
        <f>IF('[1]All Data '!BB1537="","",'[1]All Data '!BC1537/'[1]All Data '!BH1537)</f>
        <v/>
      </c>
      <c r="O1532" s="5" t="str">
        <f t="shared" si="25"/>
        <v/>
      </c>
      <c r="P1532" s="5" t="str">
        <f>IF(M1532="","",$C$2*(1-L1532)*907.2/0.621371*N1532*[1]Transportation!$M$40)</f>
        <v/>
      </c>
      <c r="Q1532" s="5" t="str">
        <f>IF(L1532="","",IF([1]Inputs_Outputs!$B$5="Herbaceous",(LCA!$E$29*'[1]LOCH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2" s="5" t="str">
        <f>IF(M1532="","",$E$2*1000*'[1]LOCH Calc COE Calc'!$C$44)</f>
        <v/>
      </c>
      <c r="S1532" s="6" t="str">
        <f>IF(N1532="","",SUM(O1532:R1532)/('[1]LOCH Calc COE Calc'!$C$28))</f>
        <v/>
      </c>
      <c r="T1532" t="str">
        <f>IF(L1532="","",O1532/'[1]LOCH Calc COE Calc'!$C$28)</f>
        <v/>
      </c>
      <c r="U1532" t="str">
        <f>IF(L1532="","",P1532/'[1]LOCH Calc COE Calc'!$C$28)</f>
        <v/>
      </c>
      <c r="V1532" t="str">
        <f>IF(L1532="","",Q1532/'[1]LOCH Calc COE Calc'!$C$28)</f>
        <v/>
      </c>
      <c r="W1532" t="str">
        <f>IF(L1532="","",R1532/'[1]LOCH Calc COE Calc'!$C$28)</f>
        <v/>
      </c>
    </row>
    <row r="1533" spans="12:23" x14ac:dyDescent="0.25">
      <c r="L1533" s="4" t="str">
        <f>IF('[1]All Data '!BE1538="","",'[1]All Data '!BE1538)</f>
        <v/>
      </c>
      <c r="M1533" t="str">
        <f>IF('[1]All Data '!BF1538="","",'[1]All Data '!BF1538)</f>
        <v/>
      </c>
      <c r="N1533" s="5" t="str">
        <f>IF('[1]All Data '!BB1538="","",'[1]All Data '!BC1538/'[1]All Data '!BH1538)</f>
        <v/>
      </c>
      <c r="O1533" s="5" t="str">
        <f t="shared" si="25"/>
        <v/>
      </c>
      <c r="P1533" s="5" t="str">
        <f>IF(M1533="","",$C$2*(1-L1533)*907.2/0.621371*N1533*[1]Transportation!$M$40)</f>
        <v/>
      </c>
      <c r="Q1533" s="5" t="str">
        <f>IF(L1533="","",IF([1]Inputs_Outputs!$B$5="Herbaceous",(LCA!$E$29*'[1]LOCH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3" s="5" t="str">
        <f>IF(M1533="","",$E$2*1000*'[1]LOCH Calc COE Calc'!$C$44)</f>
        <v/>
      </c>
      <c r="S1533" s="6" t="str">
        <f>IF(N1533="","",SUM(O1533:R1533)/('[1]LOCH Calc COE Calc'!$C$28))</f>
        <v/>
      </c>
      <c r="T1533" t="str">
        <f>IF(L1533="","",O1533/'[1]LOCH Calc COE Calc'!$C$28)</f>
        <v/>
      </c>
      <c r="U1533" t="str">
        <f>IF(L1533="","",P1533/'[1]LOCH Calc COE Calc'!$C$28)</f>
        <v/>
      </c>
      <c r="V1533" t="str">
        <f>IF(L1533="","",Q1533/'[1]LOCH Calc COE Calc'!$C$28)</f>
        <v/>
      </c>
      <c r="W1533" t="str">
        <f>IF(L1533="","",R1533/'[1]LOCH Calc COE Calc'!$C$28)</f>
        <v/>
      </c>
    </row>
    <row r="1534" spans="12:23" x14ac:dyDescent="0.25">
      <c r="L1534" s="4" t="str">
        <f>IF('[1]All Data '!BE1539="","",'[1]All Data '!BE1539)</f>
        <v/>
      </c>
      <c r="M1534" t="str">
        <f>IF('[1]All Data '!BF1539="","",'[1]All Data '!BF1539)</f>
        <v/>
      </c>
      <c r="N1534" s="5" t="str">
        <f>IF('[1]All Data '!BB1539="","",'[1]All Data '!BC1539/'[1]All Data '!BH1539)</f>
        <v/>
      </c>
      <c r="O1534" s="5" t="str">
        <f t="shared" si="25"/>
        <v/>
      </c>
      <c r="P1534" s="5" t="str">
        <f>IF(M1534="","",$C$2*(1-L1534)*907.2/0.621371*N1534*[1]Transportation!$M$40)</f>
        <v/>
      </c>
      <c r="Q1534" s="5" t="str">
        <f>IF(L1534="","",IF([1]Inputs_Outputs!$B$5="Herbaceous",(LCA!$E$29*'[1]LOCH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4" s="5" t="str">
        <f>IF(M1534="","",$E$2*1000*'[1]LOCH Calc COE Calc'!$C$44)</f>
        <v/>
      </c>
      <c r="S1534" s="6" t="str">
        <f>IF(N1534="","",SUM(O1534:R1534)/('[1]LOCH Calc COE Calc'!$C$28))</f>
        <v/>
      </c>
      <c r="T1534" t="str">
        <f>IF(L1534="","",O1534/'[1]LOCH Calc COE Calc'!$C$28)</f>
        <v/>
      </c>
      <c r="U1534" t="str">
        <f>IF(L1534="","",P1534/'[1]LOCH Calc COE Calc'!$C$28)</f>
        <v/>
      </c>
      <c r="V1534" t="str">
        <f>IF(L1534="","",Q1534/'[1]LOCH Calc COE Calc'!$C$28)</f>
        <v/>
      </c>
      <c r="W1534" t="str">
        <f>IF(L1534="","",R1534/'[1]LOCH Calc COE Calc'!$C$28)</f>
        <v/>
      </c>
    </row>
    <row r="1535" spans="12:23" x14ac:dyDescent="0.25">
      <c r="L1535" s="4" t="str">
        <f>IF('[1]All Data '!BE1540="","",'[1]All Data '!BE1540)</f>
        <v/>
      </c>
      <c r="M1535" t="str">
        <f>IF('[1]All Data '!BF1540="","",'[1]All Data '!BF1540)</f>
        <v/>
      </c>
      <c r="N1535" s="5" t="str">
        <f>IF('[1]All Data '!BB1540="","",'[1]All Data '!BC1540/'[1]All Data '!BH1540)</f>
        <v/>
      </c>
      <c r="O1535" s="5" t="str">
        <f t="shared" si="25"/>
        <v/>
      </c>
      <c r="P1535" s="5" t="str">
        <f>IF(M1535="","",$C$2*(1-L1535)*907.2/0.621371*N1535*[1]Transportation!$M$40)</f>
        <v/>
      </c>
      <c r="Q1535" s="5" t="str">
        <f>IF(L1535="","",IF([1]Inputs_Outputs!$B$5="Herbaceous",(LCA!$E$29*'[1]LOCH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5" s="5" t="str">
        <f>IF(M1535="","",$E$2*1000*'[1]LOCH Calc COE Calc'!$C$44)</f>
        <v/>
      </c>
      <c r="S1535" s="6" t="str">
        <f>IF(N1535="","",SUM(O1535:R1535)/('[1]LOCH Calc COE Calc'!$C$28))</f>
        <v/>
      </c>
      <c r="T1535" t="str">
        <f>IF(L1535="","",O1535/'[1]LOCH Calc COE Calc'!$C$28)</f>
        <v/>
      </c>
      <c r="U1535" t="str">
        <f>IF(L1535="","",P1535/'[1]LOCH Calc COE Calc'!$C$28)</f>
        <v/>
      </c>
      <c r="V1535" t="str">
        <f>IF(L1535="","",Q1535/'[1]LOCH Calc COE Calc'!$C$28)</f>
        <v/>
      </c>
      <c r="W1535" t="str">
        <f>IF(L1535="","",R1535/'[1]LOCH Calc COE Calc'!$C$28)</f>
        <v/>
      </c>
    </row>
    <row r="1536" spans="12:23" x14ac:dyDescent="0.25">
      <c r="L1536" s="4" t="str">
        <f>IF('[1]All Data '!BE1541="","",'[1]All Data '!BE1541)</f>
        <v/>
      </c>
      <c r="M1536" t="str">
        <f>IF('[1]All Data '!BF1541="","",'[1]All Data '!BF1541)</f>
        <v/>
      </c>
      <c r="N1536" s="5" t="str">
        <f>IF('[1]All Data '!BB1541="","",'[1]All Data '!BC1541/'[1]All Data '!BH1541)</f>
        <v/>
      </c>
      <c r="O1536" s="5" t="str">
        <f t="shared" si="25"/>
        <v/>
      </c>
      <c r="P1536" s="5" t="str">
        <f>IF(M1536="","",$C$2*(1-L1536)*907.2/0.621371*N1536*[1]Transportation!$M$40)</f>
        <v/>
      </c>
      <c r="Q1536" s="5" t="str">
        <f>IF(L1536="","",IF([1]Inputs_Outputs!$B$5="Herbaceous",(LCA!$E$29*'[1]LOCH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6" s="5" t="str">
        <f>IF(M1536="","",$E$2*1000*'[1]LOCH Calc COE Calc'!$C$44)</f>
        <v/>
      </c>
      <c r="S1536" s="6" t="str">
        <f>IF(N1536="","",SUM(O1536:R1536)/('[1]LOCH Calc COE Calc'!$C$28))</f>
        <v/>
      </c>
      <c r="T1536" t="str">
        <f>IF(L1536="","",O1536/'[1]LOCH Calc COE Calc'!$C$28)</f>
        <v/>
      </c>
      <c r="U1536" t="str">
        <f>IF(L1536="","",P1536/'[1]LOCH Calc COE Calc'!$C$28)</f>
        <v/>
      </c>
      <c r="V1536" t="str">
        <f>IF(L1536="","",Q1536/'[1]LOCH Calc COE Calc'!$C$28)</f>
        <v/>
      </c>
      <c r="W1536" t="str">
        <f>IF(L1536="","",R1536/'[1]LOCH Calc COE Calc'!$C$28)</f>
        <v/>
      </c>
    </row>
    <row r="1537" spans="12:23" x14ac:dyDescent="0.25">
      <c r="L1537" s="4" t="str">
        <f>IF('[1]All Data '!BE1542="","",'[1]All Data '!BE1542)</f>
        <v/>
      </c>
      <c r="M1537" t="str">
        <f>IF('[1]All Data '!BF1542="","",'[1]All Data '!BF1542)</f>
        <v/>
      </c>
      <c r="N1537" s="5" t="str">
        <f>IF('[1]All Data '!BB1542="","",'[1]All Data '!BC1542/'[1]All Data '!BH1542)</f>
        <v/>
      </c>
      <c r="O1537" s="5" t="str">
        <f t="shared" si="25"/>
        <v/>
      </c>
      <c r="P1537" s="5" t="str">
        <f>IF(M1537="","",$C$2*(1-L1537)*907.2/0.621371*N1537*[1]Transportation!$M$40)</f>
        <v/>
      </c>
      <c r="Q1537" s="5" t="str">
        <f>IF(L1537="","",IF([1]Inputs_Outputs!$B$5="Herbaceous",(LCA!$E$29*'[1]LOCH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7" s="5" t="str">
        <f>IF(M1537="","",$E$2*1000*'[1]LOCH Calc COE Calc'!$C$44)</f>
        <v/>
      </c>
      <c r="S1537" s="6" t="str">
        <f>IF(N1537="","",SUM(O1537:R1537)/('[1]LOCH Calc COE Calc'!$C$28))</f>
        <v/>
      </c>
      <c r="T1537" t="str">
        <f>IF(L1537="","",O1537/'[1]LOCH Calc COE Calc'!$C$28)</f>
        <v/>
      </c>
      <c r="U1537" t="str">
        <f>IF(L1537="","",P1537/'[1]LOCH Calc COE Calc'!$C$28)</f>
        <v/>
      </c>
      <c r="V1537" t="str">
        <f>IF(L1537="","",Q1537/'[1]LOCH Calc COE Calc'!$C$28)</f>
        <v/>
      </c>
      <c r="W1537" t="str">
        <f>IF(L1537="","",R1537/'[1]LOCH Calc COE Calc'!$C$28)</f>
        <v/>
      </c>
    </row>
    <row r="1538" spans="12:23" x14ac:dyDescent="0.25">
      <c r="L1538" s="4" t="str">
        <f>IF('[1]All Data '!BE1543="","",'[1]All Data '!BE1543)</f>
        <v/>
      </c>
      <c r="M1538" t="str">
        <f>IF('[1]All Data '!BF1543="","",'[1]All Data '!BF1543)</f>
        <v/>
      </c>
      <c r="N1538" s="5" t="str">
        <f>IF('[1]All Data '!BB1543="","",'[1]All Data '!BC1543/'[1]All Data '!BH1543)</f>
        <v/>
      </c>
      <c r="O1538" s="5" t="str">
        <f t="shared" si="25"/>
        <v/>
      </c>
      <c r="P1538" s="5" t="str">
        <f>IF(M1538="","",$C$2*(1-L1538)*907.2/0.621371*N1538*[1]Transportation!$M$40)</f>
        <v/>
      </c>
      <c r="Q1538" s="5" t="str">
        <f>IF(L1538="","",IF([1]Inputs_Outputs!$B$5="Herbaceous",(LCA!$E$29*'[1]LOCH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8" s="5" t="str">
        <f>IF(M1538="","",$E$2*1000*'[1]LOCH Calc COE Calc'!$C$44)</f>
        <v/>
      </c>
      <c r="S1538" s="6" t="str">
        <f>IF(N1538="","",SUM(O1538:R1538)/('[1]LOCH Calc COE Calc'!$C$28))</f>
        <v/>
      </c>
      <c r="T1538" t="str">
        <f>IF(L1538="","",O1538/'[1]LOCH Calc COE Calc'!$C$28)</f>
        <v/>
      </c>
      <c r="U1538" t="str">
        <f>IF(L1538="","",P1538/'[1]LOCH Calc COE Calc'!$C$28)</f>
        <v/>
      </c>
      <c r="V1538" t="str">
        <f>IF(L1538="","",Q1538/'[1]LOCH Calc COE Calc'!$C$28)</f>
        <v/>
      </c>
      <c r="W1538" t="str">
        <f>IF(L1538="","",R1538/'[1]LOCH Calc COE Calc'!$C$28)</f>
        <v/>
      </c>
    </row>
    <row r="1539" spans="12:23" x14ac:dyDescent="0.25">
      <c r="L1539" s="4" t="str">
        <f>IF('[1]All Data '!BE1544="","",'[1]All Data '!BE1544)</f>
        <v/>
      </c>
      <c r="M1539" t="str">
        <f>IF('[1]All Data '!BF1544="","",'[1]All Data '!BF1544)</f>
        <v/>
      </c>
      <c r="N1539" s="5" t="str">
        <f>IF('[1]All Data '!BB1544="","",'[1]All Data '!BC1544/'[1]All Data '!BH1544)</f>
        <v/>
      </c>
      <c r="O1539" s="5" t="str">
        <f t="shared" si="25"/>
        <v/>
      </c>
      <c r="P1539" s="5" t="str">
        <f>IF(M1539="","",$C$2*(1-L1539)*907.2/0.621371*N1539*[1]Transportation!$M$40)</f>
        <v/>
      </c>
      <c r="Q1539" s="5" t="str">
        <f>IF(L1539="","",IF([1]Inputs_Outputs!$B$5="Herbaceous",(LCA!$E$29*'[1]LOCH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39" s="5" t="str">
        <f>IF(M1539="","",$E$2*1000*'[1]LOCH Calc COE Calc'!$C$44)</f>
        <v/>
      </c>
      <c r="S1539" s="6" t="str">
        <f>IF(N1539="","",SUM(O1539:R1539)/('[1]LOCH Calc COE Calc'!$C$28))</f>
        <v/>
      </c>
      <c r="T1539" t="str">
        <f>IF(L1539="","",O1539/'[1]LOCH Calc COE Calc'!$C$28)</f>
        <v/>
      </c>
      <c r="U1539" t="str">
        <f>IF(L1539="","",P1539/'[1]LOCH Calc COE Calc'!$C$28)</f>
        <v/>
      </c>
      <c r="V1539" t="str">
        <f>IF(L1539="","",Q1539/'[1]LOCH Calc COE Calc'!$C$28)</f>
        <v/>
      </c>
      <c r="W1539" t="str">
        <f>IF(L1539="","",R1539/'[1]LOCH Calc COE Calc'!$C$28)</f>
        <v/>
      </c>
    </row>
    <row r="1540" spans="12:23" x14ac:dyDescent="0.25">
      <c r="L1540" s="4" t="str">
        <f>IF('[1]All Data '!BE1545="","",'[1]All Data '!BE1545)</f>
        <v/>
      </c>
      <c r="M1540" t="str">
        <f>IF('[1]All Data '!BF1545="","",'[1]All Data '!BF1545)</f>
        <v/>
      </c>
      <c r="N1540" s="5" t="str">
        <f>IF('[1]All Data '!BB1545="","",'[1]All Data '!BC1545/'[1]All Data '!BH1545)</f>
        <v/>
      </c>
      <c r="O1540" s="5" t="str">
        <f t="shared" ref="O1540:O1603" si="26">IF(N1540="","",M1540*N1540)</f>
        <v/>
      </c>
      <c r="P1540" s="5" t="str">
        <f>IF(M1540="","",$C$2*(1-L1540)*907.2/0.621371*N1540*[1]Transportation!$M$40)</f>
        <v/>
      </c>
      <c r="Q1540" s="5" t="str">
        <f>IF(L1540="","",IF([1]Inputs_Outputs!$B$5="Herbaceous",(LCA!$E$29*'[1]LOCH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0" s="5" t="str">
        <f>IF(M1540="","",$E$2*1000*'[1]LOCH Calc COE Calc'!$C$44)</f>
        <v/>
      </c>
      <c r="S1540" s="6" t="str">
        <f>IF(N1540="","",SUM(O1540:R1540)/('[1]LOCH Calc COE Calc'!$C$28))</f>
        <v/>
      </c>
      <c r="T1540" t="str">
        <f>IF(L1540="","",O1540/'[1]LOCH Calc COE Calc'!$C$28)</f>
        <v/>
      </c>
      <c r="U1540" t="str">
        <f>IF(L1540="","",P1540/'[1]LOCH Calc COE Calc'!$C$28)</f>
        <v/>
      </c>
      <c r="V1540" t="str">
        <f>IF(L1540="","",Q1540/'[1]LOCH Calc COE Calc'!$C$28)</f>
        <v/>
      </c>
      <c r="W1540" t="str">
        <f>IF(L1540="","",R1540/'[1]LOCH Calc COE Calc'!$C$28)</f>
        <v/>
      </c>
    </row>
    <row r="1541" spans="12:23" x14ac:dyDescent="0.25">
      <c r="L1541" s="4" t="str">
        <f>IF('[1]All Data '!BE1546="","",'[1]All Data '!BE1546)</f>
        <v/>
      </c>
      <c r="M1541" t="str">
        <f>IF('[1]All Data '!BF1546="","",'[1]All Data '!BF1546)</f>
        <v/>
      </c>
      <c r="N1541" s="5" t="str">
        <f>IF('[1]All Data '!BB1546="","",'[1]All Data '!BC1546/'[1]All Data '!BH1546)</f>
        <v/>
      </c>
      <c r="O1541" s="5" t="str">
        <f t="shared" si="26"/>
        <v/>
      </c>
      <c r="P1541" s="5" t="str">
        <f>IF(M1541="","",$C$2*(1-L1541)*907.2/0.621371*N1541*[1]Transportation!$M$40)</f>
        <v/>
      </c>
      <c r="Q1541" s="5" t="str">
        <f>IF(L1541="","",IF([1]Inputs_Outputs!$B$5="Herbaceous",(LCA!$E$29*'[1]LOCH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1" s="5" t="str">
        <f>IF(M1541="","",$E$2*1000*'[1]LOCH Calc COE Calc'!$C$44)</f>
        <v/>
      </c>
      <c r="S1541" s="6" t="str">
        <f>IF(N1541="","",SUM(O1541:R1541)/('[1]LOCH Calc COE Calc'!$C$28))</f>
        <v/>
      </c>
      <c r="T1541" t="str">
        <f>IF(L1541="","",O1541/'[1]LOCH Calc COE Calc'!$C$28)</f>
        <v/>
      </c>
      <c r="U1541" t="str">
        <f>IF(L1541="","",P1541/'[1]LOCH Calc COE Calc'!$C$28)</f>
        <v/>
      </c>
      <c r="V1541" t="str">
        <f>IF(L1541="","",Q1541/'[1]LOCH Calc COE Calc'!$C$28)</f>
        <v/>
      </c>
      <c r="W1541" t="str">
        <f>IF(L1541="","",R1541/'[1]LOCH Calc COE Calc'!$C$28)</f>
        <v/>
      </c>
    </row>
    <row r="1542" spans="12:23" x14ac:dyDescent="0.25">
      <c r="L1542" s="4" t="str">
        <f>IF('[1]All Data '!BE1547="","",'[1]All Data '!BE1547)</f>
        <v/>
      </c>
      <c r="M1542" t="str">
        <f>IF('[1]All Data '!BF1547="","",'[1]All Data '!BF1547)</f>
        <v/>
      </c>
      <c r="N1542" s="5" t="str">
        <f>IF('[1]All Data '!BB1547="","",'[1]All Data '!BC1547/'[1]All Data '!BH1547)</f>
        <v/>
      </c>
      <c r="O1542" s="5" t="str">
        <f t="shared" si="26"/>
        <v/>
      </c>
      <c r="P1542" s="5" t="str">
        <f>IF(M1542="","",$C$2*(1-L1542)*907.2/0.621371*N1542*[1]Transportation!$M$40)</f>
        <v/>
      </c>
      <c r="Q1542" s="5" t="str">
        <f>IF(L1542="","",IF([1]Inputs_Outputs!$B$5="Herbaceous",(LCA!$E$29*'[1]LOCH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2" s="5" t="str">
        <f>IF(M1542="","",$E$2*1000*'[1]LOCH Calc COE Calc'!$C$44)</f>
        <v/>
      </c>
      <c r="S1542" s="6" t="str">
        <f>IF(N1542="","",SUM(O1542:R1542)/('[1]LOCH Calc COE Calc'!$C$28))</f>
        <v/>
      </c>
      <c r="T1542" t="str">
        <f>IF(L1542="","",O1542/'[1]LOCH Calc COE Calc'!$C$28)</f>
        <v/>
      </c>
      <c r="U1542" t="str">
        <f>IF(L1542="","",P1542/'[1]LOCH Calc COE Calc'!$C$28)</f>
        <v/>
      </c>
      <c r="V1542" t="str">
        <f>IF(L1542="","",Q1542/'[1]LOCH Calc COE Calc'!$C$28)</f>
        <v/>
      </c>
      <c r="W1542" t="str">
        <f>IF(L1542="","",R1542/'[1]LOCH Calc COE Calc'!$C$28)</f>
        <v/>
      </c>
    </row>
    <row r="1543" spans="12:23" x14ac:dyDescent="0.25">
      <c r="L1543" s="4" t="str">
        <f>IF('[1]All Data '!BE1548="","",'[1]All Data '!BE1548)</f>
        <v/>
      </c>
      <c r="M1543" t="str">
        <f>IF('[1]All Data '!BF1548="","",'[1]All Data '!BF1548)</f>
        <v/>
      </c>
      <c r="N1543" s="5" t="str">
        <f>IF('[1]All Data '!BB1548="","",'[1]All Data '!BC1548/'[1]All Data '!BH1548)</f>
        <v/>
      </c>
      <c r="O1543" s="5" t="str">
        <f t="shared" si="26"/>
        <v/>
      </c>
      <c r="P1543" s="5" t="str">
        <f>IF(M1543="","",$C$2*(1-L1543)*907.2/0.621371*N1543*[1]Transportation!$M$40)</f>
        <v/>
      </c>
      <c r="Q1543" s="5" t="str">
        <f>IF(L1543="","",IF([1]Inputs_Outputs!$B$5="Herbaceous",(LCA!$E$29*'[1]LOCH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3" s="5" t="str">
        <f>IF(M1543="","",$E$2*1000*'[1]LOCH Calc COE Calc'!$C$44)</f>
        <v/>
      </c>
      <c r="S1543" s="6" t="str">
        <f>IF(N1543="","",SUM(O1543:R1543)/('[1]LOCH Calc COE Calc'!$C$28))</f>
        <v/>
      </c>
      <c r="T1543" t="str">
        <f>IF(L1543="","",O1543/'[1]LOCH Calc COE Calc'!$C$28)</f>
        <v/>
      </c>
      <c r="U1543" t="str">
        <f>IF(L1543="","",P1543/'[1]LOCH Calc COE Calc'!$C$28)</f>
        <v/>
      </c>
      <c r="V1543" t="str">
        <f>IF(L1543="","",Q1543/'[1]LOCH Calc COE Calc'!$C$28)</f>
        <v/>
      </c>
      <c r="W1543" t="str">
        <f>IF(L1543="","",R1543/'[1]LOCH Calc COE Calc'!$C$28)</f>
        <v/>
      </c>
    </row>
    <row r="1544" spans="12:23" x14ac:dyDescent="0.25">
      <c r="L1544" s="4" t="str">
        <f>IF('[1]All Data '!BE1549="","",'[1]All Data '!BE1549)</f>
        <v/>
      </c>
      <c r="M1544" t="str">
        <f>IF('[1]All Data '!BF1549="","",'[1]All Data '!BF1549)</f>
        <v/>
      </c>
      <c r="N1544" s="5" t="str">
        <f>IF('[1]All Data '!BB1549="","",'[1]All Data '!BC1549/'[1]All Data '!BH1549)</f>
        <v/>
      </c>
      <c r="O1544" s="5" t="str">
        <f t="shared" si="26"/>
        <v/>
      </c>
      <c r="P1544" s="5" t="str">
        <f>IF(M1544="","",$C$2*(1-L1544)*907.2/0.621371*N1544*[1]Transportation!$M$40)</f>
        <v/>
      </c>
      <c r="Q1544" s="5" t="str">
        <f>IF(L1544="","",IF([1]Inputs_Outputs!$B$5="Herbaceous",(LCA!$E$29*'[1]LOCH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4" s="5" t="str">
        <f>IF(M1544="","",$E$2*1000*'[1]LOCH Calc COE Calc'!$C$44)</f>
        <v/>
      </c>
      <c r="S1544" s="6" t="str">
        <f>IF(N1544="","",SUM(O1544:R1544)/('[1]LOCH Calc COE Calc'!$C$28))</f>
        <v/>
      </c>
      <c r="T1544" t="str">
        <f>IF(L1544="","",O1544/'[1]LOCH Calc COE Calc'!$C$28)</f>
        <v/>
      </c>
      <c r="U1544" t="str">
        <f>IF(L1544="","",P1544/'[1]LOCH Calc COE Calc'!$C$28)</f>
        <v/>
      </c>
      <c r="V1544" t="str">
        <f>IF(L1544="","",Q1544/'[1]LOCH Calc COE Calc'!$C$28)</f>
        <v/>
      </c>
      <c r="W1544" t="str">
        <f>IF(L1544="","",R1544/'[1]LOCH Calc COE Calc'!$C$28)</f>
        <v/>
      </c>
    </row>
    <row r="1545" spans="12:23" x14ac:dyDescent="0.25">
      <c r="L1545" s="4" t="str">
        <f>IF('[1]All Data '!BE1550="","",'[1]All Data '!BE1550)</f>
        <v/>
      </c>
      <c r="M1545" t="str">
        <f>IF('[1]All Data '!BF1550="","",'[1]All Data '!BF1550)</f>
        <v/>
      </c>
      <c r="N1545" s="5" t="str">
        <f>IF('[1]All Data '!BB1550="","",'[1]All Data '!BC1550/'[1]All Data '!BH1550)</f>
        <v/>
      </c>
      <c r="O1545" s="5" t="str">
        <f t="shared" si="26"/>
        <v/>
      </c>
      <c r="P1545" s="5" t="str">
        <f>IF(M1545="","",$C$2*(1-L1545)*907.2/0.621371*N1545*[1]Transportation!$M$40)</f>
        <v/>
      </c>
      <c r="Q1545" s="5" t="str">
        <f>IF(L1545="","",IF([1]Inputs_Outputs!$B$5="Herbaceous",(LCA!$E$29*'[1]LOCH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5" s="5" t="str">
        <f>IF(M1545="","",$E$2*1000*'[1]LOCH Calc COE Calc'!$C$44)</f>
        <v/>
      </c>
      <c r="S1545" s="6" t="str">
        <f>IF(N1545="","",SUM(O1545:R1545)/('[1]LOCH Calc COE Calc'!$C$28))</f>
        <v/>
      </c>
      <c r="T1545" t="str">
        <f>IF(L1545="","",O1545/'[1]LOCH Calc COE Calc'!$C$28)</f>
        <v/>
      </c>
      <c r="U1545" t="str">
        <f>IF(L1545="","",P1545/'[1]LOCH Calc COE Calc'!$C$28)</f>
        <v/>
      </c>
      <c r="V1545" t="str">
        <f>IF(L1545="","",Q1545/'[1]LOCH Calc COE Calc'!$C$28)</f>
        <v/>
      </c>
      <c r="W1545" t="str">
        <f>IF(L1545="","",R1545/'[1]LOCH Calc COE Calc'!$C$28)</f>
        <v/>
      </c>
    </row>
    <row r="1546" spans="12:23" x14ac:dyDescent="0.25">
      <c r="L1546" s="4" t="str">
        <f>IF('[1]All Data '!BE1551="","",'[1]All Data '!BE1551)</f>
        <v/>
      </c>
      <c r="M1546" t="str">
        <f>IF('[1]All Data '!BF1551="","",'[1]All Data '!BF1551)</f>
        <v/>
      </c>
      <c r="N1546" s="5" t="str">
        <f>IF('[1]All Data '!BB1551="","",'[1]All Data '!BC1551/'[1]All Data '!BH1551)</f>
        <v/>
      </c>
      <c r="O1546" s="5" t="str">
        <f t="shared" si="26"/>
        <v/>
      </c>
      <c r="P1546" s="5" t="str">
        <f>IF(M1546="","",$C$2*(1-L1546)*907.2/0.621371*N1546*[1]Transportation!$M$40)</f>
        <v/>
      </c>
      <c r="Q1546" s="5" t="str">
        <f>IF(L1546="","",IF([1]Inputs_Outputs!$B$5="Herbaceous",(LCA!$E$29*'[1]LOCH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6" s="5" t="str">
        <f>IF(M1546="","",$E$2*1000*'[1]LOCH Calc COE Calc'!$C$44)</f>
        <v/>
      </c>
      <c r="S1546" s="6" t="str">
        <f>IF(N1546="","",SUM(O1546:R1546)/('[1]LOCH Calc COE Calc'!$C$28))</f>
        <v/>
      </c>
      <c r="T1546" t="str">
        <f>IF(L1546="","",O1546/'[1]LOCH Calc COE Calc'!$C$28)</f>
        <v/>
      </c>
      <c r="U1546" t="str">
        <f>IF(L1546="","",P1546/'[1]LOCH Calc COE Calc'!$C$28)</f>
        <v/>
      </c>
      <c r="V1546" t="str">
        <f>IF(L1546="","",Q1546/'[1]LOCH Calc COE Calc'!$C$28)</f>
        <v/>
      </c>
      <c r="W1546" t="str">
        <f>IF(L1546="","",R1546/'[1]LOCH Calc COE Calc'!$C$28)</f>
        <v/>
      </c>
    </row>
    <row r="1547" spans="12:23" x14ac:dyDescent="0.25">
      <c r="L1547" s="4" t="str">
        <f>IF('[1]All Data '!BE1552="","",'[1]All Data '!BE1552)</f>
        <v/>
      </c>
      <c r="M1547" t="str">
        <f>IF('[1]All Data '!BF1552="","",'[1]All Data '!BF1552)</f>
        <v/>
      </c>
      <c r="N1547" s="5" t="str">
        <f>IF('[1]All Data '!BB1552="","",'[1]All Data '!BC1552/'[1]All Data '!BH1552)</f>
        <v/>
      </c>
      <c r="O1547" s="5" t="str">
        <f t="shared" si="26"/>
        <v/>
      </c>
      <c r="P1547" s="5" t="str">
        <f>IF(M1547="","",$C$2*(1-L1547)*907.2/0.621371*N1547*[1]Transportation!$M$40)</f>
        <v/>
      </c>
      <c r="Q1547" s="5" t="str">
        <f>IF(L1547="","",IF([1]Inputs_Outputs!$B$5="Herbaceous",(LCA!$E$29*'[1]LOCH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7" s="5" t="str">
        <f>IF(M1547="","",$E$2*1000*'[1]LOCH Calc COE Calc'!$C$44)</f>
        <v/>
      </c>
      <c r="S1547" s="6" t="str">
        <f>IF(N1547="","",SUM(O1547:R1547)/('[1]LOCH Calc COE Calc'!$C$28))</f>
        <v/>
      </c>
      <c r="T1547" t="str">
        <f>IF(L1547="","",O1547/'[1]LOCH Calc COE Calc'!$C$28)</f>
        <v/>
      </c>
      <c r="U1547" t="str">
        <f>IF(L1547="","",P1547/'[1]LOCH Calc COE Calc'!$C$28)</f>
        <v/>
      </c>
      <c r="V1547" t="str">
        <f>IF(L1547="","",Q1547/'[1]LOCH Calc COE Calc'!$C$28)</f>
        <v/>
      </c>
      <c r="W1547" t="str">
        <f>IF(L1547="","",R1547/'[1]LOCH Calc COE Calc'!$C$28)</f>
        <v/>
      </c>
    </row>
    <row r="1548" spans="12:23" x14ac:dyDescent="0.25">
      <c r="L1548" s="4" t="str">
        <f>IF('[1]All Data '!BE1553="","",'[1]All Data '!BE1553)</f>
        <v/>
      </c>
      <c r="M1548" t="str">
        <f>IF('[1]All Data '!BF1553="","",'[1]All Data '!BF1553)</f>
        <v/>
      </c>
      <c r="N1548" s="5" t="str">
        <f>IF('[1]All Data '!BB1553="","",'[1]All Data '!BC1553/'[1]All Data '!BH1553)</f>
        <v/>
      </c>
      <c r="O1548" s="5" t="str">
        <f t="shared" si="26"/>
        <v/>
      </c>
      <c r="P1548" s="5" t="str">
        <f>IF(M1548="","",$C$2*(1-L1548)*907.2/0.621371*N1548*[1]Transportation!$M$40)</f>
        <v/>
      </c>
      <c r="Q1548" s="5" t="str">
        <f>IF(L1548="","",IF([1]Inputs_Outputs!$B$5="Herbaceous",(LCA!$E$29*'[1]LOCH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8" s="5" t="str">
        <f>IF(M1548="","",$E$2*1000*'[1]LOCH Calc COE Calc'!$C$44)</f>
        <v/>
      </c>
      <c r="S1548" s="6" t="str">
        <f>IF(N1548="","",SUM(O1548:R1548)/('[1]LOCH Calc COE Calc'!$C$28))</f>
        <v/>
      </c>
      <c r="T1548" t="str">
        <f>IF(L1548="","",O1548/'[1]LOCH Calc COE Calc'!$C$28)</f>
        <v/>
      </c>
      <c r="U1548" t="str">
        <f>IF(L1548="","",P1548/'[1]LOCH Calc COE Calc'!$C$28)</f>
        <v/>
      </c>
      <c r="V1548" t="str">
        <f>IF(L1548="","",Q1548/'[1]LOCH Calc COE Calc'!$C$28)</f>
        <v/>
      </c>
      <c r="W1548" t="str">
        <f>IF(L1548="","",R1548/'[1]LOCH Calc COE Calc'!$C$28)</f>
        <v/>
      </c>
    </row>
    <row r="1549" spans="12:23" x14ac:dyDescent="0.25">
      <c r="L1549" s="4" t="str">
        <f>IF('[1]All Data '!BE1554="","",'[1]All Data '!BE1554)</f>
        <v/>
      </c>
      <c r="M1549" t="str">
        <f>IF('[1]All Data '!BF1554="","",'[1]All Data '!BF1554)</f>
        <v/>
      </c>
      <c r="N1549" s="5" t="str">
        <f>IF('[1]All Data '!BB1554="","",'[1]All Data '!BC1554/'[1]All Data '!BH1554)</f>
        <v/>
      </c>
      <c r="O1549" s="5" t="str">
        <f t="shared" si="26"/>
        <v/>
      </c>
      <c r="P1549" s="5" t="str">
        <f>IF(M1549="","",$C$2*(1-L1549)*907.2/0.621371*N1549*[1]Transportation!$M$40)</f>
        <v/>
      </c>
      <c r="Q1549" s="5" t="str">
        <f>IF(L1549="","",IF([1]Inputs_Outputs!$B$5="Herbaceous",(LCA!$E$29*'[1]LOCH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49" s="5" t="str">
        <f>IF(M1549="","",$E$2*1000*'[1]LOCH Calc COE Calc'!$C$44)</f>
        <v/>
      </c>
      <c r="S1549" s="6" t="str">
        <f>IF(N1549="","",SUM(O1549:R1549)/('[1]LOCH Calc COE Calc'!$C$28))</f>
        <v/>
      </c>
      <c r="T1549" t="str">
        <f>IF(L1549="","",O1549/'[1]LOCH Calc COE Calc'!$C$28)</f>
        <v/>
      </c>
      <c r="U1549" t="str">
        <f>IF(L1549="","",P1549/'[1]LOCH Calc COE Calc'!$C$28)</f>
        <v/>
      </c>
      <c r="V1549" t="str">
        <f>IF(L1549="","",Q1549/'[1]LOCH Calc COE Calc'!$C$28)</f>
        <v/>
      </c>
      <c r="W1549" t="str">
        <f>IF(L1549="","",R1549/'[1]LOCH Calc COE Calc'!$C$28)</f>
        <v/>
      </c>
    </row>
    <row r="1550" spans="12:23" x14ac:dyDescent="0.25">
      <c r="L1550" s="4" t="str">
        <f>IF('[1]All Data '!BE1555="","",'[1]All Data '!BE1555)</f>
        <v/>
      </c>
      <c r="M1550" t="str">
        <f>IF('[1]All Data '!BF1555="","",'[1]All Data '!BF1555)</f>
        <v/>
      </c>
      <c r="N1550" s="5" t="str">
        <f>IF('[1]All Data '!BB1555="","",'[1]All Data '!BC1555/'[1]All Data '!BH1555)</f>
        <v/>
      </c>
      <c r="O1550" s="5" t="str">
        <f t="shared" si="26"/>
        <v/>
      </c>
      <c r="P1550" s="5" t="str">
        <f>IF(M1550="","",$C$2*(1-L1550)*907.2/0.621371*N1550*[1]Transportation!$M$40)</f>
        <v/>
      </c>
      <c r="Q1550" s="5" t="str">
        <f>IF(L1550="","",IF([1]Inputs_Outputs!$B$5="Herbaceous",(LCA!$E$29*'[1]LOCH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0" s="5" t="str">
        <f>IF(M1550="","",$E$2*1000*'[1]LOCH Calc COE Calc'!$C$44)</f>
        <v/>
      </c>
      <c r="S1550" s="6" t="str">
        <f>IF(N1550="","",SUM(O1550:R1550)/('[1]LOCH Calc COE Calc'!$C$28))</f>
        <v/>
      </c>
      <c r="T1550" t="str">
        <f>IF(L1550="","",O1550/'[1]LOCH Calc COE Calc'!$C$28)</f>
        <v/>
      </c>
      <c r="U1550" t="str">
        <f>IF(L1550="","",P1550/'[1]LOCH Calc COE Calc'!$C$28)</f>
        <v/>
      </c>
      <c r="V1550" t="str">
        <f>IF(L1550="","",Q1550/'[1]LOCH Calc COE Calc'!$C$28)</f>
        <v/>
      </c>
      <c r="W1550" t="str">
        <f>IF(L1550="","",R1550/'[1]LOCH Calc COE Calc'!$C$28)</f>
        <v/>
      </c>
    </row>
    <row r="1551" spans="12:23" x14ac:dyDescent="0.25">
      <c r="L1551" s="4" t="str">
        <f>IF('[1]All Data '!BE1556="","",'[1]All Data '!BE1556)</f>
        <v/>
      </c>
      <c r="M1551" t="str">
        <f>IF('[1]All Data '!BF1556="","",'[1]All Data '!BF1556)</f>
        <v/>
      </c>
      <c r="N1551" s="5" t="str">
        <f>IF('[1]All Data '!BB1556="","",'[1]All Data '!BC1556/'[1]All Data '!BH1556)</f>
        <v/>
      </c>
      <c r="O1551" s="5" t="str">
        <f t="shared" si="26"/>
        <v/>
      </c>
      <c r="P1551" s="5" t="str">
        <f>IF(M1551="","",$C$2*(1-L1551)*907.2/0.621371*N1551*[1]Transportation!$M$40)</f>
        <v/>
      </c>
      <c r="Q1551" s="5" t="str">
        <f>IF(L1551="","",IF([1]Inputs_Outputs!$B$5="Herbaceous",(LCA!$E$29*'[1]LOCH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1" s="5" t="str">
        <f>IF(M1551="","",$E$2*1000*'[1]LOCH Calc COE Calc'!$C$44)</f>
        <v/>
      </c>
      <c r="S1551" s="6" t="str">
        <f>IF(N1551="","",SUM(O1551:R1551)/('[1]LOCH Calc COE Calc'!$C$28))</f>
        <v/>
      </c>
      <c r="T1551" t="str">
        <f>IF(L1551="","",O1551/'[1]LOCH Calc COE Calc'!$C$28)</f>
        <v/>
      </c>
      <c r="U1551" t="str">
        <f>IF(L1551="","",P1551/'[1]LOCH Calc COE Calc'!$C$28)</f>
        <v/>
      </c>
      <c r="V1551" t="str">
        <f>IF(L1551="","",Q1551/'[1]LOCH Calc COE Calc'!$C$28)</f>
        <v/>
      </c>
      <c r="W1551" t="str">
        <f>IF(L1551="","",R1551/'[1]LOCH Calc COE Calc'!$C$28)</f>
        <v/>
      </c>
    </row>
    <row r="1552" spans="12:23" x14ac:dyDescent="0.25">
      <c r="L1552" s="4" t="str">
        <f>IF('[1]All Data '!BE1557="","",'[1]All Data '!BE1557)</f>
        <v/>
      </c>
      <c r="M1552" t="str">
        <f>IF('[1]All Data '!BF1557="","",'[1]All Data '!BF1557)</f>
        <v/>
      </c>
      <c r="N1552" s="5" t="str">
        <f>IF('[1]All Data '!BB1557="","",'[1]All Data '!BC1557/'[1]All Data '!BH1557)</f>
        <v/>
      </c>
      <c r="O1552" s="5" t="str">
        <f t="shared" si="26"/>
        <v/>
      </c>
      <c r="P1552" s="5" t="str">
        <f>IF(M1552="","",$C$2*(1-L1552)*907.2/0.621371*N1552*[1]Transportation!$M$40)</f>
        <v/>
      </c>
      <c r="Q1552" s="5" t="str">
        <f>IF(L1552="","",IF([1]Inputs_Outputs!$B$5="Herbaceous",(LCA!$E$29*'[1]LOCH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2" s="5" t="str">
        <f>IF(M1552="","",$E$2*1000*'[1]LOCH Calc COE Calc'!$C$44)</f>
        <v/>
      </c>
      <c r="S1552" s="6" t="str">
        <f>IF(N1552="","",SUM(O1552:R1552)/('[1]LOCH Calc COE Calc'!$C$28))</f>
        <v/>
      </c>
      <c r="T1552" t="str">
        <f>IF(L1552="","",O1552/'[1]LOCH Calc COE Calc'!$C$28)</f>
        <v/>
      </c>
      <c r="U1552" t="str">
        <f>IF(L1552="","",P1552/'[1]LOCH Calc COE Calc'!$C$28)</f>
        <v/>
      </c>
      <c r="V1552" t="str">
        <f>IF(L1552="","",Q1552/'[1]LOCH Calc COE Calc'!$C$28)</f>
        <v/>
      </c>
      <c r="W1552" t="str">
        <f>IF(L1552="","",R1552/'[1]LOCH Calc COE Calc'!$C$28)</f>
        <v/>
      </c>
    </row>
    <row r="1553" spans="12:23" x14ac:dyDescent="0.25">
      <c r="L1553" s="4" t="str">
        <f>IF('[1]All Data '!BE1558="","",'[1]All Data '!BE1558)</f>
        <v/>
      </c>
      <c r="M1553" t="str">
        <f>IF('[1]All Data '!BF1558="","",'[1]All Data '!BF1558)</f>
        <v/>
      </c>
      <c r="N1553" s="5" t="str">
        <f>IF('[1]All Data '!BB1558="","",'[1]All Data '!BC1558/'[1]All Data '!BH1558)</f>
        <v/>
      </c>
      <c r="O1553" s="5" t="str">
        <f t="shared" si="26"/>
        <v/>
      </c>
      <c r="P1553" s="5" t="str">
        <f>IF(M1553="","",$C$2*(1-L1553)*907.2/0.621371*N1553*[1]Transportation!$M$40)</f>
        <v/>
      </c>
      <c r="Q1553" s="5" t="str">
        <f>IF(L1553="","",IF([1]Inputs_Outputs!$B$5="Herbaceous",(LCA!$E$29*'[1]LOCH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3" s="5" t="str">
        <f>IF(M1553="","",$E$2*1000*'[1]LOCH Calc COE Calc'!$C$44)</f>
        <v/>
      </c>
      <c r="S1553" s="6" t="str">
        <f>IF(N1553="","",SUM(O1553:R1553)/('[1]LOCH Calc COE Calc'!$C$28))</f>
        <v/>
      </c>
      <c r="T1553" t="str">
        <f>IF(L1553="","",O1553/'[1]LOCH Calc COE Calc'!$C$28)</f>
        <v/>
      </c>
      <c r="U1553" t="str">
        <f>IF(L1553="","",P1553/'[1]LOCH Calc COE Calc'!$C$28)</f>
        <v/>
      </c>
      <c r="V1553" t="str">
        <f>IF(L1553="","",Q1553/'[1]LOCH Calc COE Calc'!$C$28)</f>
        <v/>
      </c>
      <c r="W1553" t="str">
        <f>IF(L1553="","",R1553/'[1]LOCH Calc COE Calc'!$C$28)</f>
        <v/>
      </c>
    </row>
    <row r="1554" spans="12:23" x14ac:dyDescent="0.25">
      <c r="L1554" s="4" t="str">
        <f>IF('[1]All Data '!BE1559="","",'[1]All Data '!BE1559)</f>
        <v/>
      </c>
      <c r="M1554" t="str">
        <f>IF('[1]All Data '!BF1559="","",'[1]All Data '!BF1559)</f>
        <v/>
      </c>
      <c r="N1554" s="5" t="str">
        <f>IF('[1]All Data '!BB1559="","",'[1]All Data '!BC1559/'[1]All Data '!BH1559)</f>
        <v/>
      </c>
      <c r="O1554" s="5" t="str">
        <f t="shared" si="26"/>
        <v/>
      </c>
      <c r="P1554" s="5" t="str">
        <f>IF(M1554="","",$C$2*(1-L1554)*907.2/0.621371*N1554*[1]Transportation!$M$40)</f>
        <v/>
      </c>
      <c r="Q1554" s="5" t="str">
        <f>IF(L1554="","",IF([1]Inputs_Outputs!$B$5="Herbaceous",(LCA!$E$29*'[1]LOCH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4" s="5" t="str">
        <f>IF(M1554="","",$E$2*1000*'[1]LOCH Calc COE Calc'!$C$44)</f>
        <v/>
      </c>
      <c r="S1554" s="6" t="str">
        <f>IF(N1554="","",SUM(O1554:R1554)/('[1]LOCH Calc COE Calc'!$C$28))</f>
        <v/>
      </c>
      <c r="T1554" t="str">
        <f>IF(L1554="","",O1554/'[1]LOCH Calc COE Calc'!$C$28)</f>
        <v/>
      </c>
      <c r="U1554" t="str">
        <f>IF(L1554="","",P1554/'[1]LOCH Calc COE Calc'!$C$28)</f>
        <v/>
      </c>
      <c r="V1554" t="str">
        <f>IF(L1554="","",Q1554/'[1]LOCH Calc COE Calc'!$C$28)</f>
        <v/>
      </c>
      <c r="W1554" t="str">
        <f>IF(L1554="","",R1554/'[1]LOCH Calc COE Calc'!$C$28)</f>
        <v/>
      </c>
    </row>
    <row r="1555" spans="12:23" x14ac:dyDescent="0.25">
      <c r="L1555" s="4" t="str">
        <f>IF('[1]All Data '!BE1560="","",'[1]All Data '!BE1560)</f>
        <v/>
      </c>
      <c r="M1555" t="str">
        <f>IF('[1]All Data '!BF1560="","",'[1]All Data '!BF1560)</f>
        <v/>
      </c>
      <c r="N1555" s="5" t="str">
        <f>IF('[1]All Data '!BB1560="","",'[1]All Data '!BC1560/'[1]All Data '!BH1560)</f>
        <v/>
      </c>
      <c r="O1555" s="5" t="str">
        <f t="shared" si="26"/>
        <v/>
      </c>
      <c r="P1555" s="5" t="str">
        <f>IF(M1555="","",$C$2*(1-L1555)*907.2/0.621371*N1555*[1]Transportation!$M$40)</f>
        <v/>
      </c>
      <c r="Q1555" s="5" t="str">
        <f>IF(L1555="","",IF([1]Inputs_Outputs!$B$5="Herbaceous",(LCA!$E$29*'[1]LOCH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5" s="5" t="str">
        <f>IF(M1555="","",$E$2*1000*'[1]LOCH Calc COE Calc'!$C$44)</f>
        <v/>
      </c>
      <c r="S1555" s="6" t="str">
        <f>IF(N1555="","",SUM(O1555:R1555)/('[1]LOCH Calc COE Calc'!$C$28))</f>
        <v/>
      </c>
      <c r="T1555" t="str">
        <f>IF(L1555="","",O1555/'[1]LOCH Calc COE Calc'!$C$28)</f>
        <v/>
      </c>
      <c r="U1555" t="str">
        <f>IF(L1555="","",P1555/'[1]LOCH Calc COE Calc'!$C$28)</f>
        <v/>
      </c>
      <c r="V1555" t="str">
        <f>IF(L1555="","",Q1555/'[1]LOCH Calc COE Calc'!$C$28)</f>
        <v/>
      </c>
      <c r="W1555" t="str">
        <f>IF(L1555="","",R1555/'[1]LOCH Calc COE Calc'!$C$28)</f>
        <v/>
      </c>
    </row>
    <row r="1556" spans="12:23" x14ac:dyDescent="0.25">
      <c r="L1556" s="4" t="str">
        <f>IF('[1]All Data '!BE1561="","",'[1]All Data '!BE1561)</f>
        <v/>
      </c>
      <c r="M1556" t="str">
        <f>IF('[1]All Data '!BF1561="","",'[1]All Data '!BF1561)</f>
        <v/>
      </c>
      <c r="N1556" s="5" t="str">
        <f>IF('[1]All Data '!BB1561="","",'[1]All Data '!BC1561/'[1]All Data '!BH1561)</f>
        <v/>
      </c>
      <c r="O1556" s="5" t="str">
        <f t="shared" si="26"/>
        <v/>
      </c>
      <c r="P1556" s="5" t="str">
        <f>IF(M1556="","",$C$2*(1-L1556)*907.2/0.621371*N1556*[1]Transportation!$M$40)</f>
        <v/>
      </c>
      <c r="Q1556" s="5" t="str">
        <f>IF(L1556="","",IF([1]Inputs_Outputs!$B$5="Herbaceous",(LCA!$E$29*'[1]LOCH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6" s="5" t="str">
        <f>IF(M1556="","",$E$2*1000*'[1]LOCH Calc COE Calc'!$C$44)</f>
        <v/>
      </c>
      <c r="S1556" s="6" t="str">
        <f>IF(N1556="","",SUM(O1556:R1556)/('[1]LOCH Calc COE Calc'!$C$28))</f>
        <v/>
      </c>
      <c r="T1556" t="str">
        <f>IF(L1556="","",O1556/'[1]LOCH Calc COE Calc'!$C$28)</f>
        <v/>
      </c>
      <c r="U1556" t="str">
        <f>IF(L1556="","",P1556/'[1]LOCH Calc COE Calc'!$C$28)</f>
        <v/>
      </c>
      <c r="V1556" t="str">
        <f>IF(L1556="","",Q1556/'[1]LOCH Calc COE Calc'!$C$28)</f>
        <v/>
      </c>
      <c r="W1556" t="str">
        <f>IF(L1556="","",R1556/'[1]LOCH Calc COE Calc'!$C$28)</f>
        <v/>
      </c>
    </row>
    <row r="1557" spans="12:23" x14ac:dyDescent="0.25">
      <c r="L1557" s="4" t="str">
        <f>IF('[1]All Data '!BE1562="","",'[1]All Data '!BE1562)</f>
        <v/>
      </c>
      <c r="M1557" t="str">
        <f>IF('[1]All Data '!BF1562="","",'[1]All Data '!BF1562)</f>
        <v/>
      </c>
      <c r="N1557" s="5" t="str">
        <f>IF('[1]All Data '!BB1562="","",'[1]All Data '!BC1562/'[1]All Data '!BH1562)</f>
        <v/>
      </c>
      <c r="O1557" s="5" t="str">
        <f t="shared" si="26"/>
        <v/>
      </c>
      <c r="P1557" s="5" t="str">
        <f>IF(M1557="","",$C$2*(1-L1557)*907.2/0.621371*N1557*[1]Transportation!$M$40)</f>
        <v/>
      </c>
      <c r="Q1557" s="5" t="str">
        <f>IF(L1557="","",IF([1]Inputs_Outputs!$B$5="Herbaceous",(LCA!$E$29*'[1]LOCH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7" s="5" t="str">
        <f>IF(M1557="","",$E$2*1000*'[1]LOCH Calc COE Calc'!$C$44)</f>
        <v/>
      </c>
      <c r="S1557" s="6" t="str">
        <f>IF(N1557="","",SUM(O1557:R1557)/('[1]LOCH Calc COE Calc'!$C$28))</f>
        <v/>
      </c>
      <c r="T1557" t="str">
        <f>IF(L1557="","",O1557/'[1]LOCH Calc COE Calc'!$C$28)</f>
        <v/>
      </c>
      <c r="U1557" t="str">
        <f>IF(L1557="","",P1557/'[1]LOCH Calc COE Calc'!$C$28)</f>
        <v/>
      </c>
      <c r="V1557" t="str">
        <f>IF(L1557="","",Q1557/'[1]LOCH Calc COE Calc'!$C$28)</f>
        <v/>
      </c>
      <c r="W1557" t="str">
        <f>IF(L1557="","",R1557/'[1]LOCH Calc COE Calc'!$C$28)</f>
        <v/>
      </c>
    </row>
    <row r="1558" spans="12:23" x14ac:dyDescent="0.25">
      <c r="L1558" s="4" t="str">
        <f>IF('[1]All Data '!BE1563="","",'[1]All Data '!BE1563)</f>
        <v/>
      </c>
      <c r="M1558" t="str">
        <f>IF('[1]All Data '!BF1563="","",'[1]All Data '!BF1563)</f>
        <v/>
      </c>
      <c r="N1558" s="5" t="str">
        <f>IF('[1]All Data '!BB1563="","",'[1]All Data '!BC1563/'[1]All Data '!BH1563)</f>
        <v/>
      </c>
      <c r="O1558" s="5" t="str">
        <f t="shared" si="26"/>
        <v/>
      </c>
      <c r="P1558" s="5" t="str">
        <f>IF(M1558="","",$C$2*(1-L1558)*907.2/0.621371*N1558*[1]Transportation!$M$40)</f>
        <v/>
      </c>
      <c r="Q1558" s="5" t="str">
        <f>IF(L1558="","",IF([1]Inputs_Outputs!$B$5="Herbaceous",(LCA!$E$29*'[1]LOCH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8" s="5" t="str">
        <f>IF(M1558="","",$E$2*1000*'[1]LOCH Calc COE Calc'!$C$44)</f>
        <v/>
      </c>
      <c r="S1558" s="6" t="str">
        <f>IF(N1558="","",SUM(O1558:R1558)/('[1]LOCH Calc COE Calc'!$C$28))</f>
        <v/>
      </c>
      <c r="T1558" t="str">
        <f>IF(L1558="","",O1558/'[1]LOCH Calc COE Calc'!$C$28)</f>
        <v/>
      </c>
      <c r="U1558" t="str">
        <f>IF(L1558="","",P1558/'[1]LOCH Calc COE Calc'!$C$28)</f>
        <v/>
      </c>
      <c r="V1558" t="str">
        <f>IF(L1558="","",Q1558/'[1]LOCH Calc COE Calc'!$C$28)</f>
        <v/>
      </c>
      <c r="W1558" t="str">
        <f>IF(L1558="","",R1558/'[1]LOCH Calc COE Calc'!$C$28)</f>
        <v/>
      </c>
    </row>
    <row r="1559" spans="12:23" x14ac:dyDescent="0.25">
      <c r="L1559" s="4" t="str">
        <f>IF('[1]All Data '!BE1564="","",'[1]All Data '!BE1564)</f>
        <v/>
      </c>
      <c r="M1559" t="str">
        <f>IF('[1]All Data '!BF1564="","",'[1]All Data '!BF1564)</f>
        <v/>
      </c>
      <c r="N1559" s="5" t="str">
        <f>IF('[1]All Data '!BB1564="","",'[1]All Data '!BC1564/'[1]All Data '!BH1564)</f>
        <v/>
      </c>
      <c r="O1559" s="5" t="str">
        <f t="shared" si="26"/>
        <v/>
      </c>
      <c r="P1559" s="5" t="str">
        <f>IF(M1559="","",$C$2*(1-L1559)*907.2/0.621371*N1559*[1]Transportation!$M$40)</f>
        <v/>
      </c>
      <c r="Q1559" s="5" t="str">
        <f>IF(L1559="","",IF([1]Inputs_Outputs!$B$5="Herbaceous",(LCA!$E$29*'[1]LOCH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59" s="5" t="str">
        <f>IF(M1559="","",$E$2*1000*'[1]LOCH Calc COE Calc'!$C$44)</f>
        <v/>
      </c>
      <c r="S1559" s="6" t="str">
        <f>IF(N1559="","",SUM(O1559:R1559)/('[1]LOCH Calc COE Calc'!$C$28))</f>
        <v/>
      </c>
      <c r="T1559" t="str">
        <f>IF(L1559="","",O1559/'[1]LOCH Calc COE Calc'!$C$28)</f>
        <v/>
      </c>
      <c r="U1559" t="str">
        <f>IF(L1559="","",P1559/'[1]LOCH Calc COE Calc'!$C$28)</f>
        <v/>
      </c>
      <c r="V1559" t="str">
        <f>IF(L1559="","",Q1559/'[1]LOCH Calc COE Calc'!$C$28)</f>
        <v/>
      </c>
      <c r="W1559" t="str">
        <f>IF(L1559="","",R1559/'[1]LOCH Calc COE Calc'!$C$28)</f>
        <v/>
      </c>
    </row>
    <row r="1560" spans="12:23" x14ac:dyDescent="0.25">
      <c r="L1560" s="4" t="str">
        <f>IF('[1]All Data '!BE1565="","",'[1]All Data '!BE1565)</f>
        <v/>
      </c>
      <c r="M1560" t="str">
        <f>IF('[1]All Data '!BF1565="","",'[1]All Data '!BF1565)</f>
        <v/>
      </c>
      <c r="N1560" s="5" t="str">
        <f>IF('[1]All Data '!BB1565="","",'[1]All Data '!BC1565/'[1]All Data '!BH1565)</f>
        <v/>
      </c>
      <c r="O1560" s="5" t="str">
        <f t="shared" si="26"/>
        <v/>
      </c>
      <c r="P1560" s="5" t="str">
        <f>IF(M1560="","",$C$2*(1-L1560)*907.2/0.621371*N1560*[1]Transportation!$M$40)</f>
        <v/>
      </c>
      <c r="Q1560" s="5" t="str">
        <f>IF(L1560="","",IF([1]Inputs_Outputs!$B$5="Herbaceous",(LCA!$E$29*'[1]LOCH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0" s="5" t="str">
        <f>IF(M1560="","",$E$2*1000*'[1]LOCH Calc COE Calc'!$C$44)</f>
        <v/>
      </c>
      <c r="S1560" s="6" t="str">
        <f>IF(N1560="","",SUM(O1560:R1560)/('[1]LOCH Calc COE Calc'!$C$28))</f>
        <v/>
      </c>
      <c r="T1560" t="str">
        <f>IF(L1560="","",O1560/'[1]LOCH Calc COE Calc'!$C$28)</f>
        <v/>
      </c>
      <c r="U1560" t="str">
        <f>IF(L1560="","",P1560/'[1]LOCH Calc COE Calc'!$C$28)</f>
        <v/>
      </c>
      <c r="V1560" t="str">
        <f>IF(L1560="","",Q1560/'[1]LOCH Calc COE Calc'!$C$28)</f>
        <v/>
      </c>
      <c r="W1560" t="str">
        <f>IF(L1560="","",R1560/'[1]LOCH Calc COE Calc'!$C$28)</f>
        <v/>
      </c>
    </row>
    <row r="1561" spans="12:23" x14ac:dyDescent="0.25">
      <c r="L1561" s="4" t="str">
        <f>IF('[1]All Data '!BE1566="","",'[1]All Data '!BE1566)</f>
        <v/>
      </c>
      <c r="M1561" t="str">
        <f>IF('[1]All Data '!BF1566="","",'[1]All Data '!BF1566)</f>
        <v/>
      </c>
      <c r="N1561" s="5" t="str">
        <f>IF('[1]All Data '!BB1566="","",'[1]All Data '!BC1566/'[1]All Data '!BH1566)</f>
        <v/>
      </c>
      <c r="O1561" s="5" t="str">
        <f t="shared" si="26"/>
        <v/>
      </c>
      <c r="P1561" s="5" t="str">
        <f>IF(M1561="","",$C$2*(1-L1561)*907.2/0.621371*N1561*[1]Transportation!$M$40)</f>
        <v/>
      </c>
      <c r="Q1561" s="5" t="str">
        <f>IF(L1561="","",IF([1]Inputs_Outputs!$B$5="Herbaceous",(LCA!$E$29*'[1]LOCH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1" s="5" t="str">
        <f>IF(M1561="","",$E$2*1000*'[1]LOCH Calc COE Calc'!$C$44)</f>
        <v/>
      </c>
      <c r="S1561" s="6" t="str">
        <f>IF(N1561="","",SUM(O1561:R1561)/('[1]LOCH Calc COE Calc'!$C$28))</f>
        <v/>
      </c>
      <c r="T1561" t="str">
        <f>IF(L1561="","",O1561/'[1]LOCH Calc COE Calc'!$C$28)</f>
        <v/>
      </c>
      <c r="U1561" t="str">
        <f>IF(L1561="","",P1561/'[1]LOCH Calc COE Calc'!$C$28)</f>
        <v/>
      </c>
      <c r="V1561" t="str">
        <f>IF(L1561="","",Q1561/'[1]LOCH Calc COE Calc'!$C$28)</f>
        <v/>
      </c>
      <c r="W1561" t="str">
        <f>IF(L1561="","",R1561/'[1]LOCH Calc COE Calc'!$C$28)</f>
        <v/>
      </c>
    </row>
    <row r="1562" spans="12:23" x14ac:dyDescent="0.25">
      <c r="L1562" s="4" t="str">
        <f>IF('[1]All Data '!BE1567="","",'[1]All Data '!BE1567)</f>
        <v/>
      </c>
      <c r="M1562" t="str">
        <f>IF('[1]All Data '!BF1567="","",'[1]All Data '!BF1567)</f>
        <v/>
      </c>
      <c r="N1562" s="5" t="str">
        <f>IF('[1]All Data '!BB1567="","",'[1]All Data '!BC1567/'[1]All Data '!BH1567)</f>
        <v/>
      </c>
      <c r="O1562" s="5" t="str">
        <f t="shared" si="26"/>
        <v/>
      </c>
      <c r="P1562" s="5" t="str">
        <f>IF(M1562="","",$C$2*(1-L1562)*907.2/0.621371*N1562*[1]Transportation!$M$40)</f>
        <v/>
      </c>
      <c r="Q1562" s="5" t="str">
        <f>IF(L1562="","",IF([1]Inputs_Outputs!$B$5="Herbaceous",(LCA!$E$29*'[1]LOCH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2" s="5" t="str">
        <f>IF(M1562="","",$E$2*1000*'[1]LOCH Calc COE Calc'!$C$44)</f>
        <v/>
      </c>
      <c r="S1562" s="6" t="str">
        <f>IF(N1562="","",SUM(O1562:R1562)/('[1]LOCH Calc COE Calc'!$C$28))</f>
        <v/>
      </c>
      <c r="T1562" t="str">
        <f>IF(L1562="","",O1562/'[1]LOCH Calc COE Calc'!$C$28)</f>
        <v/>
      </c>
      <c r="U1562" t="str">
        <f>IF(L1562="","",P1562/'[1]LOCH Calc COE Calc'!$C$28)</f>
        <v/>
      </c>
      <c r="V1562" t="str">
        <f>IF(L1562="","",Q1562/'[1]LOCH Calc COE Calc'!$C$28)</f>
        <v/>
      </c>
      <c r="W1562" t="str">
        <f>IF(L1562="","",R1562/'[1]LOCH Calc COE Calc'!$C$28)</f>
        <v/>
      </c>
    </row>
    <row r="1563" spans="12:23" x14ac:dyDescent="0.25">
      <c r="L1563" s="4" t="str">
        <f>IF('[1]All Data '!BE1568="","",'[1]All Data '!BE1568)</f>
        <v/>
      </c>
      <c r="M1563" t="str">
        <f>IF('[1]All Data '!BF1568="","",'[1]All Data '!BF1568)</f>
        <v/>
      </c>
      <c r="N1563" s="5" t="str">
        <f>IF('[1]All Data '!BB1568="","",'[1]All Data '!BC1568/'[1]All Data '!BH1568)</f>
        <v/>
      </c>
      <c r="O1563" s="5" t="str">
        <f t="shared" si="26"/>
        <v/>
      </c>
      <c r="P1563" s="5" t="str">
        <f>IF(M1563="","",$C$2*(1-L1563)*907.2/0.621371*N1563*[1]Transportation!$M$40)</f>
        <v/>
      </c>
      <c r="Q1563" s="5" t="str">
        <f>IF(L1563="","",IF([1]Inputs_Outputs!$B$5="Herbaceous",(LCA!$E$29*'[1]LOCH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3" s="5" t="str">
        <f>IF(M1563="","",$E$2*1000*'[1]LOCH Calc COE Calc'!$C$44)</f>
        <v/>
      </c>
      <c r="S1563" s="6" t="str">
        <f>IF(N1563="","",SUM(O1563:R1563)/('[1]LOCH Calc COE Calc'!$C$28))</f>
        <v/>
      </c>
      <c r="T1563" t="str">
        <f>IF(L1563="","",O1563/'[1]LOCH Calc COE Calc'!$C$28)</f>
        <v/>
      </c>
      <c r="U1563" t="str">
        <f>IF(L1563="","",P1563/'[1]LOCH Calc COE Calc'!$C$28)</f>
        <v/>
      </c>
      <c r="V1563" t="str">
        <f>IF(L1563="","",Q1563/'[1]LOCH Calc COE Calc'!$C$28)</f>
        <v/>
      </c>
      <c r="W1563" t="str">
        <f>IF(L1563="","",R1563/'[1]LOCH Calc COE Calc'!$C$28)</f>
        <v/>
      </c>
    </row>
    <row r="1564" spans="12:23" x14ac:dyDescent="0.25">
      <c r="L1564" s="4" t="str">
        <f>IF('[1]All Data '!BE1569="","",'[1]All Data '!BE1569)</f>
        <v/>
      </c>
      <c r="M1564" t="str">
        <f>IF('[1]All Data '!BF1569="","",'[1]All Data '!BF1569)</f>
        <v/>
      </c>
      <c r="N1564" s="5" t="str">
        <f>IF('[1]All Data '!BB1569="","",'[1]All Data '!BC1569/'[1]All Data '!BH1569)</f>
        <v/>
      </c>
      <c r="O1564" s="5" t="str">
        <f t="shared" si="26"/>
        <v/>
      </c>
      <c r="P1564" s="5" t="str">
        <f>IF(M1564="","",$C$2*(1-L1564)*907.2/0.621371*N1564*[1]Transportation!$M$40)</f>
        <v/>
      </c>
      <c r="Q1564" s="5" t="str">
        <f>IF(L1564="","",IF([1]Inputs_Outputs!$B$5="Herbaceous",(LCA!$E$29*'[1]LOCH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4" s="5" t="str">
        <f>IF(M1564="","",$E$2*1000*'[1]LOCH Calc COE Calc'!$C$44)</f>
        <v/>
      </c>
      <c r="S1564" s="6" t="str">
        <f>IF(N1564="","",SUM(O1564:R1564)/('[1]LOCH Calc COE Calc'!$C$28))</f>
        <v/>
      </c>
      <c r="T1564" t="str">
        <f>IF(L1564="","",O1564/'[1]LOCH Calc COE Calc'!$C$28)</f>
        <v/>
      </c>
      <c r="U1564" t="str">
        <f>IF(L1564="","",P1564/'[1]LOCH Calc COE Calc'!$C$28)</f>
        <v/>
      </c>
      <c r="V1564" t="str">
        <f>IF(L1564="","",Q1564/'[1]LOCH Calc COE Calc'!$C$28)</f>
        <v/>
      </c>
      <c r="W1564" t="str">
        <f>IF(L1564="","",R1564/'[1]LOCH Calc COE Calc'!$C$28)</f>
        <v/>
      </c>
    </row>
    <row r="1565" spans="12:23" x14ac:dyDescent="0.25">
      <c r="L1565" s="4" t="str">
        <f>IF('[1]All Data '!BE1570="","",'[1]All Data '!BE1570)</f>
        <v/>
      </c>
      <c r="M1565" t="str">
        <f>IF('[1]All Data '!BF1570="","",'[1]All Data '!BF1570)</f>
        <v/>
      </c>
      <c r="N1565" s="5" t="str">
        <f>IF('[1]All Data '!BB1570="","",'[1]All Data '!BC1570/'[1]All Data '!BH1570)</f>
        <v/>
      </c>
      <c r="O1565" s="5" t="str">
        <f t="shared" si="26"/>
        <v/>
      </c>
      <c r="P1565" s="5" t="str">
        <f>IF(M1565="","",$C$2*(1-L1565)*907.2/0.621371*N1565*[1]Transportation!$M$40)</f>
        <v/>
      </c>
      <c r="Q1565" s="5" t="str">
        <f>IF(L1565="","",IF([1]Inputs_Outputs!$B$5="Herbaceous",(LCA!$E$29*'[1]LOCH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5" s="5" t="str">
        <f>IF(M1565="","",$E$2*1000*'[1]LOCH Calc COE Calc'!$C$44)</f>
        <v/>
      </c>
      <c r="S1565" s="6" t="str">
        <f>IF(N1565="","",SUM(O1565:R1565)/('[1]LOCH Calc COE Calc'!$C$28))</f>
        <v/>
      </c>
      <c r="T1565" t="str">
        <f>IF(L1565="","",O1565/'[1]LOCH Calc COE Calc'!$C$28)</f>
        <v/>
      </c>
      <c r="U1565" t="str">
        <f>IF(L1565="","",P1565/'[1]LOCH Calc COE Calc'!$C$28)</f>
        <v/>
      </c>
      <c r="V1565" t="str">
        <f>IF(L1565="","",Q1565/'[1]LOCH Calc COE Calc'!$C$28)</f>
        <v/>
      </c>
      <c r="W1565" t="str">
        <f>IF(L1565="","",R1565/'[1]LOCH Calc COE Calc'!$C$28)</f>
        <v/>
      </c>
    </row>
    <row r="1566" spans="12:23" x14ac:dyDescent="0.25">
      <c r="L1566" s="4" t="str">
        <f>IF('[1]All Data '!BE1571="","",'[1]All Data '!BE1571)</f>
        <v/>
      </c>
      <c r="M1566" t="str">
        <f>IF('[1]All Data '!BF1571="","",'[1]All Data '!BF1571)</f>
        <v/>
      </c>
      <c r="N1566" s="5" t="str">
        <f>IF('[1]All Data '!BB1571="","",'[1]All Data '!BC1571/'[1]All Data '!BH1571)</f>
        <v/>
      </c>
      <c r="O1566" s="5" t="str">
        <f t="shared" si="26"/>
        <v/>
      </c>
      <c r="P1566" s="5" t="str">
        <f>IF(M1566="","",$C$2*(1-L1566)*907.2/0.621371*N1566*[1]Transportation!$M$40)</f>
        <v/>
      </c>
      <c r="Q1566" s="5" t="str">
        <f>IF(L1566="","",IF([1]Inputs_Outputs!$B$5="Herbaceous",(LCA!$E$29*'[1]LOCH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6" s="5" t="str">
        <f>IF(M1566="","",$E$2*1000*'[1]LOCH Calc COE Calc'!$C$44)</f>
        <v/>
      </c>
      <c r="S1566" s="6" t="str">
        <f>IF(N1566="","",SUM(O1566:R1566)/('[1]LOCH Calc COE Calc'!$C$28))</f>
        <v/>
      </c>
      <c r="T1566" t="str">
        <f>IF(L1566="","",O1566/'[1]LOCH Calc COE Calc'!$C$28)</f>
        <v/>
      </c>
      <c r="U1566" t="str">
        <f>IF(L1566="","",P1566/'[1]LOCH Calc COE Calc'!$C$28)</f>
        <v/>
      </c>
      <c r="V1566" t="str">
        <f>IF(L1566="","",Q1566/'[1]LOCH Calc COE Calc'!$C$28)</f>
        <v/>
      </c>
      <c r="W1566" t="str">
        <f>IF(L1566="","",R1566/'[1]LOCH Calc COE Calc'!$C$28)</f>
        <v/>
      </c>
    </row>
    <row r="1567" spans="12:23" x14ac:dyDescent="0.25">
      <c r="L1567" s="4" t="str">
        <f>IF('[1]All Data '!BE1572="","",'[1]All Data '!BE1572)</f>
        <v/>
      </c>
      <c r="M1567" t="str">
        <f>IF('[1]All Data '!BF1572="","",'[1]All Data '!BF1572)</f>
        <v/>
      </c>
      <c r="N1567" s="5" t="str">
        <f>IF('[1]All Data '!BB1572="","",'[1]All Data '!BC1572/'[1]All Data '!BH1572)</f>
        <v/>
      </c>
      <c r="O1567" s="5" t="str">
        <f t="shared" si="26"/>
        <v/>
      </c>
      <c r="P1567" s="5" t="str">
        <f>IF(M1567="","",$C$2*(1-L1567)*907.2/0.621371*N1567*[1]Transportation!$M$40)</f>
        <v/>
      </c>
      <c r="Q1567" s="5" t="str">
        <f>IF(L1567="","",IF([1]Inputs_Outputs!$B$5="Herbaceous",(LCA!$E$29*'[1]LOCH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7" s="5" t="str">
        <f>IF(M1567="","",$E$2*1000*'[1]LOCH Calc COE Calc'!$C$44)</f>
        <v/>
      </c>
      <c r="S1567" s="6" t="str">
        <f>IF(N1567="","",SUM(O1567:R1567)/('[1]LOCH Calc COE Calc'!$C$28))</f>
        <v/>
      </c>
      <c r="T1567" t="str">
        <f>IF(L1567="","",O1567/'[1]LOCH Calc COE Calc'!$C$28)</f>
        <v/>
      </c>
      <c r="U1567" t="str">
        <f>IF(L1567="","",P1567/'[1]LOCH Calc COE Calc'!$C$28)</f>
        <v/>
      </c>
      <c r="V1567" t="str">
        <f>IF(L1567="","",Q1567/'[1]LOCH Calc COE Calc'!$C$28)</f>
        <v/>
      </c>
      <c r="W1567" t="str">
        <f>IF(L1567="","",R1567/'[1]LOCH Calc COE Calc'!$C$28)</f>
        <v/>
      </c>
    </row>
    <row r="1568" spans="12:23" x14ac:dyDescent="0.25">
      <c r="L1568" s="4" t="str">
        <f>IF('[1]All Data '!BE1573="","",'[1]All Data '!BE1573)</f>
        <v/>
      </c>
      <c r="M1568" t="str">
        <f>IF('[1]All Data '!BF1573="","",'[1]All Data '!BF1573)</f>
        <v/>
      </c>
      <c r="N1568" s="5" t="str">
        <f>IF('[1]All Data '!BB1573="","",'[1]All Data '!BC1573/'[1]All Data '!BH1573)</f>
        <v/>
      </c>
      <c r="O1568" s="5" t="str">
        <f t="shared" si="26"/>
        <v/>
      </c>
      <c r="P1568" s="5" t="str">
        <f>IF(M1568="","",$C$2*(1-L1568)*907.2/0.621371*N1568*[1]Transportation!$M$40)</f>
        <v/>
      </c>
      <c r="Q1568" s="5" t="str">
        <f>IF(L1568="","",IF([1]Inputs_Outputs!$B$5="Herbaceous",(LCA!$E$29*'[1]LOCH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8" s="5" t="str">
        <f>IF(M1568="","",$E$2*1000*'[1]LOCH Calc COE Calc'!$C$44)</f>
        <v/>
      </c>
      <c r="S1568" s="6" t="str">
        <f>IF(N1568="","",SUM(O1568:R1568)/('[1]LOCH Calc COE Calc'!$C$28))</f>
        <v/>
      </c>
      <c r="T1568" t="str">
        <f>IF(L1568="","",O1568/'[1]LOCH Calc COE Calc'!$C$28)</f>
        <v/>
      </c>
      <c r="U1568" t="str">
        <f>IF(L1568="","",P1568/'[1]LOCH Calc COE Calc'!$C$28)</f>
        <v/>
      </c>
      <c r="V1568" t="str">
        <f>IF(L1568="","",Q1568/'[1]LOCH Calc COE Calc'!$C$28)</f>
        <v/>
      </c>
      <c r="W1568" t="str">
        <f>IF(L1568="","",R1568/'[1]LOCH Calc COE Calc'!$C$28)</f>
        <v/>
      </c>
    </row>
    <row r="1569" spans="12:23" x14ac:dyDescent="0.25">
      <c r="L1569" s="4" t="str">
        <f>IF('[1]All Data '!BE1574="","",'[1]All Data '!BE1574)</f>
        <v/>
      </c>
      <c r="M1569" t="str">
        <f>IF('[1]All Data '!BF1574="","",'[1]All Data '!BF1574)</f>
        <v/>
      </c>
      <c r="N1569" s="5" t="str">
        <f>IF('[1]All Data '!BB1574="","",'[1]All Data '!BC1574/'[1]All Data '!BH1574)</f>
        <v/>
      </c>
      <c r="O1569" s="5" t="str">
        <f t="shared" si="26"/>
        <v/>
      </c>
      <c r="P1569" s="5" t="str">
        <f>IF(M1569="","",$C$2*(1-L1569)*907.2/0.621371*N1569*[1]Transportation!$M$40)</f>
        <v/>
      </c>
      <c r="Q1569" s="5" t="str">
        <f>IF(L1569="","",IF([1]Inputs_Outputs!$B$5="Herbaceous",(LCA!$E$29*'[1]LOCH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69" s="5" t="str">
        <f>IF(M1569="","",$E$2*1000*'[1]LOCH Calc COE Calc'!$C$44)</f>
        <v/>
      </c>
      <c r="S1569" s="6" t="str">
        <f>IF(N1569="","",SUM(O1569:R1569)/('[1]LOCH Calc COE Calc'!$C$28))</f>
        <v/>
      </c>
      <c r="T1569" t="str">
        <f>IF(L1569="","",O1569/'[1]LOCH Calc COE Calc'!$C$28)</f>
        <v/>
      </c>
      <c r="U1569" t="str">
        <f>IF(L1569="","",P1569/'[1]LOCH Calc COE Calc'!$C$28)</f>
        <v/>
      </c>
      <c r="V1569" t="str">
        <f>IF(L1569="","",Q1569/'[1]LOCH Calc COE Calc'!$C$28)</f>
        <v/>
      </c>
      <c r="W1569" t="str">
        <f>IF(L1569="","",R1569/'[1]LOCH Calc COE Calc'!$C$28)</f>
        <v/>
      </c>
    </row>
    <row r="1570" spans="12:23" x14ac:dyDescent="0.25">
      <c r="L1570" s="4" t="str">
        <f>IF('[1]All Data '!BE1575="","",'[1]All Data '!BE1575)</f>
        <v/>
      </c>
      <c r="M1570" t="str">
        <f>IF('[1]All Data '!BF1575="","",'[1]All Data '!BF1575)</f>
        <v/>
      </c>
      <c r="N1570" s="5" t="str">
        <f>IF('[1]All Data '!BB1575="","",'[1]All Data '!BC1575/'[1]All Data '!BH1575)</f>
        <v/>
      </c>
      <c r="O1570" s="5" t="str">
        <f t="shared" si="26"/>
        <v/>
      </c>
      <c r="P1570" s="5" t="str">
        <f>IF(M1570="","",$C$2*(1-L1570)*907.2/0.621371*N1570*[1]Transportation!$M$40)</f>
        <v/>
      </c>
      <c r="Q1570" s="5" t="str">
        <f>IF(L1570="","",IF([1]Inputs_Outputs!$B$5="Herbaceous",(LCA!$E$29*'[1]LOCH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0" s="5" t="str">
        <f>IF(M1570="","",$E$2*1000*'[1]LOCH Calc COE Calc'!$C$44)</f>
        <v/>
      </c>
      <c r="S1570" s="6" t="str">
        <f>IF(N1570="","",SUM(O1570:R1570)/('[1]LOCH Calc COE Calc'!$C$28))</f>
        <v/>
      </c>
      <c r="T1570" t="str">
        <f>IF(L1570="","",O1570/'[1]LOCH Calc COE Calc'!$C$28)</f>
        <v/>
      </c>
      <c r="U1570" t="str">
        <f>IF(L1570="","",P1570/'[1]LOCH Calc COE Calc'!$C$28)</f>
        <v/>
      </c>
      <c r="V1570" t="str">
        <f>IF(L1570="","",Q1570/'[1]LOCH Calc COE Calc'!$C$28)</f>
        <v/>
      </c>
      <c r="W1570" t="str">
        <f>IF(L1570="","",R1570/'[1]LOCH Calc COE Calc'!$C$28)</f>
        <v/>
      </c>
    </row>
    <row r="1571" spans="12:23" x14ac:dyDescent="0.25">
      <c r="L1571" s="4" t="str">
        <f>IF('[1]All Data '!BE1576="","",'[1]All Data '!BE1576)</f>
        <v/>
      </c>
      <c r="M1571" t="str">
        <f>IF('[1]All Data '!BF1576="","",'[1]All Data '!BF1576)</f>
        <v/>
      </c>
      <c r="N1571" s="5" t="str">
        <f>IF('[1]All Data '!BB1576="","",'[1]All Data '!BC1576/'[1]All Data '!BH1576)</f>
        <v/>
      </c>
      <c r="O1571" s="5" t="str">
        <f t="shared" si="26"/>
        <v/>
      </c>
      <c r="P1571" s="5" t="str">
        <f>IF(M1571="","",$C$2*(1-L1571)*907.2/0.621371*N1571*[1]Transportation!$M$40)</f>
        <v/>
      </c>
      <c r="Q1571" s="5" t="str">
        <f>IF(L1571="","",IF([1]Inputs_Outputs!$B$5="Herbaceous",(LCA!$E$29*'[1]LOCH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1" s="5" t="str">
        <f>IF(M1571="","",$E$2*1000*'[1]LOCH Calc COE Calc'!$C$44)</f>
        <v/>
      </c>
      <c r="S1571" s="6" t="str">
        <f>IF(N1571="","",SUM(O1571:R1571)/('[1]LOCH Calc COE Calc'!$C$28))</f>
        <v/>
      </c>
      <c r="T1571" t="str">
        <f>IF(L1571="","",O1571/'[1]LOCH Calc COE Calc'!$C$28)</f>
        <v/>
      </c>
      <c r="U1571" t="str">
        <f>IF(L1571="","",P1571/'[1]LOCH Calc COE Calc'!$C$28)</f>
        <v/>
      </c>
      <c r="V1571" t="str">
        <f>IF(L1571="","",Q1571/'[1]LOCH Calc COE Calc'!$C$28)</f>
        <v/>
      </c>
      <c r="W1571" t="str">
        <f>IF(L1571="","",R1571/'[1]LOCH Calc COE Calc'!$C$28)</f>
        <v/>
      </c>
    </row>
    <row r="1572" spans="12:23" x14ac:dyDescent="0.25">
      <c r="L1572" s="4" t="str">
        <f>IF('[1]All Data '!BE1577="","",'[1]All Data '!BE1577)</f>
        <v/>
      </c>
      <c r="M1572" t="str">
        <f>IF('[1]All Data '!BF1577="","",'[1]All Data '!BF1577)</f>
        <v/>
      </c>
      <c r="N1572" s="5" t="str">
        <f>IF('[1]All Data '!BB1577="","",'[1]All Data '!BC1577/'[1]All Data '!BH1577)</f>
        <v/>
      </c>
      <c r="O1572" s="5" t="str">
        <f t="shared" si="26"/>
        <v/>
      </c>
      <c r="P1572" s="5" t="str">
        <f>IF(M1572="","",$C$2*(1-L1572)*907.2/0.621371*N1572*[1]Transportation!$M$40)</f>
        <v/>
      </c>
      <c r="Q1572" s="5" t="str">
        <f>IF(L1572="","",IF([1]Inputs_Outputs!$B$5="Herbaceous",(LCA!$E$29*'[1]LOCH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2" s="5" t="str">
        <f>IF(M1572="","",$E$2*1000*'[1]LOCH Calc COE Calc'!$C$44)</f>
        <v/>
      </c>
      <c r="S1572" s="6" t="str">
        <f>IF(N1572="","",SUM(O1572:R1572)/('[1]LOCH Calc COE Calc'!$C$28))</f>
        <v/>
      </c>
      <c r="T1572" t="str">
        <f>IF(L1572="","",O1572/'[1]LOCH Calc COE Calc'!$C$28)</f>
        <v/>
      </c>
      <c r="U1572" t="str">
        <f>IF(L1572="","",P1572/'[1]LOCH Calc COE Calc'!$C$28)</f>
        <v/>
      </c>
      <c r="V1572" t="str">
        <f>IF(L1572="","",Q1572/'[1]LOCH Calc COE Calc'!$C$28)</f>
        <v/>
      </c>
      <c r="W1572" t="str">
        <f>IF(L1572="","",R1572/'[1]LOCH Calc COE Calc'!$C$28)</f>
        <v/>
      </c>
    </row>
    <row r="1573" spans="12:23" x14ac:dyDescent="0.25">
      <c r="L1573" s="4" t="str">
        <f>IF('[1]All Data '!BE1578="","",'[1]All Data '!BE1578)</f>
        <v/>
      </c>
      <c r="M1573" t="str">
        <f>IF('[1]All Data '!BF1578="","",'[1]All Data '!BF1578)</f>
        <v/>
      </c>
      <c r="N1573" s="5" t="str">
        <f>IF('[1]All Data '!BB1578="","",'[1]All Data '!BC1578/'[1]All Data '!BH1578)</f>
        <v/>
      </c>
      <c r="O1573" s="5" t="str">
        <f t="shared" si="26"/>
        <v/>
      </c>
      <c r="P1573" s="5" t="str">
        <f>IF(M1573="","",$C$2*(1-L1573)*907.2/0.621371*N1573*[1]Transportation!$M$40)</f>
        <v/>
      </c>
      <c r="Q1573" s="5" t="str">
        <f>IF(L1573="","",IF([1]Inputs_Outputs!$B$5="Herbaceous",(LCA!$E$29*'[1]LOCH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3" s="5" t="str">
        <f>IF(M1573="","",$E$2*1000*'[1]LOCH Calc COE Calc'!$C$44)</f>
        <v/>
      </c>
      <c r="S1573" s="6" t="str">
        <f>IF(N1573="","",SUM(O1573:R1573)/('[1]LOCH Calc COE Calc'!$C$28))</f>
        <v/>
      </c>
      <c r="T1573" t="str">
        <f>IF(L1573="","",O1573/'[1]LOCH Calc COE Calc'!$C$28)</f>
        <v/>
      </c>
      <c r="U1573" t="str">
        <f>IF(L1573="","",P1573/'[1]LOCH Calc COE Calc'!$C$28)</f>
        <v/>
      </c>
      <c r="V1573" t="str">
        <f>IF(L1573="","",Q1573/'[1]LOCH Calc COE Calc'!$C$28)</f>
        <v/>
      </c>
      <c r="W1573" t="str">
        <f>IF(L1573="","",R1573/'[1]LOCH Calc COE Calc'!$C$28)</f>
        <v/>
      </c>
    </row>
    <row r="1574" spans="12:23" x14ac:dyDescent="0.25">
      <c r="L1574" s="4" t="str">
        <f>IF('[1]All Data '!BE1579="","",'[1]All Data '!BE1579)</f>
        <v/>
      </c>
      <c r="M1574" t="str">
        <f>IF('[1]All Data '!BF1579="","",'[1]All Data '!BF1579)</f>
        <v/>
      </c>
      <c r="N1574" s="5" t="str">
        <f>IF('[1]All Data '!BB1579="","",'[1]All Data '!BC1579/'[1]All Data '!BH1579)</f>
        <v/>
      </c>
      <c r="O1574" s="5" t="str">
        <f t="shared" si="26"/>
        <v/>
      </c>
      <c r="P1574" s="5" t="str">
        <f>IF(M1574="","",$C$2*(1-L1574)*907.2/0.621371*N1574*[1]Transportation!$M$40)</f>
        <v/>
      </c>
      <c r="Q1574" s="5" t="str">
        <f>IF(L1574="","",IF([1]Inputs_Outputs!$B$5="Herbaceous",(LCA!$E$29*'[1]LOCH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4" s="5" t="str">
        <f>IF(M1574="","",$E$2*1000*'[1]LOCH Calc COE Calc'!$C$44)</f>
        <v/>
      </c>
      <c r="S1574" s="6" t="str">
        <f>IF(N1574="","",SUM(O1574:R1574)/('[1]LOCH Calc COE Calc'!$C$28))</f>
        <v/>
      </c>
      <c r="T1574" t="str">
        <f>IF(L1574="","",O1574/'[1]LOCH Calc COE Calc'!$C$28)</f>
        <v/>
      </c>
      <c r="U1574" t="str">
        <f>IF(L1574="","",P1574/'[1]LOCH Calc COE Calc'!$C$28)</f>
        <v/>
      </c>
      <c r="V1574" t="str">
        <f>IF(L1574="","",Q1574/'[1]LOCH Calc COE Calc'!$C$28)</f>
        <v/>
      </c>
      <c r="W1574" t="str">
        <f>IF(L1574="","",R1574/'[1]LOCH Calc COE Calc'!$C$28)</f>
        <v/>
      </c>
    </row>
    <row r="1575" spans="12:23" x14ac:dyDescent="0.25">
      <c r="L1575" s="4" t="str">
        <f>IF('[1]All Data '!BE1580="","",'[1]All Data '!BE1580)</f>
        <v/>
      </c>
      <c r="M1575" t="str">
        <f>IF('[1]All Data '!BF1580="","",'[1]All Data '!BF1580)</f>
        <v/>
      </c>
      <c r="N1575" s="5" t="str">
        <f>IF('[1]All Data '!BB1580="","",'[1]All Data '!BC1580/'[1]All Data '!BH1580)</f>
        <v/>
      </c>
      <c r="O1575" s="5" t="str">
        <f t="shared" si="26"/>
        <v/>
      </c>
      <c r="P1575" s="5" t="str">
        <f>IF(M1575="","",$C$2*(1-L1575)*907.2/0.621371*N1575*[1]Transportation!$M$40)</f>
        <v/>
      </c>
      <c r="Q1575" s="5" t="str">
        <f>IF(L1575="","",IF([1]Inputs_Outputs!$B$5="Herbaceous",(LCA!$E$29*'[1]LOCH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5" s="5" t="str">
        <f>IF(M1575="","",$E$2*1000*'[1]LOCH Calc COE Calc'!$C$44)</f>
        <v/>
      </c>
      <c r="S1575" s="6" t="str">
        <f>IF(N1575="","",SUM(O1575:R1575)/('[1]LOCH Calc COE Calc'!$C$28))</f>
        <v/>
      </c>
      <c r="T1575" t="str">
        <f>IF(L1575="","",O1575/'[1]LOCH Calc COE Calc'!$C$28)</f>
        <v/>
      </c>
      <c r="U1575" t="str">
        <f>IF(L1575="","",P1575/'[1]LOCH Calc COE Calc'!$C$28)</f>
        <v/>
      </c>
      <c r="V1575" t="str">
        <f>IF(L1575="","",Q1575/'[1]LOCH Calc COE Calc'!$C$28)</f>
        <v/>
      </c>
      <c r="W1575" t="str">
        <f>IF(L1575="","",R1575/'[1]LOCH Calc COE Calc'!$C$28)</f>
        <v/>
      </c>
    </row>
    <row r="1576" spans="12:23" x14ac:dyDescent="0.25">
      <c r="L1576" s="4" t="str">
        <f>IF('[1]All Data '!BE1581="","",'[1]All Data '!BE1581)</f>
        <v/>
      </c>
      <c r="M1576" t="str">
        <f>IF('[1]All Data '!BF1581="","",'[1]All Data '!BF1581)</f>
        <v/>
      </c>
      <c r="N1576" s="5" t="str">
        <f>IF('[1]All Data '!BB1581="","",'[1]All Data '!BC1581/'[1]All Data '!BH1581)</f>
        <v/>
      </c>
      <c r="O1576" s="5" t="str">
        <f t="shared" si="26"/>
        <v/>
      </c>
      <c r="P1576" s="5" t="str">
        <f>IF(M1576="","",$C$2*(1-L1576)*907.2/0.621371*N1576*[1]Transportation!$M$40)</f>
        <v/>
      </c>
      <c r="Q1576" s="5" t="str">
        <f>IF(L1576="","",IF([1]Inputs_Outputs!$B$5="Herbaceous",(LCA!$E$29*'[1]LOCH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6" s="5" t="str">
        <f>IF(M1576="","",$E$2*1000*'[1]LOCH Calc COE Calc'!$C$44)</f>
        <v/>
      </c>
      <c r="S1576" s="6" t="str">
        <f>IF(N1576="","",SUM(O1576:R1576)/('[1]LOCH Calc COE Calc'!$C$28))</f>
        <v/>
      </c>
      <c r="T1576" t="str">
        <f>IF(L1576="","",O1576/'[1]LOCH Calc COE Calc'!$C$28)</f>
        <v/>
      </c>
      <c r="U1576" t="str">
        <f>IF(L1576="","",P1576/'[1]LOCH Calc COE Calc'!$C$28)</f>
        <v/>
      </c>
      <c r="V1576" t="str">
        <f>IF(L1576="","",Q1576/'[1]LOCH Calc COE Calc'!$C$28)</f>
        <v/>
      </c>
      <c r="W1576" t="str">
        <f>IF(L1576="","",R1576/'[1]LOCH Calc COE Calc'!$C$28)</f>
        <v/>
      </c>
    </row>
    <row r="1577" spans="12:23" x14ac:dyDescent="0.25">
      <c r="L1577" s="4" t="str">
        <f>IF('[1]All Data '!BE1582="","",'[1]All Data '!BE1582)</f>
        <v/>
      </c>
      <c r="M1577" t="str">
        <f>IF('[1]All Data '!BF1582="","",'[1]All Data '!BF1582)</f>
        <v/>
      </c>
      <c r="N1577" s="5" t="str">
        <f>IF('[1]All Data '!BB1582="","",'[1]All Data '!BC1582/'[1]All Data '!BH1582)</f>
        <v/>
      </c>
      <c r="O1577" s="5" t="str">
        <f t="shared" si="26"/>
        <v/>
      </c>
      <c r="P1577" s="5" t="str">
        <f>IF(M1577="","",$C$2*(1-L1577)*907.2/0.621371*N1577*[1]Transportation!$M$40)</f>
        <v/>
      </c>
      <c r="Q1577" s="5" t="str">
        <f>IF(L1577="","",IF([1]Inputs_Outputs!$B$5="Herbaceous",(LCA!$E$29*'[1]LOCH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7" s="5" t="str">
        <f>IF(M1577="","",$E$2*1000*'[1]LOCH Calc COE Calc'!$C$44)</f>
        <v/>
      </c>
      <c r="S1577" s="6" t="str">
        <f>IF(N1577="","",SUM(O1577:R1577)/('[1]LOCH Calc COE Calc'!$C$28))</f>
        <v/>
      </c>
      <c r="T1577" t="str">
        <f>IF(L1577="","",O1577/'[1]LOCH Calc COE Calc'!$C$28)</f>
        <v/>
      </c>
      <c r="U1577" t="str">
        <f>IF(L1577="","",P1577/'[1]LOCH Calc COE Calc'!$C$28)</f>
        <v/>
      </c>
      <c r="V1577" t="str">
        <f>IF(L1577="","",Q1577/'[1]LOCH Calc COE Calc'!$C$28)</f>
        <v/>
      </c>
      <c r="W1577" t="str">
        <f>IF(L1577="","",R1577/'[1]LOCH Calc COE Calc'!$C$28)</f>
        <v/>
      </c>
    </row>
    <row r="1578" spans="12:23" x14ac:dyDescent="0.25">
      <c r="L1578" s="4" t="str">
        <f>IF('[1]All Data '!BE1583="","",'[1]All Data '!BE1583)</f>
        <v/>
      </c>
      <c r="M1578" t="str">
        <f>IF('[1]All Data '!BF1583="","",'[1]All Data '!BF1583)</f>
        <v/>
      </c>
      <c r="N1578" s="5" t="str">
        <f>IF('[1]All Data '!BB1583="","",'[1]All Data '!BC1583/'[1]All Data '!BH1583)</f>
        <v/>
      </c>
      <c r="O1578" s="5" t="str">
        <f t="shared" si="26"/>
        <v/>
      </c>
      <c r="P1578" s="5" t="str">
        <f>IF(M1578="","",$C$2*(1-L1578)*907.2/0.621371*N1578*[1]Transportation!$M$40)</f>
        <v/>
      </c>
      <c r="Q1578" s="5" t="str">
        <f>IF(L1578="","",IF([1]Inputs_Outputs!$B$5="Herbaceous",(LCA!$E$29*'[1]LOCH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8" s="5" t="str">
        <f>IF(M1578="","",$E$2*1000*'[1]LOCH Calc COE Calc'!$C$44)</f>
        <v/>
      </c>
      <c r="S1578" s="6" t="str">
        <f>IF(N1578="","",SUM(O1578:R1578)/('[1]LOCH Calc COE Calc'!$C$28))</f>
        <v/>
      </c>
      <c r="T1578" t="str">
        <f>IF(L1578="","",O1578/'[1]LOCH Calc COE Calc'!$C$28)</f>
        <v/>
      </c>
      <c r="U1578" t="str">
        <f>IF(L1578="","",P1578/'[1]LOCH Calc COE Calc'!$C$28)</f>
        <v/>
      </c>
      <c r="V1578" t="str">
        <f>IF(L1578="","",Q1578/'[1]LOCH Calc COE Calc'!$C$28)</f>
        <v/>
      </c>
      <c r="W1578" t="str">
        <f>IF(L1578="","",R1578/'[1]LOCH Calc COE Calc'!$C$28)</f>
        <v/>
      </c>
    </row>
    <row r="1579" spans="12:23" x14ac:dyDescent="0.25">
      <c r="L1579" s="4" t="str">
        <f>IF('[1]All Data '!BE1584="","",'[1]All Data '!BE1584)</f>
        <v/>
      </c>
      <c r="M1579" t="str">
        <f>IF('[1]All Data '!BF1584="","",'[1]All Data '!BF1584)</f>
        <v/>
      </c>
      <c r="N1579" s="5" t="str">
        <f>IF('[1]All Data '!BB1584="","",'[1]All Data '!BC1584/'[1]All Data '!BH1584)</f>
        <v/>
      </c>
      <c r="O1579" s="5" t="str">
        <f t="shared" si="26"/>
        <v/>
      </c>
      <c r="P1579" s="5" t="str">
        <f>IF(M1579="","",$C$2*(1-L1579)*907.2/0.621371*N1579*[1]Transportation!$M$40)</f>
        <v/>
      </c>
      <c r="Q1579" s="5" t="str">
        <f>IF(L1579="","",IF([1]Inputs_Outputs!$B$5="Herbaceous",(LCA!$E$29*'[1]LOCH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79" s="5" t="str">
        <f>IF(M1579="","",$E$2*1000*'[1]LOCH Calc COE Calc'!$C$44)</f>
        <v/>
      </c>
      <c r="S1579" s="6" t="str">
        <f>IF(N1579="","",SUM(O1579:R1579)/('[1]LOCH Calc COE Calc'!$C$28))</f>
        <v/>
      </c>
      <c r="T1579" t="str">
        <f>IF(L1579="","",O1579/'[1]LOCH Calc COE Calc'!$C$28)</f>
        <v/>
      </c>
      <c r="U1579" t="str">
        <f>IF(L1579="","",P1579/'[1]LOCH Calc COE Calc'!$C$28)</f>
        <v/>
      </c>
      <c r="V1579" t="str">
        <f>IF(L1579="","",Q1579/'[1]LOCH Calc COE Calc'!$C$28)</f>
        <v/>
      </c>
      <c r="W1579" t="str">
        <f>IF(L1579="","",R1579/'[1]LOCH Calc COE Calc'!$C$28)</f>
        <v/>
      </c>
    </row>
    <row r="1580" spans="12:23" x14ac:dyDescent="0.25">
      <c r="L1580" s="4" t="str">
        <f>IF('[1]All Data '!BE1585="","",'[1]All Data '!BE1585)</f>
        <v/>
      </c>
      <c r="M1580" t="str">
        <f>IF('[1]All Data '!BF1585="","",'[1]All Data '!BF1585)</f>
        <v/>
      </c>
      <c r="N1580" s="5" t="str">
        <f>IF('[1]All Data '!BB1585="","",'[1]All Data '!BC1585/'[1]All Data '!BH1585)</f>
        <v/>
      </c>
      <c r="O1580" s="5" t="str">
        <f t="shared" si="26"/>
        <v/>
      </c>
      <c r="P1580" s="5" t="str">
        <f>IF(M1580="","",$C$2*(1-L1580)*907.2/0.621371*N1580*[1]Transportation!$M$40)</f>
        <v/>
      </c>
      <c r="Q1580" s="5" t="str">
        <f>IF(L1580="","",IF([1]Inputs_Outputs!$B$5="Herbaceous",(LCA!$E$29*'[1]LOCH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0" s="5" t="str">
        <f>IF(M1580="","",$E$2*1000*'[1]LOCH Calc COE Calc'!$C$44)</f>
        <v/>
      </c>
      <c r="S1580" s="6" t="str">
        <f>IF(N1580="","",SUM(O1580:R1580)/('[1]LOCH Calc COE Calc'!$C$28))</f>
        <v/>
      </c>
      <c r="T1580" t="str">
        <f>IF(L1580="","",O1580/'[1]LOCH Calc COE Calc'!$C$28)</f>
        <v/>
      </c>
      <c r="U1580" t="str">
        <f>IF(L1580="","",P1580/'[1]LOCH Calc COE Calc'!$C$28)</f>
        <v/>
      </c>
      <c r="V1580" t="str">
        <f>IF(L1580="","",Q1580/'[1]LOCH Calc COE Calc'!$C$28)</f>
        <v/>
      </c>
      <c r="W1580" t="str">
        <f>IF(L1580="","",R1580/'[1]LOCH Calc COE Calc'!$C$28)</f>
        <v/>
      </c>
    </row>
    <row r="1581" spans="12:23" x14ac:dyDescent="0.25">
      <c r="L1581" s="4" t="str">
        <f>IF('[1]All Data '!BE1586="","",'[1]All Data '!BE1586)</f>
        <v/>
      </c>
      <c r="M1581" t="str">
        <f>IF('[1]All Data '!BF1586="","",'[1]All Data '!BF1586)</f>
        <v/>
      </c>
      <c r="N1581" s="5" t="str">
        <f>IF('[1]All Data '!BB1586="","",'[1]All Data '!BC1586/'[1]All Data '!BH1586)</f>
        <v/>
      </c>
      <c r="O1581" s="5" t="str">
        <f t="shared" si="26"/>
        <v/>
      </c>
      <c r="P1581" s="5" t="str">
        <f>IF(M1581="","",$C$2*(1-L1581)*907.2/0.621371*N1581*[1]Transportation!$M$40)</f>
        <v/>
      </c>
      <c r="Q1581" s="5" t="str">
        <f>IF(L1581="","",IF([1]Inputs_Outputs!$B$5="Herbaceous",(LCA!$E$29*'[1]LOCH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1" s="5" t="str">
        <f>IF(M1581="","",$E$2*1000*'[1]LOCH Calc COE Calc'!$C$44)</f>
        <v/>
      </c>
      <c r="S1581" s="6" t="str">
        <f>IF(N1581="","",SUM(O1581:R1581)/('[1]LOCH Calc COE Calc'!$C$28))</f>
        <v/>
      </c>
      <c r="T1581" t="str">
        <f>IF(L1581="","",O1581/'[1]LOCH Calc COE Calc'!$C$28)</f>
        <v/>
      </c>
      <c r="U1581" t="str">
        <f>IF(L1581="","",P1581/'[1]LOCH Calc COE Calc'!$C$28)</f>
        <v/>
      </c>
      <c r="V1581" t="str">
        <f>IF(L1581="","",Q1581/'[1]LOCH Calc COE Calc'!$C$28)</f>
        <v/>
      </c>
      <c r="W1581" t="str">
        <f>IF(L1581="","",R1581/'[1]LOCH Calc COE Calc'!$C$28)</f>
        <v/>
      </c>
    </row>
    <row r="1582" spans="12:23" x14ac:dyDescent="0.25">
      <c r="L1582" s="4" t="str">
        <f>IF('[1]All Data '!BE1587="","",'[1]All Data '!BE1587)</f>
        <v/>
      </c>
      <c r="M1582" t="str">
        <f>IF('[1]All Data '!BF1587="","",'[1]All Data '!BF1587)</f>
        <v/>
      </c>
      <c r="N1582" s="5" t="str">
        <f>IF('[1]All Data '!BB1587="","",'[1]All Data '!BC1587/'[1]All Data '!BH1587)</f>
        <v/>
      </c>
      <c r="O1582" s="5" t="str">
        <f t="shared" si="26"/>
        <v/>
      </c>
      <c r="P1582" s="5" t="str">
        <f>IF(M1582="","",$C$2*(1-L1582)*907.2/0.621371*N1582*[1]Transportation!$M$40)</f>
        <v/>
      </c>
      <c r="Q1582" s="5" t="str">
        <f>IF(L1582="","",IF([1]Inputs_Outputs!$B$5="Herbaceous",(LCA!$E$29*'[1]LOCH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2" s="5" t="str">
        <f>IF(M1582="","",$E$2*1000*'[1]LOCH Calc COE Calc'!$C$44)</f>
        <v/>
      </c>
      <c r="S1582" s="6" t="str">
        <f>IF(N1582="","",SUM(O1582:R1582)/('[1]LOCH Calc COE Calc'!$C$28))</f>
        <v/>
      </c>
      <c r="T1582" t="str">
        <f>IF(L1582="","",O1582/'[1]LOCH Calc COE Calc'!$C$28)</f>
        <v/>
      </c>
      <c r="U1582" t="str">
        <f>IF(L1582="","",P1582/'[1]LOCH Calc COE Calc'!$C$28)</f>
        <v/>
      </c>
      <c r="V1582" t="str">
        <f>IF(L1582="","",Q1582/'[1]LOCH Calc COE Calc'!$C$28)</f>
        <v/>
      </c>
      <c r="W1582" t="str">
        <f>IF(L1582="","",R1582/'[1]LOCH Calc COE Calc'!$C$28)</f>
        <v/>
      </c>
    </row>
    <row r="1583" spans="12:23" x14ac:dyDescent="0.25">
      <c r="L1583" s="4" t="str">
        <f>IF('[1]All Data '!BE1588="","",'[1]All Data '!BE1588)</f>
        <v/>
      </c>
      <c r="M1583" t="str">
        <f>IF('[1]All Data '!BF1588="","",'[1]All Data '!BF1588)</f>
        <v/>
      </c>
      <c r="N1583" s="5" t="str">
        <f>IF('[1]All Data '!BB1588="","",'[1]All Data '!BC1588/'[1]All Data '!BH1588)</f>
        <v/>
      </c>
      <c r="O1583" s="5" t="str">
        <f t="shared" si="26"/>
        <v/>
      </c>
      <c r="P1583" s="5" t="str">
        <f>IF(M1583="","",$C$2*(1-L1583)*907.2/0.621371*N1583*[1]Transportation!$M$40)</f>
        <v/>
      </c>
      <c r="Q1583" s="5" t="str">
        <f>IF(L1583="","",IF([1]Inputs_Outputs!$B$5="Herbaceous",(LCA!$E$29*'[1]LOCH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3" s="5" t="str">
        <f>IF(M1583="","",$E$2*1000*'[1]LOCH Calc COE Calc'!$C$44)</f>
        <v/>
      </c>
      <c r="S1583" s="6" t="str">
        <f>IF(N1583="","",SUM(O1583:R1583)/('[1]LOCH Calc COE Calc'!$C$28))</f>
        <v/>
      </c>
      <c r="T1583" t="str">
        <f>IF(L1583="","",O1583/'[1]LOCH Calc COE Calc'!$C$28)</f>
        <v/>
      </c>
      <c r="U1583" t="str">
        <f>IF(L1583="","",P1583/'[1]LOCH Calc COE Calc'!$C$28)</f>
        <v/>
      </c>
      <c r="V1583" t="str">
        <f>IF(L1583="","",Q1583/'[1]LOCH Calc COE Calc'!$C$28)</f>
        <v/>
      </c>
      <c r="W1583" t="str">
        <f>IF(L1583="","",R1583/'[1]LOCH Calc COE Calc'!$C$28)</f>
        <v/>
      </c>
    </row>
    <row r="1584" spans="12:23" x14ac:dyDescent="0.25">
      <c r="L1584" s="4" t="str">
        <f>IF('[1]All Data '!BE1589="","",'[1]All Data '!BE1589)</f>
        <v/>
      </c>
      <c r="M1584" t="str">
        <f>IF('[1]All Data '!BF1589="","",'[1]All Data '!BF1589)</f>
        <v/>
      </c>
      <c r="N1584" s="5" t="str">
        <f>IF('[1]All Data '!BB1589="","",'[1]All Data '!BC1589/'[1]All Data '!BH1589)</f>
        <v/>
      </c>
      <c r="O1584" s="5" t="str">
        <f t="shared" si="26"/>
        <v/>
      </c>
      <c r="P1584" s="5" t="str">
        <f>IF(M1584="","",$C$2*(1-L1584)*907.2/0.621371*N1584*[1]Transportation!$M$40)</f>
        <v/>
      </c>
      <c r="Q1584" s="5" t="str">
        <f>IF(L1584="","",IF([1]Inputs_Outputs!$B$5="Herbaceous",(LCA!$E$29*'[1]LOCH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4" s="5" t="str">
        <f>IF(M1584="","",$E$2*1000*'[1]LOCH Calc COE Calc'!$C$44)</f>
        <v/>
      </c>
      <c r="S1584" s="6" t="str">
        <f>IF(N1584="","",SUM(O1584:R1584)/('[1]LOCH Calc COE Calc'!$C$28))</f>
        <v/>
      </c>
      <c r="T1584" t="str">
        <f>IF(L1584="","",O1584/'[1]LOCH Calc COE Calc'!$C$28)</f>
        <v/>
      </c>
      <c r="U1584" t="str">
        <f>IF(L1584="","",P1584/'[1]LOCH Calc COE Calc'!$C$28)</f>
        <v/>
      </c>
      <c r="V1584" t="str">
        <f>IF(L1584="","",Q1584/'[1]LOCH Calc COE Calc'!$C$28)</f>
        <v/>
      </c>
      <c r="W1584" t="str">
        <f>IF(L1584="","",R1584/'[1]LOCH Calc COE Calc'!$C$28)</f>
        <v/>
      </c>
    </row>
    <row r="1585" spans="12:23" x14ac:dyDescent="0.25">
      <c r="L1585" s="4" t="str">
        <f>IF('[1]All Data '!BE1590="","",'[1]All Data '!BE1590)</f>
        <v/>
      </c>
      <c r="M1585" t="str">
        <f>IF('[1]All Data '!BF1590="","",'[1]All Data '!BF1590)</f>
        <v/>
      </c>
      <c r="N1585" s="5" t="str">
        <f>IF('[1]All Data '!BB1590="","",'[1]All Data '!BC1590/'[1]All Data '!BH1590)</f>
        <v/>
      </c>
      <c r="O1585" s="5" t="str">
        <f t="shared" si="26"/>
        <v/>
      </c>
      <c r="P1585" s="5" t="str">
        <f>IF(M1585="","",$C$2*(1-L1585)*907.2/0.621371*N1585*[1]Transportation!$M$40)</f>
        <v/>
      </c>
      <c r="Q1585" s="5" t="str">
        <f>IF(L1585="","",IF([1]Inputs_Outputs!$B$5="Herbaceous",(LCA!$E$29*'[1]LOCH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5" s="5" t="str">
        <f>IF(M1585="","",$E$2*1000*'[1]LOCH Calc COE Calc'!$C$44)</f>
        <v/>
      </c>
      <c r="S1585" s="6" t="str">
        <f>IF(N1585="","",SUM(O1585:R1585)/('[1]LOCH Calc COE Calc'!$C$28))</f>
        <v/>
      </c>
      <c r="T1585" t="str">
        <f>IF(L1585="","",O1585/'[1]LOCH Calc COE Calc'!$C$28)</f>
        <v/>
      </c>
      <c r="U1585" t="str">
        <f>IF(L1585="","",P1585/'[1]LOCH Calc COE Calc'!$C$28)</f>
        <v/>
      </c>
      <c r="V1585" t="str">
        <f>IF(L1585="","",Q1585/'[1]LOCH Calc COE Calc'!$C$28)</f>
        <v/>
      </c>
      <c r="W1585" t="str">
        <f>IF(L1585="","",R1585/'[1]LOCH Calc COE Calc'!$C$28)</f>
        <v/>
      </c>
    </row>
    <row r="1586" spans="12:23" x14ac:dyDescent="0.25">
      <c r="L1586" s="4" t="str">
        <f>IF('[1]All Data '!BE1591="","",'[1]All Data '!BE1591)</f>
        <v/>
      </c>
      <c r="M1586" t="str">
        <f>IF('[1]All Data '!BF1591="","",'[1]All Data '!BF1591)</f>
        <v/>
      </c>
      <c r="N1586" s="5" t="str">
        <f>IF('[1]All Data '!BB1591="","",'[1]All Data '!BC1591/'[1]All Data '!BH1591)</f>
        <v/>
      </c>
      <c r="O1586" s="5" t="str">
        <f t="shared" si="26"/>
        <v/>
      </c>
      <c r="P1586" s="5" t="str">
        <f>IF(M1586="","",$C$2*(1-L1586)*907.2/0.621371*N1586*[1]Transportation!$M$40)</f>
        <v/>
      </c>
      <c r="Q1586" s="5" t="str">
        <f>IF(L1586="","",IF([1]Inputs_Outputs!$B$5="Herbaceous",(LCA!$E$29*'[1]LOCH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6" s="5" t="str">
        <f>IF(M1586="","",$E$2*1000*'[1]LOCH Calc COE Calc'!$C$44)</f>
        <v/>
      </c>
      <c r="S1586" s="6" t="str">
        <f>IF(N1586="","",SUM(O1586:R1586)/('[1]LOCH Calc COE Calc'!$C$28))</f>
        <v/>
      </c>
      <c r="T1586" t="str">
        <f>IF(L1586="","",O1586/'[1]LOCH Calc COE Calc'!$C$28)</f>
        <v/>
      </c>
      <c r="U1586" t="str">
        <f>IF(L1586="","",P1586/'[1]LOCH Calc COE Calc'!$C$28)</f>
        <v/>
      </c>
      <c r="V1586" t="str">
        <f>IF(L1586="","",Q1586/'[1]LOCH Calc COE Calc'!$C$28)</f>
        <v/>
      </c>
      <c r="W1586" t="str">
        <f>IF(L1586="","",R1586/'[1]LOCH Calc COE Calc'!$C$28)</f>
        <v/>
      </c>
    </row>
    <row r="1587" spans="12:23" x14ac:dyDescent="0.25">
      <c r="L1587" s="4" t="str">
        <f>IF('[1]All Data '!BE1592="","",'[1]All Data '!BE1592)</f>
        <v/>
      </c>
      <c r="M1587" t="str">
        <f>IF('[1]All Data '!BF1592="","",'[1]All Data '!BF1592)</f>
        <v/>
      </c>
      <c r="N1587" s="5" t="str">
        <f>IF('[1]All Data '!BB1592="","",'[1]All Data '!BC1592/'[1]All Data '!BH1592)</f>
        <v/>
      </c>
      <c r="O1587" s="5" t="str">
        <f t="shared" si="26"/>
        <v/>
      </c>
      <c r="P1587" s="5" t="str">
        <f>IF(M1587="","",$C$2*(1-L1587)*907.2/0.621371*N1587*[1]Transportation!$M$40)</f>
        <v/>
      </c>
      <c r="Q1587" s="5" t="str">
        <f>IF(L1587="","",IF([1]Inputs_Outputs!$B$5="Herbaceous",(LCA!$E$29*'[1]LOCH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7" s="5" t="str">
        <f>IF(M1587="","",$E$2*1000*'[1]LOCH Calc COE Calc'!$C$44)</f>
        <v/>
      </c>
      <c r="S1587" s="6" t="str">
        <f>IF(N1587="","",SUM(O1587:R1587)/('[1]LOCH Calc COE Calc'!$C$28))</f>
        <v/>
      </c>
      <c r="T1587" t="str">
        <f>IF(L1587="","",O1587/'[1]LOCH Calc COE Calc'!$C$28)</f>
        <v/>
      </c>
      <c r="U1587" t="str">
        <f>IF(L1587="","",P1587/'[1]LOCH Calc COE Calc'!$C$28)</f>
        <v/>
      </c>
      <c r="V1587" t="str">
        <f>IF(L1587="","",Q1587/'[1]LOCH Calc COE Calc'!$C$28)</f>
        <v/>
      </c>
      <c r="W1587" t="str">
        <f>IF(L1587="","",R1587/'[1]LOCH Calc COE Calc'!$C$28)</f>
        <v/>
      </c>
    </row>
    <row r="1588" spans="12:23" x14ac:dyDescent="0.25">
      <c r="L1588" s="4" t="str">
        <f>IF('[1]All Data '!BE1593="","",'[1]All Data '!BE1593)</f>
        <v/>
      </c>
      <c r="M1588" t="str">
        <f>IF('[1]All Data '!BF1593="","",'[1]All Data '!BF1593)</f>
        <v/>
      </c>
      <c r="N1588" s="5" t="str">
        <f>IF('[1]All Data '!BB1593="","",'[1]All Data '!BC1593/'[1]All Data '!BH1593)</f>
        <v/>
      </c>
      <c r="O1588" s="5" t="str">
        <f t="shared" si="26"/>
        <v/>
      </c>
      <c r="P1588" s="5" t="str">
        <f>IF(M1588="","",$C$2*(1-L1588)*907.2/0.621371*N1588*[1]Transportation!$M$40)</f>
        <v/>
      </c>
      <c r="Q1588" s="5" t="str">
        <f>IF(L1588="","",IF([1]Inputs_Outputs!$B$5="Herbaceous",(LCA!$E$29*'[1]LOCH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8" s="5" t="str">
        <f>IF(M1588="","",$E$2*1000*'[1]LOCH Calc COE Calc'!$C$44)</f>
        <v/>
      </c>
      <c r="S1588" s="6" t="str">
        <f>IF(N1588="","",SUM(O1588:R1588)/('[1]LOCH Calc COE Calc'!$C$28))</f>
        <v/>
      </c>
      <c r="T1588" t="str">
        <f>IF(L1588="","",O1588/'[1]LOCH Calc COE Calc'!$C$28)</f>
        <v/>
      </c>
      <c r="U1588" t="str">
        <f>IF(L1588="","",P1588/'[1]LOCH Calc COE Calc'!$C$28)</f>
        <v/>
      </c>
      <c r="V1588" t="str">
        <f>IF(L1588="","",Q1588/'[1]LOCH Calc COE Calc'!$C$28)</f>
        <v/>
      </c>
      <c r="W1588" t="str">
        <f>IF(L1588="","",R1588/'[1]LOCH Calc COE Calc'!$C$28)</f>
        <v/>
      </c>
    </row>
    <row r="1589" spans="12:23" x14ac:dyDescent="0.25">
      <c r="L1589" s="4" t="str">
        <f>IF('[1]All Data '!BE1594="","",'[1]All Data '!BE1594)</f>
        <v/>
      </c>
      <c r="M1589" t="str">
        <f>IF('[1]All Data '!BF1594="","",'[1]All Data '!BF1594)</f>
        <v/>
      </c>
      <c r="N1589" s="5" t="str">
        <f>IF('[1]All Data '!BB1594="","",'[1]All Data '!BC1594/'[1]All Data '!BH1594)</f>
        <v/>
      </c>
      <c r="O1589" s="5" t="str">
        <f t="shared" si="26"/>
        <v/>
      </c>
      <c r="P1589" s="5" t="str">
        <f>IF(M1589="","",$C$2*(1-L1589)*907.2/0.621371*N1589*[1]Transportation!$M$40)</f>
        <v/>
      </c>
      <c r="Q1589" s="5" t="str">
        <f>IF(L1589="","",IF([1]Inputs_Outputs!$B$5="Herbaceous",(LCA!$E$29*'[1]LOCH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89" s="5" t="str">
        <f>IF(M1589="","",$E$2*1000*'[1]LOCH Calc COE Calc'!$C$44)</f>
        <v/>
      </c>
      <c r="S1589" s="6" t="str">
        <f>IF(N1589="","",SUM(O1589:R1589)/('[1]LOCH Calc COE Calc'!$C$28))</f>
        <v/>
      </c>
      <c r="T1589" t="str">
        <f>IF(L1589="","",O1589/'[1]LOCH Calc COE Calc'!$C$28)</f>
        <v/>
      </c>
      <c r="U1589" t="str">
        <f>IF(L1589="","",P1589/'[1]LOCH Calc COE Calc'!$C$28)</f>
        <v/>
      </c>
      <c r="V1589" t="str">
        <f>IF(L1589="","",Q1589/'[1]LOCH Calc COE Calc'!$C$28)</f>
        <v/>
      </c>
      <c r="W1589" t="str">
        <f>IF(L1589="","",R1589/'[1]LOCH Calc COE Calc'!$C$28)</f>
        <v/>
      </c>
    </row>
    <row r="1590" spans="12:23" x14ac:dyDescent="0.25">
      <c r="L1590" s="4" t="str">
        <f>IF('[1]All Data '!BE1595="","",'[1]All Data '!BE1595)</f>
        <v/>
      </c>
      <c r="M1590" t="str">
        <f>IF('[1]All Data '!BF1595="","",'[1]All Data '!BF1595)</f>
        <v/>
      </c>
      <c r="N1590" s="5" t="str">
        <f>IF('[1]All Data '!BB1595="","",'[1]All Data '!BC1595/'[1]All Data '!BH1595)</f>
        <v/>
      </c>
      <c r="O1590" s="5" t="str">
        <f t="shared" si="26"/>
        <v/>
      </c>
      <c r="P1590" s="5" t="str">
        <f>IF(M1590="","",$C$2*(1-L1590)*907.2/0.621371*N1590*[1]Transportation!$M$40)</f>
        <v/>
      </c>
      <c r="Q1590" s="5" t="str">
        <f>IF(L1590="","",IF([1]Inputs_Outputs!$B$5="Herbaceous",(LCA!$E$29*'[1]LOCH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0" s="5" t="str">
        <f>IF(M1590="","",$E$2*1000*'[1]LOCH Calc COE Calc'!$C$44)</f>
        <v/>
      </c>
      <c r="S1590" s="6" t="str">
        <f>IF(N1590="","",SUM(O1590:R1590)/('[1]LOCH Calc COE Calc'!$C$28))</f>
        <v/>
      </c>
      <c r="T1590" t="str">
        <f>IF(L1590="","",O1590/'[1]LOCH Calc COE Calc'!$C$28)</f>
        <v/>
      </c>
      <c r="U1590" t="str">
        <f>IF(L1590="","",P1590/'[1]LOCH Calc COE Calc'!$C$28)</f>
        <v/>
      </c>
      <c r="V1590" t="str">
        <f>IF(L1590="","",Q1590/'[1]LOCH Calc COE Calc'!$C$28)</f>
        <v/>
      </c>
      <c r="W1590" t="str">
        <f>IF(L1590="","",R1590/'[1]LOCH Calc COE Calc'!$C$28)</f>
        <v/>
      </c>
    </row>
    <row r="1591" spans="12:23" x14ac:dyDescent="0.25">
      <c r="L1591" s="4" t="str">
        <f>IF('[1]All Data '!BE1596="","",'[1]All Data '!BE1596)</f>
        <v/>
      </c>
      <c r="M1591" t="str">
        <f>IF('[1]All Data '!BF1596="","",'[1]All Data '!BF1596)</f>
        <v/>
      </c>
      <c r="N1591" s="5" t="str">
        <f>IF('[1]All Data '!BB1596="","",'[1]All Data '!BC1596/'[1]All Data '!BH1596)</f>
        <v/>
      </c>
      <c r="O1591" s="5" t="str">
        <f t="shared" si="26"/>
        <v/>
      </c>
      <c r="P1591" s="5" t="str">
        <f>IF(M1591="","",$C$2*(1-L1591)*907.2/0.621371*N1591*[1]Transportation!$M$40)</f>
        <v/>
      </c>
      <c r="Q1591" s="5" t="str">
        <f>IF(L1591="","",IF([1]Inputs_Outputs!$B$5="Herbaceous",(LCA!$E$29*'[1]LOCH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1" s="5" t="str">
        <f>IF(M1591="","",$E$2*1000*'[1]LOCH Calc COE Calc'!$C$44)</f>
        <v/>
      </c>
      <c r="S1591" s="6" t="str">
        <f>IF(N1591="","",SUM(O1591:R1591)/('[1]LOCH Calc COE Calc'!$C$28))</f>
        <v/>
      </c>
      <c r="T1591" t="str">
        <f>IF(L1591="","",O1591/'[1]LOCH Calc COE Calc'!$C$28)</f>
        <v/>
      </c>
      <c r="U1591" t="str">
        <f>IF(L1591="","",P1591/'[1]LOCH Calc COE Calc'!$C$28)</f>
        <v/>
      </c>
      <c r="V1591" t="str">
        <f>IF(L1591="","",Q1591/'[1]LOCH Calc COE Calc'!$C$28)</f>
        <v/>
      </c>
      <c r="W1591" t="str">
        <f>IF(L1591="","",R1591/'[1]LOCH Calc COE Calc'!$C$28)</f>
        <v/>
      </c>
    </row>
    <row r="1592" spans="12:23" x14ac:dyDescent="0.25">
      <c r="L1592" s="4" t="str">
        <f>IF('[1]All Data '!BE1597="","",'[1]All Data '!BE1597)</f>
        <v/>
      </c>
      <c r="M1592" t="str">
        <f>IF('[1]All Data '!BF1597="","",'[1]All Data '!BF1597)</f>
        <v/>
      </c>
      <c r="N1592" s="5" t="str">
        <f>IF('[1]All Data '!BB1597="","",'[1]All Data '!BC1597/'[1]All Data '!BH1597)</f>
        <v/>
      </c>
      <c r="O1592" s="5" t="str">
        <f t="shared" si="26"/>
        <v/>
      </c>
      <c r="P1592" s="5" t="str">
        <f>IF(M1592="","",$C$2*(1-L1592)*907.2/0.621371*N1592*[1]Transportation!$M$40)</f>
        <v/>
      </c>
      <c r="Q1592" s="5" t="str">
        <f>IF(L1592="","",IF([1]Inputs_Outputs!$B$5="Herbaceous",(LCA!$E$29*'[1]LOCH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2" s="5" t="str">
        <f>IF(M1592="","",$E$2*1000*'[1]LOCH Calc COE Calc'!$C$44)</f>
        <v/>
      </c>
      <c r="S1592" s="6" t="str">
        <f>IF(N1592="","",SUM(O1592:R1592)/('[1]LOCH Calc COE Calc'!$C$28))</f>
        <v/>
      </c>
      <c r="T1592" t="str">
        <f>IF(L1592="","",O1592/'[1]LOCH Calc COE Calc'!$C$28)</f>
        <v/>
      </c>
      <c r="U1592" t="str">
        <f>IF(L1592="","",P1592/'[1]LOCH Calc COE Calc'!$C$28)</f>
        <v/>
      </c>
      <c r="V1592" t="str">
        <f>IF(L1592="","",Q1592/'[1]LOCH Calc COE Calc'!$C$28)</f>
        <v/>
      </c>
      <c r="W1592" t="str">
        <f>IF(L1592="","",R1592/'[1]LOCH Calc COE Calc'!$C$28)</f>
        <v/>
      </c>
    </row>
    <row r="1593" spans="12:23" x14ac:dyDescent="0.25">
      <c r="L1593" s="4" t="str">
        <f>IF('[1]All Data '!BE1598="","",'[1]All Data '!BE1598)</f>
        <v/>
      </c>
      <c r="M1593" t="str">
        <f>IF('[1]All Data '!BF1598="","",'[1]All Data '!BF1598)</f>
        <v/>
      </c>
      <c r="N1593" s="5" t="str">
        <f>IF('[1]All Data '!BB1598="","",'[1]All Data '!BC1598/'[1]All Data '!BH1598)</f>
        <v/>
      </c>
      <c r="O1593" s="5" t="str">
        <f t="shared" si="26"/>
        <v/>
      </c>
      <c r="P1593" s="5" t="str">
        <f>IF(M1593="","",$C$2*(1-L1593)*907.2/0.621371*N1593*[1]Transportation!$M$40)</f>
        <v/>
      </c>
      <c r="Q1593" s="5" t="str">
        <f>IF(L1593="","",IF([1]Inputs_Outputs!$B$5="Herbaceous",(LCA!$E$29*'[1]LOCH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3" s="5" t="str">
        <f>IF(M1593="","",$E$2*1000*'[1]LOCH Calc COE Calc'!$C$44)</f>
        <v/>
      </c>
      <c r="S1593" s="6" t="str">
        <f>IF(N1593="","",SUM(O1593:R1593)/('[1]LOCH Calc COE Calc'!$C$28))</f>
        <v/>
      </c>
      <c r="T1593" t="str">
        <f>IF(L1593="","",O1593/'[1]LOCH Calc COE Calc'!$C$28)</f>
        <v/>
      </c>
      <c r="U1593" t="str">
        <f>IF(L1593="","",P1593/'[1]LOCH Calc COE Calc'!$C$28)</f>
        <v/>
      </c>
      <c r="V1593" t="str">
        <f>IF(L1593="","",Q1593/'[1]LOCH Calc COE Calc'!$C$28)</f>
        <v/>
      </c>
      <c r="W1593" t="str">
        <f>IF(L1593="","",R1593/'[1]LOCH Calc COE Calc'!$C$28)</f>
        <v/>
      </c>
    </row>
    <row r="1594" spans="12:23" x14ac:dyDescent="0.25">
      <c r="L1594" s="4" t="str">
        <f>IF('[1]All Data '!BE1599="","",'[1]All Data '!BE1599)</f>
        <v/>
      </c>
      <c r="M1594" t="str">
        <f>IF('[1]All Data '!BF1599="","",'[1]All Data '!BF1599)</f>
        <v/>
      </c>
      <c r="N1594" s="5" t="str">
        <f>IF('[1]All Data '!BB1599="","",'[1]All Data '!BC1599/'[1]All Data '!BH1599)</f>
        <v/>
      </c>
      <c r="O1594" s="5" t="str">
        <f t="shared" si="26"/>
        <v/>
      </c>
      <c r="P1594" s="5" t="str">
        <f>IF(M1594="","",$C$2*(1-L1594)*907.2/0.621371*N1594*[1]Transportation!$M$40)</f>
        <v/>
      </c>
      <c r="Q1594" s="5" t="str">
        <f>IF(L1594="","",IF([1]Inputs_Outputs!$B$5="Herbaceous",(LCA!$E$29*'[1]LOCH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4" s="5" t="str">
        <f>IF(M1594="","",$E$2*1000*'[1]LOCH Calc COE Calc'!$C$44)</f>
        <v/>
      </c>
      <c r="S1594" s="6" t="str">
        <f>IF(N1594="","",SUM(O1594:R1594)/('[1]LOCH Calc COE Calc'!$C$28))</f>
        <v/>
      </c>
      <c r="T1594" t="str">
        <f>IF(L1594="","",O1594/'[1]LOCH Calc COE Calc'!$C$28)</f>
        <v/>
      </c>
      <c r="U1594" t="str">
        <f>IF(L1594="","",P1594/'[1]LOCH Calc COE Calc'!$C$28)</f>
        <v/>
      </c>
      <c r="V1594" t="str">
        <f>IF(L1594="","",Q1594/'[1]LOCH Calc COE Calc'!$C$28)</f>
        <v/>
      </c>
      <c r="W1594" t="str">
        <f>IF(L1594="","",R1594/'[1]LOCH Calc COE Calc'!$C$28)</f>
        <v/>
      </c>
    </row>
    <row r="1595" spans="12:23" x14ac:dyDescent="0.25">
      <c r="L1595" s="4" t="str">
        <f>IF('[1]All Data '!BE1600="","",'[1]All Data '!BE1600)</f>
        <v/>
      </c>
      <c r="M1595" t="str">
        <f>IF('[1]All Data '!BF1600="","",'[1]All Data '!BF1600)</f>
        <v/>
      </c>
      <c r="N1595" s="5" t="str">
        <f>IF('[1]All Data '!BB1600="","",'[1]All Data '!BC1600/'[1]All Data '!BH1600)</f>
        <v/>
      </c>
      <c r="O1595" s="5" t="str">
        <f t="shared" si="26"/>
        <v/>
      </c>
      <c r="P1595" s="5" t="str">
        <f>IF(M1595="","",$C$2*(1-L1595)*907.2/0.621371*N1595*[1]Transportation!$M$40)</f>
        <v/>
      </c>
      <c r="Q1595" s="5" t="str">
        <f>IF(L1595="","",IF([1]Inputs_Outputs!$B$5="Herbaceous",(LCA!$E$29*'[1]LOCH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5" s="5" t="str">
        <f>IF(M1595="","",$E$2*1000*'[1]LOCH Calc COE Calc'!$C$44)</f>
        <v/>
      </c>
      <c r="S1595" s="6" t="str">
        <f>IF(N1595="","",SUM(O1595:R1595)/('[1]LOCH Calc COE Calc'!$C$28))</f>
        <v/>
      </c>
      <c r="T1595" t="str">
        <f>IF(L1595="","",O1595/'[1]LOCH Calc COE Calc'!$C$28)</f>
        <v/>
      </c>
      <c r="U1595" t="str">
        <f>IF(L1595="","",P1595/'[1]LOCH Calc COE Calc'!$C$28)</f>
        <v/>
      </c>
      <c r="V1595" t="str">
        <f>IF(L1595="","",Q1595/'[1]LOCH Calc COE Calc'!$C$28)</f>
        <v/>
      </c>
      <c r="W1595" t="str">
        <f>IF(L1595="","",R1595/'[1]LOCH Calc COE Calc'!$C$28)</f>
        <v/>
      </c>
    </row>
    <row r="1596" spans="12:23" x14ac:dyDescent="0.25">
      <c r="L1596" s="4" t="str">
        <f>IF('[1]All Data '!BE1601="","",'[1]All Data '!BE1601)</f>
        <v/>
      </c>
      <c r="M1596" t="str">
        <f>IF('[1]All Data '!BF1601="","",'[1]All Data '!BF1601)</f>
        <v/>
      </c>
      <c r="N1596" s="5" t="str">
        <f>IF('[1]All Data '!BB1601="","",'[1]All Data '!BC1601/'[1]All Data '!BH1601)</f>
        <v/>
      </c>
      <c r="O1596" s="5" t="str">
        <f t="shared" si="26"/>
        <v/>
      </c>
      <c r="P1596" s="5" t="str">
        <f>IF(M1596="","",$C$2*(1-L1596)*907.2/0.621371*N1596*[1]Transportation!$M$40)</f>
        <v/>
      </c>
      <c r="Q1596" s="5" t="str">
        <f>IF(L1596="","",IF([1]Inputs_Outputs!$B$5="Herbaceous",(LCA!$E$29*'[1]LOCH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6" s="5" t="str">
        <f>IF(M1596="","",$E$2*1000*'[1]LOCH Calc COE Calc'!$C$44)</f>
        <v/>
      </c>
      <c r="S1596" s="6" t="str">
        <f>IF(N1596="","",SUM(O1596:R1596)/('[1]LOCH Calc COE Calc'!$C$28))</f>
        <v/>
      </c>
      <c r="T1596" t="str">
        <f>IF(L1596="","",O1596/'[1]LOCH Calc COE Calc'!$C$28)</f>
        <v/>
      </c>
      <c r="U1596" t="str">
        <f>IF(L1596="","",P1596/'[1]LOCH Calc COE Calc'!$C$28)</f>
        <v/>
      </c>
      <c r="V1596" t="str">
        <f>IF(L1596="","",Q1596/'[1]LOCH Calc COE Calc'!$C$28)</f>
        <v/>
      </c>
      <c r="W1596" t="str">
        <f>IF(L1596="","",R1596/'[1]LOCH Calc COE Calc'!$C$28)</f>
        <v/>
      </c>
    </row>
    <row r="1597" spans="12:23" x14ac:dyDescent="0.25">
      <c r="L1597" s="4" t="str">
        <f>IF('[1]All Data '!BE1602="","",'[1]All Data '!BE1602)</f>
        <v/>
      </c>
      <c r="M1597" t="str">
        <f>IF('[1]All Data '!BF1602="","",'[1]All Data '!BF1602)</f>
        <v/>
      </c>
      <c r="N1597" s="5" t="str">
        <f>IF('[1]All Data '!BB1602="","",'[1]All Data '!BC1602/'[1]All Data '!BH1602)</f>
        <v/>
      </c>
      <c r="O1597" s="5" t="str">
        <f t="shared" si="26"/>
        <v/>
      </c>
      <c r="P1597" s="5" t="str">
        <f>IF(M1597="","",$C$2*(1-L1597)*907.2/0.621371*N1597*[1]Transportation!$M$40)</f>
        <v/>
      </c>
      <c r="Q1597" s="5" t="str">
        <f>IF(L1597="","",IF([1]Inputs_Outputs!$B$5="Herbaceous",(LCA!$E$29*'[1]LOCH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7" s="5" t="str">
        <f>IF(M1597="","",$E$2*1000*'[1]LOCH Calc COE Calc'!$C$44)</f>
        <v/>
      </c>
      <c r="S1597" s="6" t="str">
        <f>IF(N1597="","",SUM(O1597:R1597)/('[1]LOCH Calc COE Calc'!$C$28))</f>
        <v/>
      </c>
      <c r="T1597" t="str">
        <f>IF(L1597="","",O1597/'[1]LOCH Calc COE Calc'!$C$28)</f>
        <v/>
      </c>
      <c r="U1597" t="str">
        <f>IF(L1597="","",P1597/'[1]LOCH Calc COE Calc'!$C$28)</f>
        <v/>
      </c>
      <c r="V1597" t="str">
        <f>IF(L1597="","",Q1597/'[1]LOCH Calc COE Calc'!$C$28)</f>
        <v/>
      </c>
      <c r="W1597" t="str">
        <f>IF(L1597="","",R1597/'[1]LOCH Calc COE Calc'!$C$28)</f>
        <v/>
      </c>
    </row>
    <row r="1598" spans="12:23" x14ac:dyDescent="0.25">
      <c r="L1598" s="4" t="str">
        <f>IF('[1]All Data '!BE1603="","",'[1]All Data '!BE1603)</f>
        <v/>
      </c>
      <c r="M1598" t="str">
        <f>IF('[1]All Data '!BF1603="","",'[1]All Data '!BF1603)</f>
        <v/>
      </c>
      <c r="N1598" s="5" t="str">
        <f>IF('[1]All Data '!BB1603="","",'[1]All Data '!BC1603/'[1]All Data '!BH1603)</f>
        <v/>
      </c>
      <c r="O1598" s="5" t="str">
        <f t="shared" si="26"/>
        <v/>
      </c>
      <c r="P1598" s="5" t="str">
        <f>IF(M1598="","",$C$2*(1-L1598)*907.2/0.621371*N1598*[1]Transportation!$M$40)</f>
        <v/>
      </c>
      <c r="Q1598" s="5" t="str">
        <f>IF(L1598="","",IF([1]Inputs_Outputs!$B$5="Herbaceous",(LCA!$E$29*'[1]LOCH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8" s="5" t="str">
        <f>IF(M1598="","",$E$2*1000*'[1]LOCH Calc COE Calc'!$C$44)</f>
        <v/>
      </c>
      <c r="S1598" s="6" t="str">
        <f>IF(N1598="","",SUM(O1598:R1598)/('[1]LOCH Calc COE Calc'!$C$28))</f>
        <v/>
      </c>
      <c r="T1598" t="str">
        <f>IF(L1598="","",O1598/'[1]LOCH Calc COE Calc'!$C$28)</f>
        <v/>
      </c>
      <c r="U1598" t="str">
        <f>IF(L1598="","",P1598/'[1]LOCH Calc COE Calc'!$C$28)</f>
        <v/>
      </c>
      <c r="V1598" t="str">
        <f>IF(L1598="","",Q1598/'[1]LOCH Calc COE Calc'!$C$28)</f>
        <v/>
      </c>
      <c r="W1598" t="str">
        <f>IF(L1598="","",R1598/'[1]LOCH Calc COE Calc'!$C$28)</f>
        <v/>
      </c>
    </row>
    <row r="1599" spans="12:23" x14ac:dyDescent="0.25">
      <c r="L1599" s="4" t="str">
        <f>IF('[1]All Data '!BE1604="","",'[1]All Data '!BE1604)</f>
        <v/>
      </c>
      <c r="M1599" t="str">
        <f>IF('[1]All Data '!BF1604="","",'[1]All Data '!BF1604)</f>
        <v/>
      </c>
      <c r="N1599" s="5" t="str">
        <f>IF('[1]All Data '!BB1604="","",'[1]All Data '!BC1604/'[1]All Data '!BH1604)</f>
        <v/>
      </c>
      <c r="O1599" s="5" t="str">
        <f t="shared" si="26"/>
        <v/>
      </c>
      <c r="P1599" s="5" t="str">
        <f>IF(M1599="","",$C$2*(1-L1599)*907.2/0.621371*N1599*[1]Transportation!$M$40)</f>
        <v/>
      </c>
      <c r="Q1599" s="5" t="str">
        <f>IF(L1599="","",IF([1]Inputs_Outputs!$B$5="Herbaceous",(LCA!$E$29*'[1]LOCH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599" s="5" t="str">
        <f>IF(M1599="","",$E$2*1000*'[1]LOCH Calc COE Calc'!$C$44)</f>
        <v/>
      </c>
      <c r="S1599" s="6" t="str">
        <f>IF(N1599="","",SUM(O1599:R1599)/('[1]LOCH Calc COE Calc'!$C$28))</f>
        <v/>
      </c>
      <c r="T1599" t="str">
        <f>IF(L1599="","",O1599/'[1]LOCH Calc COE Calc'!$C$28)</f>
        <v/>
      </c>
      <c r="U1599" t="str">
        <f>IF(L1599="","",P1599/'[1]LOCH Calc COE Calc'!$C$28)</f>
        <v/>
      </c>
      <c r="V1599" t="str">
        <f>IF(L1599="","",Q1599/'[1]LOCH Calc COE Calc'!$C$28)</f>
        <v/>
      </c>
      <c r="W1599" t="str">
        <f>IF(L1599="","",R1599/'[1]LOCH Calc COE Calc'!$C$28)</f>
        <v/>
      </c>
    </row>
    <row r="1600" spans="12:23" x14ac:dyDescent="0.25">
      <c r="L1600" s="4" t="str">
        <f>IF('[1]All Data '!BE1605="","",'[1]All Data '!BE1605)</f>
        <v/>
      </c>
      <c r="M1600" t="str">
        <f>IF('[1]All Data '!BF1605="","",'[1]All Data '!BF1605)</f>
        <v/>
      </c>
      <c r="N1600" s="5" t="str">
        <f>IF('[1]All Data '!BB1605="","",'[1]All Data '!BC1605/'[1]All Data '!BH1605)</f>
        <v/>
      </c>
      <c r="O1600" s="5" t="str">
        <f t="shared" si="26"/>
        <v/>
      </c>
      <c r="P1600" s="5" t="str">
        <f>IF(M1600="","",$C$2*(1-L1600)*907.2/0.621371*N1600*[1]Transportation!$M$40)</f>
        <v/>
      </c>
      <c r="Q1600" s="5" t="str">
        <f>IF(L1600="","",IF([1]Inputs_Outputs!$B$5="Herbaceous",(LCA!$E$29*'[1]LOCH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0" s="5" t="str">
        <f>IF(M1600="","",$E$2*1000*'[1]LOCH Calc COE Calc'!$C$44)</f>
        <v/>
      </c>
      <c r="S1600" s="6" t="str">
        <f>IF(N1600="","",SUM(O1600:R1600)/('[1]LOCH Calc COE Calc'!$C$28))</f>
        <v/>
      </c>
      <c r="T1600" t="str">
        <f>IF(L1600="","",O1600/'[1]LOCH Calc COE Calc'!$C$28)</f>
        <v/>
      </c>
      <c r="U1600" t="str">
        <f>IF(L1600="","",P1600/'[1]LOCH Calc COE Calc'!$C$28)</f>
        <v/>
      </c>
      <c r="V1600" t="str">
        <f>IF(L1600="","",Q1600/'[1]LOCH Calc COE Calc'!$C$28)</f>
        <v/>
      </c>
      <c r="W1600" t="str">
        <f>IF(L1600="","",R1600/'[1]LOCH Calc COE Calc'!$C$28)</f>
        <v/>
      </c>
    </row>
    <row r="1601" spans="12:23" x14ac:dyDescent="0.25">
      <c r="L1601" s="4" t="str">
        <f>IF('[1]All Data '!BE1606="","",'[1]All Data '!BE1606)</f>
        <v/>
      </c>
      <c r="M1601" t="str">
        <f>IF('[1]All Data '!BF1606="","",'[1]All Data '!BF1606)</f>
        <v/>
      </c>
      <c r="N1601" s="5" t="str">
        <f>IF('[1]All Data '!BB1606="","",'[1]All Data '!BC1606/'[1]All Data '!BH1606)</f>
        <v/>
      </c>
      <c r="O1601" s="5" t="str">
        <f t="shared" si="26"/>
        <v/>
      </c>
      <c r="P1601" s="5" t="str">
        <f>IF(M1601="","",$C$2*(1-L1601)*907.2/0.621371*N1601*[1]Transportation!$M$40)</f>
        <v/>
      </c>
      <c r="Q1601" s="5" t="str">
        <f>IF(L1601="","",IF([1]Inputs_Outputs!$B$5="Herbaceous",(LCA!$E$29*'[1]LOCH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1" s="5" t="str">
        <f>IF(M1601="","",$E$2*1000*'[1]LOCH Calc COE Calc'!$C$44)</f>
        <v/>
      </c>
      <c r="S1601" s="6" t="str">
        <f>IF(N1601="","",SUM(O1601:R1601)/('[1]LOCH Calc COE Calc'!$C$28))</f>
        <v/>
      </c>
      <c r="T1601" t="str">
        <f>IF(L1601="","",O1601/'[1]LOCH Calc COE Calc'!$C$28)</f>
        <v/>
      </c>
      <c r="U1601" t="str">
        <f>IF(L1601="","",P1601/'[1]LOCH Calc COE Calc'!$C$28)</f>
        <v/>
      </c>
      <c r="V1601" t="str">
        <f>IF(L1601="","",Q1601/'[1]LOCH Calc COE Calc'!$C$28)</f>
        <v/>
      </c>
      <c r="W1601" t="str">
        <f>IF(L1601="","",R1601/'[1]LOCH Calc COE Calc'!$C$28)</f>
        <v/>
      </c>
    </row>
    <row r="1602" spans="12:23" x14ac:dyDescent="0.25">
      <c r="L1602" s="4" t="str">
        <f>IF('[1]All Data '!BE1607="","",'[1]All Data '!BE1607)</f>
        <v/>
      </c>
      <c r="M1602" t="str">
        <f>IF('[1]All Data '!BF1607="","",'[1]All Data '!BF1607)</f>
        <v/>
      </c>
      <c r="N1602" s="5" t="str">
        <f>IF('[1]All Data '!BB1607="","",'[1]All Data '!BC1607/'[1]All Data '!BH1607)</f>
        <v/>
      </c>
      <c r="O1602" s="5" t="str">
        <f t="shared" si="26"/>
        <v/>
      </c>
      <c r="P1602" s="5" t="str">
        <f>IF(M1602="","",$C$2*(1-L1602)*907.2/0.621371*N1602*[1]Transportation!$M$40)</f>
        <v/>
      </c>
      <c r="Q1602" s="5" t="str">
        <f>IF(L1602="","",IF([1]Inputs_Outputs!$B$5="Herbaceous",(LCA!$E$29*'[1]LOCH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2" s="5" t="str">
        <f>IF(M1602="","",$E$2*1000*'[1]LOCH Calc COE Calc'!$C$44)</f>
        <v/>
      </c>
      <c r="S1602" s="6" t="str">
        <f>IF(N1602="","",SUM(O1602:R1602)/('[1]LOCH Calc COE Calc'!$C$28))</f>
        <v/>
      </c>
      <c r="T1602" t="str">
        <f>IF(L1602="","",O1602/'[1]LOCH Calc COE Calc'!$C$28)</f>
        <v/>
      </c>
      <c r="U1602" t="str">
        <f>IF(L1602="","",P1602/'[1]LOCH Calc COE Calc'!$C$28)</f>
        <v/>
      </c>
      <c r="V1602" t="str">
        <f>IF(L1602="","",Q1602/'[1]LOCH Calc COE Calc'!$C$28)</f>
        <v/>
      </c>
      <c r="W1602" t="str">
        <f>IF(L1602="","",R1602/'[1]LOCH Calc COE Calc'!$C$28)</f>
        <v/>
      </c>
    </row>
    <row r="1603" spans="12:23" x14ac:dyDescent="0.25">
      <c r="L1603" s="4" t="str">
        <f>IF('[1]All Data '!BE1608="","",'[1]All Data '!BE1608)</f>
        <v/>
      </c>
      <c r="M1603" t="str">
        <f>IF('[1]All Data '!BF1608="","",'[1]All Data '!BF1608)</f>
        <v/>
      </c>
      <c r="N1603" s="5" t="str">
        <f>IF('[1]All Data '!BB1608="","",'[1]All Data '!BC1608/'[1]All Data '!BH1608)</f>
        <v/>
      </c>
      <c r="O1603" s="5" t="str">
        <f t="shared" si="26"/>
        <v/>
      </c>
      <c r="P1603" s="5" t="str">
        <f>IF(M1603="","",$C$2*(1-L1603)*907.2/0.621371*N1603*[1]Transportation!$M$40)</f>
        <v/>
      </c>
      <c r="Q1603" s="5" t="str">
        <f>IF(L1603="","",IF([1]Inputs_Outputs!$B$5="Herbaceous",(LCA!$E$29*'[1]LOCH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3" s="5" t="str">
        <f>IF(M1603="","",$E$2*1000*'[1]LOCH Calc COE Calc'!$C$44)</f>
        <v/>
      </c>
      <c r="S1603" s="6" t="str">
        <f>IF(N1603="","",SUM(O1603:R1603)/('[1]LOCH Calc COE Calc'!$C$28))</f>
        <v/>
      </c>
      <c r="T1603" t="str">
        <f>IF(L1603="","",O1603/'[1]LOCH Calc COE Calc'!$C$28)</f>
        <v/>
      </c>
      <c r="U1603" t="str">
        <f>IF(L1603="","",P1603/'[1]LOCH Calc COE Calc'!$C$28)</f>
        <v/>
      </c>
      <c r="V1603" t="str">
        <f>IF(L1603="","",Q1603/'[1]LOCH Calc COE Calc'!$C$28)</f>
        <v/>
      </c>
      <c r="W1603" t="str">
        <f>IF(L1603="","",R1603/'[1]LOCH Calc COE Calc'!$C$28)</f>
        <v/>
      </c>
    </row>
    <row r="1604" spans="12:23" x14ac:dyDescent="0.25">
      <c r="L1604" s="4" t="str">
        <f>IF('[1]All Data '!BE1609="","",'[1]All Data '!BE1609)</f>
        <v/>
      </c>
      <c r="M1604" t="str">
        <f>IF('[1]All Data '!BF1609="","",'[1]All Data '!BF1609)</f>
        <v/>
      </c>
      <c r="N1604" s="5" t="str">
        <f>IF('[1]All Data '!BB1609="","",'[1]All Data '!BC1609/'[1]All Data '!BH1609)</f>
        <v/>
      </c>
      <c r="O1604" s="5" t="str">
        <f t="shared" ref="O1604:O1667" si="27">IF(N1604="","",M1604*N1604)</f>
        <v/>
      </c>
      <c r="P1604" s="5" t="str">
        <f>IF(M1604="","",$C$2*(1-L1604)*907.2/0.621371*N1604*[1]Transportation!$M$40)</f>
        <v/>
      </c>
      <c r="Q1604" s="5" t="str">
        <f>IF(L1604="","",IF([1]Inputs_Outputs!$B$5="Herbaceous",(LCA!$E$29*'[1]LOCH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4" s="5" t="str">
        <f>IF(M1604="","",$E$2*1000*'[1]LOCH Calc COE Calc'!$C$44)</f>
        <v/>
      </c>
      <c r="S1604" s="6" t="str">
        <f>IF(N1604="","",SUM(O1604:R1604)/('[1]LOCH Calc COE Calc'!$C$28))</f>
        <v/>
      </c>
      <c r="T1604" t="str">
        <f>IF(L1604="","",O1604/'[1]LOCH Calc COE Calc'!$C$28)</f>
        <v/>
      </c>
      <c r="U1604" t="str">
        <f>IF(L1604="","",P1604/'[1]LOCH Calc COE Calc'!$C$28)</f>
        <v/>
      </c>
      <c r="V1604" t="str">
        <f>IF(L1604="","",Q1604/'[1]LOCH Calc COE Calc'!$C$28)</f>
        <v/>
      </c>
      <c r="W1604" t="str">
        <f>IF(L1604="","",R1604/'[1]LOCH Calc COE Calc'!$C$28)</f>
        <v/>
      </c>
    </row>
    <row r="1605" spans="12:23" x14ac:dyDescent="0.25">
      <c r="L1605" s="4" t="str">
        <f>IF('[1]All Data '!BE1610="","",'[1]All Data '!BE1610)</f>
        <v/>
      </c>
      <c r="M1605" t="str">
        <f>IF('[1]All Data '!BF1610="","",'[1]All Data '!BF1610)</f>
        <v/>
      </c>
      <c r="N1605" s="5" t="str">
        <f>IF('[1]All Data '!BB1610="","",'[1]All Data '!BC1610/'[1]All Data '!BH1610)</f>
        <v/>
      </c>
      <c r="O1605" s="5" t="str">
        <f t="shared" si="27"/>
        <v/>
      </c>
      <c r="P1605" s="5" t="str">
        <f>IF(M1605="","",$C$2*(1-L1605)*907.2/0.621371*N1605*[1]Transportation!$M$40)</f>
        <v/>
      </c>
      <c r="Q1605" s="5" t="str">
        <f>IF(L1605="","",IF([1]Inputs_Outputs!$B$5="Herbaceous",(LCA!$E$29*'[1]LOCH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5" s="5" t="str">
        <f>IF(M1605="","",$E$2*1000*'[1]LOCH Calc COE Calc'!$C$44)</f>
        <v/>
      </c>
      <c r="S1605" s="6" t="str">
        <f>IF(N1605="","",SUM(O1605:R1605)/('[1]LOCH Calc COE Calc'!$C$28))</f>
        <v/>
      </c>
      <c r="T1605" t="str">
        <f>IF(L1605="","",O1605/'[1]LOCH Calc COE Calc'!$C$28)</f>
        <v/>
      </c>
      <c r="U1605" t="str">
        <f>IF(L1605="","",P1605/'[1]LOCH Calc COE Calc'!$C$28)</f>
        <v/>
      </c>
      <c r="V1605" t="str">
        <f>IF(L1605="","",Q1605/'[1]LOCH Calc COE Calc'!$C$28)</f>
        <v/>
      </c>
      <c r="W1605" t="str">
        <f>IF(L1605="","",R1605/'[1]LOCH Calc COE Calc'!$C$28)</f>
        <v/>
      </c>
    </row>
    <row r="1606" spans="12:23" x14ac:dyDescent="0.25">
      <c r="L1606" s="4" t="str">
        <f>IF('[1]All Data '!BE1611="","",'[1]All Data '!BE1611)</f>
        <v/>
      </c>
      <c r="M1606" t="str">
        <f>IF('[1]All Data '!BF1611="","",'[1]All Data '!BF1611)</f>
        <v/>
      </c>
      <c r="N1606" s="5" t="str">
        <f>IF('[1]All Data '!BB1611="","",'[1]All Data '!BC1611/'[1]All Data '!BH1611)</f>
        <v/>
      </c>
      <c r="O1606" s="5" t="str">
        <f t="shared" si="27"/>
        <v/>
      </c>
      <c r="P1606" s="5" t="str">
        <f>IF(M1606="","",$C$2*(1-L1606)*907.2/0.621371*N1606*[1]Transportation!$M$40)</f>
        <v/>
      </c>
      <c r="Q1606" s="5" t="str">
        <f>IF(L1606="","",IF([1]Inputs_Outputs!$B$5="Herbaceous",(LCA!$E$29*'[1]LOCH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6" s="5" t="str">
        <f>IF(M1606="","",$E$2*1000*'[1]LOCH Calc COE Calc'!$C$44)</f>
        <v/>
      </c>
      <c r="S1606" s="6" t="str">
        <f>IF(N1606="","",SUM(O1606:R1606)/('[1]LOCH Calc COE Calc'!$C$28))</f>
        <v/>
      </c>
      <c r="T1606" t="str">
        <f>IF(L1606="","",O1606/'[1]LOCH Calc COE Calc'!$C$28)</f>
        <v/>
      </c>
      <c r="U1606" t="str">
        <f>IF(L1606="","",P1606/'[1]LOCH Calc COE Calc'!$C$28)</f>
        <v/>
      </c>
      <c r="V1606" t="str">
        <f>IF(L1606="","",Q1606/'[1]LOCH Calc COE Calc'!$C$28)</f>
        <v/>
      </c>
      <c r="W1606" t="str">
        <f>IF(L1606="","",R1606/'[1]LOCH Calc COE Calc'!$C$28)</f>
        <v/>
      </c>
    </row>
    <row r="1607" spans="12:23" x14ac:dyDescent="0.25">
      <c r="L1607" s="4" t="str">
        <f>IF('[1]All Data '!BE1612="","",'[1]All Data '!BE1612)</f>
        <v/>
      </c>
      <c r="M1607" t="str">
        <f>IF('[1]All Data '!BF1612="","",'[1]All Data '!BF1612)</f>
        <v/>
      </c>
      <c r="N1607" s="5" t="str">
        <f>IF('[1]All Data '!BB1612="","",'[1]All Data '!BC1612/'[1]All Data '!BH1612)</f>
        <v/>
      </c>
      <c r="O1607" s="5" t="str">
        <f t="shared" si="27"/>
        <v/>
      </c>
      <c r="P1607" s="5" t="str">
        <f>IF(M1607="","",$C$2*(1-L1607)*907.2/0.621371*N1607*[1]Transportation!$M$40)</f>
        <v/>
      </c>
      <c r="Q1607" s="5" t="str">
        <f>IF(L1607="","",IF([1]Inputs_Outputs!$B$5="Herbaceous",(LCA!$E$29*'[1]LOCH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7" s="5" t="str">
        <f>IF(M1607="","",$E$2*1000*'[1]LOCH Calc COE Calc'!$C$44)</f>
        <v/>
      </c>
      <c r="S1607" s="6" t="str">
        <f>IF(N1607="","",SUM(O1607:R1607)/('[1]LOCH Calc COE Calc'!$C$28))</f>
        <v/>
      </c>
      <c r="T1607" t="str">
        <f>IF(L1607="","",O1607/'[1]LOCH Calc COE Calc'!$C$28)</f>
        <v/>
      </c>
      <c r="U1607" t="str">
        <f>IF(L1607="","",P1607/'[1]LOCH Calc COE Calc'!$C$28)</f>
        <v/>
      </c>
      <c r="V1607" t="str">
        <f>IF(L1607="","",Q1607/'[1]LOCH Calc COE Calc'!$C$28)</f>
        <v/>
      </c>
      <c r="W1607" t="str">
        <f>IF(L1607="","",R1607/'[1]LOCH Calc COE Calc'!$C$28)</f>
        <v/>
      </c>
    </row>
    <row r="1608" spans="12:23" x14ac:dyDescent="0.25">
      <c r="L1608" s="4" t="str">
        <f>IF('[1]All Data '!BE1613="","",'[1]All Data '!BE1613)</f>
        <v/>
      </c>
      <c r="M1608" t="str">
        <f>IF('[1]All Data '!BF1613="","",'[1]All Data '!BF1613)</f>
        <v/>
      </c>
      <c r="N1608" s="5" t="str">
        <f>IF('[1]All Data '!BB1613="","",'[1]All Data '!BC1613/'[1]All Data '!BH1613)</f>
        <v/>
      </c>
      <c r="O1608" s="5" t="str">
        <f t="shared" si="27"/>
        <v/>
      </c>
      <c r="P1608" s="5" t="str">
        <f>IF(M1608="","",$C$2*(1-L1608)*907.2/0.621371*N1608*[1]Transportation!$M$40)</f>
        <v/>
      </c>
      <c r="Q1608" s="5" t="str">
        <f>IF(L1608="","",IF([1]Inputs_Outputs!$B$5="Herbaceous",(LCA!$E$29*'[1]LOCH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8" s="5" t="str">
        <f>IF(M1608="","",$E$2*1000*'[1]LOCH Calc COE Calc'!$C$44)</f>
        <v/>
      </c>
      <c r="S1608" s="6" t="str">
        <f>IF(N1608="","",SUM(O1608:R1608)/('[1]LOCH Calc COE Calc'!$C$28))</f>
        <v/>
      </c>
      <c r="T1608" t="str">
        <f>IF(L1608="","",O1608/'[1]LOCH Calc COE Calc'!$C$28)</f>
        <v/>
      </c>
      <c r="U1608" t="str">
        <f>IF(L1608="","",P1608/'[1]LOCH Calc COE Calc'!$C$28)</f>
        <v/>
      </c>
      <c r="V1608" t="str">
        <f>IF(L1608="","",Q1608/'[1]LOCH Calc COE Calc'!$C$28)</f>
        <v/>
      </c>
      <c r="W1608" t="str">
        <f>IF(L1608="","",R1608/'[1]LOCH Calc COE Calc'!$C$28)</f>
        <v/>
      </c>
    </row>
    <row r="1609" spans="12:23" x14ac:dyDescent="0.25">
      <c r="L1609" s="4" t="str">
        <f>IF('[1]All Data '!BE1614="","",'[1]All Data '!BE1614)</f>
        <v/>
      </c>
      <c r="M1609" t="str">
        <f>IF('[1]All Data '!BF1614="","",'[1]All Data '!BF1614)</f>
        <v/>
      </c>
      <c r="N1609" s="5" t="str">
        <f>IF('[1]All Data '!BB1614="","",'[1]All Data '!BC1614/'[1]All Data '!BH1614)</f>
        <v/>
      </c>
      <c r="O1609" s="5" t="str">
        <f t="shared" si="27"/>
        <v/>
      </c>
      <c r="P1609" s="5" t="str">
        <f>IF(M1609="","",$C$2*(1-L1609)*907.2/0.621371*N1609*[1]Transportation!$M$40)</f>
        <v/>
      </c>
      <c r="Q1609" s="5" t="str">
        <f>IF(L1609="","",IF([1]Inputs_Outputs!$B$5="Herbaceous",(LCA!$E$29*'[1]LOCH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09" s="5" t="str">
        <f>IF(M1609="","",$E$2*1000*'[1]LOCH Calc COE Calc'!$C$44)</f>
        <v/>
      </c>
      <c r="S1609" s="6" t="str">
        <f>IF(N1609="","",SUM(O1609:R1609)/('[1]LOCH Calc COE Calc'!$C$28))</f>
        <v/>
      </c>
      <c r="T1609" t="str">
        <f>IF(L1609="","",O1609/'[1]LOCH Calc COE Calc'!$C$28)</f>
        <v/>
      </c>
      <c r="U1609" t="str">
        <f>IF(L1609="","",P1609/'[1]LOCH Calc COE Calc'!$C$28)</f>
        <v/>
      </c>
      <c r="V1609" t="str">
        <f>IF(L1609="","",Q1609/'[1]LOCH Calc COE Calc'!$C$28)</f>
        <v/>
      </c>
      <c r="W1609" t="str">
        <f>IF(L1609="","",R1609/'[1]LOCH Calc COE Calc'!$C$28)</f>
        <v/>
      </c>
    </row>
    <row r="1610" spans="12:23" x14ac:dyDescent="0.25">
      <c r="L1610" s="4" t="str">
        <f>IF('[1]All Data '!BE1615="","",'[1]All Data '!BE1615)</f>
        <v/>
      </c>
      <c r="M1610" t="str">
        <f>IF('[1]All Data '!BF1615="","",'[1]All Data '!BF1615)</f>
        <v/>
      </c>
      <c r="N1610" s="5" t="str">
        <f>IF('[1]All Data '!BB1615="","",'[1]All Data '!BC1615/'[1]All Data '!BH1615)</f>
        <v/>
      </c>
      <c r="O1610" s="5" t="str">
        <f t="shared" si="27"/>
        <v/>
      </c>
      <c r="P1610" s="5" t="str">
        <f>IF(M1610="","",$C$2*(1-L1610)*907.2/0.621371*N1610*[1]Transportation!$M$40)</f>
        <v/>
      </c>
      <c r="Q1610" s="5" t="str">
        <f>IF(L1610="","",IF([1]Inputs_Outputs!$B$5="Herbaceous",(LCA!$E$29*'[1]LOCH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0" s="5" t="str">
        <f>IF(M1610="","",$E$2*1000*'[1]LOCH Calc COE Calc'!$C$44)</f>
        <v/>
      </c>
      <c r="S1610" s="6" t="str">
        <f>IF(N1610="","",SUM(O1610:R1610)/('[1]LOCH Calc COE Calc'!$C$28))</f>
        <v/>
      </c>
      <c r="T1610" t="str">
        <f>IF(L1610="","",O1610/'[1]LOCH Calc COE Calc'!$C$28)</f>
        <v/>
      </c>
      <c r="U1610" t="str">
        <f>IF(L1610="","",P1610/'[1]LOCH Calc COE Calc'!$C$28)</f>
        <v/>
      </c>
      <c r="V1610" t="str">
        <f>IF(L1610="","",Q1610/'[1]LOCH Calc COE Calc'!$C$28)</f>
        <v/>
      </c>
      <c r="W1610" t="str">
        <f>IF(L1610="","",R1610/'[1]LOCH Calc COE Calc'!$C$28)</f>
        <v/>
      </c>
    </row>
    <row r="1611" spans="12:23" x14ac:dyDescent="0.25">
      <c r="L1611" s="4" t="str">
        <f>IF('[1]All Data '!BE1616="","",'[1]All Data '!BE1616)</f>
        <v/>
      </c>
      <c r="M1611" t="str">
        <f>IF('[1]All Data '!BF1616="","",'[1]All Data '!BF1616)</f>
        <v/>
      </c>
      <c r="N1611" s="5" t="str">
        <f>IF('[1]All Data '!BB1616="","",'[1]All Data '!BC1616/'[1]All Data '!BH1616)</f>
        <v/>
      </c>
      <c r="O1611" s="5" t="str">
        <f t="shared" si="27"/>
        <v/>
      </c>
      <c r="P1611" s="5" t="str">
        <f>IF(M1611="","",$C$2*(1-L1611)*907.2/0.621371*N1611*[1]Transportation!$M$40)</f>
        <v/>
      </c>
      <c r="Q1611" s="5" t="str">
        <f>IF(L1611="","",IF([1]Inputs_Outputs!$B$5="Herbaceous",(LCA!$E$29*'[1]LOCH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1" s="5" t="str">
        <f>IF(M1611="","",$E$2*1000*'[1]LOCH Calc COE Calc'!$C$44)</f>
        <v/>
      </c>
      <c r="S1611" s="6" t="str">
        <f>IF(N1611="","",SUM(O1611:R1611)/('[1]LOCH Calc COE Calc'!$C$28))</f>
        <v/>
      </c>
      <c r="T1611" t="str">
        <f>IF(L1611="","",O1611/'[1]LOCH Calc COE Calc'!$C$28)</f>
        <v/>
      </c>
      <c r="U1611" t="str">
        <f>IF(L1611="","",P1611/'[1]LOCH Calc COE Calc'!$C$28)</f>
        <v/>
      </c>
      <c r="V1611" t="str">
        <f>IF(L1611="","",Q1611/'[1]LOCH Calc COE Calc'!$C$28)</f>
        <v/>
      </c>
      <c r="W1611" t="str">
        <f>IF(L1611="","",R1611/'[1]LOCH Calc COE Calc'!$C$28)</f>
        <v/>
      </c>
    </row>
    <row r="1612" spans="12:23" x14ac:dyDescent="0.25">
      <c r="L1612" s="4" t="str">
        <f>IF('[1]All Data '!BE1617="","",'[1]All Data '!BE1617)</f>
        <v/>
      </c>
      <c r="M1612" t="str">
        <f>IF('[1]All Data '!BF1617="","",'[1]All Data '!BF1617)</f>
        <v/>
      </c>
      <c r="N1612" s="5" t="str">
        <f>IF('[1]All Data '!BB1617="","",'[1]All Data '!BC1617/'[1]All Data '!BH1617)</f>
        <v/>
      </c>
      <c r="O1612" s="5" t="str">
        <f t="shared" si="27"/>
        <v/>
      </c>
      <c r="P1612" s="5" t="str">
        <f>IF(M1612="","",$C$2*(1-L1612)*907.2/0.621371*N1612*[1]Transportation!$M$40)</f>
        <v/>
      </c>
      <c r="Q1612" s="5" t="str">
        <f>IF(L1612="","",IF([1]Inputs_Outputs!$B$5="Herbaceous",(LCA!$E$29*'[1]LOCH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2" s="5" t="str">
        <f>IF(M1612="","",$E$2*1000*'[1]LOCH Calc COE Calc'!$C$44)</f>
        <v/>
      </c>
      <c r="S1612" s="6" t="str">
        <f>IF(N1612="","",SUM(O1612:R1612)/('[1]LOCH Calc COE Calc'!$C$28))</f>
        <v/>
      </c>
      <c r="T1612" t="str">
        <f>IF(L1612="","",O1612/'[1]LOCH Calc COE Calc'!$C$28)</f>
        <v/>
      </c>
      <c r="U1612" t="str">
        <f>IF(L1612="","",P1612/'[1]LOCH Calc COE Calc'!$C$28)</f>
        <v/>
      </c>
      <c r="V1612" t="str">
        <f>IF(L1612="","",Q1612/'[1]LOCH Calc COE Calc'!$C$28)</f>
        <v/>
      </c>
      <c r="W1612" t="str">
        <f>IF(L1612="","",R1612/'[1]LOCH Calc COE Calc'!$C$28)</f>
        <v/>
      </c>
    </row>
    <row r="1613" spans="12:23" x14ac:dyDescent="0.25">
      <c r="L1613" s="4" t="str">
        <f>IF('[1]All Data '!BE1618="","",'[1]All Data '!BE1618)</f>
        <v/>
      </c>
      <c r="M1613" t="str">
        <f>IF('[1]All Data '!BF1618="","",'[1]All Data '!BF1618)</f>
        <v/>
      </c>
      <c r="N1613" s="5" t="str">
        <f>IF('[1]All Data '!BB1618="","",'[1]All Data '!BC1618/'[1]All Data '!BH1618)</f>
        <v/>
      </c>
      <c r="O1613" s="5" t="str">
        <f t="shared" si="27"/>
        <v/>
      </c>
      <c r="P1613" s="5" t="str">
        <f>IF(M1613="","",$C$2*(1-L1613)*907.2/0.621371*N1613*[1]Transportation!$M$40)</f>
        <v/>
      </c>
      <c r="Q1613" s="5" t="str">
        <f>IF(L1613="","",IF([1]Inputs_Outputs!$B$5="Herbaceous",(LCA!$E$29*'[1]LOCH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3" s="5" t="str">
        <f>IF(M1613="","",$E$2*1000*'[1]LOCH Calc COE Calc'!$C$44)</f>
        <v/>
      </c>
      <c r="S1613" s="6" t="str">
        <f>IF(N1613="","",SUM(O1613:R1613)/('[1]LOCH Calc COE Calc'!$C$28))</f>
        <v/>
      </c>
      <c r="T1613" t="str">
        <f>IF(L1613="","",O1613/'[1]LOCH Calc COE Calc'!$C$28)</f>
        <v/>
      </c>
      <c r="U1613" t="str">
        <f>IF(L1613="","",P1613/'[1]LOCH Calc COE Calc'!$C$28)</f>
        <v/>
      </c>
      <c r="V1613" t="str">
        <f>IF(L1613="","",Q1613/'[1]LOCH Calc COE Calc'!$C$28)</f>
        <v/>
      </c>
      <c r="W1613" t="str">
        <f>IF(L1613="","",R1613/'[1]LOCH Calc COE Calc'!$C$28)</f>
        <v/>
      </c>
    </row>
    <row r="1614" spans="12:23" x14ac:dyDescent="0.25">
      <c r="L1614" s="4" t="str">
        <f>IF('[1]All Data '!BE1619="","",'[1]All Data '!BE1619)</f>
        <v/>
      </c>
      <c r="M1614" t="str">
        <f>IF('[1]All Data '!BF1619="","",'[1]All Data '!BF1619)</f>
        <v/>
      </c>
      <c r="N1614" s="5" t="str">
        <f>IF('[1]All Data '!BB1619="","",'[1]All Data '!BC1619/'[1]All Data '!BH1619)</f>
        <v/>
      </c>
      <c r="O1614" s="5" t="str">
        <f t="shared" si="27"/>
        <v/>
      </c>
      <c r="P1614" s="5" t="str">
        <f>IF(M1614="","",$C$2*(1-L1614)*907.2/0.621371*N1614*[1]Transportation!$M$40)</f>
        <v/>
      </c>
      <c r="Q1614" s="5" t="str">
        <f>IF(L1614="","",IF([1]Inputs_Outputs!$B$5="Herbaceous",(LCA!$E$29*'[1]LOCH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4" s="5" t="str">
        <f>IF(M1614="","",$E$2*1000*'[1]LOCH Calc COE Calc'!$C$44)</f>
        <v/>
      </c>
      <c r="S1614" s="6" t="str">
        <f>IF(N1614="","",SUM(O1614:R1614)/('[1]LOCH Calc COE Calc'!$C$28))</f>
        <v/>
      </c>
      <c r="T1614" t="str">
        <f>IF(L1614="","",O1614/'[1]LOCH Calc COE Calc'!$C$28)</f>
        <v/>
      </c>
      <c r="U1614" t="str">
        <f>IF(L1614="","",P1614/'[1]LOCH Calc COE Calc'!$C$28)</f>
        <v/>
      </c>
      <c r="V1614" t="str">
        <f>IF(L1614="","",Q1614/'[1]LOCH Calc COE Calc'!$C$28)</f>
        <v/>
      </c>
      <c r="W1614" t="str">
        <f>IF(L1614="","",R1614/'[1]LOCH Calc COE Calc'!$C$28)</f>
        <v/>
      </c>
    </row>
    <row r="1615" spans="12:23" x14ac:dyDescent="0.25">
      <c r="L1615" s="4" t="str">
        <f>IF('[1]All Data '!BE1620="","",'[1]All Data '!BE1620)</f>
        <v/>
      </c>
      <c r="M1615" t="str">
        <f>IF('[1]All Data '!BF1620="","",'[1]All Data '!BF1620)</f>
        <v/>
      </c>
      <c r="N1615" s="5" t="str">
        <f>IF('[1]All Data '!BB1620="","",'[1]All Data '!BC1620/'[1]All Data '!BH1620)</f>
        <v/>
      </c>
      <c r="O1615" s="5" t="str">
        <f t="shared" si="27"/>
        <v/>
      </c>
      <c r="P1615" s="5" t="str">
        <f>IF(M1615="","",$C$2*(1-L1615)*907.2/0.621371*N1615*[1]Transportation!$M$40)</f>
        <v/>
      </c>
      <c r="Q1615" s="5" t="str">
        <f>IF(L1615="","",IF([1]Inputs_Outputs!$B$5="Herbaceous",(LCA!$E$29*'[1]LOCH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5" s="5" t="str">
        <f>IF(M1615="","",$E$2*1000*'[1]LOCH Calc COE Calc'!$C$44)</f>
        <v/>
      </c>
      <c r="S1615" s="6" t="str">
        <f>IF(N1615="","",SUM(O1615:R1615)/('[1]LOCH Calc COE Calc'!$C$28))</f>
        <v/>
      </c>
      <c r="T1615" t="str">
        <f>IF(L1615="","",O1615/'[1]LOCH Calc COE Calc'!$C$28)</f>
        <v/>
      </c>
      <c r="U1615" t="str">
        <f>IF(L1615="","",P1615/'[1]LOCH Calc COE Calc'!$C$28)</f>
        <v/>
      </c>
      <c r="V1615" t="str">
        <f>IF(L1615="","",Q1615/'[1]LOCH Calc COE Calc'!$C$28)</f>
        <v/>
      </c>
      <c r="W1615" t="str">
        <f>IF(L1615="","",R1615/'[1]LOCH Calc COE Calc'!$C$28)</f>
        <v/>
      </c>
    </row>
    <row r="1616" spans="12:23" x14ac:dyDescent="0.25">
      <c r="L1616" s="4" t="str">
        <f>IF('[1]All Data '!BE1621="","",'[1]All Data '!BE1621)</f>
        <v/>
      </c>
      <c r="M1616" t="str">
        <f>IF('[1]All Data '!BF1621="","",'[1]All Data '!BF1621)</f>
        <v/>
      </c>
      <c r="N1616" s="5" t="str">
        <f>IF('[1]All Data '!BB1621="","",'[1]All Data '!BC1621/'[1]All Data '!BH1621)</f>
        <v/>
      </c>
      <c r="O1616" s="5" t="str">
        <f t="shared" si="27"/>
        <v/>
      </c>
      <c r="P1616" s="5" t="str">
        <f>IF(M1616="","",$C$2*(1-L1616)*907.2/0.621371*N1616*[1]Transportation!$M$40)</f>
        <v/>
      </c>
      <c r="Q1616" s="5" t="str">
        <f>IF(L1616="","",IF([1]Inputs_Outputs!$B$5="Herbaceous",(LCA!$E$29*'[1]LOCH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6" s="5" t="str">
        <f>IF(M1616="","",$E$2*1000*'[1]LOCH Calc COE Calc'!$C$44)</f>
        <v/>
      </c>
      <c r="S1616" s="6" t="str">
        <f>IF(N1616="","",SUM(O1616:R1616)/('[1]LOCH Calc COE Calc'!$C$28))</f>
        <v/>
      </c>
      <c r="T1616" t="str">
        <f>IF(L1616="","",O1616/'[1]LOCH Calc COE Calc'!$C$28)</f>
        <v/>
      </c>
      <c r="U1616" t="str">
        <f>IF(L1616="","",P1616/'[1]LOCH Calc COE Calc'!$C$28)</f>
        <v/>
      </c>
      <c r="V1616" t="str">
        <f>IF(L1616="","",Q1616/'[1]LOCH Calc COE Calc'!$C$28)</f>
        <v/>
      </c>
      <c r="W1616" t="str">
        <f>IF(L1616="","",R1616/'[1]LOCH Calc COE Calc'!$C$28)</f>
        <v/>
      </c>
    </row>
    <row r="1617" spans="12:23" x14ac:dyDescent="0.25">
      <c r="L1617" s="4" t="str">
        <f>IF('[1]All Data '!BE1622="","",'[1]All Data '!BE1622)</f>
        <v/>
      </c>
      <c r="M1617" t="str">
        <f>IF('[1]All Data '!BF1622="","",'[1]All Data '!BF1622)</f>
        <v/>
      </c>
      <c r="N1617" s="5" t="str">
        <f>IF('[1]All Data '!BB1622="","",'[1]All Data '!BC1622/'[1]All Data '!BH1622)</f>
        <v/>
      </c>
      <c r="O1617" s="5" t="str">
        <f t="shared" si="27"/>
        <v/>
      </c>
      <c r="P1617" s="5" t="str">
        <f>IF(M1617="","",$C$2*(1-L1617)*907.2/0.621371*N1617*[1]Transportation!$M$40)</f>
        <v/>
      </c>
      <c r="Q1617" s="5" t="str">
        <f>IF(L1617="","",IF([1]Inputs_Outputs!$B$5="Herbaceous",(LCA!$E$29*'[1]LOCH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7" s="5" t="str">
        <f>IF(M1617="","",$E$2*1000*'[1]LOCH Calc COE Calc'!$C$44)</f>
        <v/>
      </c>
      <c r="S1617" s="6" t="str">
        <f>IF(N1617="","",SUM(O1617:R1617)/('[1]LOCH Calc COE Calc'!$C$28))</f>
        <v/>
      </c>
      <c r="T1617" t="str">
        <f>IF(L1617="","",O1617/'[1]LOCH Calc COE Calc'!$C$28)</f>
        <v/>
      </c>
      <c r="U1617" t="str">
        <f>IF(L1617="","",P1617/'[1]LOCH Calc COE Calc'!$C$28)</f>
        <v/>
      </c>
      <c r="V1617" t="str">
        <f>IF(L1617="","",Q1617/'[1]LOCH Calc COE Calc'!$C$28)</f>
        <v/>
      </c>
      <c r="W1617" t="str">
        <f>IF(L1617="","",R1617/'[1]LOCH Calc COE Calc'!$C$28)</f>
        <v/>
      </c>
    </row>
    <row r="1618" spans="12:23" x14ac:dyDescent="0.25">
      <c r="L1618" s="4" t="str">
        <f>IF('[1]All Data '!BE1623="","",'[1]All Data '!BE1623)</f>
        <v/>
      </c>
      <c r="M1618" t="str">
        <f>IF('[1]All Data '!BF1623="","",'[1]All Data '!BF1623)</f>
        <v/>
      </c>
      <c r="N1618" s="5" t="str">
        <f>IF('[1]All Data '!BB1623="","",'[1]All Data '!BC1623/'[1]All Data '!BH1623)</f>
        <v/>
      </c>
      <c r="O1618" s="5" t="str">
        <f t="shared" si="27"/>
        <v/>
      </c>
      <c r="P1618" s="5" t="str">
        <f>IF(M1618="","",$C$2*(1-L1618)*907.2/0.621371*N1618*[1]Transportation!$M$40)</f>
        <v/>
      </c>
      <c r="Q1618" s="5" t="str">
        <f>IF(L1618="","",IF([1]Inputs_Outputs!$B$5="Herbaceous",(LCA!$E$29*'[1]LOCH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8" s="5" t="str">
        <f>IF(M1618="","",$E$2*1000*'[1]LOCH Calc COE Calc'!$C$44)</f>
        <v/>
      </c>
      <c r="S1618" s="6" t="str">
        <f>IF(N1618="","",SUM(O1618:R1618)/('[1]LOCH Calc COE Calc'!$C$28))</f>
        <v/>
      </c>
      <c r="T1618" t="str">
        <f>IF(L1618="","",O1618/'[1]LOCH Calc COE Calc'!$C$28)</f>
        <v/>
      </c>
      <c r="U1618" t="str">
        <f>IF(L1618="","",P1618/'[1]LOCH Calc COE Calc'!$C$28)</f>
        <v/>
      </c>
      <c r="V1618" t="str">
        <f>IF(L1618="","",Q1618/'[1]LOCH Calc COE Calc'!$C$28)</f>
        <v/>
      </c>
      <c r="W1618" t="str">
        <f>IF(L1618="","",R1618/'[1]LOCH Calc COE Calc'!$C$28)</f>
        <v/>
      </c>
    </row>
    <row r="1619" spans="12:23" x14ac:dyDescent="0.25">
      <c r="L1619" s="4" t="str">
        <f>IF('[1]All Data '!BE1624="","",'[1]All Data '!BE1624)</f>
        <v/>
      </c>
      <c r="M1619" t="str">
        <f>IF('[1]All Data '!BF1624="","",'[1]All Data '!BF1624)</f>
        <v/>
      </c>
      <c r="N1619" s="5" t="str">
        <f>IF('[1]All Data '!BB1624="","",'[1]All Data '!BC1624/'[1]All Data '!BH1624)</f>
        <v/>
      </c>
      <c r="O1619" s="5" t="str">
        <f t="shared" si="27"/>
        <v/>
      </c>
      <c r="P1619" s="5" t="str">
        <f>IF(M1619="","",$C$2*(1-L1619)*907.2/0.621371*N1619*[1]Transportation!$M$40)</f>
        <v/>
      </c>
      <c r="Q1619" s="5" t="str">
        <f>IF(L1619="","",IF([1]Inputs_Outputs!$B$5="Herbaceous",(LCA!$E$29*'[1]LOCH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19" s="5" t="str">
        <f>IF(M1619="","",$E$2*1000*'[1]LOCH Calc COE Calc'!$C$44)</f>
        <v/>
      </c>
      <c r="S1619" s="6" t="str">
        <f>IF(N1619="","",SUM(O1619:R1619)/('[1]LOCH Calc COE Calc'!$C$28))</f>
        <v/>
      </c>
      <c r="T1619" t="str">
        <f>IF(L1619="","",O1619/'[1]LOCH Calc COE Calc'!$C$28)</f>
        <v/>
      </c>
      <c r="U1619" t="str">
        <f>IF(L1619="","",P1619/'[1]LOCH Calc COE Calc'!$C$28)</f>
        <v/>
      </c>
      <c r="V1619" t="str">
        <f>IF(L1619="","",Q1619/'[1]LOCH Calc COE Calc'!$C$28)</f>
        <v/>
      </c>
      <c r="W1619" t="str">
        <f>IF(L1619="","",R1619/'[1]LOCH Calc COE Calc'!$C$28)</f>
        <v/>
      </c>
    </row>
    <row r="1620" spans="12:23" x14ac:dyDescent="0.25">
      <c r="L1620" s="4" t="str">
        <f>IF('[1]All Data '!BE1625="","",'[1]All Data '!BE1625)</f>
        <v/>
      </c>
      <c r="M1620" t="str">
        <f>IF('[1]All Data '!BF1625="","",'[1]All Data '!BF1625)</f>
        <v/>
      </c>
      <c r="N1620" s="5" t="str">
        <f>IF('[1]All Data '!BB1625="","",'[1]All Data '!BC1625/'[1]All Data '!BH1625)</f>
        <v/>
      </c>
      <c r="O1620" s="5" t="str">
        <f t="shared" si="27"/>
        <v/>
      </c>
      <c r="P1620" s="5" t="str">
        <f>IF(M1620="","",$C$2*(1-L1620)*907.2/0.621371*N1620*[1]Transportation!$M$40)</f>
        <v/>
      </c>
      <c r="Q1620" s="5" t="str">
        <f>IF(L1620="","",IF([1]Inputs_Outputs!$B$5="Herbaceous",(LCA!$E$29*'[1]LOCH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0" s="5" t="str">
        <f>IF(M1620="","",$E$2*1000*'[1]LOCH Calc COE Calc'!$C$44)</f>
        <v/>
      </c>
      <c r="S1620" s="6" t="str">
        <f>IF(N1620="","",SUM(O1620:R1620)/('[1]LOCH Calc COE Calc'!$C$28))</f>
        <v/>
      </c>
      <c r="T1620" t="str">
        <f>IF(L1620="","",O1620/'[1]LOCH Calc COE Calc'!$C$28)</f>
        <v/>
      </c>
      <c r="U1620" t="str">
        <f>IF(L1620="","",P1620/'[1]LOCH Calc COE Calc'!$C$28)</f>
        <v/>
      </c>
      <c r="V1620" t="str">
        <f>IF(L1620="","",Q1620/'[1]LOCH Calc COE Calc'!$C$28)</f>
        <v/>
      </c>
      <c r="W1620" t="str">
        <f>IF(L1620="","",R1620/'[1]LOCH Calc COE Calc'!$C$28)</f>
        <v/>
      </c>
    </row>
    <row r="1621" spans="12:23" x14ac:dyDescent="0.25">
      <c r="L1621" s="4" t="str">
        <f>IF('[1]All Data '!BE1626="","",'[1]All Data '!BE1626)</f>
        <v/>
      </c>
      <c r="M1621" t="str">
        <f>IF('[1]All Data '!BF1626="","",'[1]All Data '!BF1626)</f>
        <v/>
      </c>
      <c r="N1621" s="5" t="str">
        <f>IF('[1]All Data '!BB1626="","",'[1]All Data '!BC1626/'[1]All Data '!BH1626)</f>
        <v/>
      </c>
      <c r="O1621" s="5" t="str">
        <f t="shared" si="27"/>
        <v/>
      </c>
      <c r="P1621" s="5" t="str">
        <f>IF(M1621="","",$C$2*(1-L1621)*907.2/0.621371*N1621*[1]Transportation!$M$40)</f>
        <v/>
      </c>
      <c r="Q1621" s="5" t="str">
        <f>IF(L1621="","",IF([1]Inputs_Outputs!$B$5="Herbaceous",(LCA!$E$29*'[1]LOCH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1" s="5" t="str">
        <f>IF(M1621="","",$E$2*1000*'[1]LOCH Calc COE Calc'!$C$44)</f>
        <v/>
      </c>
      <c r="S1621" s="6" t="str">
        <f>IF(N1621="","",SUM(O1621:R1621)/('[1]LOCH Calc COE Calc'!$C$28))</f>
        <v/>
      </c>
      <c r="T1621" t="str">
        <f>IF(L1621="","",O1621/'[1]LOCH Calc COE Calc'!$C$28)</f>
        <v/>
      </c>
      <c r="U1621" t="str">
        <f>IF(L1621="","",P1621/'[1]LOCH Calc COE Calc'!$C$28)</f>
        <v/>
      </c>
      <c r="V1621" t="str">
        <f>IF(L1621="","",Q1621/'[1]LOCH Calc COE Calc'!$C$28)</f>
        <v/>
      </c>
      <c r="W1621" t="str">
        <f>IF(L1621="","",R1621/'[1]LOCH Calc COE Calc'!$C$28)</f>
        <v/>
      </c>
    </row>
    <row r="1622" spans="12:23" x14ac:dyDescent="0.25">
      <c r="L1622" s="4" t="str">
        <f>IF('[1]All Data '!BE1627="","",'[1]All Data '!BE1627)</f>
        <v/>
      </c>
      <c r="M1622" t="str">
        <f>IF('[1]All Data '!BF1627="","",'[1]All Data '!BF1627)</f>
        <v/>
      </c>
      <c r="N1622" s="5" t="str">
        <f>IF('[1]All Data '!BB1627="","",'[1]All Data '!BC1627/'[1]All Data '!BH1627)</f>
        <v/>
      </c>
      <c r="O1622" s="5" t="str">
        <f t="shared" si="27"/>
        <v/>
      </c>
      <c r="P1622" s="5" t="str">
        <f>IF(M1622="","",$C$2*(1-L1622)*907.2/0.621371*N1622*[1]Transportation!$M$40)</f>
        <v/>
      </c>
      <c r="Q1622" s="5" t="str">
        <f>IF(L1622="","",IF([1]Inputs_Outputs!$B$5="Herbaceous",(LCA!$E$29*'[1]LOCH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2" s="5" t="str">
        <f>IF(M1622="","",$E$2*1000*'[1]LOCH Calc COE Calc'!$C$44)</f>
        <v/>
      </c>
      <c r="S1622" s="6" t="str">
        <f>IF(N1622="","",SUM(O1622:R1622)/('[1]LOCH Calc COE Calc'!$C$28))</f>
        <v/>
      </c>
      <c r="T1622" t="str">
        <f>IF(L1622="","",O1622/'[1]LOCH Calc COE Calc'!$C$28)</f>
        <v/>
      </c>
      <c r="U1622" t="str">
        <f>IF(L1622="","",P1622/'[1]LOCH Calc COE Calc'!$C$28)</f>
        <v/>
      </c>
      <c r="V1622" t="str">
        <f>IF(L1622="","",Q1622/'[1]LOCH Calc COE Calc'!$C$28)</f>
        <v/>
      </c>
      <c r="W1622" t="str">
        <f>IF(L1622="","",R1622/'[1]LOCH Calc COE Calc'!$C$28)</f>
        <v/>
      </c>
    </row>
    <row r="1623" spans="12:23" x14ac:dyDescent="0.25">
      <c r="L1623" s="4" t="str">
        <f>IF('[1]All Data '!BE1628="","",'[1]All Data '!BE1628)</f>
        <v/>
      </c>
      <c r="M1623" t="str">
        <f>IF('[1]All Data '!BF1628="","",'[1]All Data '!BF1628)</f>
        <v/>
      </c>
      <c r="N1623" s="5" t="str">
        <f>IF('[1]All Data '!BB1628="","",'[1]All Data '!BC1628/'[1]All Data '!BH1628)</f>
        <v/>
      </c>
      <c r="O1623" s="5" t="str">
        <f t="shared" si="27"/>
        <v/>
      </c>
      <c r="P1623" s="5" t="str">
        <f>IF(M1623="","",$C$2*(1-L1623)*907.2/0.621371*N1623*[1]Transportation!$M$40)</f>
        <v/>
      </c>
      <c r="Q1623" s="5" t="str">
        <f>IF(L1623="","",IF([1]Inputs_Outputs!$B$5="Herbaceous",(LCA!$E$29*'[1]LOCH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3" s="5" t="str">
        <f>IF(M1623="","",$E$2*1000*'[1]LOCH Calc COE Calc'!$C$44)</f>
        <v/>
      </c>
      <c r="S1623" s="6" t="str">
        <f>IF(N1623="","",SUM(O1623:R1623)/('[1]LOCH Calc COE Calc'!$C$28))</f>
        <v/>
      </c>
      <c r="T1623" t="str">
        <f>IF(L1623="","",O1623/'[1]LOCH Calc COE Calc'!$C$28)</f>
        <v/>
      </c>
      <c r="U1623" t="str">
        <f>IF(L1623="","",P1623/'[1]LOCH Calc COE Calc'!$C$28)</f>
        <v/>
      </c>
      <c r="V1623" t="str">
        <f>IF(L1623="","",Q1623/'[1]LOCH Calc COE Calc'!$C$28)</f>
        <v/>
      </c>
      <c r="W1623" t="str">
        <f>IF(L1623="","",R1623/'[1]LOCH Calc COE Calc'!$C$28)</f>
        <v/>
      </c>
    </row>
    <row r="1624" spans="12:23" x14ac:dyDescent="0.25">
      <c r="L1624" s="4" t="str">
        <f>IF('[1]All Data '!BE1629="","",'[1]All Data '!BE1629)</f>
        <v/>
      </c>
      <c r="M1624" t="str">
        <f>IF('[1]All Data '!BF1629="","",'[1]All Data '!BF1629)</f>
        <v/>
      </c>
      <c r="N1624" s="5" t="str">
        <f>IF('[1]All Data '!BB1629="","",'[1]All Data '!BC1629/'[1]All Data '!BH1629)</f>
        <v/>
      </c>
      <c r="O1624" s="5" t="str">
        <f t="shared" si="27"/>
        <v/>
      </c>
      <c r="P1624" s="5" t="str">
        <f>IF(M1624="","",$C$2*(1-L1624)*907.2/0.621371*N1624*[1]Transportation!$M$40)</f>
        <v/>
      </c>
      <c r="Q1624" s="5" t="str">
        <f>IF(L1624="","",IF([1]Inputs_Outputs!$B$5="Herbaceous",(LCA!$E$29*'[1]LOCH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4" s="5" t="str">
        <f>IF(M1624="","",$E$2*1000*'[1]LOCH Calc COE Calc'!$C$44)</f>
        <v/>
      </c>
      <c r="S1624" s="6" t="str">
        <f>IF(N1624="","",SUM(O1624:R1624)/('[1]LOCH Calc COE Calc'!$C$28))</f>
        <v/>
      </c>
      <c r="T1624" t="str">
        <f>IF(L1624="","",O1624/'[1]LOCH Calc COE Calc'!$C$28)</f>
        <v/>
      </c>
      <c r="U1624" t="str">
        <f>IF(L1624="","",P1624/'[1]LOCH Calc COE Calc'!$C$28)</f>
        <v/>
      </c>
      <c r="V1624" t="str">
        <f>IF(L1624="","",Q1624/'[1]LOCH Calc COE Calc'!$C$28)</f>
        <v/>
      </c>
      <c r="W1624" t="str">
        <f>IF(L1624="","",R1624/'[1]LOCH Calc COE Calc'!$C$28)</f>
        <v/>
      </c>
    </row>
    <row r="1625" spans="12:23" x14ac:dyDescent="0.25">
      <c r="L1625" s="4" t="str">
        <f>IF('[1]All Data '!BE1630="","",'[1]All Data '!BE1630)</f>
        <v/>
      </c>
      <c r="M1625" t="str">
        <f>IF('[1]All Data '!BF1630="","",'[1]All Data '!BF1630)</f>
        <v/>
      </c>
      <c r="N1625" s="5" t="str">
        <f>IF('[1]All Data '!BB1630="","",'[1]All Data '!BC1630/'[1]All Data '!BH1630)</f>
        <v/>
      </c>
      <c r="O1625" s="5" t="str">
        <f t="shared" si="27"/>
        <v/>
      </c>
      <c r="P1625" s="5" t="str">
        <f>IF(M1625="","",$C$2*(1-L1625)*907.2/0.621371*N1625*[1]Transportation!$M$40)</f>
        <v/>
      </c>
      <c r="Q1625" s="5" t="str">
        <f>IF(L1625="","",IF([1]Inputs_Outputs!$B$5="Herbaceous",(LCA!$E$29*'[1]LOCH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5" s="5" t="str">
        <f>IF(M1625="","",$E$2*1000*'[1]LOCH Calc COE Calc'!$C$44)</f>
        <v/>
      </c>
      <c r="S1625" s="6" t="str">
        <f>IF(N1625="","",SUM(O1625:R1625)/('[1]LOCH Calc COE Calc'!$C$28))</f>
        <v/>
      </c>
      <c r="T1625" t="str">
        <f>IF(L1625="","",O1625/'[1]LOCH Calc COE Calc'!$C$28)</f>
        <v/>
      </c>
      <c r="U1625" t="str">
        <f>IF(L1625="","",P1625/'[1]LOCH Calc COE Calc'!$C$28)</f>
        <v/>
      </c>
      <c r="V1625" t="str">
        <f>IF(L1625="","",Q1625/'[1]LOCH Calc COE Calc'!$C$28)</f>
        <v/>
      </c>
      <c r="W1625" t="str">
        <f>IF(L1625="","",R1625/'[1]LOCH Calc COE Calc'!$C$28)</f>
        <v/>
      </c>
    </row>
    <row r="1626" spans="12:23" x14ac:dyDescent="0.25">
      <c r="L1626" s="4" t="str">
        <f>IF('[1]All Data '!BE1631="","",'[1]All Data '!BE1631)</f>
        <v/>
      </c>
      <c r="M1626" t="str">
        <f>IF('[1]All Data '!BF1631="","",'[1]All Data '!BF1631)</f>
        <v/>
      </c>
      <c r="N1626" s="5" t="str">
        <f>IF('[1]All Data '!BB1631="","",'[1]All Data '!BC1631/'[1]All Data '!BH1631)</f>
        <v/>
      </c>
      <c r="O1626" s="5" t="str">
        <f t="shared" si="27"/>
        <v/>
      </c>
      <c r="P1626" s="5" t="str">
        <f>IF(M1626="","",$C$2*(1-L1626)*907.2/0.621371*N1626*[1]Transportation!$M$40)</f>
        <v/>
      </c>
      <c r="Q1626" s="5" t="str">
        <f>IF(L1626="","",IF([1]Inputs_Outputs!$B$5="Herbaceous",(LCA!$E$29*'[1]LOCH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6" s="5" t="str">
        <f>IF(M1626="","",$E$2*1000*'[1]LOCH Calc COE Calc'!$C$44)</f>
        <v/>
      </c>
      <c r="S1626" s="6" t="str">
        <f>IF(N1626="","",SUM(O1626:R1626)/('[1]LOCH Calc COE Calc'!$C$28))</f>
        <v/>
      </c>
      <c r="T1626" t="str">
        <f>IF(L1626="","",O1626/'[1]LOCH Calc COE Calc'!$C$28)</f>
        <v/>
      </c>
      <c r="U1626" t="str">
        <f>IF(L1626="","",P1626/'[1]LOCH Calc COE Calc'!$C$28)</f>
        <v/>
      </c>
      <c r="V1626" t="str">
        <f>IF(L1626="","",Q1626/'[1]LOCH Calc COE Calc'!$C$28)</f>
        <v/>
      </c>
      <c r="W1626" t="str">
        <f>IF(L1626="","",R1626/'[1]LOCH Calc COE Calc'!$C$28)</f>
        <v/>
      </c>
    </row>
    <row r="1627" spans="12:23" x14ac:dyDescent="0.25">
      <c r="L1627" s="4" t="str">
        <f>IF('[1]All Data '!BE1632="","",'[1]All Data '!BE1632)</f>
        <v/>
      </c>
      <c r="M1627" t="str">
        <f>IF('[1]All Data '!BF1632="","",'[1]All Data '!BF1632)</f>
        <v/>
      </c>
      <c r="N1627" s="5" t="str">
        <f>IF('[1]All Data '!BB1632="","",'[1]All Data '!BC1632/'[1]All Data '!BH1632)</f>
        <v/>
      </c>
      <c r="O1627" s="5" t="str">
        <f t="shared" si="27"/>
        <v/>
      </c>
      <c r="P1627" s="5" t="str">
        <f>IF(M1627="","",$C$2*(1-L1627)*907.2/0.621371*N1627*[1]Transportation!$M$40)</f>
        <v/>
      </c>
      <c r="Q1627" s="5" t="str">
        <f>IF(L1627="","",IF([1]Inputs_Outputs!$B$5="Herbaceous",(LCA!$E$29*'[1]LOCH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7" s="5" t="str">
        <f>IF(M1627="","",$E$2*1000*'[1]LOCH Calc COE Calc'!$C$44)</f>
        <v/>
      </c>
      <c r="S1627" s="6" t="str">
        <f>IF(N1627="","",SUM(O1627:R1627)/('[1]LOCH Calc COE Calc'!$C$28))</f>
        <v/>
      </c>
      <c r="T1627" t="str">
        <f>IF(L1627="","",O1627/'[1]LOCH Calc COE Calc'!$C$28)</f>
        <v/>
      </c>
      <c r="U1627" t="str">
        <f>IF(L1627="","",P1627/'[1]LOCH Calc COE Calc'!$C$28)</f>
        <v/>
      </c>
      <c r="V1627" t="str">
        <f>IF(L1627="","",Q1627/'[1]LOCH Calc COE Calc'!$C$28)</f>
        <v/>
      </c>
      <c r="W1627" t="str">
        <f>IF(L1627="","",R1627/'[1]LOCH Calc COE Calc'!$C$28)</f>
        <v/>
      </c>
    </row>
    <row r="1628" spans="12:23" x14ac:dyDescent="0.25">
      <c r="L1628" s="4" t="str">
        <f>IF('[1]All Data '!BE1633="","",'[1]All Data '!BE1633)</f>
        <v/>
      </c>
      <c r="M1628" t="str">
        <f>IF('[1]All Data '!BF1633="","",'[1]All Data '!BF1633)</f>
        <v/>
      </c>
      <c r="N1628" s="5" t="str">
        <f>IF('[1]All Data '!BB1633="","",'[1]All Data '!BC1633/'[1]All Data '!BH1633)</f>
        <v/>
      </c>
      <c r="O1628" s="5" t="str">
        <f t="shared" si="27"/>
        <v/>
      </c>
      <c r="P1628" s="5" t="str">
        <f>IF(M1628="","",$C$2*(1-L1628)*907.2/0.621371*N1628*[1]Transportation!$M$40)</f>
        <v/>
      </c>
      <c r="Q1628" s="5" t="str">
        <f>IF(L1628="","",IF([1]Inputs_Outputs!$B$5="Herbaceous",(LCA!$E$29*'[1]LOCH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8" s="5" t="str">
        <f>IF(M1628="","",$E$2*1000*'[1]LOCH Calc COE Calc'!$C$44)</f>
        <v/>
      </c>
      <c r="S1628" s="6" t="str">
        <f>IF(N1628="","",SUM(O1628:R1628)/('[1]LOCH Calc COE Calc'!$C$28))</f>
        <v/>
      </c>
      <c r="T1628" t="str">
        <f>IF(L1628="","",O1628/'[1]LOCH Calc COE Calc'!$C$28)</f>
        <v/>
      </c>
      <c r="U1628" t="str">
        <f>IF(L1628="","",P1628/'[1]LOCH Calc COE Calc'!$C$28)</f>
        <v/>
      </c>
      <c r="V1628" t="str">
        <f>IF(L1628="","",Q1628/'[1]LOCH Calc COE Calc'!$C$28)</f>
        <v/>
      </c>
      <c r="W1628" t="str">
        <f>IF(L1628="","",R1628/'[1]LOCH Calc COE Calc'!$C$28)</f>
        <v/>
      </c>
    </row>
    <row r="1629" spans="12:23" x14ac:dyDescent="0.25">
      <c r="L1629" s="4" t="str">
        <f>IF('[1]All Data '!BE1634="","",'[1]All Data '!BE1634)</f>
        <v/>
      </c>
      <c r="M1629" t="str">
        <f>IF('[1]All Data '!BF1634="","",'[1]All Data '!BF1634)</f>
        <v/>
      </c>
      <c r="N1629" s="5" t="str">
        <f>IF('[1]All Data '!BB1634="","",'[1]All Data '!BC1634/'[1]All Data '!BH1634)</f>
        <v/>
      </c>
      <c r="O1629" s="5" t="str">
        <f t="shared" si="27"/>
        <v/>
      </c>
      <c r="P1629" s="5" t="str">
        <f>IF(M1629="","",$C$2*(1-L1629)*907.2/0.621371*N1629*[1]Transportation!$M$40)</f>
        <v/>
      </c>
      <c r="Q1629" s="5" t="str">
        <f>IF(L1629="","",IF([1]Inputs_Outputs!$B$5="Herbaceous",(LCA!$E$29*'[1]LOCH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29" s="5" t="str">
        <f>IF(M1629="","",$E$2*1000*'[1]LOCH Calc COE Calc'!$C$44)</f>
        <v/>
      </c>
      <c r="S1629" s="6" t="str">
        <f>IF(N1629="","",SUM(O1629:R1629)/('[1]LOCH Calc COE Calc'!$C$28))</f>
        <v/>
      </c>
      <c r="T1629" t="str">
        <f>IF(L1629="","",O1629/'[1]LOCH Calc COE Calc'!$C$28)</f>
        <v/>
      </c>
      <c r="U1629" t="str">
        <f>IF(L1629="","",P1629/'[1]LOCH Calc COE Calc'!$C$28)</f>
        <v/>
      </c>
      <c r="V1629" t="str">
        <f>IF(L1629="","",Q1629/'[1]LOCH Calc COE Calc'!$C$28)</f>
        <v/>
      </c>
      <c r="W1629" t="str">
        <f>IF(L1629="","",R1629/'[1]LOCH Calc COE Calc'!$C$28)</f>
        <v/>
      </c>
    </row>
    <row r="1630" spans="12:23" x14ac:dyDescent="0.25">
      <c r="L1630" s="4" t="str">
        <f>IF('[1]All Data '!BE1635="","",'[1]All Data '!BE1635)</f>
        <v/>
      </c>
      <c r="M1630" t="str">
        <f>IF('[1]All Data '!BF1635="","",'[1]All Data '!BF1635)</f>
        <v/>
      </c>
      <c r="N1630" s="5" t="str">
        <f>IF('[1]All Data '!BB1635="","",'[1]All Data '!BC1635/'[1]All Data '!BH1635)</f>
        <v/>
      </c>
      <c r="O1630" s="5" t="str">
        <f t="shared" si="27"/>
        <v/>
      </c>
      <c r="P1630" s="5" t="str">
        <f>IF(M1630="","",$C$2*(1-L1630)*907.2/0.621371*N1630*[1]Transportation!$M$40)</f>
        <v/>
      </c>
      <c r="Q1630" s="5" t="str">
        <f>IF(L1630="","",IF([1]Inputs_Outputs!$B$5="Herbaceous",(LCA!$E$29*'[1]LOCH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0" s="5" t="str">
        <f>IF(M1630="","",$E$2*1000*'[1]LOCH Calc COE Calc'!$C$44)</f>
        <v/>
      </c>
      <c r="S1630" s="6" t="str">
        <f>IF(N1630="","",SUM(O1630:R1630)/('[1]LOCH Calc COE Calc'!$C$28))</f>
        <v/>
      </c>
      <c r="T1630" t="str">
        <f>IF(L1630="","",O1630/'[1]LOCH Calc COE Calc'!$C$28)</f>
        <v/>
      </c>
      <c r="U1630" t="str">
        <f>IF(L1630="","",P1630/'[1]LOCH Calc COE Calc'!$C$28)</f>
        <v/>
      </c>
      <c r="V1630" t="str">
        <f>IF(L1630="","",Q1630/'[1]LOCH Calc COE Calc'!$C$28)</f>
        <v/>
      </c>
      <c r="W1630" t="str">
        <f>IF(L1630="","",R1630/'[1]LOCH Calc COE Calc'!$C$28)</f>
        <v/>
      </c>
    </row>
    <row r="1631" spans="12:23" x14ac:dyDescent="0.25">
      <c r="L1631" s="4" t="str">
        <f>IF('[1]All Data '!BE1636="","",'[1]All Data '!BE1636)</f>
        <v/>
      </c>
      <c r="M1631" t="str">
        <f>IF('[1]All Data '!BF1636="","",'[1]All Data '!BF1636)</f>
        <v/>
      </c>
      <c r="N1631" s="5" t="str">
        <f>IF('[1]All Data '!BB1636="","",'[1]All Data '!BC1636/'[1]All Data '!BH1636)</f>
        <v/>
      </c>
      <c r="O1631" s="5" t="str">
        <f t="shared" si="27"/>
        <v/>
      </c>
      <c r="P1631" s="5" t="str">
        <f>IF(M1631="","",$C$2*(1-L1631)*907.2/0.621371*N1631*[1]Transportation!$M$40)</f>
        <v/>
      </c>
      <c r="Q1631" s="5" t="str">
        <f>IF(L1631="","",IF([1]Inputs_Outputs!$B$5="Herbaceous",(LCA!$E$29*'[1]LOCH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1" s="5" t="str">
        <f>IF(M1631="","",$E$2*1000*'[1]LOCH Calc COE Calc'!$C$44)</f>
        <v/>
      </c>
      <c r="S1631" s="6" t="str">
        <f>IF(N1631="","",SUM(O1631:R1631)/('[1]LOCH Calc COE Calc'!$C$28))</f>
        <v/>
      </c>
      <c r="T1631" t="str">
        <f>IF(L1631="","",O1631/'[1]LOCH Calc COE Calc'!$C$28)</f>
        <v/>
      </c>
      <c r="U1631" t="str">
        <f>IF(L1631="","",P1631/'[1]LOCH Calc COE Calc'!$C$28)</f>
        <v/>
      </c>
      <c r="V1631" t="str">
        <f>IF(L1631="","",Q1631/'[1]LOCH Calc COE Calc'!$C$28)</f>
        <v/>
      </c>
      <c r="W1631" t="str">
        <f>IF(L1631="","",R1631/'[1]LOCH Calc COE Calc'!$C$28)</f>
        <v/>
      </c>
    </row>
    <row r="1632" spans="12:23" x14ac:dyDescent="0.25">
      <c r="L1632" s="4" t="str">
        <f>IF('[1]All Data '!BE1637="","",'[1]All Data '!BE1637)</f>
        <v/>
      </c>
      <c r="M1632" t="str">
        <f>IF('[1]All Data '!BF1637="","",'[1]All Data '!BF1637)</f>
        <v/>
      </c>
      <c r="N1632" s="5" t="str">
        <f>IF('[1]All Data '!BB1637="","",'[1]All Data '!BC1637/'[1]All Data '!BH1637)</f>
        <v/>
      </c>
      <c r="O1632" s="5" t="str">
        <f t="shared" si="27"/>
        <v/>
      </c>
      <c r="P1632" s="5" t="str">
        <f>IF(M1632="","",$C$2*(1-L1632)*907.2/0.621371*N1632*[1]Transportation!$M$40)</f>
        <v/>
      </c>
      <c r="Q1632" s="5" t="str">
        <f>IF(L1632="","",IF([1]Inputs_Outputs!$B$5="Herbaceous",(LCA!$E$29*'[1]LOCH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2" s="5" t="str">
        <f>IF(M1632="","",$E$2*1000*'[1]LOCH Calc COE Calc'!$C$44)</f>
        <v/>
      </c>
      <c r="S1632" s="6" t="str">
        <f>IF(N1632="","",SUM(O1632:R1632)/('[1]LOCH Calc COE Calc'!$C$28))</f>
        <v/>
      </c>
      <c r="T1632" t="str">
        <f>IF(L1632="","",O1632/'[1]LOCH Calc COE Calc'!$C$28)</f>
        <v/>
      </c>
      <c r="U1632" t="str">
        <f>IF(L1632="","",P1632/'[1]LOCH Calc COE Calc'!$C$28)</f>
        <v/>
      </c>
      <c r="V1632" t="str">
        <f>IF(L1632="","",Q1632/'[1]LOCH Calc COE Calc'!$C$28)</f>
        <v/>
      </c>
      <c r="W1632" t="str">
        <f>IF(L1632="","",R1632/'[1]LOCH Calc COE Calc'!$C$28)</f>
        <v/>
      </c>
    </row>
    <row r="1633" spans="12:23" x14ac:dyDescent="0.25">
      <c r="L1633" s="4" t="str">
        <f>IF('[1]All Data '!BE1638="","",'[1]All Data '!BE1638)</f>
        <v/>
      </c>
      <c r="M1633" t="str">
        <f>IF('[1]All Data '!BF1638="","",'[1]All Data '!BF1638)</f>
        <v/>
      </c>
      <c r="N1633" s="5" t="str">
        <f>IF('[1]All Data '!BB1638="","",'[1]All Data '!BC1638/'[1]All Data '!BH1638)</f>
        <v/>
      </c>
      <c r="O1633" s="5" t="str">
        <f t="shared" si="27"/>
        <v/>
      </c>
      <c r="P1633" s="5" t="str">
        <f>IF(M1633="","",$C$2*(1-L1633)*907.2/0.621371*N1633*[1]Transportation!$M$40)</f>
        <v/>
      </c>
      <c r="Q1633" s="5" t="str">
        <f>IF(L1633="","",IF([1]Inputs_Outputs!$B$5="Herbaceous",(LCA!$E$29*'[1]LOCH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3" s="5" t="str">
        <f>IF(M1633="","",$E$2*1000*'[1]LOCH Calc COE Calc'!$C$44)</f>
        <v/>
      </c>
      <c r="S1633" s="6" t="str">
        <f>IF(N1633="","",SUM(O1633:R1633)/('[1]LOCH Calc COE Calc'!$C$28))</f>
        <v/>
      </c>
      <c r="T1633" t="str">
        <f>IF(L1633="","",O1633/'[1]LOCH Calc COE Calc'!$C$28)</f>
        <v/>
      </c>
      <c r="U1633" t="str">
        <f>IF(L1633="","",P1633/'[1]LOCH Calc COE Calc'!$C$28)</f>
        <v/>
      </c>
      <c r="V1633" t="str">
        <f>IF(L1633="","",Q1633/'[1]LOCH Calc COE Calc'!$C$28)</f>
        <v/>
      </c>
      <c r="W1633" t="str">
        <f>IF(L1633="","",R1633/'[1]LOCH Calc COE Calc'!$C$28)</f>
        <v/>
      </c>
    </row>
    <row r="1634" spans="12:23" x14ac:dyDescent="0.25">
      <c r="L1634" s="4" t="str">
        <f>IF('[1]All Data '!BE1639="","",'[1]All Data '!BE1639)</f>
        <v/>
      </c>
      <c r="M1634" t="str">
        <f>IF('[1]All Data '!BF1639="","",'[1]All Data '!BF1639)</f>
        <v/>
      </c>
      <c r="N1634" s="5" t="str">
        <f>IF('[1]All Data '!BB1639="","",'[1]All Data '!BC1639/'[1]All Data '!BH1639)</f>
        <v/>
      </c>
      <c r="O1634" s="5" t="str">
        <f t="shared" si="27"/>
        <v/>
      </c>
      <c r="P1634" s="5" t="str">
        <f>IF(M1634="","",$C$2*(1-L1634)*907.2/0.621371*N1634*[1]Transportation!$M$40)</f>
        <v/>
      </c>
      <c r="Q1634" s="5" t="str">
        <f>IF(L1634="","",IF([1]Inputs_Outputs!$B$5="Herbaceous",(LCA!$E$29*'[1]LOCH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4" s="5" t="str">
        <f>IF(M1634="","",$E$2*1000*'[1]LOCH Calc COE Calc'!$C$44)</f>
        <v/>
      </c>
      <c r="S1634" s="6" t="str">
        <f>IF(N1634="","",SUM(O1634:R1634)/('[1]LOCH Calc COE Calc'!$C$28))</f>
        <v/>
      </c>
      <c r="T1634" t="str">
        <f>IF(L1634="","",O1634/'[1]LOCH Calc COE Calc'!$C$28)</f>
        <v/>
      </c>
      <c r="U1634" t="str">
        <f>IF(L1634="","",P1634/'[1]LOCH Calc COE Calc'!$C$28)</f>
        <v/>
      </c>
      <c r="V1634" t="str">
        <f>IF(L1634="","",Q1634/'[1]LOCH Calc COE Calc'!$C$28)</f>
        <v/>
      </c>
      <c r="W1634" t="str">
        <f>IF(L1634="","",R1634/'[1]LOCH Calc COE Calc'!$C$28)</f>
        <v/>
      </c>
    </row>
    <row r="1635" spans="12:23" x14ac:dyDescent="0.25">
      <c r="L1635" s="4" t="str">
        <f>IF('[1]All Data '!BE1640="","",'[1]All Data '!BE1640)</f>
        <v/>
      </c>
      <c r="M1635" t="str">
        <f>IF('[1]All Data '!BF1640="","",'[1]All Data '!BF1640)</f>
        <v/>
      </c>
      <c r="N1635" s="5" t="str">
        <f>IF('[1]All Data '!BB1640="","",'[1]All Data '!BC1640/'[1]All Data '!BH1640)</f>
        <v/>
      </c>
      <c r="O1635" s="5" t="str">
        <f t="shared" si="27"/>
        <v/>
      </c>
      <c r="P1635" s="5" t="str">
        <f>IF(M1635="","",$C$2*(1-L1635)*907.2/0.621371*N1635*[1]Transportation!$M$40)</f>
        <v/>
      </c>
      <c r="Q1635" s="5" t="str">
        <f>IF(L1635="","",IF([1]Inputs_Outputs!$B$5="Herbaceous",(LCA!$E$29*'[1]LOCH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5" s="5" t="str">
        <f>IF(M1635="","",$E$2*1000*'[1]LOCH Calc COE Calc'!$C$44)</f>
        <v/>
      </c>
      <c r="S1635" s="6" t="str">
        <f>IF(N1635="","",SUM(O1635:R1635)/('[1]LOCH Calc COE Calc'!$C$28))</f>
        <v/>
      </c>
      <c r="T1635" t="str">
        <f>IF(L1635="","",O1635/'[1]LOCH Calc COE Calc'!$C$28)</f>
        <v/>
      </c>
      <c r="U1635" t="str">
        <f>IF(L1635="","",P1635/'[1]LOCH Calc COE Calc'!$C$28)</f>
        <v/>
      </c>
      <c r="V1635" t="str">
        <f>IF(L1635="","",Q1635/'[1]LOCH Calc COE Calc'!$C$28)</f>
        <v/>
      </c>
      <c r="W1635" t="str">
        <f>IF(L1635="","",R1635/'[1]LOCH Calc COE Calc'!$C$28)</f>
        <v/>
      </c>
    </row>
    <row r="1636" spans="12:23" x14ac:dyDescent="0.25">
      <c r="L1636" s="4" t="str">
        <f>IF('[1]All Data '!BE1641="","",'[1]All Data '!BE1641)</f>
        <v/>
      </c>
      <c r="M1636" t="str">
        <f>IF('[1]All Data '!BF1641="","",'[1]All Data '!BF1641)</f>
        <v/>
      </c>
      <c r="N1636" s="5" t="str">
        <f>IF('[1]All Data '!BB1641="","",'[1]All Data '!BC1641/'[1]All Data '!BH1641)</f>
        <v/>
      </c>
      <c r="O1636" s="5" t="str">
        <f t="shared" si="27"/>
        <v/>
      </c>
      <c r="P1636" s="5" t="str">
        <f>IF(M1636="","",$C$2*(1-L1636)*907.2/0.621371*N1636*[1]Transportation!$M$40)</f>
        <v/>
      </c>
      <c r="Q1636" s="5" t="str">
        <f>IF(L1636="","",IF([1]Inputs_Outputs!$B$5="Herbaceous",(LCA!$E$29*'[1]LOCH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6" s="5" t="str">
        <f>IF(M1636="","",$E$2*1000*'[1]LOCH Calc COE Calc'!$C$44)</f>
        <v/>
      </c>
      <c r="S1636" s="6" t="str">
        <f>IF(N1636="","",SUM(O1636:R1636)/('[1]LOCH Calc COE Calc'!$C$28))</f>
        <v/>
      </c>
      <c r="T1636" t="str">
        <f>IF(L1636="","",O1636/'[1]LOCH Calc COE Calc'!$C$28)</f>
        <v/>
      </c>
      <c r="U1636" t="str">
        <f>IF(L1636="","",P1636/'[1]LOCH Calc COE Calc'!$C$28)</f>
        <v/>
      </c>
      <c r="V1636" t="str">
        <f>IF(L1636="","",Q1636/'[1]LOCH Calc COE Calc'!$C$28)</f>
        <v/>
      </c>
      <c r="W1636" t="str">
        <f>IF(L1636="","",R1636/'[1]LOCH Calc COE Calc'!$C$28)</f>
        <v/>
      </c>
    </row>
    <row r="1637" spans="12:23" x14ac:dyDescent="0.25">
      <c r="L1637" s="4" t="str">
        <f>IF('[1]All Data '!BE1642="","",'[1]All Data '!BE1642)</f>
        <v/>
      </c>
      <c r="M1637" t="str">
        <f>IF('[1]All Data '!BF1642="","",'[1]All Data '!BF1642)</f>
        <v/>
      </c>
      <c r="N1637" s="5" t="str">
        <f>IF('[1]All Data '!BB1642="","",'[1]All Data '!BC1642/'[1]All Data '!BH1642)</f>
        <v/>
      </c>
      <c r="O1637" s="5" t="str">
        <f t="shared" si="27"/>
        <v/>
      </c>
      <c r="P1637" s="5" t="str">
        <f>IF(M1637="","",$C$2*(1-L1637)*907.2/0.621371*N1637*[1]Transportation!$M$40)</f>
        <v/>
      </c>
      <c r="Q1637" s="5" t="str">
        <f>IF(L1637="","",IF([1]Inputs_Outputs!$B$5="Herbaceous",(LCA!$E$29*'[1]LOCH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7" s="5" t="str">
        <f>IF(M1637="","",$E$2*1000*'[1]LOCH Calc COE Calc'!$C$44)</f>
        <v/>
      </c>
      <c r="S1637" s="6" t="str">
        <f>IF(N1637="","",SUM(O1637:R1637)/('[1]LOCH Calc COE Calc'!$C$28))</f>
        <v/>
      </c>
      <c r="T1637" t="str">
        <f>IF(L1637="","",O1637/'[1]LOCH Calc COE Calc'!$C$28)</f>
        <v/>
      </c>
      <c r="U1637" t="str">
        <f>IF(L1637="","",P1637/'[1]LOCH Calc COE Calc'!$C$28)</f>
        <v/>
      </c>
      <c r="V1637" t="str">
        <f>IF(L1637="","",Q1637/'[1]LOCH Calc COE Calc'!$C$28)</f>
        <v/>
      </c>
      <c r="W1637" t="str">
        <f>IF(L1637="","",R1637/'[1]LOCH Calc COE Calc'!$C$28)</f>
        <v/>
      </c>
    </row>
    <row r="1638" spans="12:23" x14ac:dyDescent="0.25">
      <c r="L1638" s="4" t="str">
        <f>IF('[1]All Data '!BE1643="","",'[1]All Data '!BE1643)</f>
        <v/>
      </c>
      <c r="M1638" t="str">
        <f>IF('[1]All Data '!BF1643="","",'[1]All Data '!BF1643)</f>
        <v/>
      </c>
      <c r="N1638" s="5" t="str">
        <f>IF('[1]All Data '!BB1643="","",'[1]All Data '!BC1643/'[1]All Data '!BH1643)</f>
        <v/>
      </c>
      <c r="O1638" s="5" t="str">
        <f t="shared" si="27"/>
        <v/>
      </c>
      <c r="P1638" s="5" t="str">
        <f>IF(M1638="","",$C$2*(1-L1638)*907.2/0.621371*N1638*[1]Transportation!$M$40)</f>
        <v/>
      </c>
      <c r="Q1638" s="5" t="str">
        <f>IF(L1638="","",IF([1]Inputs_Outputs!$B$5="Herbaceous",(LCA!$E$29*'[1]LOCH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8" s="5" t="str">
        <f>IF(M1638="","",$E$2*1000*'[1]LOCH Calc COE Calc'!$C$44)</f>
        <v/>
      </c>
      <c r="S1638" s="6" t="str">
        <f>IF(N1638="","",SUM(O1638:R1638)/('[1]LOCH Calc COE Calc'!$C$28))</f>
        <v/>
      </c>
      <c r="T1638" t="str">
        <f>IF(L1638="","",O1638/'[1]LOCH Calc COE Calc'!$C$28)</f>
        <v/>
      </c>
      <c r="U1638" t="str">
        <f>IF(L1638="","",P1638/'[1]LOCH Calc COE Calc'!$C$28)</f>
        <v/>
      </c>
      <c r="V1638" t="str">
        <f>IF(L1638="","",Q1638/'[1]LOCH Calc COE Calc'!$C$28)</f>
        <v/>
      </c>
      <c r="W1638" t="str">
        <f>IF(L1638="","",R1638/'[1]LOCH Calc COE Calc'!$C$28)</f>
        <v/>
      </c>
    </row>
    <row r="1639" spans="12:23" x14ac:dyDescent="0.25">
      <c r="L1639" s="4" t="str">
        <f>IF('[1]All Data '!BE1644="","",'[1]All Data '!BE1644)</f>
        <v/>
      </c>
      <c r="M1639" t="str">
        <f>IF('[1]All Data '!BF1644="","",'[1]All Data '!BF1644)</f>
        <v/>
      </c>
      <c r="N1639" s="5" t="str">
        <f>IF('[1]All Data '!BB1644="","",'[1]All Data '!BC1644/'[1]All Data '!BH1644)</f>
        <v/>
      </c>
      <c r="O1639" s="5" t="str">
        <f t="shared" si="27"/>
        <v/>
      </c>
      <c r="P1639" s="5" t="str">
        <f>IF(M1639="","",$C$2*(1-L1639)*907.2/0.621371*N1639*[1]Transportation!$M$40)</f>
        <v/>
      </c>
      <c r="Q1639" s="5" t="str">
        <f>IF(L1639="","",IF([1]Inputs_Outputs!$B$5="Herbaceous",(LCA!$E$29*'[1]LOCH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39" s="5" t="str">
        <f>IF(M1639="","",$E$2*1000*'[1]LOCH Calc COE Calc'!$C$44)</f>
        <v/>
      </c>
      <c r="S1639" s="6" t="str">
        <f>IF(N1639="","",SUM(O1639:R1639)/('[1]LOCH Calc COE Calc'!$C$28))</f>
        <v/>
      </c>
      <c r="T1639" t="str">
        <f>IF(L1639="","",O1639/'[1]LOCH Calc COE Calc'!$C$28)</f>
        <v/>
      </c>
      <c r="U1639" t="str">
        <f>IF(L1639="","",P1639/'[1]LOCH Calc COE Calc'!$C$28)</f>
        <v/>
      </c>
      <c r="V1639" t="str">
        <f>IF(L1639="","",Q1639/'[1]LOCH Calc COE Calc'!$C$28)</f>
        <v/>
      </c>
      <c r="W1639" t="str">
        <f>IF(L1639="","",R1639/'[1]LOCH Calc COE Calc'!$C$28)</f>
        <v/>
      </c>
    </row>
    <row r="1640" spans="12:23" x14ac:dyDescent="0.25">
      <c r="L1640" s="4" t="str">
        <f>IF('[1]All Data '!BE1645="","",'[1]All Data '!BE1645)</f>
        <v/>
      </c>
      <c r="M1640" t="str">
        <f>IF('[1]All Data '!BF1645="","",'[1]All Data '!BF1645)</f>
        <v/>
      </c>
      <c r="N1640" s="5" t="str">
        <f>IF('[1]All Data '!BB1645="","",'[1]All Data '!BC1645/'[1]All Data '!BH1645)</f>
        <v/>
      </c>
      <c r="O1640" s="5" t="str">
        <f t="shared" si="27"/>
        <v/>
      </c>
      <c r="P1640" s="5" t="str">
        <f>IF(M1640="","",$C$2*(1-L1640)*907.2/0.621371*N1640*[1]Transportation!$M$40)</f>
        <v/>
      </c>
      <c r="Q1640" s="5" t="str">
        <f>IF(L1640="","",IF([1]Inputs_Outputs!$B$5="Herbaceous",(LCA!$E$29*'[1]LOCH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0" s="5" t="str">
        <f>IF(M1640="","",$E$2*1000*'[1]LOCH Calc COE Calc'!$C$44)</f>
        <v/>
      </c>
      <c r="S1640" s="6" t="str">
        <f>IF(N1640="","",SUM(O1640:R1640)/('[1]LOCH Calc COE Calc'!$C$28))</f>
        <v/>
      </c>
      <c r="T1640" t="str">
        <f>IF(L1640="","",O1640/'[1]LOCH Calc COE Calc'!$C$28)</f>
        <v/>
      </c>
      <c r="U1640" t="str">
        <f>IF(L1640="","",P1640/'[1]LOCH Calc COE Calc'!$C$28)</f>
        <v/>
      </c>
      <c r="V1640" t="str">
        <f>IF(L1640="","",Q1640/'[1]LOCH Calc COE Calc'!$C$28)</f>
        <v/>
      </c>
      <c r="W1640" t="str">
        <f>IF(L1640="","",R1640/'[1]LOCH Calc COE Calc'!$C$28)</f>
        <v/>
      </c>
    </row>
    <row r="1641" spans="12:23" x14ac:dyDescent="0.25">
      <c r="L1641" s="4" t="str">
        <f>IF('[1]All Data '!BE1646="","",'[1]All Data '!BE1646)</f>
        <v/>
      </c>
      <c r="M1641" t="str">
        <f>IF('[1]All Data '!BF1646="","",'[1]All Data '!BF1646)</f>
        <v/>
      </c>
      <c r="N1641" s="5" t="str">
        <f>IF('[1]All Data '!BB1646="","",'[1]All Data '!BC1646/'[1]All Data '!BH1646)</f>
        <v/>
      </c>
      <c r="O1641" s="5" t="str">
        <f t="shared" si="27"/>
        <v/>
      </c>
      <c r="P1641" s="5" t="str">
        <f>IF(M1641="","",$C$2*(1-L1641)*907.2/0.621371*N1641*[1]Transportation!$M$40)</f>
        <v/>
      </c>
      <c r="Q1641" s="5" t="str">
        <f>IF(L1641="","",IF([1]Inputs_Outputs!$B$5="Herbaceous",(LCA!$E$29*'[1]LOCH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1" s="5" t="str">
        <f>IF(M1641="","",$E$2*1000*'[1]LOCH Calc COE Calc'!$C$44)</f>
        <v/>
      </c>
      <c r="S1641" s="6" t="str">
        <f>IF(N1641="","",SUM(O1641:R1641)/('[1]LOCH Calc COE Calc'!$C$28))</f>
        <v/>
      </c>
      <c r="T1641" t="str">
        <f>IF(L1641="","",O1641/'[1]LOCH Calc COE Calc'!$C$28)</f>
        <v/>
      </c>
      <c r="U1641" t="str">
        <f>IF(L1641="","",P1641/'[1]LOCH Calc COE Calc'!$C$28)</f>
        <v/>
      </c>
      <c r="V1641" t="str">
        <f>IF(L1641="","",Q1641/'[1]LOCH Calc COE Calc'!$C$28)</f>
        <v/>
      </c>
      <c r="W1641" t="str">
        <f>IF(L1641="","",R1641/'[1]LOCH Calc COE Calc'!$C$28)</f>
        <v/>
      </c>
    </row>
    <row r="1642" spans="12:23" x14ac:dyDescent="0.25">
      <c r="L1642" s="4" t="str">
        <f>IF('[1]All Data '!BE1647="","",'[1]All Data '!BE1647)</f>
        <v/>
      </c>
      <c r="M1642" t="str">
        <f>IF('[1]All Data '!BF1647="","",'[1]All Data '!BF1647)</f>
        <v/>
      </c>
      <c r="N1642" s="5" t="str">
        <f>IF('[1]All Data '!BB1647="","",'[1]All Data '!BC1647/'[1]All Data '!BH1647)</f>
        <v/>
      </c>
      <c r="O1642" s="5" t="str">
        <f t="shared" si="27"/>
        <v/>
      </c>
      <c r="P1642" s="5" t="str">
        <f>IF(M1642="","",$C$2*(1-L1642)*907.2/0.621371*N1642*[1]Transportation!$M$40)</f>
        <v/>
      </c>
      <c r="Q1642" s="5" t="str">
        <f>IF(L1642="","",IF([1]Inputs_Outputs!$B$5="Herbaceous",(LCA!$E$29*'[1]LOCH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2" s="5" t="str">
        <f>IF(M1642="","",$E$2*1000*'[1]LOCH Calc COE Calc'!$C$44)</f>
        <v/>
      </c>
      <c r="S1642" s="6" t="str">
        <f>IF(N1642="","",SUM(O1642:R1642)/('[1]LOCH Calc COE Calc'!$C$28))</f>
        <v/>
      </c>
      <c r="T1642" t="str">
        <f>IF(L1642="","",O1642/'[1]LOCH Calc COE Calc'!$C$28)</f>
        <v/>
      </c>
      <c r="U1642" t="str">
        <f>IF(L1642="","",P1642/'[1]LOCH Calc COE Calc'!$C$28)</f>
        <v/>
      </c>
      <c r="V1642" t="str">
        <f>IF(L1642="","",Q1642/'[1]LOCH Calc COE Calc'!$C$28)</f>
        <v/>
      </c>
      <c r="W1642" t="str">
        <f>IF(L1642="","",R1642/'[1]LOCH Calc COE Calc'!$C$28)</f>
        <v/>
      </c>
    </row>
    <row r="1643" spans="12:23" x14ac:dyDescent="0.25">
      <c r="L1643" s="4" t="str">
        <f>IF('[1]All Data '!BE1648="","",'[1]All Data '!BE1648)</f>
        <v/>
      </c>
      <c r="M1643" t="str">
        <f>IF('[1]All Data '!BF1648="","",'[1]All Data '!BF1648)</f>
        <v/>
      </c>
      <c r="N1643" s="5" t="str">
        <f>IF('[1]All Data '!BB1648="","",'[1]All Data '!BC1648/'[1]All Data '!BH1648)</f>
        <v/>
      </c>
      <c r="O1643" s="5" t="str">
        <f t="shared" si="27"/>
        <v/>
      </c>
      <c r="P1643" s="5" t="str">
        <f>IF(M1643="","",$C$2*(1-L1643)*907.2/0.621371*N1643*[1]Transportation!$M$40)</f>
        <v/>
      </c>
      <c r="Q1643" s="5" t="str">
        <f>IF(L1643="","",IF([1]Inputs_Outputs!$B$5="Herbaceous",(LCA!$E$29*'[1]LOCH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3" s="5" t="str">
        <f>IF(M1643="","",$E$2*1000*'[1]LOCH Calc COE Calc'!$C$44)</f>
        <v/>
      </c>
      <c r="S1643" s="6" t="str">
        <f>IF(N1643="","",SUM(O1643:R1643)/('[1]LOCH Calc COE Calc'!$C$28))</f>
        <v/>
      </c>
      <c r="T1643" t="str">
        <f>IF(L1643="","",O1643/'[1]LOCH Calc COE Calc'!$C$28)</f>
        <v/>
      </c>
      <c r="U1643" t="str">
        <f>IF(L1643="","",P1643/'[1]LOCH Calc COE Calc'!$C$28)</f>
        <v/>
      </c>
      <c r="V1643" t="str">
        <f>IF(L1643="","",Q1643/'[1]LOCH Calc COE Calc'!$C$28)</f>
        <v/>
      </c>
      <c r="W1643" t="str">
        <f>IF(L1643="","",R1643/'[1]LOCH Calc COE Calc'!$C$28)</f>
        <v/>
      </c>
    </row>
    <row r="1644" spans="12:23" x14ac:dyDescent="0.25">
      <c r="L1644" s="4" t="str">
        <f>IF('[1]All Data '!BE1649="","",'[1]All Data '!BE1649)</f>
        <v/>
      </c>
      <c r="M1644" t="str">
        <f>IF('[1]All Data '!BF1649="","",'[1]All Data '!BF1649)</f>
        <v/>
      </c>
      <c r="N1644" s="5" t="str">
        <f>IF('[1]All Data '!BB1649="","",'[1]All Data '!BC1649/'[1]All Data '!BH1649)</f>
        <v/>
      </c>
      <c r="O1644" s="5" t="str">
        <f t="shared" si="27"/>
        <v/>
      </c>
      <c r="P1644" s="5" t="str">
        <f>IF(M1644="","",$C$2*(1-L1644)*907.2/0.621371*N1644*[1]Transportation!$M$40)</f>
        <v/>
      </c>
      <c r="Q1644" s="5" t="str">
        <f>IF(L1644="","",IF([1]Inputs_Outputs!$B$5="Herbaceous",(LCA!$E$29*'[1]LOCH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4" s="5" t="str">
        <f>IF(M1644="","",$E$2*1000*'[1]LOCH Calc COE Calc'!$C$44)</f>
        <v/>
      </c>
      <c r="S1644" s="6" t="str">
        <f>IF(N1644="","",SUM(O1644:R1644)/('[1]LOCH Calc COE Calc'!$C$28))</f>
        <v/>
      </c>
      <c r="T1644" t="str">
        <f>IF(L1644="","",O1644/'[1]LOCH Calc COE Calc'!$C$28)</f>
        <v/>
      </c>
      <c r="U1644" t="str">
        <f>IF(L1644="","",P1644/'[1]LOCH Calc COE Calc'!$C$28)</f>
        <v/>
      </c>
      <c r="V1644" t="str">
        <f>IF(L1644="","",Q1644/'[1]LOCH Calc COE Calc'!$C$28)</f>
        <v/>
      </c>
      <c r="W1644" t="str">
        <f>IF(L1644="","",R1644/'[1]LOCH Calc COE Calc'!$C$28)</f>
        <v/>
      </c>
    </row>
    <row r="1645" spans="12:23" x14ac:dyDescent="0.25">
      <c r="L1645" s="4" t="str">
        <f>IF('[1]All Data '!BE1650="","",'[1]All Data '!BE1650)</f>
        <v/>
      </c>
      <c r="M1645" t="str">
        <f>IF('[1]All Data '!BF1650="","",'[1]All Data '!BF1650)</f>
        <v/>
      </c>
      <c r="N1645" s="5" t="str">
        <f>IF('[1]All Data '!BB1650="","",'[1]All Data '!BC1650/'[1]All Data '!BH1650)</f>
        <v/>
      </c>
      <c r="O1645" s="5" t="str">
        <f t="shared" si="27"/>
        <v/>
      </c>
      <c r="P1645" s="5" t="str">
        <f>IF(M1645="","",$C$2*(1-L1645)*907.2/0.621371*N1645*[1]Transportation!$M$40)</f>
        <v/>
      </c>
      <c r="Q1645" s="5" t="str">
        <f>IF(L1645="","",IF([1]Inputs_Outputs!$B$5="Herbaceous",(LCA!$E$29*'[1]LOCH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5" s="5" t="str">
        <f>IF(M1645="","",$E$2*1000*'[1]LOCH Calc COE Calc'!$C$44)</f>
        <v/>
      </c>
      <c r="S1645" s="6" t="str">
        <f>IF(N1645="","",SUM(O1645:R1645)/('[1]LOCH Calc COE Calc'!$C$28))</f>
        <v/>
      </c>
      <c r="T1645" t="str">
        <f>IF(L1645="","",O1645/'[1]LOCH Calc COE Calc'!$C$28)</f>
        <v/>
      </c>
      <c r="U1645" t="str">
        <f>IF(L1645="","",P1645/'[1]LOCH Calc COE Calc'!$C$28)</f>
        <v/>
      </c>
      <c r="V1645" t="str">
        <f>IF(L1645="","",Q1645/'[1]LOCH Calc COE Calc'!$C$28)</f>
        <v/>
      </c>
      <c r="W1645" t="str">
        <f>IF(L1645="","",R1645/'[1]LOCH Calc COE Calc'!$C$28)</f>
        <v/>
      </c>
    </row>
    <row r="1646" spans="12:23" x14ac:dyDescent="0.25">
      <c r="L1646" s="4" t="str">
        <f>IF('[1]All Data '!BE1651="","",'[1]All Data '!BE1651)</f>
        <v/>
      </c>
      <c r="M1646" t="str">
        <f>IF('[1]All Data '!BF1651="","",'[1]All Data '!BF1651)</f>
        <v/>
      </c>
      <c r="N1646" s="5" t="str">
        <f>IF('[1]All Data '!BB1651="","",'[1]All Data '!BC1651/'[1]All Data '!BH1651)</f>
        <v/>
      </c>
      <c r="O1646" s="5" t="str">
        <f t="shared" si="27"/>
        <v/>
      </c>
      <c r="P1646" s="5" t="str">
        <f>IF(M1646="","",$C$2*(1-L1646)*907.2/0.621371*N1646*[1]Transportation!$M$40)</f>
        <v/>
      </c>
      <c r="Q1646" s="5" t="str">
        <f>IF(L1646="","",IF([1]Inputs_Outputs!$B$5="Herbaceous",(LCA!$E$29*'[1]LOCH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6" s="5" t="str">
        <f>IF(M1646="","",$E$2*1000*'[1]LOCH Calc COE Calc'!$C$44)</f>
        <v/>
      </c>
      <c r="S1646" s="6" t="str">
        <f>IF(N1646="","",SUM(O1646:R1646)/('[1]LOCH Calc COE Calc'!$C$28))</f>
        <v/>
      </c>
      <c r="T1646" t="str">
        <f>IF(L1646="","",O1646/'[1]LOCH Calc COE Calc'!$C$28)</f>
        <v/>
      </c>
      <c r="U1646" t="str">
        <f>IF(L1646="","",P1646/'[1]LOCH Calc COE Calc'!$C$28)</f>
        <v/>
      </c>
      <c r="V1646" t="str">
        <f>IF(L1646="","",Q1646/'[1]LOCH Calc COE Calc'!$C$28)</f>
        <v/>
      </c>
      <c r="W1646" t="str">
        <f>IF(L1646="","",R1646/'[1]LOCH Calc COE Calc'!$C$28)</f>
        <v/>
      </c>
    </row>
    <row r="1647" spans="12:23" x14ac:dyDescent="0.25">
      <c r="L1647" s="4" t="str">
        <f>IF('[1]All Data '!BE1652="","",'[1]All Data '!BE1652)</f>
        <v/>
      </c>
      <c r="M1647" t="str">
        <f>IF('[1]All Data '!BF1652="","",'[1]All Data '!BF1652)</f>
        <v/>
      </c>
      <c r="N1647" s="5" t="str">
        <f>IF('[1]All Data '!BB1652="","",'[1]All Data '!BC1652/'[1]All Data '!BH1652)</f>
        <v/>
      </c>
      <c r="O1647" s="5" t="str">
        <f t="shared" si="27"/>
        <v/>
      </c>
      <c r="P1647" s="5" t="str">
        <f>IF(M1647="","",$C$2*(1-L1647)*907.2/0.621371*N1647*[1]Transportation!$M$40)</f>
        <v/>
      </c>
      <c r="Q1647" s="5" t="str">
        <f>IF(L1647="","",IF([1]Inputs_Outputs!$B$5="Herbaceous",(LCA!$E$29*'[1]LOCH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7" s="5" t="str">
        <f>IF(M1647="","",$E$2*1000*'[1]LOCH Calc COE Calc'!$C$44)</f>
        <v/>
      </c>
      <c r="S1647" s="6" t="str">
        <f>IF(N1647="","",SUM(O1647:R1647)/('[1]LOCH Calc COE Calc'!$C$28))</f>
        <v/>
      </c>
      <c r="T1647" t="str">
        <f>IF(L1647="","",O1647/'[1]LOCH Calc COE Calc'!$C$28)</f>
        <v/>
      </c>
      <c r="U1647" t="str">
        <f>IF(L1647="","",P1647/'[1]LOCH Calc COE Calc'!$C$28)</f>
        <v/>
      </c>
      <c r="V1647" t="str">
        <f>IF(L1647="","",Q1647/'[1]LOCH Calc COE Calc'!$C$28)</f>
        <v/>
      </c>
      <c r="W1647" t="str">
        <f>IF(L1647="","",R1647/'[1]LOCH Calc COE Calc'!$C$28)</f>
        <v/>
      </c>
    </row>
    <row r="1648" spans="12:23" x14ac:dyDescent="0.25">
      <c r="L1648" s="4" t="str">
        <f>IF('[1]All Data '!BE1653="","",'[1]All Data '!BE1653)</f>
        <v/>
      </c>
      <c r="M1648" t="str">
        <f>IF('[1]All Data '!BF1653="","",'[1]All Data '!BF1653)</f>
        <v/>
      </c>
      <c r="N1648" s="5" t="str">
        <f>IF('[1]All Data '!BB1653="","",'[1]All Data '!BC1653/'[1]All Data '!BH1653)</f>
        <v/>
      </c>
      <c r="O1648" s="5" t="str">
        <f t="shared" si="27"/>
        <v/>
      </c>
      <c r="P1648" s="5" t="str">
        <f>IF(M1648="","",$C$2*(1-L1648)*907.2/0.621371*N1648*[1]Transportation!$M$40)</f>
        <v/>
      </c>
      <c r="Q1648" s="5" t="str">
        <f>IF(L1648="","",IF([1]Inputs_Outputs!$B$5="Herbaceous",(LCA!$E$29*'[1]LOCH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8" s="5" t="str">
        <f>IF(M1648="","",$E$2*1000*'[1]LOCH Calc COE Calc'!$C$44)</f>
        <v/>
      </c>
      <c r="S1648" s="6" t="str">
        <f>IF(N1648="","",SUM(O1648:R1648)/('[1]LOCH Calc COE Calc'!$C$28))</f>
        <v/>
      </c>
      <c r="T1648" t="str">
        <f>IF(L1648="","",O1648/'[1]LOCH Calc COE Calc'!$C$28)</f>
        <v/>
      </c>
      <c r="U1648" t="str">
        <f>IF(L1648="","",P1648/'[1]LOCH Calc COE Calc'!$C$28)</f>
        <v/>
      </c>
      <c r="V1648" t="str">
        <f>IF(L1648="","",Q1648/'[1]LOCH Calc COE Calc'!$C$28)</f>
        <v/>
      </c>
      <c r="W1648" t="str">
        <f>IF(L1648="","",R1648/'[1]LOCH Calc COE Calc'!$C$28)</f>
        <v/>
      </c>
    </row>
    <row r="1649" spans="12:23" x14ac:dyDescent="0.25">
      <c r="L1649" s="4" t="str">
        <f>IF('[1]All Data '!BE1654="","",'[1]All Data '!BE1654)</f>
        <v/>
      </c>
      <c r="M1649" t="str">
        <f>IF('[1]All Data '!BF1654="","",'[1]All Data '!BF1654)</f>
        <v/>
      </c>
      <c r="N1649" s="5" t="str">
        <f>IF('[1]All Data '!BB1654="","",'[1]All Data '!BC1654/'[1]All Data '!BH1654)</f>
        <v/>
      </c>
      <c r="O1649" s="5" t="str">
        <f t="shared" si="27"/>
        <v/>
      </c>
      <c r="P1649" s="5" t="str">
        <f>IF(M1649="","",$C$2*(1-L1649)*907.2/0.621371*N1649*[1]Transportation!$M$40)</f>
        <v/>
      </c>
      <c r="Q1649" s="5" t="str">
        <f>IF(L1649="","",IF([1]Inputs_Outputs!$B$5="Herbaceous",(LCA!$E$29*'[1]LOCH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49" s="5" t="str">
        <f>IF(M1649="","",$E$2*1000*'[1]LOCH Calc COE Calc'!$C$44)</f>
        <v/>
      </c>
      <c r="S1649" s="6" t="str">
        <f>IF(N1649="","",SUM(O1649:R1649)/('[1]LOCH Calc COE Calc'!$C$28))</f>
        <v/>
      </c>
      <c r="T1649" t="str">
        <f>IF(L1649="","",O1649/'[1]LOCH Calc COE Calc'!$C$28)</f>
        <v/>
      </c>
      <c r="U1649" t="str">
        <f>IF(L1649="","",P1649/'[1]LOCH Calc COE Calc'!$C$28)</f>
        <v/>
      </c>
      <c r="V1649" t="str">
        <f>IF(L1649="","",Q1649/'[1]LOCH Calc COE Calc'!$C$28)</f>
        <v/>
      </c>
      <c r="W1649" t="str">
        <f>IF(L1649="","",R1649/'[1]LOCH Calc COE Calc'!$C$28)</f>
        <v/>
      </c>
    </row>
    <row r="1650" spans="12:23" x14ac:dyDescent="0.25">
      <c r="L1650" s="4" t="str">
        <f>IF('[1]All Data '!BE1655="","",'[1]All Data '!BE1655)</f>
        <v/>
      </c>
      <c r="M1650" t="str">
        <f>IF('[1]All Data '!BF1655="","",'[1]All Data '!BF1655)</f>
        <v/>
      </c>
      <c r="N1650" s="5" t="str">
        <f>IF('[1]All Data '!BB1655="","",'[1]All Data '!BC1655/'[1]All Data '!BH1655)</f>
        <v/>
      </c>
      <c r="O1650" s="5" t="str">
        <f t="shared" si="27"/>
        <v/>
      </c>
      <c r="P1650" s="5" t="str">
        <f>IF(M1650="","",$C$2*(1-L1650)*907.2/0.621371*N1650*[1]Transportation!$M$40)</f>
        <v/>
      </c>
      <c r="Q1650" s="5" t="str">
        <f>IF(L1650="","",IF([1]Inputs_Outputs!$B$5="Herbaceous",(LCA!$E$29*'[1]LOCH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0" s="5" t="str">
        <f>IF(M1650="","",$E$2*1000*'[1]LOCH Calc COE Calc'!$C$44)</f>
        <v/>
      </c>
      <c r="S1650" s="6" t="str">
        <f>IF(N1650="","",SUM(O1650:R1650)/('[1]LOCH Calc COE Calc'!$C$28))</f>
        <v/>
      </c>
      <c r="T1650" t="str">
        <f>IF(L1650="","",O1650/'[1]LOCH Calc COE Calc'!$C$28)</f>
        <v/>
      </c>
      <c r="U1650" t="str">
        <f>IF(L1650="","",P1650/'[1]LOCH Calc COE Calc'!$C$28)</f>
        <v/>
      </c>
      <c r="V1650" t="str">
        <f>IF(L1650="","",Q1650/'[1]LOCH Calc COE Calc'!$C$28)</f>
        <v/>
      </c>
      <c r="W1650" t="str">
        <f>IF(L1650="","",R1650/'[1]LOCH Calc COE Calc'!$C$28)</f>
        <v/>
      </c>
    </row>
    <row r="1651" spans="12:23" x14ac:dyDescent="0.25">
      <c r="L1651" s="4" t="str">
        <f>IF('[1]All Data '!BE1656="","",'[1]All Data '!BE1656)</f>
        <v/>
      </c>
      <c r="M1651" t="str">
        <f>IF('[1]All Data '!BF1656="","",'[1]All Data '!BF1656)</f>
        <v/>
      </c>
      <c r="N1651" s="5" t="str">
        <f>IF('[1]All Data '!BB1656="","",'[1]All Data '!BC1656/'[1]All Data '!BH1656)</f>
        <v/>
      </c>
      <c r="O1651" s="5" t="str">
        <f t="shared" si="27"/>
        <v/>
      </c>
      <c r="P1651" s="5" t="str">
        <f>IF(M1651="","",$C$2*(1-L1651)*907.2/0.621371*N1651*[1]Transportation!$M$40)</f>
        <v/>
      </c>
      <c r="Q1651" s="5" t="str">
        <f>IF(L1651="","",IF([1]Inputs_Outputs!$B$5="Herbaceous",(LCA!$E$29*'[1]LOCH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1" s="5" t="str">
        <f>IF(M1651="","",$E$2*1000*'[1]LOCH Calc COE Calc'!$C$44)</f>
        <v/>
      </c>
      <c r="S1651" s="6" t="str">
        <f>IF(N1651="","",SUM(O1651:R1651)/('[1]LOCH Calc COE Calc'!$C$28))</f>
        <v/>
      </c>
      <c r="T1651" t="str">
        <f>IF(L1651="","",O1651/'[1]LOCH Calc COE Calc'!$C$28)</f>
        <v/>
      </c>
      <c r="U1651" t="str">
        <f>IF(L1651="","",P1651/'[1]LOCH Calc COE Calc'!$C$28)</f>
        <v/>
      </c>
      <c r="V1651" t="str">
        <f>IF(L1651="","",Q1651/'[1]LOCH Calc COE Calc'!$C$28)</f>
        <v/>
      </c>
      <c r="W1651" t="str">
        <f>IF(L1651="","",R1651/'[1]LOCH Calc COE Calc'!$C$28)</f>
        <v/>
      </c>
    </row>
    <row r="1652" spans="12:23" x14ac:dyDescent="0.25">
      <c r="L1652" s="4" t="str">
        <f>IF('[1]All Data '!BE1657="","",'[1]All Data '!BE1657)</f>
        <v/>
      </c>
      <c r="M1652" t="str">
        <f>IF('[1]All Data '!BF1657="","",'[1]All Data '!BF1657)</f>
        <v/>
      </c>
      <c r="N1652" s="5" t="str">
        <f>IF('[1]All Data '!BB1657="","",'[1]All Data '!BC1657/'[1]All Data '!BH1657)</f>
        <v/>
      </c>
      <c r="O1652" s="5" t="str">
        <f t="shared" si="27"/>
        <v/>
      </c>
      <c r="P1652" s="5" t="str">
        <f>IF(M1652="","",$C$2*(1-L1652)*907.2/0.621371*N1652*[1]Transportation!$M$40)</f>
        <v/>
      </c>
      <c r="Q1652" s="5" t="str">
        <f>IF(L1652="","",IF([1]Inputs_Outputs!$B$5="Herbaceous",(LCA!$E$29*'[1]LOCH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2" s="5" t="str">
        <f>IF(M1652="","",$E$2*1000*'[1]LOCH Calc COE Calc'!$C$44)</f>
        <v/>
      </c>
      <c r="S1652" s="6" t="str">
        <f>IF(N1652="","",SUM(O1652:R1652)/('[1]LOCH Calc COE Calc'!$C$28))</f>
        <v/>
      </c>
      <c r="T1652" t="str">
        <f>IF(L1652="","",O1652/'[1]LOCH Calc COE Calc'!$C$28)</f>
        <v/>
      </c>
      <c r="U1652" t="str">
        <f>IF(L1652="","",P1652/'[1]LOCH Calc COE Calc'!$C$28)</f>
        <v/>
      </c>
      <c r="V1652" t="str">
        <f>IF(L1652="","",Q1652/'[1]LOCH Calc COE Calc'!$C$28)</f>
        <v/>
      </c>
      <c r="W1652" t="str">
        <f>IF(L1652="","",R1652/'[1]LOCH Calc COE Calc'!$C$28)</f>
        <v/>
      </c>
    </row>
    <row r="1653" spans="12:23" x14ac:dyDescent="0.25">
      <c r="L1653" s="4" t="str">
        <f>IF('[1]All Data '!BE1658="","",'[1]All Data '!BE1658)</f>
        <v/>
      </c>
      <c r="M1653" t="str">
        <f>IF('[1]All Data '!BF1658="","",'[1]All Data '!BF1658)</f>
        <v/>
      </c>
      <c r="N1653" s="5" t="str">
        <f>IF('[1]All Data '!BB1658="","",'[1]All Data '!BC1658/'[1]All Data '!BH1658)</f>
        <v/>
      </c>
      <c r="O1653" s="5" t="str">
        <f t="shared" si="27"/>
        <v/>
      </c>
      <c r="P1653" s="5" t="str">
        <f>IF(M1653="","",$C$2*(1-L1653)*907.2/0.621371*N1653*[1]Transportation!$M$40)</f>
        <v/>
      </c>
      <c r="Q1653" s="5" t="str">
        <f>IF(L1653="","",IF([1]Inputs_Outputs!$B$5="Herbaceous",(LCA!$E$29*'[1]LOCH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3" s="5" t="str">
        <f>IF(M1653="","",$E$2*1000*'[1]LOCH Calc COE Calc'!$C$44)</f>
        <v/>
      </c>
      <c r="S1653" s="6" t="str">
        <f>IF(N1653="","",SUM(O1653:R1653)/('[1]LOCH Calc COE Calc'!$C$28))</f>
        <v/>
      </c>
      <c r="T1653" t="str">
        <f>IF(L1653="","",O1653/'[1]LOCH Calc COE Calc'!$C$28)</f>
        <v/>
      </c>
      <c r="U1653" t="str">
        <f>IF(L1653="","",P1653/'[1]LOCH Calc COE Calc'!$C$28)</f>
        <v/>
      </c>
      <c r="V1653" t="str">
        <f>IF(L1653="","",Q1653/'[1]LOCH Calc COE Calc'!$C$28)</f>
        <v/>
      </c>
      <c r="W1653" t="str">
        <f>IF(L1653="","",R1653/'[1]LOCH Calc COE Calc'!$C$28)</f>
        <v/>
      </c>
    </row>
    <row r="1654" spans="12:23" x14ac:dyDescent="0.25">
      <c r="L1654" s="4" t="str">
        <f>IF('[1]All Data '!BE1659="","",'[1]All Data '!BE1659)</f>
        <v/>
      </c>
      <c r="M1654" t="str">
        <f>IF('[1]All Data '!BF1659="","",'[1]All Data '!BF1659)</f>
        <v/>
      </c>
      <c r="N1654" s="5" t="str">
        <f>IF('[1]All Data '!BB1659="","",'[1]All Data '!BC1659/'[1]All Data '!BH1659)</f>
        <v/>
      </c>
      <c r="O1654" s="5" t="str">
        <f t="shared" si="27"/>
        <v/>
      </c>
      <c r="P1654" s="5" t="str">
        <f>IF(M1654="","",$C$2*(1-L1654)*907.2/0.621371*N1654*[1]Transportation!$M$40)</f>
        <v/>
      </c>
      <c r="Q1654" s="5" t="str">
        <f>IF(L1654="","",IF([1]Inputs_Outputs!$B$5="Herbaceous",(LCA!$E$29*'[1]LOCH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4" s="5" t="str">
        <f>IF(M1654="","",$E$2*1000*'[1]LOCH Calc COE Calc'!$C$44)</f>
        <v/>
      </c>
      <c r="S1654" s="6" t="str">
        <f>IF(N1654="","",SUM(O1654:R1654)/('[1]LOCH Calc COE Calc'!$C$28))</f>
        <v/>
      </c>
      <c r="T1654" t="str">
        <f>IF(L1654="","",O1654/'[1]LOCH Calc COE Calc'!$C$28)</f>
        <v/>
      </c>
      <c r="U1654" t="str">
        <f>IF(L1654="","",P1654/'[1]LOCH Calc COE Calc'!$C$28)</f>
        <v/>
      </c>
      <c r="V1654" t="str">
        <f>IF(L1654="","",Q1654/'[1]LOCH Calc COE Calc'!$C$28)</f>
        <v/>
      </c>
      <c r="W1654" t="str">
        <f>IF(L1654="","",R1654/'[1]LOCH Calc COE Calc'!$C$28)</f>
        <v/>
      </c>
    </row>
    <row r="1655" spans="12:23" x14ac:dyDescent="0.25">
      <c r="L1655" s="4" t="str">
        <f>IF('[1]All Data '!BE1660="","",'[1]All Data '!BE1660)</f>
        <v/>
      </c>
      <c r="M1655" t="str">
        <f>IF('[1]All Data '!BF1660="","",'[1]All Data '!BF1660)</f>
        <v/>
      </c>
      <c r="N1655" s="5" t="str">
        <f>IF('[1]All Data '!BB1660="","",'[1]All Data '!BC1660/'[1]All Data '!BH1660)</f>
        <v/>
      </c>
      <c r="O1655" s="5" t="str">
        <f t="shared" si="27"/>
        <v/>
      </c>
      <c r="P1655" s="5" t="str">
        <f>IF(M1655="","",$C$2*(1-L1655)*907.2/0.621371*N1655*[1]Transportation!$M$40)</f>
        <v/>
      </c>
      <c r="Q1655" s="5" t="str">
        <f>IF(L1655="","",IF([1]Inputs_Outputs!$B$5="Herbaceous",(LCA!$E$29*'[1]LOCH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5" s="5" t="str">
        <f>IF(M1655="","",$E$2*1000*'[1]LOCH Calc COE Calc'!$C$44)</f>
        <v/>
      </c>
      <c r="S1655" s="6" t="str">
        <f>IF(N1655="","",SUM(O1655:R1655)/('[1]LOCH Calc COE Calc'!$C$28))</f>
        <v/>
      </c>
      <c r="T1655" t="str">
        <f>IF(L1655="","",O1655/'[1]LOCH Calc COE Calc'!$C$28)</f>
        <v/>
      </c>
      <c r="U1655" t="str">
        <f>IF(L1655="","",P1655/'[1]LOCH Calc COE Calc'!$C$28)</f>
        <v/>
      </c>
      <c r="V1655" t="str">
        <f>IF(L1655="","",Q1655/'[1]LOCH Calc COE Calc'!$C$28)</f>
        <v/>
      </c>
      <c r="W1655" t="str">
        <f>IF(L1655="","",R1655/'[1]LOCH Calc COE Calc'!$C$28)</f>
        <v/>
      </c>
    </row>
    <row r="1656" spans="12:23" x14ac:dyDescent="0.25">
      <c r="L1656" s="4" t="str">
        <f>IF('[1]All Data '!BE1661="","",'[1]All Data '!BE1661)</f>
        <v/>
      </c>
      <c r="M1656" t="str">
        <f>IF('[1]All Data '!BF1661="","",'[1]All Data '!BF1661)</f>
        <v/>
      </c>
      <c r="N1656" s="5" t="str">
        <f>IF('[1]All Data '!BB1661="","",'[1]All Data '!BC1661/'[1]All Data '!BH1661)</f>
        <v/>
      </c>
      <c r="O1656" s="5" t="str">
        <f t="shared" si="27"/>
        <v/>
      </c>
      <c r="P1656" s="5" t="str">
        <f>IF(M1656="","",$C$2*(1-L1656)*907.2/0.621371*N1656*[1]Transportation!$M$40)</f>
        <v/>
      </c>
      <c r="Q1656" s="5" t="str">
        <f>IF(L1656="","",IF([1]Inputs_Outputs!$B$5="Herbaceous",(LCA!$E$29*'[1]LOCH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6" s="5" t="str">
        <f>IF(M1656="","",$E$2*1000*'[1]LOCH Calc COE Calc'!$C$44)</f>
        <v/>
      </c>
      <c r="S1656" s="6" t="str">
        <f>IF(N1656="","",SUM(O1656:R1656)/('[1]LOCH Calc COE Calc'!$C$28))</f>
        <v/>
      </c>
      <c r="T1656" t="str">
        <f>IF(L1656="","",O1656/'[1]LOCH Calc COE Calc'!$C$28)</f>
        <v/>
      </c>
      <c r="U1656" t="str">
        <f>IF(L1656="","",P1656/'[1]LOCH Calc COE Calc'!$C$28)</f>
        <v/>
      </c>
      <c r="V1656" t="str">
        <f>IF(L1656="","",Q1656/'[1]LOCH Calc COE Calc'!$C$28)</f>
        <v/>
      </c>
      <c r="W1656" t="str">
        <f>IF(L1656="","",R1656/'[1]LOCH Calc COE Calc'!$C$28)</f>
        <v/>
      </c>
    </row>
    <row r="1657" spans="12:23" x14ac:dyDescent="0.25">
      <c r="L1657" s="4" t="str">
        <f>IF('[1]All Data '!BE1662="","",'[1]All Data '!BE1662)</f>
        <v/>
      </c>
      <c r="M1657" t="str">
        <f>IF('[1]All Data '!BF1662="","",'[1]All Data '!BF1662)</f>
        <v/>
      </c>
      <c r="N1657" s="5" t="str">
        <f>IF('[1]All Data '!BB1662="","",'[1]All Data '!BC1662/'[1]All Data '!BH1662)</f>
        <v/>
      </c>
      <c r="O1657" s="5" t="str">
        <f t="shared" si="27"/>
        <v/>
      </c>
      <c r="P1657" s="5" t="str">
        <f>IF(M1657="","",$C$2*(1-L1657)*907.2/0.621371*N1657*[1]Transportation!$M$40)</f>
        <v/>
      </c>
      <c r="Q1657" s="5" t="str">
        <f>IF(L1657="","",IF([1]Inputs_Outputs!$B$5="Herbaceous",(LCA!$E$29*'[1]LOCH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7" s="5" t="str">
        <f>IF(M1657="","",$E$2*1000*'[1]LOCH Calc COE Calc'!$C$44)</f>
        <v/>
      </c>
      <c r="S1657" s="6" t="str">
        <f>IF(N1657="","",SUM(O1657:R1657)/('[1]LOCH Calc COE Calc'!$C$28))</f>
        <v/>
      </c>
      <c r="T1657" t="str">
        <f>IF(L1657="","",O1657/'[1]LOCH Calc COE Calc'!$C$28)</f>
        <v/>
      </c>
      <c r="U1657" t="str">
        <f>IF(L1657="","",P1657/'[1]LOCH Calc COE Calc'!$C$28)</f>
        <v/>
      </c>
      <c r="V1657" t="str">
        <f>IF(L1657="","",Q1657/'[1]LOCH Calc COE Calc'!$C$28)</f>
        <v/>
      </c>
      <c r="W1657" t="str">
        <f>IF(L1657="","",R1657/'[1]LOCH Calc COE Calc'!$C$28)</f>
        <v/>
      </c>
    </row>
    <row r="1658" spans="12:23" x14ac:dyDescent="0.25">
      <c r="L1658" s="4" t="str">
        <f>IF('[1]All Data '!BE1663="","",'[1]All Data '!BE1663)</f>
        <v/>
      </c>
      <c r="M1658" t="str">
        <f>IF('[1]All Data '!BF1663="","",'[1]All Data '!BF1663)</f>
        <v/>
      </c>
      <c r="N1658" s="5" t="str">
        <f>IF('[1]All Data '!BB1663="","",'[1]All Data '!BC1663/'[1]All Data '!BH1663)</f>
        <v/>
      </c>
      <c r="O1658" s="5" t="str">
        <f t="shared" si="27"/>
        <v/>
      </c>
      <c r="P1658" s="5" t="str">
        <f>IF(M1658="","",$C$2*(1-L1658)*907.2/0.621371*N1658*[1]Transportation!$M$40)</f>
        <v/>
      </c>
      <c r="Q1658" s="5" t="str">
        <f>IF(L1658="","",IF([1]Inputs_Outputs!$B$5="Herbaceous",(LCA!$E$29*'[1]LOCH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8" s="5" t="str">
        <f>IF(M1658="","",$E$2*1000*'[1]LOCH Calc COE Calc'!$C$44)</f>
        <v/>
      </c>
      <c r="S1658" s="6" t="str">
        <f>IF(N1658="","",SUM(O1658:R1658)/('[1]LOCH Calc COE Calc'!$C$28))</f>
        <v/>
      </c>
      <c r="T1658" t="str">
        <f>IF(L1658="","",O1658/'[1]LOCH Calc COE Calc'!$C$28)</f>
        <v/>
      </c>
      <c r="U1658" t="str">
        <f>IF(L1658="","",P1658/'[1]LOCH Calc COE Calc'!$C$28)</f>
        <v/>
      </c>
      <c r="V1658" t="str">
        <f>IF(L1658="","",Q1658/'[1]LOCH Calc COE Calc'!$C$28)</f>
        <v/>
      </c>
      <c r="W1658" t="str">
        <f>IF(L1658="","",R1658/'[1]LOCH Calc COE Calc'!$C$28)</f>
        <v/>
      </c>
    </row>
    <row r="1659" spans="12:23" x14ac:dyDescent="0.25">
      <c r="L1659" s="4" t="str">
        <f>IF('[1]All Data '!BE1664="","",'[1]All Data '!BE1664)</f>
        <v/>
      </c>
      <c r="M1659" t="str">
        <f>IF('[1]All Data '!BF1664="","",'[1]All Data '!BF1664)</f>
        <v/>
      </c>
      <c r="N1659" s="5" t="str">
        <f>IF('[1]All Data '!BB1664="","",'[1]All Data '!BC1664/'[1]All Data '!BH1664)</f>
        <v/>
      </c>
      <c r="O1659" s="5" t="str">
        <f t="shared" si="27"/>
        <v/>
      </c>
      <c r="P1659" s="5" t="str">
        <f>IF(M1659="","",$C$2*(1-L1659)*907.2/0.621371*N1659*[1]Transportation!$M$40)</f>
        <v/>
      </c>
      <c r="Q1659" s="5" t="str">
        <f>IF(L1659="","",IF([1]Inputs_Outputs!$B$5="Herbaceous",(LCA!$E$29*'[1]LOCH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59" s="5" t="str">
        <f>IF(M1659="","",$E$2*1000*'[1]LOCH Calc COE Calc'!$C$44)</f>
        <v/>
      </c>
      <c r="S1659" s="6" t="str">
        <f>IF(N1659="","",SUM(O1659:R1659)/('[1]LOCH Calc COE Calc'!$C$28))</f>
        <v/>
      </c>
      <c r="T1659" t="str">
        <f>IF(L1659="","",O1659/'[1]LOCH Calc COE Calc'!$C$28)</f>
        <v/>
      </c>
      <c r="U1659" t="str">
        <f>IF(L1659="","",P1659/'[1]LOCH Calc COE Calc'!$C$28)</f>
        <v/>
      </c>
      <c r="V1659" t="str">
        <f>IF(L1659="","",Q1659/'[1]LOCH Calc COE Calc'!$C$28)</f>
        <v/>
      </c>
      <c r="W1659" t="str">
        <f>IF(L1659="","",R1659/'[1]LOCH Calc COE Calc'!$C$28)</f>
        <v/>
      </c>
    </row>
    <row r="1660" spans="12:23" x14ac:dyDescent="0.25">
      <c r="L1660" s="4" t="str">
        <f>IF('[1]All Data '!BE1665="","",'[1]All Data '!BE1665)</f>
        <v/>
      </c>
      <c r="M1660" t="str">
        <f>IF('[1]All Data '!BF1665="","",'[1]All Data '!BF1665)</f>
        <v/>
      </c>
      <c r="N1660" s="5" t="str">
        <f>IF('[1]All Data '!BB1665="","",'[1]All Data '!BC1665/'[1]All Data '!BH1665)</f>
        <v/>
      </c>
      <c r="O1660" s="5" t="str">
        <f t="shared" si="27"/>
        <v/>
      </c>
      <c r="P1660" s="5" t="str">
        <f>IF(M1660="","",$C$2*(1-L1660)*907.2/0.621371*N1660*[1]Transportation!$M$40)</f>
        <v/>
      </c>
      <c r="Q1660" s="5" t="str">
        <f>IF(L1660="","",IF([1]Inputs_Outputs!$B$5="Herbaceous",(LCA!$E$29*'[1]LOCH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0" s="5" t="str">
        <f>IF(M1660="","",$E$2*1000*'[1]LOCH Calc COE Calc'!$C$44)</f>
        <v/>
      </c>
      <c r="S1660" s="6" t="str">
        <f>IF(N1660="","",SUM(O1660:R1660)/('[1]LOCH Calc COE Calc'!$C$28))</f>
        <v/>
      </c>
      <c r="T1660" t="str">
        <f>IF(L1660="","",O1660/'[1]LOCH Calc COE Calc'!$C$28)</f>
        <v/>
      </c>
      <c r="U1660" t="str">
        <f>IF(L1660="","",P1660/'[1]LOCH Calc COE Calc'!$C$28)</f>
        <v/>
      </c>
      <c r="V1660" t="str">
        <f>IF(L1660="","",Q1660/'[1]LOCH Calc COE Calc'!$C$28)</f>
        <v/>
      </c>
      <c r="W1660" t="str">
        <f>IF(L1660="","",R1660/'[1]LOCH Calc COE Calc'!$C$28)</f>
        <v/>
      </c>
    </row>
    <row r="1661" spans="12:23" x14ac:dyDescent="0.25">
      <c r="L1661" s="4" t="str">
        <f>IF('[1]All Data '!BE1666="","",'[1]All Data '!BE1666)</f>
        <v/>
      </c>
      <c r="M1661" t="str">
        <f>IF('[1]All Data '!BF1666="","",'[1]All Data '!BF1666)</f>
        <v/>
      </c>
      <c r="N1661" s="5" t="str">
        <f>IF('[1]All Data '!BB1666="","",'[1]All Data '!BC1666/'[1]All Data '!BH1666)</f>
        <v/>
      </c>
      <c r="O1661" s="5" t="str">
        <f t="shared" si="27"/>
        <v/>
      </c>
      <c r="P1661" s="5" t="str">
        <f>IF(M1661="","",$C$2*(1-L1661)*907.2/0.621371*N1661*[1]Transportation!$M$40)</f>
        <v/>
      </c>
      <c r="Q1661" s="5" t="str">
        <f>IF(L1661="","",IF([1]Inputs_Outputs!$B$5="Herbaceous",(LCA!$E$29*'[1]LOCH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1" s="5" t="str">
        <f>IF(M1661="","",$E$2*1000*'[1]LOCH Calc COE Calc'!$C$44)</f>
        <v/>
      </c>
      <c r="S1661" s="6" t="str">
        <f>IF(N1661="","",SUM(O1661:R1661)/('[1]LOCH Calc COE Calc'!$C$28))</f>
        <v/>
      </c>
      <c r="T1661" t="str">
        <f>IF(L1661="","",O1661/'[1]LOCH Calc COE Calc'!$C$28)</f>
        <v/>
      </c>
      <c r="U1661" t="str">
        <f>IF(L1661="","",P1661/'[1]LOCH Calc COE Calc'!$C$28)</f>
        <v/>
      </c>
      <c r="V1661" t="str">
        <f>IF(L1661="","",Q1661/'[1]LOCH Calc COE Calc'!$C$28)</f>
        <v/>
      </c>
      <c r="W1661" t="str">
        <f>IF(L1661="","",R1661/'[1]LOCH Calc COE Calc'!$C$28)</f>
        <v/>
      </c>
    </row>
    <row r="1662" spans="12:23" x14ac:dyDescent="0.25">
      <c r="L1662" s="4" t="str">
        <f>IF('[1]All Data '!BE1667="","",'[1]All Data '!BE1667)</f>
        <v/>
      </c>
      <c r="M1662" t="str">
        <f>IF('[1]All Data '!BF1667="","",'[1]All Data '!BF1667)</f>
        <v/>
      </c>
      <c r="N1662" s="5" t="str">
        <f>IF('[1]All Data '!BB1667="","",'[1]All Data '!BC1667/'[1]All Data '!BH1667)</f>
        <v/>
      </c>
      <c r="O1662" s="5" t="str">
        <f t="shared" si="27"/>
        <v/>
      </c>
      <c r="P1662" s="5" t="str">
        <f>IF(M1662="","",$C$2*(1-L1662)*907.2/0.621371*N1662*[1]Transportation!$M$40)</f>
        <v/>
      </c>
      <c r="Q1662" s="5" t="str">
        <f>IF(L1662="","",IF([1]Inputs_Outputs!$B$5="Herbaceous",(LCA!$E$29*'[1]LOCH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2" s="5" t="str">
        <f>IF(M1662="","",$E$2*1000*'[1]LOCH Calc COE Calc'!$C$44)</f>
        <v/>
      </c>
      <c r="S1662" s="6" t="str">
        <f>IF(N1662="","",SUM(O1662:R1662)/('[1]LOCH Calc COE Calc'!$C$28))</f>
        <v/>
      </c>
      <c r="T1662" t="str">
        <f>IF(L1662="","",O1662/'[1]LOCH Calc COE Calc'!$C$28)</f>
        <v/>
      </c>
      <c r="U1662" t="str">
        <f>IF(L1662="","",P1662/'[1]LOCH Calc COE Calc'!$C$28)</f>
        <v/>
      </c>
      <c r="V1662" t="str">
        <f>IF(L1662="","",Q1662/'[1]LOCH Calc COE Calc'!$C$28)</f>
        <v/>
      </c>
      <c r="W1662" t="str">
        <f>IF(L1662="","",R1662/'[1]LOCH Calc COE Calc'!$C$28)</f>
        <v/>
      </c>
    </row>
    <row r="1663" spans="12:23" x14ac:dyDescent="0.25">
      <c r="L1663" s="4" t="str">
        <f>IF('[1]All Data '!BE1668="","",'[1]All Data '!BE1668)</f>
        <v/>
      </c>
      <c r="M1663" t="str">
        <f>IF('[1]All Data '!BF1668="","",'[1]All Data '!BF1668)</f>
        <v/>
      </c>
      <c r="N1663" s="5" t="str">
        <f>IF('[1]All Data '!BB1668="","",'[1]All Data '!BC1668/'[1]All Data '!BH1668)</f>
        <v/>
      </c>
      <c r="O1663" s="5" t="str">
        <f t="shared" si="27"/>
        <v/>
      </c>
      <c r="P1663" s="5" t="str">
        <f>IF(M1663="","",$C$2*(1-L1663)*907.2/0.621371*N1663*[1]Transportation!$M$40)</f>
        <v/>
      </c>
      <c r="Q1663" s="5" t="str">
        <f>IF(L1663="","",IF([1]Inputs_Outputs!$B$5="Herbaceous",(LCA!$E$29*'[1]LOCH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3" s="5" t="str">
        <f>IF(M1663="","",$E$2*1000*'[1]LOCH Calc COE Calc'!$C$44)</f>
        <v/>
      </c>
      <c r="S1663" s="6" t="str">
        <f>IF(N1663="","",SUM(O1663:R1663)/('[1]LOCH Calc COE Calc'!$C$28))</f>
        <v/>
      </c>
      <c r="T1663" t="str">
        <f>IF(L1663="","",O1663/'[1]LOCH Calc COE Calc'!$C$28)</f>
        <v/>
      </c>
      <c r="U1663" t="str">
        <f>IF(L1663="","",P1663/'[1]LOCH Calc COE Calc'!$C$28)</f>
        <v/>
      </c>
      <c r="V1663" t="str">
        <f>IF(L1663="","",Q1663/'[1]LOCH Calc COE Calc'!$C$28)</f>
        <v/>
      </c>
      <c r="W1663" t="str">
        <f>IF(L1663="","",R1663/'[1]LOCH Calc COE Calc'!$C$28)</f>
        <v/>
      </c>
    </row>
    <row r="1664" spans="12:23" x14ac:dyDescent="0.25">
      <c r="L1664" s="4" t="str">
        <f>IF('[1]All Data '!BE1669="","",'[1]All Data '!BE1669)</f>
        <v/>
      </c>
      <c r="M1664" t="str">
        <f>IF('[1]All Data '!BF1669="","",'[1]All Data '!BF1669)</f>
        <v/>
      </c>
      <c r="N1664" s="5" t="str">
        <f>IF('[1]All Data '!BB1669="","",'[1]All Data '!BC1669/'[1]All Data '!BH1669)</f>
        <v/>
      </c>
      <c r="O1664" s="5" t="str">
        <f t="shared" si="27"/>
        <v/>
      </c>
      <c r="P1664" s="5" t="str">
        <f>IF(M1664="","",$C$2*(1-L1664)*907.2/0.621371*N1664*[1]Transportation!$M$40)</f>
        <v/>
      </c>
      <c r="Q1664" s="5" t="str">
        <f>IF(L1664="","",IF([1]Inputs_Outputs!$B$5="Herbaceous",(LCA!$E$29*'[1]LOCH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4" s="5" t="str">
        <f>IF(M1664="","",$E$2*1000*'[1]LOCH Calc COE Calc'!$C$44)</f>
        <v/>
      </c>
      <c r="S1664" s="6" t="str">
        <f>IF(N1664="","",SUM(O1664:R1664)/('[1]LOCH Calc COE Calc'!$C$28))</f>
        <v/>
      </c>
      <c r="T1664" t="str">
        <f>IF(L1664="","",O1664/'[1]LOCH Calc COE Calc'!$C$28)</f>
        <v/>
      </c>
      <c r="U1664" t="str">
        <f>IF(L1664="","",P1664/'[1]LOCH Calc COE Calc'!$C$28)</f>
        <v/>
      </c>
      <c r="V1664" t="str">
        <f>IF(L1664="","",Q1664/'[1]LOCH Calc COE Calc'!$C$28)</f>
        <v/>
      </c>
      <c r="W1664" t="str">
        <f>IF(L1664="","",R1664/'[1]LOCH Calc COE Calc'!$C$28)</f>
        <v/>
      </c>
    </row>
    <row r="1665" spans="12:23" x14ac:dyDescent="0.25">
      <c r="L1665" s="4" t="str">
        <f>IF('[1]All Data '!BE1670="","",'[1]All Data '!BE1670)</f>
        <v/>
      </c>
      <c r="M1665" t="str">
        <f>IF('[1]All Data '!BF1670="","",'[1]All Data '!BF1670)</f>
        <v/>
      </c>
      <c r="N1665" s="5" t="str">
        <f>IF('[1]All Data '!BB1670="","",'[1]All Data '!BC1670/'[1]All Data '!BH1670)</f>
        <v/>
      </c>
      <c r="O1665" s="5" t="str">
        <f t="shared" si="27"/>
        <v/>
      </c>
      <c r="P1665" s="5" t="str">
        <f>IF(M1665="","",$C$2*(1-L1665)*907.2/0.621371*N1665*[1]Transportation!$M$40)</f>
        <v/>
      </c>
      <c r="Q1665" s="5" t="str">
        <f>IF(L1665="","",IF([1]Inputs_Outputs!$B$5="Herbaceous",(LCA!$E$29*'[1]LOCH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5" s="5" t="str">
        <f>IF(M1665="","",$E$2*1000*'[1]LOCH Calc COE Calc'!$C$44)</f>
        <v/>
      </c>
      <c r="S1665" s="6" t="str">
        <f>IF(N1665="","",SUM(O1665:R1665)/('[1]LOCH Calc COE Calc'!$C$28))</f>
        <v/>
      </c>
      <c r="T1665" t="str">
        <f>IF(L1665="","",O1665/'[1]LOCH Calc COE Calc'!$C$28)</f>
        <v/>
      </c>
      <c r="U1665" t="str">
        <f>IF(L1665="","",P1665/'[1]LOCH Calc COE Calc'!$C$28)</f>
        <v/>
      </c>
      <c r="V1665" t="str">
        <f>IF(L1665="","",Q1665/'[1]LOCH Calc COE Calc'!$C$28)</f>
        <v/>
      </c>
      <c r="W1665" t="str">
        <f>IF(L1665="","",R1665/'[1]LOCH Calc COE Calc'!$C$28)</f>
        <v/>
      </c>
    </row>
    <row r="1666" spans="12:23" x14ac:dyDescent="0.25">
      <c r="L1666" s="4" t="str">
        <f>IF('[1]All Data '!BE1671="","",'[1]All Data '!BE1671)</f>
        <v/>
      </c>
      <c r="M1666" t="str">
        <f>IF('[1]All Data '!BF1671="","",'[1]All Data '!BF1671)</f>
        <v/>
      </c>
      <c r="N1666" s="5" t="str">
        <f>IF('[1]All Data '!BB1671="","",'[1]All Data '!BC1671/'[1]All Data '!BH1671)</f>
        <v/>
      </c>
      <c r="O1666" s="5" t="str">
        <f t="shared" si="27"/>
        <v/>
      </c>
      <c r="P1666" s="5" t="str">
        <f>IF(M1666="","",$C$2*(1-L1666)*907.2/0.621371*N1666*[1]Transportation!$M$40)</f>
        <v/>
      </c>
      <c r="Q1666" s="5" t="str">
        <f>IF(L1666="","",IF([1]Inputs_Outputs!$B$5="Herbaceous",(LCA!$E$29*'[1]LOCH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6" s="5" t="str">
        <f>IF(M1666="","",$E$2*1000*'[1]LOCH Calc COE Calc'!$C$44)</f>
        <v/>
      </c>
      <c r="S1666" s="6" t="str">
        <f>IF(N1666="","",SUM(O1666:R1666)/('[1]LOCH Calc COE Calc'!$C$28))</f>
        <v/>
      </c>
      <c r="T1666" t="str">
        <f>IF(L1666="","",O1666/'[1]LOCH Calc COE Calc'!$C$28)</f>
        <v/>
      </c>
      <c r="U1666" t="str">
        <f>IF(L1666="","",P1666/'[1]LOCH Calc COE Calc'!$C$28)</f>
        <v/>
      </c>
      <c r="V1666" t="str">
        <f>IF(L1666="","",Q1666/'[1]LOCH Calc COE Calc'!$C$28)</f>
        <v/>
      </c>
      <c r="W1666" t="str">
        <f>IF(L1666="","",R1666/'[1]LOCH Calc COE Calc'!$C$28)</f>
        <v/>
      </c>
    </row>
    <row r="1667" spans="12:23" x14ac:dyDescent="0.25">
      <c r="L1667" s="4" t="str">
        <f>IF('[1]All Data '!BE1672="","",'[1]All Data '!BE1672)</f>
        <v/>
      </c>
      <c r="M1667" t="str">
        <f>IF('[1]All Data '!BF1672="","",'[1]All Data '!BF1672)</f>
        <v/>
      </c>
      <c r="N1667" s="5" t="str">
        <f>IF('[1]All Data '!BB1672="","",'[1]All Data '!BC1672/'[1]All Data '!BH1672)</f>
        <v/>
      </c>
      <c r="O1667" s="5" t="str">
        <f t="shared" si="27"/>
        <v/>
      </c>
      <c r="P1667" s="5" t="str">
        <f>IF(M1667="","",$C$2*(1-L1667)*907.2/0.621371*N1667*[1]Transportation!$M$40)</f>
        <v/>
      </c>
      <c r="Q1667" s="5" t="str">
        <f>IF(L1667="","",IF([1]Inputs_Outputs!$B$5="Herbaceous",(LCA!$E$29*'[1]LOCH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7" s="5" t="str">
        <f>IF(M1667="","",$E$2*1000*'[1]LOCH Calc COE Calc'!$C$44)</f>
        <v/>
      </c>
      <c r="S1667" s="6" t="str">
        <f>IF(N1667="","",SUM(O1667:R1667)/('[1]LOCH Calc COE Calc'!$C$28))</f>
        <v/>
      </c>
      <c r="T1667" t="str">
        <f>IF(L1667="","",O1667/'[1]LOCH Calc COE Calc'!$C$28)</f>
        <v/>
      </c>
      <c r="U1667" t="str">
        <f>IF(L1667="","",P1667/'[1]LOCH Calc COE Calc'!$C$28)</f>
        <v/>
      </c>
      <c r="V1667" t="str">
        <f>IF(L1667="","",Q1667/'[1]LOCH Calc COE Calc'!$C$28)</f>
        <v/>
      </c>
      <c r="W1667" t="str">
        <f>IF(L1667="","",R1667/'[1]LOCH Calc COE Calc'!$C$28)</f>
        <v/>
      </c>
    </row>
    <row r="1668" spans="12:23" x14ac:dyDescent="0.25">
      <c r="L1668" s="4" t="str">
        <f>IF('[1]All Data '!BE1673="","",'[1]All Data '!BE1673)</f>
        <v/>
      </c>
      <c r="M1668" t="str">
        <f>IF('[1]All Data '!BF1673="","",'[1]All Data '!BF1673)</f>
        <v/>
      </c>
      <c r="N1668" s="5" t="str">
        <f>IF('[1]All Data '!BB1673="","",'[1]All Data '!BC1673/'[1]All Data '!BH1673)</f>
        <v/>
      </c>
      <c r="O1668" s="5" t="str">
        <f t="shared" ref="O1668:O1731" si="28">IF(N1668="","",M1668*N1668)</f>
        <v/>
      </c>
      <c r="P1668" s="5" t="str">
        <f>IF(M1668="","",$C$2*(1-L1668)*907.2/0.621371*N1668*[1]Transportation!$M$40)</f>
        <v/>
      </c>
      <c r="Q1668" s="5" t="str">
        <f>IF(L1668="","",IF([1]Inputs_Outputs!$B$5="Herbaceous",(LCA!$E$29*'[1]LOCH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8" s="5" t="str">
        <f>IF(M1668="","",$E$2*1000*'[1]LOCH Calc COE Calc'!$C$44)</f>
        <v/>
      </c>
      <c r="S1668" s="6" t="str">
        <f>IF(N1668="","",SUM(O1668:R1668)/('[1]LOCH Calc COE Calc'!$C$28))</f>
        <v/>
      </c>
      <c r="T1668" t="str">
        <f>IF(L1668="","",O1668/'[1]LOCH Calc COE Calc'!$C$28)</f>
        <v/>
      </c>
      <c r="U1668" t="str">
        <f>IF(L1668="","",P1668/'[1]LOCH Calc COE Calc'!$C$28)</f>
        <v/>
      </c>
      <c r="V1668" t="str">
        <f>IF(L1668="","",Q1668/'[1]LOCH Calc COE Calc'!$C$28)</f>
        <v/>
      </c>
      <c r="W1668" t="str">
        <f>IF(L1668="","",R1668/'[1]LOCH Calc COE Calc'!$C$28)</f>
        <v/>
      </c>
    </row>
    <row r="1669" spans="12:23" x14ac:dyDescent="0.25">
      <c r="L1669" s="4" t="str">
        <f>IF('[1]All Data '!BE1674="","",'[1]All Data '!BE1674)</f>
        <v/>
      </c>
      <c r="M1669" t="str">
        <f>IF('[1]All Data '!BF1674="","",'[1]All Data '!BF1674)</f>
        <v/>
      </c>
      <c r="N1669" s="5" t="str">
        <f>IF('[1]All Data '!BB1674="","",'[1]All Data '!BC1674/'[1]All Data '!BH1674)</f>
        <v/>
      </c>
      <c r="O1669" s="5" t="str">
        <f t="shared" si="28"/>
        <v/>
      </c>
      <c r="P1669" s="5" t="str">
        <f>IF(M1669="","",$C$2*(1-L1669)*907.2/0.621371*N1669*[1]Transportation!$M$40)</f>
        <v/>
      </c>
      <c r="Q1669" s="5" t="str">
        <f>IF(L1669="","",IF([1]Inputs_Outputs!$B$5="Herbaceous",(LCA!$E$29*'[1]LOCH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69" s="5" t="str">
        <f>IF(M1669="","",$E$2*1000*'[1]LOCH Calc COE Calc'!$C$44)</f>
        <v/>
      </c>
      <c r="S1669" s="6" t="str">
        <f>IF(N1669="","",SUM(O1669:R1669)/('[1]LOCH Calc COE Calc'!$C$28))</f>
        <v/>
      </c>
      <c r="T1669" t="str">
        <f>IF(L1669="","",O1669/'[1]LOCH Calc COE Calc'!$C$28)</f>
        <v/>
      </c>
      <c r="U1669" t="str">
        <f>IF(L1669="","",P1669/'[1]LOCH Calc COE Calc'!$C$28)</f>
        <v/>
      </c>
      <c r="V1669" t="str">
        <f>IF(L1669="","",Q1669/'[1]LOCH Calc COE Calc'!$C$28)</f>
        <v/>
      </c>
      <c r="W1669" t="str">
        <f>IF(L1669="","",R1669/'[1]LOCH Calc COE Calc'!$C$28)</f>
        <v/>
      </c>
    </row>
    <row r="1670" spans="12:23" x14ac:dyDescent="0.25">
      <c r="L1670" s="4" t="str">
        <f>IF('[1]All Data '!BE1675="","",'[1]All Data '!BE1675)</f>
        <v/>
      </c>
      <c r="M1670" t="str">
        <f>IF('[1]All Data '!BF1675="","",'[1]All Data '!BF1675)</f>
        <v/>
      </c>
      <c r="N1670" s="5" t="str">
        <f>IF('[1]All Data '!BB1675="","",'[1]All Data '!BC1675/'[1]All Data '!BH1675)</f>
        <v/>
      </c>
      <c r="O1670" s="5" t="str">
        <f t="shared" si="28"/>
        <v/>
      </c>
      <c r="P1670" s="5" t="str">
        <f>IF(M1670="","",$C$2*(1-L1670)*907.2/0.621371*N1670*[1]Transportation!$M$40)</f>
        <v/>
      </c>
      <c r="Q1670" s="5" t="str">
        <f>IF(L1670="","",IF([1]Inputs_Outputs!$B$5="Herbaceous",(LCA!$E$29*'[1]LOCH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0" s="5" t="str">
        <f>IF(M1670="","",$E$2*1000*'[1]LOCH Calc COE Calc'!$C$44)</f>
        <v/>
      </c>
      <c r="S1670" s="6" t="str">
        <f>IF(N1670="","",SUM(O1670:R1670)/('[1]LOCH Calc COE Calc'!$C$28))</f>
        <v/>
      </c>
      <c r="T1670" t="str">
        <f>IF(L1670="","",O1670/'[1]LOCH Calc COE Calc'!$C$28)</f>
        <v/>
      </c>
      <c r="U1670" t="str">
        <f>IF(L1670="","",P1670/'[1]LOCH Calc COE Calc'!$C$28)</f>
        <v/>
      </c>
      <c r="V1670" t="str">
        <f>IF(L1670="","",Q1670/'[1]LOCH Calc COE Calc'!$C$28)</f>
        <v/>
      </c>
      <c r="W1670" t="str">
        <f>IF(L1670="","",R1670/'[1]LOCH Calc COE Calc'!$C$28)</f>
        <v/>
      </c>
    </row>
    <row r="1671" spans="12:23" x14ac:dyDescent="0.25">
      <c r="L1671" s="4" t="str">
        <f>IF('[1]All Data '!BE1676="","",'[1]All Data '!BE1676)</f>
        <v/>
      </c>
      <c r="M1671" t="str">
        <f>IF('[1]All Data '!BF1676="","",'[1]All Data '!BF1676)</f>
        <v/>
      </c>
      <c r="N1671" s="5" t="str">
        <f>IF('[1]All Data '!BB1676="","",'[1]All Data '!BC1676/'[1]All Data '!BH1676)</f>
        <v/>
      </c>
      <c r="O1671" s="5" t="str">
        <f t="shared" si="28"/>
        <v/>
      </c>
      <c r="P1671" s="5" t="str">
        <f>IF(M1671="","",$C$2*(1-L1671)*907.2/0.621371*N1671*[1]Transportation!$M$40)</f>
        <v/>
      </c>
      <c r="Q1671" s="5" t="str">
        <f>IF(L1671="","",IF([1]Inputs_Outputs!$B$5="Herbaceous",(LCA!$E$29*'[1]LOCH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1" s="5" t="str">
        <f>IF(M1671="","",$E$2*1000*'[1]LOCH Calc COE Calc'!$C$44)</f>
        <v/>
      </c>
      <c r="S1671" s="6" t="str">
        <f>IF(N1671="","",SUM(O1671:R1671)/('[1]LOCH Calc COE Calc'!$C$28))</f>
        <v/>
      </c>
      <c r="T1671" t="str">
        <f>IF(L1671="","",O1671/'[1]LOCH Calc COE Calc'!$C$28)</f>
        <v/>
      </c>
      <c r="U1671" t="str">
        <f>IF(L1671="","",P1671/'[1]LOCH Calc COE Calc'!$C$28)</f>
        <v/>
      </c>
      <c r="V1671" t="str">
        <f>IF(L1671="","",Q1671/'[1]LOCH Calc COE Calc'!$C$28)</f>
        <v/>
      </c>
      <c r="W1671" t="str">
        <f>IF(L1671="","",R1671/'[1]LOCH Calc COE Calc'!$C$28)</f>
        <v/>
      </c>
    </row>
    <row r="1672" spans="12:23" x14ac:dyDescent="0.25">
      <c r="L1672" s="4" t="str">
        <f>IF('[1]All Data '!BE1677="","",'[1]All Data '!BE1677)</f>
        <v/>
      </c>
      <c r="M1672" t="str">
        <f>IF('[1]All Data '!BF1677="","",'[1]All Data '!BF1677)</f>
        <v/>
      </c>
      <c r="N1672" s="5" t="str">
        <f>IF('[1]All Data '!BB1677="","",'[1]All Data '!BC1677/'[1]All Data '!BH1677)</f>
        <v/>
      </c>
      <c r="O1672" s="5" t="str">
        <f t="shared" si="28"/>
        <v/>
      </c>
      <c r="P1672" s="5" t="str">
        <f>IF(M1672="","",$C$2*(1-L1672)*907.2/0.621371*N1672*[1]Transportation!$M$40)</f>
        <v/>
      </c>
      <c r="Q1672" s="5" t="str">
        <f>IF(L1672="","",IF([1]Inputs_Outputs!$B$5="Herbaceous",(LCA!$E$29*'[1]LOCH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2" s="5" t="str">
        <f>IF(M1672="","",$E$2*1000*'[1]LOCH Calc COE Calc'!$C$44)</f>
        <v/>
      </c>
      <c r="S1672" s="6" t="str">
        <f>IF(N1672="","",SUM(O1672:R1672)/('[1]LOCH Calc COE Calc'!$C$28))</f>
        <v/>
      </c>
      <c r="T1672" t="str">
        <f>IF(L1672="","",O1672/'[1]LOCH Calc COE Calc'!$C$28)</f>
        <v/>
      </c>
      <c r="U1672" t="str">
        <f>IF(L1672="","",P1672/'[1]LOCH Calc COE Calc'!$C$28)</f>
        <v/>
      </c>
      <c r="V1672" t="str">
        <f>IF(L1672="","",Q1672/'[1]LOCH Calc COE Calc'!$C$28)</f>
        <v/>
      </c>
      <c r="W1672" t="str">
        <f>IF(L1672="","",R1672/'[1]LOCH Calc COE Calc'!$C$28)</f>
        <v/>
      </c>
    </row>
    <row r="1673" spans="12:23" x14ac:dyDescent="0.25">
      <c r="L1673" s="4" t="str">
        <f>IF('[1]All Data '!BE1678="","",'[1]All Data '!BE1678)</f>
        <v/>
      </c>
      <c r="M1673" t="str">
        <f>IF('[1]All Data '!BF1678="","",'[1]All Data '!BF1678)</f>
        <v/>
      </c>
      <c r="N1673" s="5" t="str">
        <f>IF('[1]All Data '!BB1678="","",'[1]All Data '!BC1678/'[1]All Data '!BH1678)</f>
        <v/>
      </c>
      <c r="O1673" s="5" t="str">
        <f t="shared" si="28"/>
        <v/>
      </c>
      <c r="P1673" s="5" t="str">
        <f>IF(M1673="","",$C$2*(1-L1673)*907.2/0.621371*N1673*[1]Transportation!$M$40)</f>
        <v/>
      </c>
      <c r="Q1673" s="5" t="str">
        <f>IF(L1673="","",IF([1]Inputs_Outputs!$B$5="Herbaceous",(LCA!$E$29*'[1]LOCH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3" s="5" t="str">
        <f>IF(M1673="","",$E$2*1000*'[1]LOCH Calc COE Calc'!$C$44)</f>
        <v/>
      </c>
      <c r="S1673" s="6" t="str">
        <f>IF(N1673="","",SUM(O1673:R1673)/('[1]LOCH Calc COE Calc'!$C$28))</f>
        <v/>
      </c>
      <c r="T1673" t="str">
        <f>IF(L1673="","",O1673/'[1]LOCH Calc COE Calc'!$C$28)</f>
        <v/>
      </c>
      <c r="U1673" t="str">
        <f>IF(L1673="","",P1673/'[1]LOCH Calc COE Calc'!$C$28)</f>
        <v/>
      </c>
      <c r="V1673" t="str">
        <f>IF(L1673="","",Q1673/'[1]LOCH Calc COE Calc'!$C$28)</f>
        <v/>
      </c>
      <c r="W1673" t="str">
        <f>IF(L1673="","",R1673/'[1]LOCH Calc COE Calc'!$C$28)</f>
        <v/>
      </c>
    </row>
    <row r="1674" spans="12:23" x14ac:dyDescent="0.25">
      <c r="L1674" s="4" t="str">
        <f>IF('[1]All Data '!BE1679="","",'[1]All Data '!BE1679)</f>
        <v/>
      </c>
      <c r="M1674" t="str">
        <f>IF('[1]All Data '!BF1679="","",'[1]All Data '!BF1679)</f>
        <v/>
      </c>
      <c r="N1674" s="5" t="str">
        <f>IF('[1]All Data '!BB1679="","",'[1]All Data '!BC1679/'[1]All Data '!BH1679)</f>
        <v/>
      </c>
      <c r="O1674" s="5" t="str">
        <f t="shared" si="28"/>
        <v/>
      </c>
      <c r="P1674" s="5" t="str">
        <f>IF(M1674="","",$C$2*(1-L1674)*907.2/0.621371*N1674*[1]Transportation!$M$40)</f>
        <v/>
      </c>
      <c r="Q1674" s="5" t="str">
        <f>IF(L1674="","",IF([1]Inputs_Outputs!$B$5="Herbaceous",(LCA!$E$29*'[1]LOCH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4" s="5" t="str">
        <f>IF(M1674="","",$E$2*1000*'[1]LOCH Calc COE Calc'!$C$44)</f>
        <v/>
      </c>
      <c r="S1674" s="6" t="str">
        <f>IF(N1674="","",SUM(O1674:R1674)/('[1]LOCH Calc COE Calc'!$C$28))</f>
        <v/>
      </c>
      <c r="T1674" t="str">
        <f>IF(L1674="","",O1674/'[1]LOCH Calc COE Calc'!$C$28)</f>
        <v/>
      </c>
      <c r="U1674" t="str">
        <f>IF(L1674="","",P1674/'[1]LOCH Calc COE Calc'!$C$28)</f>
        <v/>
      </c>
      <c r="V1674" t="str">
        <f>IF(L1674="","",Q1674/'[1]LOCH Calc COE Calc'!$C$28)</f>
        <v/>
      </c>
      <c r="W1674" t="str">
        <f>IF(L1674="","",R1674/'[1]LOCH Calc COE Calc'!$C$28)</f>
        <v/>
      </c>
    </row>
    <row r="1675" spans="12:23" x14ac:dyDescent="0.25">
      <c r="L1675" s="4" t="str">
        <f>IF('[1]All Data '!BE1680="","",'[1]All Data '!BE1680)</f>
        <v/>
      </c>
      <c r="M1675" t="str">
        <f>IF('[1]All Data '!BF1680="","",'[1]All Data '!BF1680)</f>
        <v/>
      </c>
      <c r="N1675" s="5" t="str">
        <f>IF('[1]All Data '!BB1680="","",'[1]All Data '!BC1680/'[1]All Data '!BH1680)</f>
        <v/>
      </c>
      <c r="O1675" s="5" t="str">
        <f t="shared" si="28"/>
        <v/>
      </c>
      <c r="P1675" s="5" t="str">
        <f>IF(M1675="","",$C$2*(1-L1675)*907.2/0.621371*N1675*[1]Transportation!$M$40)</f>
        <v/>
      </c>
      <c r="Q1675" s="5" t="str">
        <f>IF(L1675="","",IF([1]Inputs_Outputs!$B$5="Herbaceous",(LCA!$E$29*'[1]LOCH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5" s="5" t="str">
        <f>IF(M1675="","",$E$2*1000*'[1]LOCH Calc COE Calc'!$C$44)</f>
        <v/>
      </c>
      <c r="S1675" s="6" t="str">
        <f>IF(N1675="","",SUM(O1675:R1675)/('[1]LOCH Calc COE Calc'!$C$28))</f>
        <v/>
      </c>
      <c r="T1675" t="str">
        <f>IF(L1675="","",O1675/'[1]LOCH Calc COE Calc'!$C$28)</f>
        <v/>
      </c>
      <c r="U1675" t="str">
        <f>IF(L1675="","",P1675/'[1]LOCH Calc COE Calc'!$C$28)</f>
        <v/>
      </c>
      <c r="V1675" t="str">
        <f>IF(L1675="","",Q1675/'[1]LOCH Calc COE Calc'!$C$28)</f>
        <v/>
      </c>
      <c r="W1675" t="str">
        <f>IF(L1675="","",R1675/'[1]LOCH Calc COE Calc'!$C$28)</f>
        <v/>
      </c>
    </row>
    <row r="1676" spans="12:23" x14ac:dyDescent="0.25">
      <c r="L1676" s="4" t="str">
        <f>IF('[1]All Data '!BE1681="","",'[1]All Data '!BE1681)</f>
        <v/>
      </c>
      <c r="M1676" t="str">
        <f>IF('[1]All Data '!BF1681="","",'[1]All Data '!BF1681)</f>
        <v/>
      </c>
      <c r="N1676" s="5" t="str">
        <f>IF('[1]All Data '!BB1681="","",'[1]All Data '!BC1681/'[1]All Data '!BH1681)</f>
        <v/>
      </c>
      <c r="O1676" s="5" t="str">
        <f t="shared" si="28"/>
        <v/>
      </c>
      <c r="P1676" s="5" t="str">
        <f>IF(M1676="","",$C$2*(1-L1676)*907.2/0.621371*N1676*[1]Transportation!$M$40)</f>
        <v/>
      </c>
      <c r="Q1676" s="5" t="str">
        <f>IF(L1676="","",IF([1]Inputs_Outputs!$B$5="Herbaceous",(LCA!$E$29*'[1]LOCH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6" s="5" t="str">
        <f>IF(M1676="","",$E$2*1000*'[1]LOCH Calc COE Calc'!$C$44)</f>
        <v/>
      </c>
      <c r="S1676" s="6" t="str">
        <f>IF(N1676="","",SUM(O1676:R1676)/('[1]LOCH Calc COE Calc'!$C$28))</f>
        <v/>
      </c>
      <c r="T1676" t="str">
        <f>IF(L1676="","",O1676/'[1]LOCH Calc COE Calc'!$C$28)</f>
        <v/>
      </c>
      <c r="U1676" t="str">
        <f>IF(L1676="","",P1676/'[1]LOCH Calc COE Calc'!$C$28)</f>
        <v/>
      </c>
      <c r="V1676" t="str">
        <f>IF(L1676="","",Q1676/'[1]LOCH Calc COE Calc'!$C$28)</f>
        <v/>
      </c>
      <c r="W1676" t="str">
        <f>IF(L1676="","",R1676/'[1]LOCH Calc COE Calc'!$C$28)</f>
        <v/>
      </c>
    </row>
    <row r="1677" spans="12:23" x14ac:dyDescent="0.25">
      <c r="L1677" s="4" t="str">
        <f>IF('[1]All Data '!BE1682="","",'[1]All Data '!BE1682)</f>
        <v/>
      </c>
      <c r="M1677" t="str">
        <f>IF('[1]All Data '!BF1682="","",'[1]All Data '!BF1682)</f>
        <v/>
      </c>
      <c r="N1677" s="5" t="str">
        <f>IF('[1]All Data '!BB1682="","",'[1]All Data '!BC1682/'[1]All Data '!BH1682)</f>
        <v/>
      </c>
      <c r="O1677" s="5" t="str">
        <f t="shared" si="28"/>
        <v/>
      </c>
      <c r="P1677" s="5" t="str">
        <f>IF(M1677="","",$C$2*(1-L1677)*907.2/0.621371*N1677*[1]Transportation!$M$40)</f>
        <v/>
      </c>
      <c r="Q1677" s="5" t="str">
        <f>IF(L1677="","",IF([1]Inputs_Outputs!$B$5="Herbaceous",(LCA!$E$29*'[1]LOCH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7" s="5" t="str">
        <f>IF(M1677="","",$E$2*1000*'[1]LOCH Calc COE Calc'!$C$44)</f>
        <v/>
      </c>
      <c r="S1677" s="6" t="str">
        <f>IF(N1677="","",SUM(O1677:R1677)/('[1]LOCH Calc COE Calc'!$C$28))</f>
        <v/>
      </c>
      <c r="T1677" t="str">
        <f>IF(L1677="","",O1677/'[1]LOCH Calc COE Calc'!$C$28)</f>
        <v/>
      </c>
      <c r="U1677" t="str">
        <f>IF(L1677="","",P1677/'[1]LOCH Calc COE Calc'!$C$28)</f>
        <v/>
      </c>
      <c r="V1677" t="str">
        <f>IF(L1677="","",Q1677/'[1]LOCH Calc COE Calc'!$C$28)</f>
        <v/>
      </c>
      <c r="W1677" t="str">
        <f>IF(L1677="","",R1677/'[1]LOCH Calc COE Calc'!$C$28)</f>
        <v/>
      </c>
    </row>
    <row r="1678" spans="12:23" x14ac:dyDescent="0.25">
      <c r="L1678" s="4" t="str">
        <f>IF('[1]All Data '!BE1683="","",'[1]All Data '!BE1683)</f>
        <v/>
      </c>
      <c r="M1678" t="str">
        <f>IF('[1]All Data '!BF1683="","",'[1]All Data '!BF1683)</f>
        <v/>
      </c>
      <c r="N1678" s="5" t="str">
        <f>IF('[1]All Data '!BB1683="","",'[1]All Data '!BC1683/'[1]All Data '!BH1683)</f>
        <v/>
      </c>
      <c r="O1678" s="5" t="str">
        <f t="shared" si="28"/>
        <v/>
      </c>
      <c r="P1678" s="5" t="str">
        <f>IF(M1678="","",$C$2*(1-L1678)*907.2/0.621371*N1678*[1]Transportation!$M$40)</f>
        <v/>
      </c>
      <c r="Q1678" s="5" t="str">
        <f>IF(L1678="","",IF([1]Inputs_Outputs!$B$5="Herbaceous",(LCA!$E$29*'[1]LOCH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8" s="5" t="str">
        <f>IF(M1678="","",$E$2*1000*'[1]LOCH Calc COE Calc'!$C$44)</f>
        <v/>
      </c>
      <c r="S1678" s="6" t="str">
        <f>IF(N1678="","",SUM(O1678:R1678)/('[1]LOCH Calc COE Calc'!$C$28))</f>
        <v/>
      </c>
      <c r="T1678" t="str">
        <f>IF(L1678="","",O1678/'[1]LOCH Calc COE Calc'!$C$28)</f>
        <v/>
      </c>
      <c r="U1678" t="str">
        <f>IF(L1678="","",P1678/'[1]LOCH Calc COE Calc'!$C$28)</f>
        <v/>
      </c>
      <c r="V1678" t="str">
        <f>IF(L1678="","",Q1678/'[1]LOCH Calc COE Calc'!$C$28)</f>
        <v/>
      </c>
      <c r="W1678" t="str">
        <f>IF(L1678="","",R1678/'[1]LOCH Calc COE Calc'!$C$28)</f>
        <v/>
      </c>
    </row>
    <row r="1679" spans="12:23" x14ac:dyDescent="0.25">
      <c r="L1679" s="4" t="str">
        <f>IF('[1]All Data '!BE1684="","",'[1]All Data '!BE1684)</f>
        <v/>
      </c>
      <c r="M1679" t="str">
        <f>IF('[1]All Data '!BF1684="","",'[1]All Data '!BF1684)</f>
        <v/>
      </c>
      <c r="N1679" s="5" t="str">
        <f>IF('[1]All Data '!BB1684="","",'[1]All Data '!BC1684/'[1]All Data '!BH1684)</f>
        <v/>
      </c>
      <c r="O1679" s="5" t="str">
        <f t="shared" si="28"/>
        <v/>
      </c>
      <c r="P1679" s="5" t="str">
        <f>IF(M1679="","",$C$2*(1-L1679)*907.2/0.621371*N1679*[1]Transportation!$M$40)</f>
        <v/>
      </c>
      <c r="Q1679" s="5" t="str">
        <f>IF(L1679="","",IF([1]Inputs_Outputs!$B$5="Herbaceous",(LCA!$E$29*'[1]LOCH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79" s="5" t="str">
        <f>IF(M1679="","",$E$2*1000*'[1]LOCH Calc COE Calc'!$C$44)</f>
        <v/>
      </c>
      <c r="S1679" s="6" t="str">
        <f>IF(N1679="","",SUM(O1679:R1679)/('[1]LOCH Calc COE Calc'!$C$28))</f>
        <v/>
      </c>
      <c r="T1679" t="str">
        <f>IF(L1679="","",O1679/'[1]LOCH Calc COE Calc'!$C$28)</f>
        <v/>
      </c>
      <c r="U1679" t="str">
        <f>IF(L1679="","",P1679/'[1]LOCH Calc COE Calc'!$C$28)</f>
        <v/>
      </c>
      <c r="V1679" t="str">
        <f>IF(L1679="","",Q1679/'[1]LOCH Calc COE Calc'!$C$28)</f>
        <v/>
      </c>
      <c r="W1679" t="str">
        <f>IF(L1679="","",R1679/'[1]LOCH Calc COE Calc'!$C$28)</f>
        <v/>
      </c>
    </row>
    <row r="1680" spans="12:23" x14ac:dyDescent="0.25">
      <c r="L1680" s="4" t="str">
        <f>IF('[1]All Data '!BE1685="","",'[1]All Data '!BE1685)</f>
        <v/>
      </c>
      <c r="M1680" t="str">
        <f>IF('[1]All Data '!BF1685="","",'[1]All Data '!BF1685)</f>
        <v/>
      </c>
      <c r="N1680" s="5" t="str">
        <f>IF('[1]All Data '!BB1685="","",'[1]All Data '!BC1685/'[1]All Data '!BH1685)</f>
        <v/>
      </c>
      <c r="O1680" s="5" t="str">
        <f t="shared" si="28"/>
        <v/>
      </c>
      <c r="P1680" s="5" t="str">
        <f>IF(M1680="","",$C$2*(1-L1680)*907.2/0.621371*N1680*[1]Transportation!$M$40)</f>
        <v/>
      </c>
      <c r="Q1680" s="5" t="str">
        <f>IF(L1680="","",IF([1]Inputs_Outputs!$B$5="Herbaceous",(LCA!$E$29*'[1]LOCH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0" s="5" t="str">
        <f>IF(M1680="","",$E$2*1000*'[1]LOCH Calc COE Calc'!$C$44)</f>
        <v/>
      </c>
      <c r="S1680" s="6" t="str">
        <f>IF(N1680="","",SUM(O1680:R1680)/('[1]LOCH Calc COE Calc'!$C$28))</f>
        <v/>
      </c>
      <c r="T1680" t="str">
        <f>IF(L1680="","",O1680/'[1]LOCH Calc COE Calc'!$C$28)</f>
        <v/>
      </c>
      <c r="U1680" t="str">
        <f>IF(L1680="","",P1680/'[1]LOCH Calc COE Calc'!$C$28)</f>
        <v/>
      </c>
      <c r="V1680" t="str">
        <f>IF(L1680="","",Q1680/'[1]LOCH Calc COE Calc'!$C$28)</f>
        <v/>
      </c>
      <c r="W1680" t="str">
        <f>IF(L1680="","",R1680/'[1]LOCH Calc COE Calc'!$C$28)</f>
        <v/>
      </c>
    </row>
    <row r="1681" spans="12:23" x14ac:dyDescent="0.25">
      <c r="L1681" s="4" t="str">
        <f>IF('[1]All Data '!BE1686="","",'[1]All Data '!BE1686)</f>
        <v/>
      </c>
      <c r="M1681" t="str">
        <f>IF('[1]All Data '!BF1686="","",'[1]All Data '!BF1686)</f>
        <v/>
      </c>
      <c r="N1681" s="5" t="str">
        <f>IF('[1]All Data '!BB1686="","",'[1]All Data '!BC1686/'[1]All Data '!BH1686)</f>
        <v/>
      </c>
      <c r="O1681" s="5" t="str">
        <f t="shared" si="28"/>
        <v/>
      </c>
      <c r="P1681" s="5" t="str">
        <f>IF(M1681="","",$C$2*(1-L1681)*907.2/0.621371*N1681*[1]Transportation!$M$40)</f>
        <v/>
      </c>
      <c r="Q1681" s="5" t="str">
        <f>IF(L1681="","",IF([1]Inputs_Outputs!$B$5="Herbaceous",(LCA!$E$29*'[1]LOCH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1" s="5" t="str">
        <f>IF(M1681="","",$E$2*1000*'[1]LOCH Calc COE Calc'!$C$44)</f>
        <v/>
      </c>
      <c r="S1681" s="6" t="str">
        <f>IF(N1681="","",SUM(O1681:R1681)/('[1]LOCH Calc COE Calc'!$C$28))</f>
        <v/>
      </c>
      <c r="T1681" t="str">
        <f>IF(L1681="","",O1681/'[1]LOCH Calc COE Calc'!$C$28)</f>
        <v/>
      </c>
      <c r="U1681" t="str">
        <f>IF(L1681="","",P1681/'[1]LOCH Calc COE Calc'!$C$28)</f>
        <v/>
      </c>
      <c r="V1681" t="str">
        <f>IF(L1681="","",Q1681/'[1]LOCH Calc COE Calc'!$C$28)</f>
        <v/>
      </c>
      <c r="W1681" t="str">
        <f>IF(L1681="","",R1681/'[1]LOCH Calc COE Calc'!$C$28)</f>
        <v/>
      </c>
    </row>
    <row r="1682" spans="12:23" x14ac:dyDescent="0.25">
      <c r="L1682" s="4" t="str">
        <f>IF('[1]All Data '!BE1687="","",'[1]All Data '!BE1687)</f>
        <v/>
      </c>
      <c r="M1682" t="str">
        <f>IF('[1]All Data '!BF1687="","",'[1]All Data '!BF1687)</f>
        <v/>
      </c>
      <c r="N1682" s="5" t="str">
        <f>IF('[1]All Data '!BB1687="","",'[1]All Data '!BC1687/'[1]All Data '!BH1687)</f>
        <v/>
      </c>
      <c r="O1682" s="5" t="str">
        <f t="shared" si="28"/>
        <v/>
      </c>
      <c r="P1682" s="5" t="str">
        <f>IF(M1682="","",$C$2*(1-L1682)*907.2/0.621371*N1682*[1]Transportation!$M$40)</f>
        <v/>
      </c>
      <c r="Q1682" s="5" t="str">
        <f>IF(L1682="","",IF([1]Inputs_Outputs!$B$5="Herbaceous",(LCA!$E$29*'[1]LOCH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2" s="5" t="str">
        <f>IF(M1682="","",$E$2*1000*'[1]LOCH Calc COE Calc'!$C$44)</f>
        <v/>
      </c>
      <c r="S1682" s="6" t="str">
        <f>IF(N1682="","",SUM(O1682:R1682)/('[1]LOCH Calc COE Calc'!$C$28))</f>
        <v/>
      </c>
      <c r="T1682" t="str">
        <f>IF(L1682="","",O1682/'[1]LOCH Calc COE Calc'!$C$28)</f>
        <v/>
      </c>
      <c r="U1682" t="str">
        <f>IF(L1682="","",P1682/'[1]LOCH Calc COE Calc'!$C$28)</f>
        <v/>
      </c>
      <c r="V1682" t="str">
        <f>IF(L1682="","",Q1682/'[1]LOCH Calc COE Calc'!$C$28)</f>
        <v/>
      </c>
      <c r="W1682" t="str">
        <f>IF(L1682="","",R1682/'[1]LOCH Calc COE Calc'!$C$28)</f>
        <v/>
      </c>
    </row>
    <row r="1683" spans="12:23" x14ac:dyDescent="0.25">
      <c r="L1683" s="4" t="str">
        <f>IF('[1]All Data '!BE1688="","",'[1]All Data '!BE1688)</f>
        <v/>
      </c>
      <c r="M1683" t="str">
        <f>IF('[1]All Data '!BF1688="","",'[1]All Data '!BF1688)</f>
        <v/>
      </c>
      <c r="N1683" s="5" t="str">
        <f>IF('[1]All Data '!BB1688="","",'[1]All Data '!BC1688/'[1]All Data '!BH1688)</f>
        <v/>
      </c>
      <c r="O1683" s="5" t="str">
        <f t="shared" si="28"/>
        <v/>
      </c>
      <c r="P1683" s="5" t="str">
        <f>IF(M1683="","",$C$2*(1-L1683)*907.2/0.621371*N1683*[1]Transportation!$M$40)</f>
        <v/>
      </c>
      <c r="Q1683" s="5" t="str">
        <f>IF(L1683="","",IF([1]Inputs_Outputs!$B$5="Herbaceous",(LCA!$E$29*'[1]LOCH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3" s="5" t="str">
        <f>IF(M1683="","",$E$2*1000*'[1]LOCH Calc COE Calc'!$C$44)</f>
        <v/>
      </c>
      <c r="S1683" s="6" t="str">
        <f>IF(N1683="","",SUM(O1683:R1683)/('[1]LOCH Calc COE Calc'!$C$28))</f>
        <v/>
      </c>
      <c r="T1683" t="str">
        <f>IF(L1683="","",O1683/'[1]LOCH Calc COE Calc'!$C$28)</f>
        <v/>
      </c>
      <c r="U1683" t="str">
        <f>IF(L1683="","",P1683/'[1]LOCH Calc COE Calc'!$C$28)</f>
        <v/>
      </c>
      <c r="V1683" t="str">
        <f>IF(L1683="","",Q1683/'[1]LOCH Calc COE Calc'!$C$28)</f>
        <v/>
      </c>
      <c r="W1683" t="str">
        <f>IF(L1683="","",R1683/'[1]LOCH Calc COE Calc'!$C$28)</f>
        <v/>
      </c>
    </row>
    <row r="1684" spans="12:23" x14ac:dyDescent="0.25">
      <c r="L1684" s="4" t="str">
        <f>IF('[1]All Data '!BE1689="","",'[1]All Data '!BE1689)</f>
        <v/>
      </c>
      <c r="M1684" t="str">
        <f>IF('[1]All Data '!BF1689="","",'[1]All Data '!BF1689)</f>
        <v/>
      </c>
      <c r="N1684" s="5" t="str">
        <f>IF('[1]All Data '!BB1689="","",'[1]All Data '!BC1689/'[1]All Data '!BH1689)</f>
        <v/>
      </c>
      <c r="O1684" s="5" t="str">
        <f t="shared" si="28"/>
        <v/>
      </c>
      <c r="P1684" s="5" t="str">
        <f>IF(M1684="","",$C$2*(1-L1684)*907.2/0.621371*N1684*[1]Transportation!$M$40)</f>
        <v/>
      </c>
      <c r="Q1684" s="5" t="str">
        <f>IF(L1684="","",IF([1]Inputs_Outputs!$B$5="Herbaceous",(LCA!$E$29*'[1]LOCH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4" s="5" t="str">
        <f>IF(M1684="","",$E$2*1000*'[1]LOCH Calc COE Calc'!$C$44)</f>
        <v/>
      </c>
      <c r="S1684" s="6" t="str">
        <f>IF(N1684="","",SUM(O1684:R1684)/('[1]LOCH Calc COE Calc'!$C$28))</f>
        <v/>
      </c>
      <c r="T1684" t="str">
        <f>IF(L1684="","",O1684/'[1]LOCH Calc COE Calc'!$C$28)</f>
        <v/>
      </c>
      <c r="U1684" t="str">
        <f>IF(L1684="","",P1684/'[1]LOCH Calc COE Calc'!$C$28)</f>
        <v/>
      </c>
      <c r="V1684" t="str">
        <f>IF(L1684="","",Q1684/'[1]LOCH Calc COE Calc'!$C$28)</f>
        <v/>
      </c>
      <c r="W1684" t="str">
        <f>IF(L1684="","",R1684/'[1]LOCH Calc COE Calc'!$C$28)</f>
        <v/>
      </c>
    </row>
    <row r="1685" spans="12:23" x14ac:dyDescent="0.25">
      <c r="L1685" s="4" t="str">
        <f>IF('[1]All Data '!BE1690="","",'[1]All Data '!BE1690)</f>
        <v/>
      </c>
      <c r="M1685" t="str">
        <f>IF('[1]All Data '!BF1690="","",'[1]All Data '!BF1690)</f>
        <v/>
      </c>
      <c r="N1685" s="5" t="str">
        <f>IF('[1]All Data '!BB1690="","",'[1]All Data '!BC1690/'[1]All Data '!BH1690)</f>
        <v/>
      </c>
      <c r="O1685" s="5" t="str">
        <f t="shared" si="28"/>
        <v/>
      </c>
      <c r="P1685" s="5" t="str">
        <f>IF(M1685="","",$C$2*(1-L1685)*907.2/0.621371*N1685*[1]Transportation!$M$40)</f>
        <v/>
      </c>
      <c r="Q1685" s="5" t="str">
        <f>IF(L1685="","",IF([1]Inputs_Outputs!$B$5="Herbaceous",(LCA!$E$29*'[1]LOCH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5" s="5" t="str">
        <f>IF(M1685="","",$E$2*1000*'[1]LOCH Calc COE Calc'!$C$44)</f>
        <v/>
      </c>
      <c r="S1685" s="6" t="str">
        <f>IF(N1685="","",SUM(O1685:R1685)/('[1]LOCH Calc COE Calc'!$C$28))</f>
        <v/>
      </c>
      <c r="T1685" t="str">
        <f>IF(L1685="","",O1685/'[1]LOCH Calc COE Calc'!$C$28)</f>
        <v/>
      </c>
      <c r="U1685" t="str">
        <f>IF(L1685="","",P1685/'[1]LOCH Calc COE Calc'!$C$28)</f>
        <v/>
      </c>
      <c r="V1685" t="str">
        <f>IF(L1685="","",Q1685/'[1]LOCH Calc COE Calc'!$C$28)</f>
        <v/>
      </c>
      <c r="W1685" t="str">
        <f>IF(L1685="","",R1685/'[1]LOCH Calc COE Calc'!$C$28)</f>
        <v/>
      </c>
    </row>
    <row r="1686" spans="12:23" x14ac:dyDescent="0.25">
      <c r="L1686" s="4" t="str">
        <f>IF('[1]All Data '!BE1691="","",'[1]All Data '!BE1691)</f>
        <v/>
      </c>
      <c r="M1686" t="str">
        <f>IF('[1]All Data '!BF1691="","",'[1]All Data '!BF1691)</f>
        <v/>
      </c>
      <c r="N1686" s="5" t="str">
        <f>IF('[1]All Data '!BB1691="","",'[1]All Data '!BC1691/'[1]All Data '!BH1691)</f>
        <v/>
      </c>
      <c r="O1686" s="5" t="str">
        <f t="shared" si="28"/>
        <v/>
      </c>
      <c r="P1686" s="5" t="str">
        <f>IF(M1686="","",$C$2*(1-L1686)*907.2/0.621371*N1686*[1]Transportation!$M$40)</f>
        <v/>
      </c>
      <c r="Q1686" s="5" t="str">
        <f>IF(L1686="","",IF([1]Inputs_Outputs!$B$5="Herbaceous",(LCA!$E$29*'[1]LOCH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6" s="5" t="str">
        <f>IF(M1686="","",$E$2*1000*'[1]LOCH Calc COE Calc'!$C$44)</f>
        <v/>
      </c>
      <c r="S1686" s="6" t="str">
        <f>IF(N1686="","",SUM(O1686:R1686)/('[1]LOCH Calc COE Calc'!$C$28))</f>
        <v/>
      </c>
      <c r="T1686" t="str">
        <f>IF(L1686="","",O1686/'[1]LOCH Calc COE Calc'!$C$28)</f>
        <v/>
      </c>
      <c r="U1686" t="str">
        <f>IF(L1686="","",P1686/'[1]LOCH Calc COE Calc'!$C$28)</f>
        <v/>
      </c>
      <c r="V1686" t="str">
        <f>IF(L1686="","",Q1686/'[1]LOCH Calc COE Calc'!$C$28)</f>
        <v/>
      </c>
      <c r="W1686" t="str">
        <f>IF(L1686="","",R1686/'[1]LOCH Calc COE Calc'!$C$28)</f>
        <v/>
      </c>
    </row>
    <row r="1687" spans="12:23" x14ac:dyDescent="0.25">
      <c r="L1687" s="4" t="str">
        <f>IF('[1]All Data '!BE1692="","",'[1]All Data '!BE1692)</f>
        <v/>
      </c>
      <c r="M1687" t="str">
        <f>IF('[1]All Data '!BF1692="","",'[1]All Data '!BF1692)</f>
        <v/>
      </c>
      <c r="N1687" s="5" t="str">
        <f>IF('[1]All Data '!BB1692="","",'[1]All Data '!BC1692/'[1]All Data '!BH1692)</f>
        <v/>
      </c>
      <c r="O1687" s="5" t="str">
        <f t="shared" si="28"/>
        <v/>
      </c>
      <c r="P1687" s="5" t="str">
        <f>IF(M1687="","",$C$2*(1-L1687)*907.2/0.621371*N1687*[1]Transportation!$M$40)</f>
        <v/>
      </c>
      <c r="Q1687" s="5" t="str">
        <f>IF(L1687="","",IF([1]Inputs_Outputs!$B$5="Herbaceous",(LCA!$E$29*'[1]LOCH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7" s="5" t="str">
        <f>IF(M1687="","",$E$2*1000*'[1]LOCH Calc COE Calc'!$C$44)</f>
        <v/>
      </c>
      <c r="S1687" s="6" t="str">
        <f>IF(N1687="","",SUM(O1687:R1687)/('[1]LOCH Calc COE Calc'!$C$28))</f>
        <v/>
      </c>
      <c r="T1687" t="str">
        <f>IF(L1687="","",O1687/'[1]LOCH Calc COE Calc'!$C$28)</f>
        <v/>
      </c>
      <c r="U1687" t="str">
        <f>IF(L1687="","",P1687/'[1]LOCH Calc COE Calc'!$C$28)</f>
        <v/>
      </c>
      <c r="V1687" t="str">
        <f>IF(L1687="","",Q1687/'[1]LOCH Calc COE Calc'!$C$28)</f>
        <v/>
      </c>
      <c r="W1687" t="str">
        <f>IF(L1687="","",R1687/'[1]LOCH Calc COE Calc'!$C$28)</f>
        <v/>
      </c>
    </row>
    <row r="1688" spans="12:23" x14ac:dyDescent="0.25">
      <c r="L1688" s="4" t="str">
        <f>IF('[1]All Data '!BE1693="","",'[1]All Data '!BE1693)</f>
        <v/>
      </c>
      <c r="M1688" t="str">
        <f>IF('[1]All Data '!BF1693="","",'[1]All Data '!BF1693)</f>
        <v/>
      </c>
      <c r="N1688" s="5" t="str">
        <f>IF('[1]All Data '!BB1693="","",'[1]All Data '!BC1693/'[1]All Data '!BH1693)</f>
        <v/>
      </c>
      <c r="O1688" s="5" t="str">
        <f t="shared" si="28"/>
        <v/>
      </c>
      <c r="P1688" s="5" t="str">
        <f>IF(M1688="","",$C$2*(1-L1688)*907.2/0.621371*N1688*[1]Transportation!$M$40)</f>
        <v/>
      </c>
      <c r="Q1688" s="5" t="str">
        <f>IF(L1688="","",IF([1]Inputs_Outputs!$B$5="Herbaceous",(LCA!$E$29*'[1]LOCH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8" s="5" t="str">
        <f>IF(M1688="","",$E$2*1000*'[1]LOCH Calc COE Calc'!$C$44)</f>
        <v/>
      </c>
      <c r="S1688" s="6" t="str">
        <f>IF(N1688="","",SUM(O1688:R1688)/('[1]LOCH Calc COE Calc'!$C$28))</f>
        <v/>
      </c>
      <c r="T1688" t="str">
        <f>IF(L1688="","",O1688/'[1]LOCH Calc COE Calc'!$C$28)</f>
        <v/>
      </c>
      <c r="U1688" t="str">
        <f>IF(L1688="","",P1688/'[1]LOCH Calc COE Calc'!$C$28)</f>
        <v/>
      </c>
      <c r="V1688" t="str">
        <f>IF(L1688="","",Q1688/'[1]LOCH Calc COE Calc'!$C$28)</f>
        <v/>
      </c>
      <c r="W1688" t="str">
        <f>IF(L1688="","",R1688/'[1]LOCH Calc COE Calc'!$C$28)</f>
        <v/>
      </c>
    </row>
    <row r="1689" spans="12:23" x14ac:dyDescent="0.25">
      <c r="L1689" s="4" t="str">
        <f>IF('[1]All Data '!BE1694="","",'[1]All Data '!BE1694)</f>
        <v/>
      </c>
      <c r="M1689" t="str">
        <f>IF('[1]All Data '!BF1694="","",'[1]All Data '!BF1694)</f>
        <v/>
      </c>
      <c r="N1689" s="5" t="str">
        <f>IF('[1]All Data '!BB1694="","",'[1]All Data '!BC1694/'[1]All Data '!BH1694)</f>
        <v/>
      </c>
      <c r="O1689" s="5" t="str">
        <f t="shared" si="28"/>
        <v/>
      </c>
      <c r="P1689" s="5" t="str">
        <f>IF(M1689="","",$C$2*(1-L1689)*907.2/0.621371*N1689*[1]Transportation!$M$40)</f>
        <v/>
      </c>
      <c r="Q1689" s="5" t="str">
        <f>IF(L1689="","",IF([1]Inputs_Outputs!$B$5="Herbaceous",(LCA!$E$29*'[1]LOCH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89" s="5" t="str">
        <f>IF(M1689="","",$E$2*1000*'[1]LOCH Calc COE Calc'!$C$44)</f>
        <v/>
      </c>
      <c r="S1689" s="6" t="str">
        <f>IF(N1689="","",SUM(O1689:R1689)/('[1]LOCH Calc COE Calc'!$C$28))</f>
        <v/>
      </c>
      <c r="T1689" t="str">
        <f>IF(L1689="","",O1689/'[1]LOCH Calc COE Calc'!$C$28)</f>
        <v/>
      </c>
      <c r="U1689" t="str">
        <f>IF(L1689="","",P1689/'[1]LOCH Calc COE Calc'!$C$28)</f>
        <v/>
      </c>
      <c r="V1689" t="str">
        <f>IF(L1689="","",Q1689/'[1]LOCH Calc COE Calc'!$C$28)</f>
        <v/>
      </c>
      <c r="W1689" t="str">
        <f>IF(L1689="","",R1689/'[1]LOCH Calc COE Calc'!$C$28)</f>
        <v/>
      </c>
    </row>
    <row r="1690" spans="12:23" x14ac:dyDescent="0.25">
      <c r="L1690" s="4" t="str">
        <f>IF('[1]All Data '!BE1695="","",'[1]All Data '!BE1695)</f>
        <v/>
      </c>
      <c r="M1690" t="str">
        <f>IF('[1]All Data '!BF1695="","",'[1]All Data '!BF1695)</f>
        <v/>
      </c>
      <c r="N1690" s="5" t="str">
        <f>IF('[1]All Data '!BB1695="","",'[1]All Data '!BC1695/'[1]All Data '!BH1695)</f>
        <v/>
      </c>
      <c r="O1690" s="5" t="str">
        <f t="shared" si="28"/>
        <v/>
      </c>
      <c r="P1690" s="5" t="str">
        <f>IF(M1690="","",$C$2*(1-L1690)*907.2/0.621371*N1690*[1]Transportation!$M$40)</f>
        <v/>
      </c>
      <c r="Q1690" s="5" t="str">
        <f>IF(L1690="","",IF([1]Inputs_Outputs!$B$5="Herbaceous",(LCA!$E$29*'[1]LOCH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0" s="5" t="str">
        <f>IF(M1690="","",$E$2*1000*'[1]LOCH Calc COE Calc'!$C$44)</f>
        <v/>
      </c>
      <c r="S1690" s="6" t="str">
        <f>IF(N1690="","",SUM(O1690:R1690)/('[1]LOCH Calc COE Calc'!$C$28))</f>
        <v/>
      </c>
      <c r="T1690" t="str">
        <f>IF(L1690="","",O1690/'[1]LOCH Calc COE Calc'!$C$28)</f>
        <v/>
      </c>
      <c r="U1690" t="str">
        <f>IF(L1690="","",P1690/'[1]LOCH Calc COE Calc'!$C$28)</f>
        <v/>
      </c>
      <c r="V1690" t="str">
        <f>IF(L1690="","",Q1690/'[1]LOCH Calc COE Calc'!$C$28)</f>
        <v/>
      </c>
      <c r="W1690" t="str">
        <f>IF(L1690="","",R1690/'[1]LOCH Calc COE Calc'!$C$28)</f>
        <v/>
      </c>
    </row>
    <row r="1691" spans="12:23" x14ac:dyDescent="0.25">
      <c r="L1691" s="4" t="str">
        <f>IF('[1]All Data '!BE1696="","",'[1]All Data '!BE1696)</f>
        <v/>
      </c>
      <c r="M1691" t="str">
        <f>IF('[1]All Data '!BF1696="","",'[1]All Data '!BF1696)</f>
        <v/>
      </c>
      <c r="N1691" s="5" t="str">
        <f>IF('[1]All Data '!BB1696="","",'[1]All Data '!BC1696/'[1]All Data '!BH1696)</f>
        <v/>
      </c>
      <c r="O1691" s="5" t="str">
        <f t="shared" si="28"/>
        <v/>
      </c>
      <c r="P1691" s="5" t="str">
        <f>IF(M1691="","",$C$2*(1-L1691)*907.2/0.621371*N1691*[1]Transportation!$M$40)</f>
        <v/>
      </c>
      <c r="Q1691" s="5" t="str">
        <f>IF(L1691="","",IF([1]Inputs_Outputs!$B$5="Herbaceous",(LCA!$E$29*'[1]LOCH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1" s="5" t="str">
        <f>IF(M1691="","",$E$2*1000*'[1]LOCH Calc COE Calc'!$C$44)</f>
        <v/>
      </c>
      <c r="S1691" s="6" t="str">
        <f>IF(N1691="","",SUM(O1691:R1691)/('[1]LOCH Calc COE Calc'!$C$28))</f>
        <v/>
      </c>
      <c r="T1691" t="str">
        <f>IF(L1691="","",O1691/'[1]LOCH Calc COE Calc'!$C$28)</f>
        <v/>
      </c>
      <c r="U1691" t="str">
        <f>IF(L1691="","",P1691/'[1]LOCH Calc COE Calc'!$C$28)</f>
        <v/>
      </c>
      <c r="V1691" t="str">
        <f>IF(L1691="","",Q1691/'[1]LOCH Calc COE Calc'!$C$28)</f>
        <v/>
      </c>
      <c r="W1691" t="str">
        <f>IF(L1691="","",R1691/'[1]LOCH Calc COE Calc'!$C$28)</f>
        <v/>
      </c>
    </row>
    <row r="1692" spans="12:23" x14ac:dyDescent="0.25">
      <c r="L1692" s="4" t="str">
        <f>IF('[1]All Data '!BE1697="","",'[1]All Data '!BE1697)</f>
        <v/>
      </c>
      <c r="M1692" t="str">
        <f>IF('[1]All Data '!BF1697="","",'[1]All Data '!BF1697)</f>
        <v/>
      </c>
      <c r="N1692" s="5" t="str">
        <f>IF('[1]All Data '!BB1697="","",'[1]All Data '!BC1697/'[1]All Data '!BH1697)</f>
        <v/>
      </c>
      <c r="O1692" s="5" t="str">
        <f t="shared" si="28"/>
        <v/>
      </c>
      <c r="P1692" s="5" t="str">
        <f>IF(M1692="","",$C$2*(1-L1692)*907.2/0.621371*N1692*[1]Transportation!$M$40)</f>
        <v/>
      </c>
      <c r="Q1692" s="5" t="str">
        <f>IF(L1692="","",IF([1]Inputs_Outputs!$B$5="Herbaceous",(LCA!$E$29*'[1]LOCH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2" s="5" t="str">
        <f>IF(M1692="","",$E$2*1000*'[1]LOCH Calc COE Calc'!$C$44)</f>
        <v/>
      </c>
      <c r="S1692" s="6" t="str">
        <f>IF(N1692="","",SUM(O1692:R1692)/('[1]LOCH Calc COE Calc'!$C$28))</f>
        <v/>
      </c>
      <c r="T1692" t="str">
        <f>IF(L1692="","",O1692/'[1]LOCH Calc COE Calc'!$C$28)</f>
        <v/>
      </c>
      <c r="U1692" t="str">
        <f>IF(L1692="","",P1692/'[1]LOCH Calc COE Calc'!$C$28)</f>
        <v/>
      </c>
      <c r="V1692" t="str">
        <f>IF(L1692="","",Q1692/'[1]LOCH Calc COE Calc'!$C$28)</f>
        <v/>
      </c>
      <c r="W1692" t="str">
        <f>IF(L1692="","",R1692/'[1]LOCH Calc COE Calc'!$C$28)</f>
        <v/>
      </c>
    </row>
    <row r="1693" spans="12:23" x14ac:dyDescent="0.25">
      <c r="L1693" s="4" t="str">
        <f>IF('[1]All Data '!BE1698="","",'[1]All Data '!BE1698)</f>
        <v/>
      </c>
      <c r="M1693" t="str">
        <f>IF('[1]All Data '!BF1698="","",'[1]All Data '!BF1698)</f>
        <v/>
      </c>
      <c r="N1693" s="5" t="str">
        <f>IF('[1]All Data '!BB1698="","",'[1]All Data '!BC1698/'[1]All Data '!BH1698)</f>
        <v/>
      </c>
      <c r="O1693" s="5" t="str">
        <f t="shared" si="28"/>
        <v/>
      </c>
      <c r="P1693" s="5" t="str">
        <f>IF(M1693="","",$C$2*(1-L1693)*907.2/0.621371*N1693*[1]Transportation!$M$40)</f>
        <v/>
      </c>
      <c r="Q1693" s="5" t="str">
        <f>IF(L1693="","",IF([1]Inputs_Outputs!$B$5="Herbaceous",(LCA!$E$29*'[1]LOCH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3" s="5" t="str">
        <f>IF(M1693="","",$E$2*1000*'[1]LOCH Calc COE Calc'!$C$44)</f>
        <v/>
      </c>
      <c r="S1693" s="6" t="str">
        <f>IF(N1693="","",SUM(O1693:R1693)/('[1]LOCH Calc COE Calc'!$C$28))</f>
        <v/>
      </c>
      <c r="T1693" t="str">
        <f>IF(L1693="","",O1693/'[1]LOCH Calc COE Calc'!$C$28)</f>
        <v/>
      </c>
      <c r="U1693" t="str">
        <f>IF(L1693="","",P1693/'[1]LOCH Calc COE Calc'!$C$28)</f>
        <v/>
      </c>
      <c r="V1693" t="str">
        <f>IF(L1693="","",Q1693/'[1]LOCH Calc COE Calc'!$C$28)</f>
        <v/>
      </c>
      <c r="W1693" t="str">
        <f>IF(L1693="","",R1693/'[1]LOCH Calc COE Calc'!$C$28)</f>
        <v/>
      </c>
    </row>
    <row r="1694" spans="12:23" x14ac:dyDescent="0.25">
      <c r="L1694" s="4" t="str">
        <f>IF('[1]All Data '!BE1699="","",'[1]All Data '!BE1699)</f>
        <v/>
      </c>
      <c r="M1694" t="str">
        <f>IF('[1]All Data '!BF1699="","",'[1]All Data '!BF1699)</f>
        <v/>
      </c>
      <c r="N1694" s="5" t="str">
        <f>IF('[1]All Data '!BB1699="","",'[1]All Data '!BC1699/'[1]All Data '!BH1699)</f>
        <v/>
      </c>
      <c r="O1694" s="5" t="str">
        <f t="shared" si="28"/>
        <v/>
      </c>
      <c r="P1694" s="5" t="str">
        <f>IF(M1694="","",$C$2*(1-L1694)*907.2/0.621371*N1694*[1]Transportation!$M$40)</f>
        <v/>
      </c>
      <c r="Q1694" s="5" t="str">
        <f>IF(L1694="","",IF([1]Inputs_Outputs!$B$5="Herbaceous",(LCA!$E$29*'[1]LOCH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4" s="5" t="str">
        <f>IF(M1694="","",$E$2*1000*'[1]LOCH Calc COE Calc'!$C$44)</f>
        <v/>
      </c>
      <c r="S1694" s="6" t="str">
        <f>IF(N1694="","",SUM(O1694:R1694)/('[1]LOCH Calc COE Calc'!$C$28))</f>
        <v/>
      </c>
      <c r="T1694" t="str">
        <f>IF(L1694="","",O1694/'[1]LOCH Calc COE Calc'!$C$28)</f>
        <v/>
      </c>
      <c r="U1694" t="str">
        <f>IF(L1694="","",P1694/'[1]LOCH Calc COE Calc'!$C$28)</f>
        <v/>
      </c>
      <c r="V1694" t="str">
        <f>IF(L1694="","",Q1694/'[1]LOCH Calc COE Calc'!$C$28)</f>
        <v/>
      </c>
      <c r="W1694" t="str">
        <f>IF(L1694="","",R1694/'[1]LOCH Calc COE Calc'!$C$28)</f>
        <v/>
      </c>
    </row>
    <row r="1695" spans="12:23" x14ac:dyDescent="0.25">
      <c r="L1695" s="4" t="str">
        <f>IF('[1]All Data '!BE1700="","",'[1]All Data '!BE1700)</f>
        <v/>
      </c>
      <c r="M1695" t="str">
        <f>IF('[1]All Data '!BF1700="","",'[1]All Data '!BF1700)</f>
        <v/>
      </c>
      <c r="N1695" s="5" t="str">
        <f>IF('[1]All Data '!BB1700="","",'[1]All Data '!BC1700/'[1]All Data '!BH1700)</f>
        <v/>
      </c>
      <c r="O1695" s="5" t="str">
        <f t="shared" si="28"/>
        <v/>
      </c>
      <c r="P1695" s="5" t="str">
        <f>IF(M1695="","",$C$2*(1-L1695)*907.2/0.621371*N1695*[1]Transportation!$M$40)</f>
        <v/>
      </c>
      <c r="Q1695" s="5" t="str">
        <f>IF(L1695="","",IF([1]Inputs_Outputs!$B$5="Herbaceous",(LCA!$E$29*'[1]LOCH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5" s="5" t="str">
        <f>IF(M1695="","",$E$2*1000*'[1]LOCH Calc COE Calc'!$C$44)</f>
        <v/>
      </c>
      <c r="S1695" s="6" t="str">
        <f>IF(N1695="","",SUM(O1695:R1695)/('[1]LOCH Calc COE Calc'!$C$28))</f>
        <v/>
      </c>
      <c r="T1695" t="str">
        <f>IF(L1695="","",O1695/'[1]LOCH Calc COE Calc'!$C$28)</f>
        <v/>
      </c>
      <c r="U1695" t="str">
        <f>IF(L1695="","",P1695/'[1]LOCH Calc COE Calc'!$C$28)</f>
        <v/>
      </c>
      <c r="V1695" t="str">
        <f>IF(L1695="","",Q1695/'[1]LOCH Calc COE Calc'!$C$28)</f>
        <v/>
      </c>
      <c r="W1695" t="str">
        <f>IF(L1695="","",R1695/'[1]LOCH Calc COE Calc'!$C$28)</f>
        <v/>
      </c>
    </row>
    <row r="1696" spans="12:23" x14ac:dyDescent="0.25">
      <c r="L1696" s="4" t="str">
        <f>IF('[1]All Data '!BE1701="","",'[1]All Data '!BE1701)</f>
        <v/>
      </c>
      <c r="M1696" t="str">
        <f>IF('[1]All Data '!BF1701="","",'[1]All Data '!BF1701)</f>
        <v/>
      </c>
      <c r="N1696" s="5" t="str">
        <f>IF('[1]All Data '!BB1701="","",'[1]All Data '!BC1701/'[1]All Data '!BH1701)</f>
        <v/>
      </c>
      <c r="O1696" s="5" t="str">
        <f t="shared" si="28"/>
        <v/>
      </c>
      <c r="P1696" s="5" t="str">
        <f>IF(M1696="","",$C$2*(1-L1696)*907.2/0.621371*N1696*[1]Transportation!$M$40)</f>
        <v/>
      </c>
      <c r="Q1696" s="5" t="str">
        <f>IF(L1696="","",IF([1]Inputs_Outputs!$B$5="Herbaceous",(LCA!$E$29*'[1]LOCH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6" s="5" t="str">
        <f>IF(M1696="","",$E$2*1000*'[1]LOCH Calc COE Calc'!$C$44)</f>
        <v/>
      </c>
      <c r="S1696" s="6" t="str">
        <f>IF(N1696="","",SUM(O1696:R1696)/('[1]LOCH Calc COE Calc'!$C$28))</f>
        <v/>
      </c>
      <c r="T1696" t="str">
        <f>IF(L1696="","",O1696/'[1]LOCH Calc COE Calc'!$C$28)</f>
        <v/>
      </c>
      <c r="U1696" t="str">
        <f>IF(L1696="","",P1696/'[1]LOCH Calc COE Calc'!$C$28)</f>
        <v/>
      </c>
      <c r="V1696" t="str">
        <f>IF(L1696="","",Q1696/'[1]LOCH Calc COE Calc'!$C$28)</f>
        <v/>
      </c>
      <c r="W1696" t="str">
        <f>IF(L1696="","",R1696/'[1]LOCH Calc COE Calc'!$C$28)</f>
        <v/>
      </c>
    </row>
    <row r="1697" spans="12:23" x14ac:dyDescent="0.25">
      <c r="L1697" s="4" t="str">
        <f>IF('[1]All Data '!BE1702="","",'[1]All Data '!BE1702)</f>
        <v/>
      </c>
      <c r="M1697" t="str">
        <f>IF('[1]All Data '!BF1702="","",'[1]All Data '!BF1702)</f>
        <v/>
      </c>
      <c r="N1697" s="5" t="str">
        <f>IF('[1]All Data '!BB1702="","",'[1]All Data '!BC1702/'[1]All Data '!BH1702)</f>
        <v/>
      </c>
      <c r="O1697" s="5" t="str">
        <f t="shared" si="28"/>
        <v/>
      </c>
      <c r="P1697" s="5" t="str">
        <f>IF(M1697="","",$C$2*(1-L1697)*907.2/0.621371*N1697*[1]Transportation!$M$40)</f>
        <v/>
      </c>
      <c r="Q1697" s="5" t="str">
        <f>IF(L1697="","",IF([1]Inputs_Outputs!$B$5="Herbaceous",(LCA!$E$29*'[1]LOCH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7" s="5" t="str">
        <f>IF(M1697="","",$E$2*1000*'[1]LOCH Calc COE Calc'!$C$44)</f>
        <v/>
      </c>
      <c r="S1697" s="6" t="str">
        <f>IF(N1697="","",SUM(O1697:R1697)/('[1]LOCH Calc COE Calc'!$C$28))</f>
        <v/>
      </c>
      <c r="T1697" t="str">
        <f>IF(L1697="","",O1697/'[1]LOCH Calc COE Calc'!$C$28)</f>
        <v/>
      </c>
      <c r="U1697" t="str">
        <f>IF(L1697="","",P1697/'[1]LOCH Calc COE Calc'!$C$28)</f>
        <v/>
      </c>
      <c r="V1697" t="str">
        <f>IF(L1697="","",Q1697/'[1]LOCH Calc COE Calc'!$C$28)</f>
        <v/>
      </c>
      <c r="W1697" t="str">
        <f>IF(L1697="","",R1697/'[1]LOCH Calc COE Calc'!$C$28)</f>
        <v/>
      </c>
    </row>
    <row r="1698" spans="12:23" x14ac:dyDescent="0.25">
      <c r="L1698" s="4" t="str">
        <f>IF('[1]All Data '!BE1703="","",'[1]All Data '!BE1703)</f>
        <v/>
      </c>
      <c r="M1698" t="str">
        <f>IF('[1]All Data '!BF1703="","",'[1]All Data '!BF1703)</f>
        <v/>
      </c>
      <c r="N1698" s="5" t="str">
        <f>IF('[1]All Data '!BB1703="","",'[1]All Data '!BC1703/'[1]All Data '!BH1703)</f>
        <v/>
      </c>
      <c r="O1698" s="5" t="str">
        <f t="shared" si="28"/>
        <v/>
      </c>
      <c r="P1698" s="5" t="str">
        <f>IF(M1698="","",$C$2*(1-L1698)*907.2/0.621371*N1698*[1]Transportation!$M$40)</f>
        <v/>
      </c>
      <c r="Q1698" s="5" t="str">
        <f>IF(L1698="","",IF([1]Inputs_Outputs!$B$5="Herbaceous",(LCA!$E$29*'[1]LOCH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8" s="5" t="str">
        <f>IF(M1698="","",$E$2*1000*'[1]LOCH Calc COE Calc'!$C$44)</f>
        <v/>
      </c>
      <c r="S1698" s="6" t="str">
        <f>IF(N1698="","",SUM(O1698:R1698)/('[1]LOCH Calc COE Calc'!$C$28))</f>
        <v/>
      </c>
      <c r="T1698" t="str">
        <f>IF(L1698="","",O1698/'[1]LOCH Calc COE Calc'!$C$28)</f>
        <v/>
      </c>
      <c r="U1698" t="str">
        <f>IF(L1698="","",P1698/'[1]LOCH Calc COE Calc'!$C$28)</f>
        <v/>
      </c>
      <c r="V1698" t="str">
        <f>IF(L1698="","",Q1698/'[1]LOCH Calc COE Calc'!$C$28)</f>
        <v/>
      </c>
      <c r="W1698" t="str">
        <f>IF(L1698="","",R1698/'[1]LOCH Calc COE Calc'!$C$28)</f>
        <v/>
      </c>
    </row>
    <row r="1699" spans="12:23" x14ac:dyDescent="0.25">
      <c r="L1699" s="4" t="str">
        <f>IF('[1]All Data '!BE1704="","",'[1]All Data '!BE1704)</f>
        <v/>
      </c>
      <c r="M1699" t="str">
        <f>IF('[1]All Data '!BF1704="","",'[1]All Data '!BF1704)</f>
        <v/>
      </c>
      <c r="N1699" s="5" t="str">
        <f>IF('[1]All Data '!BB1704="","",'[1]All Data '!BC1704/'[1]All Data '!BH1704)</f>
        <v/>
      </c>
      <c r="O1699" s="5" t="str">
        <f t="shared" si="28"/>
        <v/>
      </c>
      <c r="P1699" s="5" t="str">
        <f>IF(M1699="","",$C$2*(1-L1699)*907.2/0.621371*N1699*[1]Transportation!$M$40)</f>
        <v/>
      </c>
      <c r="Q1699" s="5" t="str">
        <f>IF(L1699="","",IF([1]Inputs_Outputs!$B$5="Herbaceous",(LCA!$E$29*'[1]LOCH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699" s="5" t="str">
        <f>IF(M1699="","",$E$2*1000*'[1]LOCH Calc COE Calc'!$C$44)</f>
        <v/>
      </c>
      <c r="S1699" s="6" t="str">
        <f>IF(N1699="","",SUM(O1699:R1699)/('[1]LOCH Calc COE Calc'!$C$28))</f>
        <v/>
      </c>
      <c r="T1699" t="str">
        <f>IF(L1699="","",O1699/'[1]LOCH Calc COE Calc'!$C$28)</f>
        <v/>
      </c>
      <c r="U1699" t="str">
        <f>IF(L1699="","",P1699/'[1]LOCH Calc COE Calc'!$C$28)</f>
        <v/>
      </c>
      <c r="V1699" t="str">
        <f>IF(L1699="","",Q1699/'[1]LOCH Calc COE Calc'!$C$28)</f>
        <v/>
      </c>
      <c r="W1699" t="str">
        <f>IF(L1699="","",R1699/'[1]LOCH Calc COE Calc'!$C$28)</f>
        <v/>
      </c>
    </row>
    <row r="1700" spans="12:23" x14ac:dyDescent="0.25">
      <c r="L1700" s="4" t="str">
        <f>IF('[1]All Data '!BE1705="","",'[1]All Data '!BE1705)</f>
        <v/>
      </c>
      <c r="M1700" t="str">
        <f>IF('[1]All Data '!BF1705="","",'[1]All Data '!BF1705)</f>
        <v/>
      </c>
      <c r="N1700" s="5" t="str">
        <f>IF('[1]All Data '!BB1705="","",'[1]All Data '!BC1705/'[1]All Data '!BH1705)</f>
        <v/>
      </c>
      <c r="O1700" s="5" t="str">
        <f t="shared" si="28"/>
        <v/>
      </c>
      <c r="P1700" s="5" t="str">
        <f>IF(M1700="","",$C$2*(1-L1700)*907.2/0.621371*N1700*[1]Transportation!$M$40)</f>
        <v/>
      </c>
      <c r="Q1700" s="5" t="str">
        <f>IF(L1700="","",IF([1]Inputs_Outputs!$B$5="Herbaceous",(LCA!$E$29*'[1]LOCH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0" s="5" t="str">
        <f>IF(M1700="","",$E$2*1000*'[1]LOCH Calc COE Calc'!$C$44)</f>
        <v/>
      </c>
      <c r="S1700" s="6" t="str">
        <f>IF(N1700="","",SUM(O1700:R1700)/('[1]LOCH Calc COE Calc'!$C$28))</f>
        <v/>
      </c>
      <c r="T1700" t="str">
        <f>IF(L1700="","",O1700/'[1]LOCH Calc COE Calc'!$C$28)</f>
        <v/>
      </c>
      <c r="U1700" t="str">
        <f>IF(L1700="","",P1700/'[1]LOCH Calc COE Calc'!$C$28)</f>
        <v/>
      </c>
      <c r="V1700" t="str">
        <f>IF(L1700="","",Q1700/'[1]LOCH Calc COE Calc'!$C$28)</f>
        <v/>
      </c>
      <c r="W1700" t="str">
        <f>IF(L1700="","",R1700/'[1]LOCH Calc COE Calc'!$C$28)</f>
        <v/>
      </c>
    </row>
    <row r="1701" spans="12:23" x14ac:dyDescent="0.25">
      <c r="L1701" s="4" t="str">
        <f>IF('[1]All Data '!BE1706="","",'[1]All Data '!BE1706)</f>
        <v/>
      </c>
      <c r="M1701" t="str">
        <f>IF('[1]All Data '!BF1706="","",'[1]All Data '!BF1706)</f>
        <v/>
      </c>
      <c r="N1701" s="5" t="str">
        <f>IF('[1]All Data '!BB1706="","",'[1]All Data '!BC1706/'[1]All Data '!BH1706)</f>
        <v/>
      </c>
      <c r="O1701" s="5" t="str">
        <f t="shared" si="28"/>
        <v/>
      </c>
      <c r="P1701" s="5" t="str">
        <f>IF(M1701="","",$C$2*(1-L1701)*907.2/0.621371*N1701*[1]Transportation!$M$40)</f>
        <v/>
      </c>
      <c r="Q1701" s="5" t="str">
        <f>IF(L1701="","",IF([1]Inputs_Outputs!$B$5="Herbaceous",(LCA!$E$29*'[1]LOCH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1" s="5" t="str">
        <f>IF(M1701="","",$E$2*1000*'[1]LOCH Calc COE Calc'!$C$44)</f>
        <v/>
      </c>
      <c r="S1701" s="6" t="str">
        <f>IF(N1701="","",SUM(O1701:R1701)/('[1]LOCH Calc COE Calc'!$C$28))</f>
        <v/>
      </c>
      <c r="T1701" t="str">
        <f>IF(L1701="","",O1701/'[1]LOCH Calc COE Calc'!$C$28)</f>
        <v/>
      </c>
      <c r="U1701" t="str">
        <f>IF(L1701="","",P1701/'[1]LOCH Calc COE Calc'!$C$28)</f>
        <v/>
      </c>
      <c r="V1701" t="str">
        <f>IF(L1701="","",Q1701/'[1]LOCH Calc COE Calc'!$C$28)</f>
        <v/>
      </c>
      <c r="W1701" t="str">
        <f>IF(L1701="","",R1701/'[1]LOCH Calc COE Calc'!$C$28)</f>
        <v/>
      </c>
    </row>
    <row r="1702" spans="12:23" x14ac:dyDescent="0.25">
      <c r="L1702" s="4" t="str">
        <f>IF('[1]All Data '!BE1707="","",'[1]All Data '!BE1707)</f>
        <v/>
      </c>
      <c r="M1702" t="str">
        <f>IF('[1]All Data '!BF1707="","",'[1]All Data '!BF1707)</f>
        <v/>
      </c>
      <c r="N1702" s="5" t="str">
        <f>IF('[1]All Data '!BB1707="","",'[1]All Data '!BC1707/'[1]All Data '!BH1707)</f>
        <v/>
      </c>
      <c r="O1702" s="5" t="str">
        <f t="shared" si="28"/>
        <v/>
      </c>
      <c r="P1702" s="5" t="str">
        <f>IF(M1702="","",$C$2*(1-L1702)*907.2/0.621371*N1702*[1]Transportation!$M$40)</f>
        <v/>
      </c>
      <c r="Q1702" s="5" t="str">
        <f>IF(L1702="","",IF([1]Inputs_Outputs!$B$5="Herbaceous",(LCA!$E$29*'[1]LOCH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2" s="5" t="str">
        <f>IF(M1702="","",$E$2*1000*'[1]LOCH Calc COE Calc'!$C$44)</f>
        <v/>
      </c>
      <c r="S1702" s="6" t="str">
        <f>IF(N1702="","",SUM(O1702:R1702)/('[1]LOCH Calc COE Calc'!$C$28))</f>
        <v/>
      </c>
      <c r="T1702" t="str">
        <f>IF(L1702="","",O1702/'[1]LOCH Calc COE Calc'!$C$28)</f>
        <v/>
      </c>
      <c r="U1702" t="str">
        <f>IF(L1702="","",P1702/'[1]LOCH Calc COE Calc'!$C$28)</f>
        <v/>
      </c>
      <c r="V1702" t="str">
        <f>IF(L1702="","",Q1702/'[1]LOCH Calc COE Calc'!$C$28)</f>
        <v/>
      </c>
      <c r="W1702" t="str">
        <f>IF(L1702="","",R1702/'[1]LOCH Calc COE Calc'!$C$28)</f>
        <v/>
      </c>
    </row>
    <row r="1703" spans="12:23" x14ac:dyDescent="0.25">
      <c r="L1703" s="4" t="str">
        <f>IF('[1]All Data '!BE1708="","",'[1]All Data '!BE1708)</f>
        <v/>
      </c>
      <c r="M1703" t="str">
        <f>IF('[1]All Data '!BF1708="","",'[1]All Data '!BF1708)</f>
        <v/>
      </c>
      <c r="N1703" s="5" t="str">
        <f>IF('[1]All Data '!BB1708="","",'[1]All Data '!BC1708/'[1]All Data '!BH1708)</f>
        <v/>
      </c>
      <c r="O1703" s="5" t="str">
        <f t="shared" si="28"/>
        <v/>
      </c>
      <c r="P1703" s="5" t="str">
        <f>IF(M1703="","",$C$2*(1-L1703)*907.2/0.621371*N1703*[1]Transportation!$M$40)</f>
        <v/>
      </c>
      <c r="Q1703" s="5" t="str">
        <f>IF(L1703="","",IF([1]Inputs_Outputs!$B$5="Herbaceous",(LCA!$E$29*'[1]LOCH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3" s="5" t="str">
        <f>IF(M1703="","",$E$2*1000*'[1]LOCH Calc COE Calc'!$C$44)</f>
        <v/>
      </c>
      <c r="S1703" s="6" t="str">
        <f>IF(N1703="","",SUM(O1703:R1703)/('[1]LOCH Calc COE Calc'!$C$28))</f>
        <v/>
      </c>
      <c r="T1703" t="str">
        <f>IF(L1703="","",O1703/'[1]LOCH Calc COE Calc'!$C$28)</f>
        <v/>
      </c>
      <c r="U1703" t="str">
        <f>IF(L1703="","",P1703/'[1]LOCH Calc COE Calc'!$C$28)</f>
        <v/>
      </c>
      <c r="V1703" t="str">
        <f>IF(L1703="","",Q1703/'[1]LOCH Calc COE Calc'!$C$28)</f>
        <v/>
      </c>
      <c r="W1703" t="str">
        <f>IF(L1703="","",R1703/'[1]LOCH Calc COE Calc'!$C$28)</f>
        <v/>
      </c>
    </row>
    <row r="1704" spans="12:23" x14ac:dyDescent="0.25">
      <c r="L1704" s="4" t="str">
        <f>IF('[1]All Data '!BE1709="","",'[1]All Data '!BE1709)</f>
        <v/>
      </c>
      <c r="M1704" t="str">
        <f>IF('[1]All Data '!BF1709="","",'[1]All Data '!BF1709)</f>
        <v/>
      </c>
      <c r="N1704" s="5" t="str">
        <f>IF('[1]All Data '!BB1709="","",'[1]All Data '!BC1709/'[1]All Data '!BH1709)</f>
        <v/>
      </c>
      <c r="O1704" s="5" t="str">
        <f t="shared" si="28"/>
        <v/>
      </c>
      <c r="P1704" s="5" t="str">
        <f>IF(M1704="","",$C$2*(1-L1704)*907.2/0.621371*N1704*[1]Transportation!$M$40)</f>
        <v/>
      </c>
      <c r="Q1704" s="5" t="str">
        <f>IF(L1704="","",IF([1]Inputs_Outputs!$B$5="Herbaceous",(LCA!$E$29*'[1]LOCH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4" s="5" t="str">
        <f>IF(M1704="","",$E$2*1000*'[1]LOCH Calc COE Calc'!$C$44)</f>
        <v/>
      </c>
      <c r="S1704" s="6" t="str">
        <f>IF(N1704="","",SUM(O1704:R1704)/('[1]LOCH Calc COE Calc'!$C$28))</f>
        <v/>
      </c>
      <c r="T1704" t="str">
        <f>IF(L1704="","",O1704/'[1]LOCH Calc COE Calc'!$C$28)</f>
        <v/>
      </c>
      <c r="U1704" t="str">
        <f>IF(L1704="","",P1704/'[1]LOCH Calc COE Calc'!$C$28)</f>
        <v/>
      </c>
      <c r="V1704" t="str">
        <f>IF(L1704="","",Q1704/'[1]LOCH Calc COE Calc'!$C$28)</f>
        <v/>
      </c>
      <c r="W1704" t="str">
        <f>IF(L1704="","",R1704/'[1]LOCH Calc COE Calc'!$C$28)</f>
        <v/>
      </c>
    </row>
    <row r="1705" spans="12:23" x14ac:dyDescent="0.25">
      <c r="L1705" s="4" t="str">
        <f>IF('[1]All Data '!BE1710="","",'[1]All Data '!BE1710)</f>
        <v/>
      </c>
      <c r="M1705" t="str">
        <f>IF('[1]All Data '!BF1710="","",'[1]All Data '!BF1710)</f>
        <v/>
      </c>
      <c r="N1705" s="5" t="str">
        <f>IF('[1]All Data '!BB1710="","",'[1]All Data '!BC1710/'[1]All Data '!BH1710)</f>
        <v/>
      </c>
      <c r="O1705" s="5" t="str">
        <f t="shared" si="28"/>
        <v/>
      </c>
      <c r="P1705" s="5" t="str">
        <f>IF(M1705="","",$C$2*(1-L1705)*907.2/0.621371*N1705*[1]Transportation!$M$40)</f>
        <v/>
      </c>
      <c r="Q1705" s="5" t="str">
        <f>IF(L1705="","",IF([1]Inputs_Outputs!$B$5="Herbaceous",(LCA!$E$29*'[1]LOCH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5" s="5" t="str">
        <f>IF(M1705="","",$E$2*1000*'[1]LOCH Calc COE Calc'!$C$44)</f>
        <v/>
      </c>
      <c r="S1705" s="6" t="str">
        <f>IF(N1705="","",SUM(O1705:R1705)/('[1]LOCH Calc COE Calc'!$C$28))</f>
        <v/>
      </c>
      <c r="T1705" t="str">
        <f>IF(L1705="","",O1705/'[1]LOCH Calc COE Calc'!$C$28)</f>
        <v/>
      </c>
      <c r="U1705" t="str">
        <f>IF(L1705="","",P1705/'[1]LOCH Calc COE Calc'!$C$28)</f>
        <v/>
      </c>
      <c r="V1705" t="str">
        <f>IF(L1705="","",Q1705/'[1]LOCH Calc COE Calc'!$C$28)</f>
        <v/>
      </c>
      <c r="W1705" t="str">
        <f>IF(L1705="","",R1705/'[1]LOCH Calc COE Calc'!$C$28)</f>
        <v/>
      </c>
    </row>
    <row r="1706" spans="12:23" x14ac:dyDescent="0.25">
      <c r="L1706" s="4" t="str">
        <f>IF('[1]All Data '!BE1711="","",'[1]All Data '!BE1711)</f>
        <v/>
      </c>
      <c r="M1706" t="str">
        <f>IF('[1]All Data '!BF1711="","",'[1]All Data '!BF1711)</f>
        <v/>
      </c>
      <c r="N1706" s="5" t="str">
        <f>IF('[1]All Data '!BB1711="","",'[1]All Data '!BC1711/'[1]All Data '!BH1711)</f>
        <v/>
      </c>
      <c r="O1706" s="5" t="str">
        <f t="shared" si="28"/>
        <v/>
      </c>
      <c r="P1706" s="5" t="str">
        <f>IF(M1706="","",$C$2*(1-L1706)*907.2/0.621371*N1706*[1]Transportation!$M$40)</f>
        <v/>
      </c>
      <c r="Q1706" s="5" t="str">
        <f>IF(L1706="","",IF([1]Inputs_Outputs!$B$5="Herbaceous",(LCA!$E$29*'[1]LOCH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6" s="5" t="str">
        <f>IF(M1706="","",$E$2*1000*'[1]LOCH Calc COE Calc'!$C$44)</f>
        <v/>
      </c>
      <c r="S1706" s="6" t="str">
        <f>IF(N1706="","",SUM(O1706:R1706)/('[1]LOCH Calc COE Calc'!$C$28))</f>
        <v/>
      </c>
      <c r="T1706" t="str">
        <f>IF(L1706="","",O1706/'[1]LOCH Calc COE Calc'!$C$28)</f>
        <v/>
      </c>
      <c r="U1706" t="str">
        <f>IF(L1706="","",P1706/'[1]LOCH Calc COE Calc'!$C$28)</f>
        <v/>
      </c>
      <c r="V1706" t="str">
        <f>IF(L1706="","",Q1706/'[1]LOCH Calc COE Calc'!$C$28)</f>
        <v/>
      </c>
      <c r="W1706" t="str">
        <f>IF(L1706="","",R1706/'[1]LOCH Calc COE Calc'!$C$28)</f>
        <v/>
      </c>
    </row>
    <row r="1707" spans="12:23" x14ac:dyDescent="0.25">
      <c r="L1707" s="4" t="str">
        <f>IF('[1]All Data '!BE1712="","",'[1]All Data '!BE1712)</f>
        <v/>
      </c>
      <c r="M1707" t="str">
        <f>IF('[1]All Data '!BF1712="","",'[1]All Data '!BF1712)</f>
        <v/>
      </c>
      <c r="N1707" s="5" t="str">
        <f>IF('[1]All Data '!BB1712="","",'[1]All Data '!BC1712/'[1]All Data '!BH1712)</f>
        <v/>
      </c>
      <c r="O1707" s="5" t="str">
        <f t="shared" si="28"/>
        <v/>
      </c>
      <c r="P1707" s="5" t="str">
        <f>IF(M1707="","",$C$2*(1-L1707)*907.2/0.621371*N1707*[1]Transportation!$M$40)</f>
        <v/>
      </c>
      <c r="Q1707" s="5" t="str">
        <f>IF(L1707="","",IF([1]Inputs_Outputs!$B$5="Herbaceous",(LCA!$E$29*'[1]LOCH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7" s="5" t="str">
        <f>IF(M1707="","",$E$2*1000*'[1]LOCH Calc COE Calc'!$C$44)</f>
        <v/>
      </c>
      <c r="S1707" s="6" t="str">
        <f>IF(N1707="","",SUM(O1707:R1707)/('[1]LOCH Calc COE Calc'!$C$28))</f>
        <v/>
      </c>
      <c r="T1707" t="str">
        <f>IF(L1707="","",O1707/'[1]LOCH Calc COE Calc'!$C$28)</f>
        <v/>
      </c>
      <c r="U1707" t="str">
        <f>IF(L1707="","",P1707/'[1]LOCH Calc COE Calc'!$C$28)</f>
        <v/>
      </c>
      <c r="V1707" t="str">
        <f>IF(L1707="","",Q1707/'[1]LOCH Calc COE Calc'!$C$28)</f>
        <v/>
      </c>
      <c r="W1707" t="str">
        <f>IF(L1707="","",R1707/'[1]LOCH Calc COE Calc'!$C$28)</f>
        <v/>
      </c>
    </row>
    <row r="1708" spans="12:23" x14ac:dyDescent="0.25">
      <c r="L1708" s="4" t="str">
        <f>IF('[1]All Data '!BE1713="","",'[1]All Data '!BE1713)</f>
        <v/>
      </c>
      <c r="M1708" t="str">
        <f>IF('[1]All Data '!BF1713="","",'[1]All Data '!BF1713)</f>
        <v/>
      </c>
      <c r="N1708" s="5" t="str">
        <f>IF('[1]All Data '!BB1713="","",'[1]All Data '!BC1713/'[1]All Data '!BH1713)</f>
        <v/>
      </c>
      <c r="O1708" s="5" t="str">
        <f t="shared" si="28"/>
        <v/>
      </c>
      <c r="P1708" s="5" t="str">
        <f>IF(M1708="","",$C$2*(1-L1708)*907.2/0.621371*N1708*[1]Transportation!$M$40)</f>
        <v/>
      </c>
      <c r="Q1708" s="5" t="str">
        <f>IF(L1708="","",IF([1]Inputs_Outputs!$B$5="Herbaceous",(LCA!$E$29*'[1]LOCH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8" s="5" t="str">
        <f>IF(M1708="","",$E$2*1000*'[1]LOCH Calc COE Calc'!$C$44)</f>
        <v/>
      </c>
      <c r="S1708" s="6" t="str">
        <f>IF(N1708="","",SUM(O1708:R1708)/('[1]LOCH Calc COE Calc'!$C$28))</f>
        <v/>
      </c>
      <c r="T1708" t="str">
        <f>IF(L1708="","",O1708/'[1]LOCH Calc COE Calc'!$C$28)</f>
        <v/>
      </c>
      <c r="U1708" t="str">
        <f>IF(L1708="","",P1708/'[1]LOCH Calc COE Calc'!$C$28)</f>
        <v/>
      </c>
      <c r="V1708" t="str">
        <f>IF(L1708="","",Q1708/'[1]LOCH Calc COE Calc'!$C$28)</f>
        <v/>
      </c>
      <c r="W1708" t="str">
        <f>IF(L1708="","",R1708/'[1]LOCH Calc COE Calc'!$C$28)</f>
        <v/>
      </c>
    </row>
    <row r="1709" spans="12:23" x14ac:dyDescent="0.25">
      <c r="L1709" s="4" t="str">
        <f>IF('[1]All Data '!BE1714="","",'[1]All Data '!BE1714)</f>
        <v/>
      </c>
      <c r="M1709" t="str">
        <f>IF('[1]All Data '!BF1714="","",'[1]All Data '!BF1714)</f>
        <v/>
      </c>
      <c r="N1709" s="5" t="str">
        <f>IF('[1]All Data '!BB1714="","",'[1]All Data '!BC1714/'[1]All Data '!BH1714)</f>
        <v/>
      </c>
      <c r="O1709" s="5" t="str">
        <f t="shared" si="28"/>
        <v/>
      </c>
      <c r="P1709" s="5" t="str">
        <f>IF(M1709="","",$C$2*(1-L1709)*907.2/0.621371*N1709*[1]Transportation!$M$40)</f>
        <v/>
      </c>
      <c r="Q1709" s="5" t="str">
        <f>IF(L1709="","",IF([1]Inputs_Outputs!$B$5="Herbaceous",(LCA!$E$29*'[1]LOCH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09" s="5" t="str">
        <f>IF(M1709="","",$E$2*1000*'[1]LOCH Calc COE Calc'!$C$44)</f>
        <v/>
      </c>
      <c r="S1709" s="6" t="str">
        <f>IF(N1709="","",SUM(O1709:R1709)/('[1]LOCH Calc COE Calc'!$C$28))</f>
        <v/>
      </c>
      <c r="T1709" t="str">
        <f>IF(L1709="","",O1709/'[1]LOCH Calc COE Calc'!$C$28)</f>
        <v/>
      </c>
      <c r="U1709" t="str">
        <f>IF(L1709="","",P1709/'[1]LOCH Calc COE Calc'!$C$28)</f>
        <v/>
      </c>
      <c r="V1709" t="str">
        <f>IF(L1709="","",Q1709/'[1]LOCH Calc COE Calc'!$C$28)</f>
        <v/>
      </c>
      <c r="W1709" t="str">
        <f>IF(L1709="","",R1709/'[1]LOCH Calc COE Calc'!$C$28)</f>
        <v/>
      </c>
    </row>
    <row r="1710" spans="12:23" x14ac:dyDescent="0.25">
      <c r="L1710" s="4" t="str">
        <f>IF('[1]All Data '!BE1715="","",'[1]All Data '!BE1715)</f>
        <v/>
      </c>
      <c r="M1710" t="str">
        <f>IF('[1]All Data '!BF1715="","",'[1]All Data '!BF1715)</f>
        <v/>
      </c>
      <c r="N1710" s="5" t="str">
        <f>IF('[1]All Data '!BB1715="","",'[1]All Data '!BC1715/'[1]All Data '!BH1715)</f>
        <v/>
      </c>
      <c r="O1710" s="5" t="str">
        <f t="shared" si="28"/>
        <v/>
      </c>
      <c r="P1710" s="5" t="str">
        <f>IF(M1710="","",$C$2*(1-L1710)*907.2/0.621371*N1710*[1]Transportation!$M$40)</f>
        <v/>
      </c>
      <c r="Q1710" s="5" t="str">
        <f>IF(L1710="","",IF([1]Inputs_Outputs!$B$5="Herbaceous",(LCA!$E$29*'[1]LOCH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0" s="5" t="str">
        <f>IF(M1710="","",$E$2*1000*'[1]LOCH Calc COE Calc'!$C$44)</f>
        <v/>
      </c>
      <c r="S1710" s="6" t="str">
        <f>IF(N1710="","",SUM(O1710:R1710)/('[1]LOCH Calc COE Calc'!$C$28))</f>
        <v/>
      </c>
      <c r="T1710" t="str">
        <f>IF(L1710="","",O1710/'[1]LOCH Calc COE Calc'!$C$28)</f>
        <v/>
      </c>
      <c r="U1710" t="str">
        <f>IF(L1710="","",P1710/'[1]LOCH Calc COE Calc'!$C$28)</f>
        <v/>
      </c>
      <c r="V1710" t="str">
        <f>IF(L1710="","",Q1710/'[1]LOCH Calc COE Calc'!$C$28)</f>
        <v/>
      </c>
      <c r="W1710" t="str">
        <f>IF(L1710="","",R1710/'[1]LOCH Calc COE Calc'!$C$28)</f>
        <v/>
      </c>
    </row>
    <row r="1711" spans="12:23" x14ac:dyDescent="0.25">
      <c r="L1711" s="4" t="str">
        <f>IF('[1]All Data '!BE1716="","",'[1]All Data '!BE1716)</f>
        <v/>
      </c>
      <c r="M1711" t="str">
        <f>IF('[1]All Data '!BF1716="","",'[1]All Data '!BF1716)</f>
        <v/>
      </c>
      <c r="N1711" s="5" t="str">
        <f>IF('[1]All Data '!BB1716="","",'[1]All Data '!BC1716/'[1]All Data '!BH1716)</f>
        <v/>
      </c>
      <c r="O1711" s="5" t="str">
        <f t="shared" si="28"/>
        <v/>
      </c>
      <c r="P1711" s="5" t="str">
        <f>IF(M1711="","",$C$2*(1-L1711)*907.2/0.621371*N1711*[1]Transportation!$M$40)</f>
        <v/>
      </c>
      <c r="Q1711" s="5" t="str">
        <f>IF(L1711="","",IF([1]Inputs_Outputs!$B$5="Herbaceous",(LCA!$E$29*'[1]LOCH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1" s="5" t="str">
        <f>IF(M1711="","",$E$2*1000*'[1]LOCH Calc COE Calc'!$C$44)</f>
        <v/>
      </c>
      <c r="S1711" s="6" t="str">
        <f>IF(N1711="","",SUM(O1711:R1711)/('[1]LOCH Calc COE Calc'!$C$28))</f>
        <v/>
      </c>
      <c r="T1711" t="str">
        <f>IF(L1711="","",O1711/'[1]LOCH Calc COE Calc'!$C$28)</f>
        <v/>
      </c>
      <c r="U1711" t="str">
        <f>IF(L1711="","",P1711/'[1]LOCH Calc COE Calc'!$C$28)</f>
        <v/>
      </c>
      <c r="V1711" t="str">
        <f>IF(L1711="","",Q1711/'[1]LOCH Calc COE Calc'!$C$28)</f>
        <v/>
      </c>
      <c r="W1711" t="str">
        <f>IF(L1711="","",R1711/'[1]LOCH Calc COE Calc'!$C$28)</f>
        <v/>
      </c>
    </row>
    <row r="1712" spans="12:23" x14ac:dyDescent="0.25">
      <c r="L1712" s="4" t="str">
        <f>IF('[1]All Data '!BE1717="","",'[1]All Data '!BE1717)</f>
        <v/>
      </c>
      <c r="M1712" t="str">
        <f>IF('[1]All Data '!BF1717="","",'[1]All Data '!BF1717)</f>
        <v/>
      </c>
      <c r="N1712" s="5" t="str">
        <f>IF('[1]All Data '!BB1717="","",'[1]All Data '!BC1717/'[1]All Data '!BH1717)</f>
        <v/>
      </c>
      <c r="O1712" s="5" t="str">
        <f t="shared" si="28"/>
        <v/>
      </c>
      <c r="P1712" s="5" t="str">
        <f>IF(M1712="","",$C$2*(1-L1712)*907.2/0.621371*N1712*[1]Transportation!$M$40)</f>
        <v/>
      </c>
      <c r="Q1712" s="5" t="str">
        <f>IF(L1712="","",IF([1]Inputs_Outputs!$B$5="Herbaceous",(LCA!$E$29*'[1]LOCH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2" s="5" t="str">
        <f>IF(M1712="","",$E$2*1000*'[1]LOCH Calc COE Calc'!$C$44)</f>
        <v/>
      </c>
      <c r="S1712" s="6" t="str">
        <f>IF(N1712="","",SUM(O1712:R1712)/('[1]LOCH Calc COE Calc'!$C$28))</f>
        <v/>
      </c>
      <c r="T1712" t="str">
        <f>IF(L1712="","",O1712/'[1]LOCH Calc COE Calc'!$C$28)</f>
        <v/>
      </c>
      <c r="U1712" t="str">
        <f>IF(L1712="","",P1712/'[1]LOCH Calc COE Calc'!$C$28)</f>
        <v/>
      </c>
      <c r="V1712" t="str">
        <f>IF(L1712="","",Q1712/'[1]LOCH Calc COE Calc'!$C$28)</f>
        <v/>
      </c>
      <c r="W1712" t="str">
        <f>IF(L1712="","",R1712/'[1]LOCH Calc COE Calc'!$C$28)</f>
        <v/>
      </c>
    </row>
    <row r="1713" spans="12:23" x14ac:dyDescent="0.25">
      <c r="L1713" s="4" t="str">
        <f>IF('[1]All Data '!BE1718="","",'[1]All Data '!BE1718)</f>
        <v/>
      </c>
      <c r="M1713" t="str">
        <f>IF('[1]All Data '!BF1718="","",'[1]All Data '!BF1718)</f>
        <v/>
      </c>
      <c r="N1713" s="5" t="str">
        <f>IF('[1]All Data '!BB1718="","",'[1]All Data '!BC1718/'[1]All Data '!BH1718)</f>
        <v/>
      </c>
      <c r="O1713" s="5" t="str">
        <f t="shared" si="28"/>
        <v/>
      </c>
      <c r="P1713" s="5" t="str">
        <f>IF(M1713="","",$C$2*(1-L1713)*907.2/0.621371*N1713*[1]Transportation!$M$40)</f>
        <v/>
      </c>
      <c r="Q1713" s="5" t="str">
        <f>IF(L1713="","",IF([1]Inputs_Outputs!$B$5="Herbaceous",(LCA!$E$29*'[1]LOCH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3" s="5" t="str">
        <f>IF(M1713="","",$E$2*1000*'[1]LOCH Calc COE Calc'!$C$44)</f>
        <v/>
      </c>
      <c r="S1713" s="6" t="str">
        <f>IF(N1713="","",SUM(O1713:R1713)/('[1]LOCH Calc COE Calc'!$C$28))</f>
        <v/>
      </c>
      <c r="T1713" t="str">
        <f>IF(L1713="","",O1713/'[1]LOCH Calc COE Calc'!$C$28)</f>
        <v/>
      </c>
      <c r="U1713" t="str">
        <f>IF(L1713="","",P1713/'[1]LOCH Calc COE Calc'!$C$28)</f>
        <v/>
      </c>
      <c r="V1713" t="str">
        <f>IF(L1713="","",Q1713/'[1]LOCH Calc COE Calc'!$C$28)</f>
        <v/>
      </c>
      <c r="W1713" t="str">
        <f>IF(L1713="","",R1713/'[1]LOCH Calc COE Calc'!$C$28)</f>
        <v/>
      </c>
    </row>
    <row r="1714" spans="12:23" x14ac:dyDescent="0.25">
      <c r="L1714" s="4" t="str">
        <f>IF('[1]All Data '!BE1719="","",'[1]All Data '!BE1719)</f>
        <v/>
      </c>
      <c r="M1714" t="str">
        <f>IF('[1]All Data '!BF1719="","",'[1]All Data '!BF1719)</f>
        <v/>
      </c>
      <c r="N1714" s="5" t="str">
        <f>IF('[1]All Data '!BB1719="","",'[1]All Data '!BC1719/'[1]All Data '!BH1719)</f>
        <v/>
      </c>
      <c r="O1714" s="5" t="str">
        <f t="shared" si="28"/>
        <v/>
      </c>
      <c r="P1714" s="5" t="str">
        <f>IF(M1714="","",$C$2*(1-L1714)*907.2/0.621371*N1714*[1]Transportation!$M$40)</f>
        <v/>
      </c>
      <c r="Q1714" s="5" t="str">
        <f>IF(L1714="","",IF([1]Inputs_Outputs!$B$5="Herbaceous",(LCA!$E$29*'[1]LOCH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4" s="5" t="str">
        <f>IF(M1714="","",$E$2*1000*'[1]LOCH Calc COE Calc'!$C$44)</f>
        <v/>
      </c>
      <c r="S1714" s="6" t="str">
        <f>IF(N1714="","",SUM(O1714:R1714)/('[1]LOCH Calc COE Calc'!$C$28))</f>
        <v/>
      </c>
      <c r="T1714" t="str">
        <f>IF(L1714="","",O1714/'[1]LOCH Calc COE Calc'!$C$28)</f>
        <v/>
      </c>
      <c r="U1714" t="str">
        <f>IF(L1714="","",P1714/'[1]LOCH Calc COE Calc'!$C$28)</f>
        <v/>
      </c>
      <c r="V1714" t="str">
        <f>IF(L1714="","",Q1714/'[1]LOCH Calc COE Calc'!$C$28)</f>
        <v/>
      </c>
      <c r="W1714" t="str">
        <f>IF(L1714="","",R1714/'[1]LOCH Calc COE Calc'!$C$28)</f>
        <v/>
      </c>
    </row>
    <row r="1715" spans="12:23" x14ac:dyDescent="0.25">
      <c r="L1715" s="4" t="str">
        <f>IF('[1]All Data '!BE1720="","",'[1]All Data '!BE1720)</f>
        <v/>
      </c>
      <c r="M1715" t="str">
        <f>IF('[1]All Data '!BF1720="","",'[1]All Data '!BF1720)</f>
        <v/>
      </c>
      <c r="N1715" s="5" t="str">
        <f>IF('[1]All Data '!BB1720="","",'[1]All Data '!BC1720/'[1]All Data '!BH1720)</f>
        <v/>
      </c>
      <c r="O1715" s="5" t="str">
        <f t="shared" si="28"/>
        <v/>
      </c>
      <c r="P1715" s="5" t="str">
        <f>IF(M1715="","",$C$2*(1-L1715)*907.2/0.621371*N1715*[1]Transportation!$M$40)</f>
        <v/>
      </c>
      <c r="Q1715" s="5" t="str">
        <f>IF(L1715="","",IF([1]Inputs_Outputs!$B$5="Herbaceous",(LCA!$E$29*'[1]LOCH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5" s="5" t="str">
        <f>IF(M1715="","",$E$2*1000*'[1]LOCH Calc COE Calc'!$C$44)</f>
        <v/>
      </c>
      <c r="S1715" s="6" t="str">
        <f>IF(N1715="","",SUM(O1715:R1715)/('[1]LOCH Calc COE Calc'!$C$28))</f>
        <v/>
      </c>
      <c r="T1715" t="str">
        <f>IF(L1715="","",O1715/'[1]LOCH Calc COE Calc'!$C$28)</f>
        <v/>
      </c>
      <c r="U1715" t="str">
        <f>IF(L1715="","",P1715/'[1]LOCH Calc COE Calc'!$C$28)</f>
        <v/>
      </c>
      <c r="V1715" t="str">
        <f>IF(L1715="","",Q1715/'[1]LOCH Calc COE Calc'!$C$28)</f>
        <v/>
      </c>
      <c r="W1715" t="str">
        <f>IF(L1715="","",R1715/'[1]LOCH Calc COE Calc'!$C$28)</f>
        <v/>
      </c>
    </row>
    <row r="1716" spans="12:23" x14ac:dyDescent="0.25">
      <c r="L1716" s="4" t="str">
        <f>IF('[1]All Data '!BE1721="","",'[1]All Data '!BE1721)</f>
        <v/>
      </c>
      <c r="M1716" t="str">
        <f>IF('[1]All Data '!BF1721="","",'[1]All Data '!BF1721)</f>
        <v/>
      </c>
      <c r="N1716" s="5" t="str">
        <f>IF('[1]All Data '!BB1721="","",'[1]All Data '!BC1721/'[1]All Data '!BH1721)</f>
        <v/>
      </c>
      <c r="O1716" s="5" t="str">
        <f t="shared" si="28"/>
        <v/>
      </c>
      <c r="P1716" s="5" t="str">
        <f>IF(M1716="","",$C$2*(1-L1716)*907.2/0.621371*N1716*[1]Transportation!$M$40)</f>
        <v/>
      </c>
      <c r="Q1716" s="5" t="str">
        <f>IF(L1716="","",IF([1]Inputs_Outputs!$B$5="Herbaceous",(LCA!$E$29*'[1]LOCH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6" s="5" t="str">
        <f>IF(M1716="","",$E$2*1000*'[1]LOCH Calc COE Calc'!$C$44)</f>
        <v/>
      </c>
      <c r="S1716" s="6" t="str">
        <f>IF(N1716="","",SUM(O1716:R1716)/('[1]LOCH Calc COE Calc'!$C$28))</f>
        <v/>
      </c>
      <c r="T1716" t="str">
        <f>IF(L1716="","",O1716/'[1]LOCH Calc COE Calc'!$C$28)</f>
        <v/>
      </c>
      <c r="U1716" t="str">
        <f>IF(L1716="","",P1716/'[1]LOCH Calc COE Calc'!$C$28)</f>
        <v/>
      </c>
      <c r="V1716" t="str">
        <f>IF(L1716="","",Q1716/'[1]LOCH Calc COE Calc'!$C$28)</f>
        <v/>
      </c>
      <c r="W1716" t="str">
        <f>IF(L1716="","",R1716/'[1]LOCH Calc COE Calc'!$C$28)</f>
        <v/>
      </c>
    </row>
    <row r="1717" spans="12:23" x14ac:dyDescent="0.25">
      <c r="L1717" s="4" t="str">
        <f>IF('[1]All Data '!BE1722="","",'[1]All Data '!BE1722)</f>
        <v/>
      </c>
      <c r="M1717" t="str">
        <f>IF('[1]All Data '!BF1722="","",'[1]All Data '!BF1722)</f>
        <v/>
      </c>
      <c r="N1717" s="5" t="str">
        <f>IF('[1]All Data '!BB1722="","",'[1]All Data '!BC1722/'[1]All Data '!BH1722)</f>
        <v/>
      </c>
      <c r="O1717" s="5" t="str">
        <f t="shared" si="28"/>
        <v/>
      </c>
      <c r="P1717" s="5" t="str">
        <f>IF(M1717="","",$C$2*(1-L1717)*907.2/0.621371*N1717*[1]Transportation!$M$40)</f>
        <v/>
      </c>
      <c r="Q1717" s="5" t="str">
        <f>IF(L1717="","",IF([1]Inputs_Outputs!$B$5="Herbaceous",(LCA!$E$29*'[1]LOCH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7" s="5" t="str">
        <f>IF(M1717="","",$E$2*1000*'[1]LOCH Calc COE Calc'!$C$44)</f>
        <v/>
      </c>
      <c r="S1717" s="6" t="str">
        <f>IF(N1717="","",SUM(O1717:R1717)/('[1]LOCH Calc COE Calc'!$C$28))</f>
        <v/>
      </c>
      <c r="T1717" t="str">
        <f>IF(L1717="","",O1717/'[1]LOCH Calc COE Calc'!$C$28)</f>
        <v/>
      </c>
      <c r="U1717" t="str">
        <f>IF(L1717="","",P1717/'[1]LOCH Calc COE Calc'!$C$28)</f>
        <v/>
      </c>
      <c r="V1717" t="str">
        <f>IF(L1717="","",Q1717/'[1]LOCH Calc COE Calc'!$C$28)</f>
        <v/>
      </c>
      <c r="W1717" t="str">
        <f>IF(L1717="","",R1717/'[1]LOCH Calc COE Calc'!$C$28)</f>
        <v/>
      </c>
    </row>
    <row r="1718" spans="12:23" x14ac:dyDescent="0.25">
      <c r="L1718" s="4" t="str">
        <f>IF('[1]All Data '!BE1723="","",'[1]All Data '!BE1723)</f>
        <v/>
      </c>
      <c r="M1718" t="str">
        <f>IF('[1]All Data '!BF1723="","",'[1]All Data '!BF1723)</f>
        <v/>
      </c>
      <c r="N1718" s="5" t="str">
        <f>IF('[1]All Data '!BB1723="","",'[1]All Data '!BC1723/'[1]All Data '!BH1723)</f>
        <v/>
      </c>
      <c r="O1718" s="5" t="str">
        <f t="shared" si="28"/>
        <v/>
      </c>
      <c r="P1718" s="5" t="str">
        <f>IF(M1718="","",$C$2*(1-L1718)*907.2/0.621371*N1718*[1]Transportation!$M$40)</f>
        <v/>
      </c>
      <c r="Q1718" s="5" t="str">
        <f>IF(L1718="","",IF([1]Inputs_Outputs!$B$5="Herbaceous",(LCA!$E$29*'[1]LOCH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8" s="5" t="str">
        <f>IF(M1718="","",$E$2*1000*'[1]LOCH Calc COE Calc'!$C$44)</f>
        <v/>
      </c>
      <c r="S1718" s="6" t="str">
        <f>IF(N1718="","",SUM(O1718:R1718)/('[1]LOCH Calc COE Calc'!$C$28))</f>
        <v/>
      </c>
      <c r="T1718" t="str">
        <f>IF(L1718="","",O1718/'[1]LOCH Calc COE Calc'!$C$28)</f>
        <v/>
      </c>
      <c r="U1718" t="str">
        <f>IF(L1718="","",P1718/'[1]LOCH Calc COE Calc'!$C$28)</f>
        <v/>
      </c>
      <c r="V1718" t="str">
        <f>IF(L1718="","",Q1718/'[1]LOCH Calc COE Calc'!$C$28)</f>
        <v/>
      </c>
      <c r="W1718" t="str">
        <f>IF(L1718="","",R1718/'[1]LOCH Calc COE Calc'!$C$28)</f>
        <v/>
      </c>
    </row>
    <row r="1719" spans="12:23" x14ac:dyDescent="0.25">
      <c r="L1719" s="4" t="str">
        <f>IF('[1]All Data '!BE1724="","",'[1]All Data '!BE1724)</f>
        <v/>
      </c>
      <c r="M1719" t="str">
        <f>IF('[1]All Data '!BF1724="","",'[1]All Data '!BF1724)</f>
        <v/>
      </c>
      <c r="N1719" s="5" t="str">
        <f>IF('[1]All Data '!BB1724="","",'[1]All Data '!BC1724/'[1]All Data '!BH1724)</f>
        <v/>
      </c>
      <c r="O1719" s="5" t="str">
        <f t="shared" si="28"/>
        <v/>
      </c>
      <c r="P1719" s="5" t="str">
        <f>IF(M1719="","",$C$2*(1-L1719)*907.2/0.621371*N1719*[1]Transportation!$M$40)</f>
        <v/>
      </c>
      <c r="Q1719" s="5" t="str">
        <f>IF(L1719="","",IF([1]Inputs_Outputs!$B$5="Herbaceous",(LCA!$E$29*'[1]LOCH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19" s="5" t="str">
        <f>IF(M1719="","",$E$2*1000*'[1]LOCH Calc COE Calc'!$C$44)</f>
        <v/>
      </c>
      <c r="S1719" s="6" t="str">
        <f>IF(N1719="","",SUM(O1719:R1719)/('[1]LOCH Calc COE Calc'!$C$28))</f>
        <v/>
      </c>
      <c r="T1719" t="str">
        <f>IF(L1719="","",O1719/'[1]LOCH Calc COE Calc'!$C$28)</f>
        <v/>
      </c>
      <c r="U1719" t="str">
        <f>IF(L1719="","",P1719/'[1]LOCH Calc COE Calc'!$C$28)</f>
        <v/>
      </c>
      <c r="V1719" t="str">
        <f>IF(L1719="","",Q1719/'[1]LOCH Calc COE Calc'!$C$28)</f>
        <v/>
      </c>
      <c r="W1719" t="str">
        <f>IF(L1719="","",R1719/'[1]LOCH Calc COE Calc'!$C$28)</f>
        <v/>
      </c>
    </row>
    <row r="1720" spans="12:23" x14ac:dyDescent="0.25">
      <c r="L1720" s="4" t="str">
        <f>IF('[1]All Data '!BE1725="","",'[1]All Data '!BE1725)</f>
        <v/>
      </c>
      <c r="M1720" t="str">
        <f>IF('[1]All Data '!BF1725="","",'[1]All Data '!BF1725)</f>
        <v/>
      </c>
      <c r="N1720" s="5" t="str">
        <f>IF('[1]All Data '!BB1725="","",'[1]All Data '!BC1725/'[1]All Data '!BH1725)</f>
        <v/>
      </c>
      <c r="O1720" s="5" t="str">
        <f t="shared" si="28"/>
        <v/>
      </c>
      <c r="P1720" s="5" t="str">
        <f>IF(M1720="","",$C$2*(1-L1720)*907.2/0.621371*N1720*[1]Transportation!$M$40)</f>
        <v/>
      </c>
      <c r="Q1720" s="5" t="str">
        <f>IF(L1720="","",IF([1]Inputs_Outputs!$B$5="Herbaceous",(LCA!$E$29*'[1]LOCH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0" s="5" t="str">
        <f>IF(M1720="","",$E$2*1000*'[1]LOCH Calc COE Calc'!$C$44)</f>
        <v/>
      </c>
      <c r="S1720" s="6" t="str">
        <f>IF(N1720="","",SUM(O1720:R1720)/('[1]LOCH Calc COE Calc'!$C$28))</f>
        <v/>
      </c>
      <c r="T1720" t="str">
        <f>IF(L1720="","",O1720/'[1]LOCH Calc COE Calc'!$C$28)</f>
        <v/>
      </c>
      <c r="U1720" t="str">
        <f>IF(L1720="","",P1720/'[1]LOCH Calc COE Calc'!$C$28)</f>
        <v/>
      </c>
      <c r="V1720" t="str">
        <f>IF(L1720="","",Q1720/'[1]LOCH Calc COE Calc'!$C$28)</f>
        <v/>
      </c>
      <c r="W1720" t="str">
        <f>IF(L1720="","",R1720/'[1]LOCH Calc COE Calc'!$C$28)</f>
        <v/>
      </c>
    </row>
    <row r="1721" spans="12:23" x14ac:dyDescent="0.25">
      <c r="L1721" s="4" t="str">
        <f>IF('[1]All Data '!BE1726="","",'[1]All Data '!BE1726)</f>
        <v/>
      </c>
      <c r="M1721" t="str">
        <f>IF('[1]All Data '!BF1726="","",'[1]All Data '!BF1726)</f>
        <v/>
      </c>
      <c r="N1721" s="5" t="str">
        <f>IF('[1]All Data '!BB1726="","",'[1]All Data '!BC1726/'[1]All Data '!BH1726)</f>
        <v/>
      </c>
      <c r="O1721" s="5" t="str">
        <f t="shared" si="28"/>
        <v/>
      </c>
      <c r="P1721" s="5" t="str">
        <f>IF(M1721="","",$C$2*(1-L1721)*907.2/0.621371*N1721*[1]Transportation!$M$40)</f>
        <v/>
      </c>
      <c r="Q1721" s="5" t="str">
        <f>IF(L1721="","",IF([1]Inputs_Outputs!$B$5="Herbaceous",(LCA!$E$29*'[1]LOCH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1" s="5" t="str">
        <f>IF(M1721="","",$E$2*1000*'[1]LOCH Calc COE Calc'!$C$44)</f>
        <v/>
      </c>
      <c r="S1721" s="6" t="str">
        <f>IF(N1721="","",SUM(O1721:R1721)/('[1]LOCH Calc COE Calc'!$C$28))</f>
        <v/>
      </c>
      <c r="T1721" t="str">
        <f>IF(L1721="","",O1721/'[1]LOCH Calc COE Calc'!$C$28)</f>
        <v/>
      </c>
      <c r="U1721" t="str">
        <f>IF(L1721="","",P1721/'[1]LOCH Calc COE Calc'!$C$28)</f>
        <v/>
      </c>
      <c r="V1721" t="str">
        <f>IF(L1721="","",Q1721/'[1]LOCH Calc COE Calc'!$C$28)</f>
        <v/>
      </c>
      <c r="W1721" t="str">
        <f>IF(L1721="","",R1721/'[1]LOCH Calc COE Calc'!$C$28)</f>
        <v/>
      </c>
    </row>
    <row r="1722" spans="12:23" x14ac:dyDescent="0.25">
      <c r="L1722" s="4" t="str">
        <f>IF('[1]All Data '!BE1727="","",'[1]All Data '!BE1727)</f>
        <v/>
      </c>
      <c r="M1722" t="str">
        <f>IF('[1]All Data '!BF1727="","",'[1]All Data '!BF1727)</f>
        <v/>
      </c>
      <c r="N1722" s="5" t="str">
        <f>IF('[1]All Data '!BB1727="","",'[1]All Data '!BC1727/'[1]All Data '!BH1727)</f>
        <v/>
      </c>
      <c r="O1722" s="5" t="str">
        <f t="shared" si="28"/>
        <v/>
      </c>
      <c r="P1722" s="5" t="str">
        <f>IF(M1722="","",$C$2*(1-L1722)*907.2/0.621371*N1722*[1]Transportation!$M$40)</f>
        <v/>
      </c>
      <c r="Q1722" s="5" t="str">
        <f>IF(L1722="","",IF([1]Inputs_Outputs!$B$5="Herbaceous",(LCA!$E$29*'[1]LOCH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2" s="5" t="str">
        <f>IF(M1722="","",$E$2*1000*'[1]LOCH Calc COE Calc'!$C$44)</f>
        <v/>
      </c>
      <c r="S1722" s="6" t="str">
        <f>IF(N1722="","",SUM(O1722:R1722)/('[1]LOCH Calc COE Calc'!$C$28))</f>
        <v/>
      </c>
      <c r="T1722" t="str">
        <f>IF(L1722="","",O1722/'[1]LOCH Calc COE Calc'!$C$28)</f>
        <v/>
      </c>
      <c r="U1722" t="str">
        <f>IF(L1722="","",P1722/'[1]LOCH Calc COE Calc'!$C$28)</f>
        <v/>
      </c>
      <c r="V1722" t="str">
        <f>IF(L1722="","",Q1722/'[1]LOCH Calc COE Calc'!$C$28)</f>
        <v/>
      </c>
      <c r="W1722" t="str">
        <f>IF(L1722="","",R1722/'[1]LOCH Calc COE Calc'!$C$28)</f>
        <v/>
      </c>
    </row>
    <row r="1723" spans="12:23" x14ac:dyDescent="0.25">
      <c r="L1723" s="4" t="str">
        <f>IF('[1]All Data '!BE1728="","",'[1]All Data '!BE1728)</f>
        <v/>
      </c>
      <c r="M1723" t="str">
        <f>IF('[1]All Data '!BF1728="","",'[1]All Data '!BF1728)</f>
        <v/>
      </c>
      <c r="N1723" s="5" t="str">
        <f>IF('[1]All Data '!BB1728="","",'[1]All Data '!BC1728/'[1]All Data '!BH1728)</f>
        <v/>
      </c>
      <c r="O1723" s="5" t="str">
        <f t="shared" si="28"/>
        <v/>
      </c>
      <c r="P1723" s="5" t="str">
        <f>IF(M1723="","",$C$2*(1-L1723)*907.2/0.621371*N1723*[1]Transportation!$M$40)</f>
        <v/>
      </c>
      <c r="Q1723" s="5" t="str">
        <f>IF(L1723="","",IF([1]Inputs_Outputs!$B$5="Herbaceous",(LCA!$E$29*'[1]LOCH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3" s="5" t="str">
        <f>IF(M1723="","",$E$2*1000*'[1]LOCH Calc COE Calc'!$C$44)</f>
        <v/>
      </c>
      <c r="S1723" s="6" t="str">
        <f>IF(N1723="","",SUM(O1723:R1723)/('[1]LOCH Calc COE Calc'!$C$28))</f>
        <v/>
      </c>
      <c r="T1723" t="str">
        <f>IF(L1723="","",O1723/'[1]LOCH Calc COE Calc'!$C$28)</f>
        <v/>
      </c>
      <c r="U1723" t="str">
        <f>IF(L1723="","",P1723/'[1]LOCH Calc COE Calc'!$C$28)</f>
        <v/>
      </c>
      <c r="V1723" t="str">
        <f>IF(L1723="","",Q1723/'[1]LOCH Calc COE Calc'!$C$28)</f>
        <v/>
      </c>
      <c r="W1723" t="str">
        <f>IF(L1723="","",R1723/'[1]LOCH Calc COE Calc'!$C$28)</f>
        <v/>
      </c>
    </row>
    <row r="1724" spans="12:23" x14ac:dyDescent="0.25">
      <c r="L1724" s="4" t="str">
        <f>IF('[1]All Data '!BE1729="","",'[1]All Data '!BE1729)</f>
        <v/>
      </c>
      <c r="M1724" t="str">
        <f>IF('[1]All Data '!BF1729="","",'[1]All Data '!BF1729)</f>
        <v/>
      </c>
      <c r="N1724" s="5" t="str">
        <f>IF('[1]All Data '!BB1729="","",'[1]All Data '!BC1729/'[1]All Data '!BH1729)</f>
        <v/>
      </c>
      <c r="O1724" s="5" t="str">
        <f t="shared" si="28"/>
        <v/>
      </c>
      <c r="P1724" s="5" t="str">
        <f>IF(M1724="","",$C$2*(1-L1724)*907.2/0.621371*N1724*[1]Transportation!$M$40)</f>
        <v/>
      </c>
      <c r="Q1724" s="5" t="str">
        <f>IF(L1724="","",IF([1]Inputs_Outputs!$B$5="Herbaceous",(LCA!$E$29*'[1]LOCH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4" s="5" t="str">
        <f>IF(M1724="","",$E$2*1000*'[1]LOCH Calc COE Calc'!$C$44)</f>
        <v/>
      </c>
      <c r="S1724" s="6" t="str">
        <f>IF(N1724="","",SUM(O1724:R1724)/('[1]LOCH Calc COE Calc'!$C$28))</f>
        <v/>
      </c>
      <c r="T1724" t="str">
        <f>IF(L1724="","",O1724/'[1]LOCH Calc COE Calc'!$C$28)</f>
        <v/>
      </c>
      <c r="U1724" t="str">
        <f>IF(L1724="","",P1724/'[1]LOCH Calc COE Calc'!$C$28)</f>
        <v/>
      </c>
      <c r="V1724" t="str">
        <f>IF(L1724="","",Q1724/'[1]LOCH Calc COE Calc'!$C$28)</f>
        <v/>
      </c>
      <c r="W1724" t="str">
        <f>IF(L1724="","",R1724/'[1]LOCH Calc COE Calc'!$C$28)</f>
        <v/>
      </c>
    </row>
    <row r="1725" spans="12:23" x14ac:dyDescent="0.25">
      <c r="L1725" s="4" t="str">
        <f>IF('[1]All Data '!BE1730="","",'[1]All Data '!BE1730)</f>
        <v/>
      </c>
      <c r="M1725" t="str">
        <f>IF('[1]All Data '!BF1730="","",'[1]All Data '!BF1730)</f>
        <v/>
      </c>
      <c r="N1725" s="5" t="str">
        <f>IF('[1]All Data '!BB1730="","",'[1]All Data '!BC1730/'[1]All Data '!BH1730)</f>
        <v/>
      </c>
      <c r="O1725" s="5" t="str">
        <f t="shared" si="28"/>
        <v/>
      </c>
      <c r="P1725" s="5" t="str">
        <f>IF(M1725="","",$C$2*(1-L1725)*907.2/0.621371*N1725*[1]Transportation!$M$40)</f>
        <v/>
      </c>
      <c r="Q1725" s="5" t="str">
        <f>IF(L1725="","",IF([1]Inputs_Outputs!$B$5="Herbaceous",(LCA!$E$29*'[1]LOCH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5" s="5" t="str">
        <f>IF(M1725="","",$E$2*1000*'[1]LOCH Calc COE Calc'!$C$44)</f>
        <v/>
      </c>
      <c r="S1725" s="6" t="str">
        <f>IF(N1725="","",SUM(O1725:R1725)/('[1]LOCH Calc COE Calc'!$C$28))</f>
        <v/>
      </c>
      <c r="T1725" t="str">
        <f>IF(L1725="","",O1725/'[1]LOCH Calc COE Calc'!$C$28)</f>
        <v/>
      </c>
      <c r="U1725" t="str">
        <f>IF(L1725="","",P1725/'[1]LOCH Calc COE Calc'!$C$28)</f>
        <v/>
      </c>
      <c r="V1725" t="str">
        <f>IF(L1725="","",Q1725/'[1]LOCH Calc COE Calc'!$C$28)</f>
        <v/>
      </c>
      <c r="W1725" t="str">
        <f>IF(L1725="","",R1725/'[1]LOCH Calc COE Calc'!$C$28)</f>
        <v/>
      </c>
    </row>
    <row r="1726" spans="12:23" x14ac:dyDescent="0.25">
      <c r="L1726" s="4" t="str">
        <f>IF('[1]All Data '!BE1731="","",'[1]All Data '!BE1731)</f>
        <v/>
      </c>
      <c r="M1726" t="str">
        <f>IF('[1]All Data '!BF1731="","",'[1]All Data '!BF1731)</f>
        <v/>
      </c>
      <c r="N1726" s="5" t="str">
        <f>IF('[1]All Data '!BB1731="","",'[1]All Data '!BC1731/'[1]All Data '!BH1731)</f>
        <v/>
      </c>
      <c r="O1726" s="5" t="str">
        <f t="shared" si="28"/>
        <v/>
      </c>
      <c r="P1726" s="5" t="str">
        <f>IF(M1726="","",$C$2*(1-L1726)*907.2/0.621371*N1726*[1]Transportation!$M$40)</f>
        <v/>
      </c>
      <c r="Q1726" s="5" t="str">
        <f>IF(L1726="","",IF([1]Inputs_Outputs!$B$5="Herbaceous",(LCA!$E$29*'[1]LOCH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6" s="5" t="str">
        <f>IF(M1726="","",$E$2*1000*'[1]LOCH Calc COE Calc'!$C$44)</f>
        <v/>
      </c>
      <c r="S1726" s="6" t="str">
        <f>IF(N1726="","",SUM(O1726:R1726)/('[1]LOCH Calc COE Calc'!$C$28))</f>
        <v/>
      </c>
      <c r="T1726" t="str">
        <f>IF(L1726="","",O1726/'[1]LOCH Calc COE Calc'!$C$28)</f>
        <v/>
      </c>
      <c r="U1726" t="str">
        <f>IF(L1726="","",P1726/'[1]LOCH Calc COE Calc'!$C$28)</f>
        <v/>
      </c>
      <c r="V1726" t="str">
        <f>IF(L1726="","",Q1726/'[1]LOCH Calc COE Calc'!$C$28)</f>
        <v/>
      </c>
      <c r="W1726" t="str">
        <f>IF(L1726="","",R1726/'[1]LOCH Calc COE Calc'!$C$28)</f>
        <v/>
      </c>
    </row>
    <row r="1727" spans="12:23" x14ac:dyDescent="0.25">
      <c r="L1727" s="4" t="str">
        <f>IF('[1]All Data '!BE1732="","",'[1]All Data '!BE1732)</f>
        <v/>
      </c>
      <c r="M1727" t="str">
        <f>IF('[1]All Data '!BF1732="","",'[1]All Data '!BF1732)</f>
        <v/>
      </c>
      <c r="N1727" s="5" t="str">
        <f>IF('[1]All Data '!BB1732="","",'[1]All Data '!BC1732/'[1]All Data '!BH1732)</f>
        <v/>
      </c>
      <c r="O1727" s="5" t="str">
        <f t="shared" si="28"/>
        <v/>
      </c>
      <c r="P1727" s="5" t="str">
        <f>IF(M1727="","",$C$2*(1-L1727)*907.2/0.621371*N1727*[1]Transportation!$M$40)</f>
        <v/>
      </c>
      <c r="Q1727" s="5" t="str">
        <f>IF(L1727="","",IF([1]Inputs_Outputs!$B$5="Herbaceous",(LCA!$E$29*'[1]LOCH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7" s="5" t="str">
        <f>IF(M1727="","",$E$2*1000*'[1]LOCH Calc COE Calc'!$C$44)</f>
        <v/>
      </c>
      <c r="S1727" s="6" t="str">
        <f>IF(N1727="","",SUM(O1727:R1727)/('[1]LOCH Calc COE Calc'!$C$28))</f>
        <v/>
      </c>
      <c r="T1727" t="str">
        <f>IF(L1727="","",O1727/'[1]LOCH Calc COE Calc'!$C$28)</f>
        <v/>
      </c>
      <c r="U1727" t="str">
        <f>IF(L1727="","",P1727/'[1]LOCH Calc COE Calc'!$C$28)</f>
        <v/>
      </c>
      <c r="V1727" t="str">
        <f>IF(L1727="","",Q1727/'[1]LOCH Calc COE Calc'!$C$28)</f>
        <v/>
      </c>
      <c r="W1727" t="str">
        <f>IF(L1727="","",R1727/'[1]LOCH Calc COE Calc'!$C$28)</f>
        <v/>
      </c>
    </row>
    <row r="1728" spans="12:23" x14ac:dyDescent="0.25">
      <c r="L1728" s="4" t="str">
        <f>IF('[1]All Data '!BE1733="","",'[1]All Data '!BE1733)</f>
        <v/>
      </c>
      <c r="M1728" t="str">
        <f>IF('[1]All Data '!BF1733="","",'[1]All Data '!BF1733)</f>
        <v/>
      </c>
      <c r="N1728" s="5" t="str">
        <f>IF('[1]All Data '!BB1733="","",'[1]All Data '!BC1733/'[1]All Data '!BH1733)</f>
        <v/>
      </c>
      <c r="O1728" s="5" t="str">
        <f t="shared" si="28"/>
        <v/>
      </c>
      <c r="P1728" s="5" t="str">
        <f>IF(M1728="","",$C$2*(1-L1728)*907.2/0.621371*N1728*[1]Transportation!$M$40)</f>
        <v/>
      </c>
      <c r="Q1728" s="5" t="str">
        <f>IF(L1728="","",IF([1]Inputs_Outputs!$B$5="Herbaceous",(LCA!$E$29*'[1]LOCH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8" s="5" t="str">
        <f>IF(M1728="","",$E$2*1000*'[1]LOCH Calc COE Calc'!$C$44)</f>
        <v/>
      </c>
      <c r="S1728" s="6" t="str">
        <f>IF(N1728="","",SUM(O1728:R1728)/('[1]LOCH Calc COE Calc'!$C$28))</f>
        <v/>
      </c>
      <c r="T1728" t="str">
        <f>IF(L1728="","",O1728/'[1]LOCH Calc COE Calc'!$C$28)</f>
        <v/>
      </c>
      <c r="U1728" t="str">
        <f>IF(L1728="","",P1728/'[1]LOCH Calc COE Calc'!$C$28)</f>
        <v/>
      </c>
      <c r="V1728" t="str">
        <f>IF(L1728="","",Q1728/'[1]LOCH Calc COE Calc'!$C$28)</f>
        <v/>
      </c>
      <c r="W1728" t="str">
        <f>IF(L1728="","",R1728/'[1]LOCH Calc COE Calc'!$C$28)</f>
        <v/>
      </c>
    </row>
    <row r="1729" spans="12:23" x14ac:dyDescent="0.25">
      <c r="L1729" s="4" t="str">
        <f>IF('[1]All Data '!BE1734="","",'[1]All Data '!BE1734)</f>
        <v/>
      </c>
      <c r="M1729" t="str">
        <f>IF('[1]All Data '!BF1734="","",'[1]All Data '!BF1734)</f>
        <v/>
      </c>
      <c r="N1729" s="5" t="str">
        <f>IF('[1]All Data '!BB1734="","",'[1]All Data '!BC1734/'[1]All Data '!BH1734)</f>
        <v/>
      </c>
      <c r="O1729" s="5" t="str">
        <f t="shared" si="28"/>
        <v/>
      </c>
      <c r="P1729" s="5" t="str">
        <f>IF(M1729="","",$C$2*(1-L1729)*907.2/0.621371*N1729*[1]Transportation!$M$40)</f>
        <v/>
      </c>
      <c r="Q1729" s="5" t="str">
        <f>IF(L1729="","",IF([1]Inputs_Outputs!$B$5="Herbaceous",(LCA!$E$29*'[1]LOCH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29" s="5" t="str">
        <f>IF(M1729="","",$E$2*1000*'[1]LOCH Calc COE Calc'!$C$44)</f>
        <v/>
      </c>
      <c r="S1729" s="6" t="str">
        <f>IF(N1729="","",SUM(O1729:R1729)/('[1]LOCH Calc COE Calc'!$C$28))</f>
        <v/>
      </c>
      <c r="T1729" t="str">
        <f>IF(L1729="","",O1729/'[1]LOCH Calc COE Calc'!$C$28)</f>
        <v/>
      </c>
      <c r="U1729" t="str">
        <f>IF(L1729="","",P1729/'[1]LOCH Calc COE Calc'!$C$28)</f>
        <v/>
      </c>
      <c r="V1729" t="str">
        <f>IF(L1729="","",Q1729/'[1]LOCH Calc COE Calc'!$C$28)</f>
        <v/>
      </c>
      <c r="W1729" t="str">
        <f>IF(L1729="","",R1729/'[1]LOCH Calc COE Calc'!$C$28)</f>
        <v/>
      </c>
    </row>
    <row r="1730" spans="12:23" x14ac:dyDescent="0.25">
      <c r="L1730" s="4" t="str">
        <f>IF('[1]All Data '!BE1735="","",'[1]All Data '!BE1735)</f>
        <v/>
      </c>
      <c r="M1730" t="str">
        <f>IF('[1]All Data '!BF1735="","",'[1]All Data '!BF1735)</f>
        <v/>
      </c>
      <c r="N1730" s="5" t="str">
        <f>IF('[1]All Data '!BB1735="","",'[1]All Data '!BC1735/'[1]All Data '!BH1735)</f>
        <v/>
      </c>
      <c r="O1730" s="5" t="str">
        <f t="shared" si="28"/>
        <v/>
      </c>
      <c r="P1730" s="5" t="str">
        <f>IF(M1730="","",$C$2*(1-L1730)*907.2/0.621371*N1730*[1]Transportation!$M$40)</f>
        <v/>
      </c>
      <c r="Q1730" s="5" t="str">
        <f>IF(L1730="","",IF([1]Inputs_Outputs!$B$5="Herbaceous",(LCA!$E$29*'[1]LOCH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0" s="5" t="str">
        <f>IF(M1730="","",$E$2*1000*'[1]LOCH Calc COE Calc'!$C$44)</f>
        <v/>
      </c>
      <c r="S1730" s="6" t="str">
        <f>IF(N1730="","",SUM(O1730:R1730)/('[1]LOCH Calc COE Calc'!$C$28))</f>
        <v/>
      </c>
      <c r="T1730" t="str">
        <f>IF(L1730="","",O1730/'[1]LOCH Calc COE Calc'!$C$28)</f>
        <v/>
      </c>
      <c r="U1730" t="str">
        <f>IF(L1730="","",P1730/'[1]LOCH Calc COE Calc'!$C$28)</f>
        <v/>
      </c>
      <c r="V1730" t="str">
        <f>IF(L1730="","",Q1730/'[1]LOCH Calc COE Calc'!$C$28)</f>
        <v/>
      </c>
      <c r="W1730" t="str">
        <f>IF(L1730="","",R1730/'[1]LOCH Calc COE Calc'!$C$28)</f>
        <v/>
      </c>
    </row>
    <row r="1731" spans="12:23" x14ac:dyDescent="0.25">
      <c r="L1731" s="4" t="str">
        <f>IF('[1]All Data '!BE1736="","",'[1]All Data '!BE1736)</f>
        <v/>
      </c>
      <c r="M1731" t="str">
        <f>IF('[1]All Data '!BF1736="","",'[1]All Data '!BF1736)</f>
        <v/>
      </c>
      <c r="N1731" s="5" t="str">
        <f>IF('[1]All Data '!BB1736="","",'[1]All Data '!BC1736/'[1]All Data '!BH1736)</f>
        <v/>
      </c>
      <c r="O1731" s="5" t="str">
        <f t="shared" si="28"/>
        <v/>
      </c>
      <c r="P1731" s="5" t="str">
        <f>IF(M1731="","",$C$2*(1-L1731)*907.2/0.621371*N1731*[1]Transportation!$M$40)</f>
        <v/>
      </c>
      <c r="Q1731" s="5" t="str">
        <f>IF(L1731="","",IF([1]Inputs_Outputs!$B$5="Herbaceous",(LCA!$E$29*'[1]LOCH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1" s="5" t="str">
        <f>IF(M1731="","",$E$2*1000*'[1]LOCH Calc COE Calc'!$C$44)</f>
        <v/>
      </c>
      <c r="S1731" s="6" t="str">
        <f>IF(N1731="","",SUM(O1731:R1731)/('[1]LOCH Calc COE Calc'!$C$28))</f>
        <v/>
      </c>
      <c r="T1731" t="str">
        <f>IF(L1731="","",O1731/'[1]LOCH Calc COE Calc'!$C$28)</f>
        <v/>
      </c>
      <c r="U1731" t="str">
        <f>IF(L1731="","",P1731/'[1]LOCH Calc COE Calc'!$C$28)</f>
        <v/>
      </c>
      <c r="V1731" t="str">
        <f>IF(L1731="","",Q1731/'[1]LOCH Calc COE Calc'!$C$28)</f>
        <v/>
      </c>
      <c r="W1731" t="str">
        <f>IF(L1731="","",R1731/'[1]LOCH Calc COE Calc'!$C$28)</f>
        <v/>
      </c>
    </row>
    <row r="1732" spans="12:23" x14ac:dyDescent="0.25">
      <c r="L1732" s="4" t="str">
        <f>IF('[1]All Data '!BE1737="","",'[1]All Data '!BE1737)</f>
        <v/>
      </c>
      <c r="M1732" t="str">
        <f>IF('[1]All Data '!BF1737="","",'[1]All Data '!BF1737)</f>
        <v/>
      </c>
      <c r="N1732" s="5" t="str">
        <f>IF('[1]All Data '!BB1737="","",'[1]All Data '!BC1737/'[1]All Data '!BH1737)</f>
        <v/>
      </c>
      <c r="O1732" s="5" t="str">
        <f t="shared" ref="O1732:O1795" si="29">IF(N1732="","",M1732*N1732)</f>
        <v/>
      </c>
      <c r="P1732" s="5" t="str">
        <f>IF(M1732="","",$C$2*(1-L1732)*907.2/0.621371*N1732*[1]Transportation!$M$40)</f>
        <v/>
      </c>
      <c r="Q1732" s="5" t="str">
        <f>IF(L1732="","",IF([1]Inputs_Outputs!$B$5="Herbaceous",(LCA!$E$29*'[1]LOCH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2" s="5" t="str">
        <f>IF(M1732="","",$E$2*1000*'[1]LOCH Calc COE Calc'!$C$44)</f>
        <v/>
      </c>
      <c r="S1732" s="6" t="str">
        <f>IF(N1732="","",SUM(O1732:R1732)/('[1]LOCH Calc COE Calc'!$C$28))</f>
        <v/>
      </c>
      <c r="T1732" t="str">
        <f>IF(L1732="","",O1732/'[1]LOCH Calc COE Calc'!$C$28)</f>
        <v/>
      </c>
      <c r="U1732" t="str">
        <f>IF(L1732="","",P1732/'[1]LOCH Calc COE Calc'!$C$28)</f>
        <v/>
      </c>
      <c r="V1732" t="str">
        <f>IF(L1732="","",Q1732/'[1]LOCH Calc COE Calc'!$C$28)</f>
        <v/>
      </c>
      <c r="W1732" t="str">
        <f>IF(L1732="","",R1732/'[1]LOCH Calc COE Calc'!$C$28)</f>
        <v/>
      </c>
    </row>
    <row r="1733" spans="12:23" x14ac:dyDescent="0.25">
      <c r="L1733" s="4" t="str">
        <f>IF('[1]All Data '!BE1738="","",'[1]All Data '!BE1738)</f>
        <v/>
      </c>
      <c r="M1733" t="str">
        <f>IF('[1]All Data '!BF1738="","",'[1]All Data '!BF1738)</f>
        <v/>
      </c>
      <c r="N1733" s="5" t="str">
        <f>IF('[1]All Data '!BB1738="","",'[1]All Data '!BC1738/'[1]All Data '!BH1738)</f>
        <v/>
      </c>
      <c r="O1733" s="5" t="str">
        <f t="shared" si="29"/>
        <v/>
      </c>
      <c r="P1733" s="5" t="str">
        <f>IF(M1733="","",$C$2*(1-L1733)*907.2/0.621371*N1733*[1]Transportation!$M$40)</f>
        <v/>
      </c>
      <c r="Q1733" s="5" t="str">
        <f>IF(L1733="","",IF([1]Inputs_Outputs!$B$5="Herbaceous",(LCA!$E$29*'[1]LOCH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3" s="5" t="str">
        <f>IF(M1733="","",$E$2*1000*'[1]LOCH Calc COE Calc'!$C$44)</f>
        <v/>
      </c>
      <c r="S1733" s="6" t="str">
        <f>IF(N1733="","",SUM(O1733:R1733)/('[1]LOCH Calc COE Calc'!$C$28))</f>
        <v/>
      </c>
      <c r="T1733" t="str">
        <f>IF(L1733="","",O1733/'[1]LOCH Calc COE Calc'!$C$28)</f>
        <v/>
      </c>
      <c r="U1733" t="str">
        <f>IF(L1733="","",P1733/'[1]LOCH Calc COE Calc'!$C$28)</f>
        <v/>
      </c>
      <c r="V1733" t="str">
        <f>IF(L1733="","",Q1733/'[1]LOCH Calc COE Calc'!$C$28)</f>
        <v/>
      </c>
      <c r="W1733" t="str">
        <f>IF(L1733="","",R1733/'[1]LOCH Calc COE Calc'!$C$28)</f>
        <v/>
      </c>
    </row>
    <row r="1734" spans="12:23" x14ac:dyDescent="0.25">
      <c r="L1734" s="4" t="str">
        <f>IF('[1]All Data '!BE1739="","",'[1]All Data '!BE1739)</f>
        <v/>
      </c>
      <c r="M1734" t="str">
        <f>IF('[1]All Data '!BF1739="","",'[1]All Data '!BF1739)</f>
        <v/>
      </c>
      <c r="N1734" s="5" t="str">
        <f>IF('[1]All Data '!BB1739="","",'[1]All Data '!BC1739/'[1]All Data '!BH1739)</f>
        <v/>
      </c>
      <c r="O1734" s="5" t="str">
        <f t="shared" si="29"/>
        <v/>
      </c>
      <c r="P1734" s="5" t="str">
        <f>IF(M1734="","",$C$2*(1-L1734)*907.2/0.621371*N1734*[1]Transportation!$M$40)</f>
        <v/>
      </c>
      <c r="Q1734" s="5" t="str">
        <f>IF(L1734="","",IF([1]Inputs_Outputs!$B$5="Herbaceous",(LCA!$E$29*'[1]LOCH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4" s="5" t="str">
        <f>IF(M1734="","",$E$2*1000*'[1]LOCH Calc COE Calc'!$C$44)</f>
        <v/>
      </c>
      <c r="S1734" s="6" t="str">
        <f>IF(N1734="","",SUM(O1734:R1734)/('[1]LOCH Calc COE Calc'!$C$28))</f>
        <v/>
      </c>
      <c r="T1734" t="str">
        <f>IF(L1734="","",O1734/'[1]LOCH Calc COE Calc'!$C$28)</f>
        <v/>
      </c>
      <c r="U1734" t="str">
        <f>IF(L1734="","",P1734/'[1]LOCH Calc COE Calc'!$C$28)</f>
        <v/>
      </c>
      <c r="V1734" t="str">
        <f>IF(L1734="","",Q1734/'[1]LOCH Calc COE Calc'!$C$28)</f>
        <v/>
      </c>
      <c r="W1734" t="str">
        <f>IF(L1734="","",R1734/'[1]LOCH Calc COE Calc'!$C$28)</f>
        <v/>
      </c>
    </row>
    <row r="1735" spans="12:23" x14ac:dyDescent="0.25">
      <c r="L1735" s="4" t="str">
        <f>IF('[1]All Data '!BE1740="","",'[1]All Data '!BE1740)</f>
        <v/>
      </c>
      <c r="M1735" t="str">
        <f>IF('[1]All Data '!BF1740="","",'[1]All Data '!BF1740)</f>
        <v/>
      </c>
      <c r="N1735" s="5" t="str">
        <f>IF('[1]All Data '!BB1740="","",'[1]All Data '!BC1740/'[1]All Data '!BH1740)</f>
        <v/>
      </c>
      <c r="O1735" s="5" t="str">
        <f t="shared" si="29"/>
        <v/>
      </c>
      <c r="P1735" s="5" t="str">
        <f>IF(M1735="","",$C$2*(1-L1735)*907.2/0.621371*N1735*[1]Transportation!$M$40)</f>
        <v/>
      </c>
      <c r="Q1735" s="5" t="str">
        <f>IF(L1735="","",IF([1]Inputs_Outputs!$B$5="Herbaceous",(LCA!$E$29*'[1]LOCH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5" s="5" t="str">
        <f>IF(M1735="","",$E$2*1000*'[1]LOCH Calc COE Calc'!$C$44)</f>
        <v/>
      </c>
      <c r="S1735" s="6" t="str">
        <f>IF(N1735="","",SUM(O1735:R1735)/('[1]LOCH Calc COE Calc'!$C$28))</f>
        <v/>
      </c>
      <c r="T1735" t="str">
        <f>IF(L1735="","",O1735/'[1]LOCH Calc COE Calc'!$C$28)</f>
        <v/>
      </c>
      <c r="U1735" t="str">
        <f>IF(L1735="","",P1735/'[1]LOCH Calc COE Calc'!$C$28)</f>
        <v/>
      </c>
      <c r="V1735" t="str">
        <f>IF(L1735="","",Q1735/'[1]LOCH Calc COE Calc'!$C$28)</f>
        <v/>
      </c>
      <c r="W1735" t="str">
        <f>IF(L1735="","",R1735/'[1]LOCH Calc COE Calc'!$C$28)</f>
        <v/>
      </c>
    </row>
    <row r="1736" spans="12:23" x14ac:dyDescent="0.25">
      <c r="L1736" s="4" t="str">
        <f>IF('[1]All Data '!BE1741="","",'[1]All Data '!BE1741)</f>
        <v/>
      </c>
      <c r="M1736" t="str">
        <f>IF('[1]All Data '!BF1741="","",'[1]All Data '!BF1741)</f>
        <v/>
      </c>
      <c r="N1736" s="5" t="str">
        <f>IF('[1]All Data '!BB1741="","",'[1]All Data '!BC1741/'[1]All Data '!BH1741)</f>
        <v/>
      </c>
      <c r="O1736" s="5" t="str">
        <f t="shared" si="29"/>
        <v/>
      </c>
      <c r="P1736" s="5" t="str">
        <f>IF(M1736="","",$C$2*(1-L1736)*907.2/0.621371*N1736*[1]Transportation!$M$40)</f>
        <v/>
      </c>
      <c r="Q1736" s="5" t="str">
        <f>IF(L1736="","",IF([1]Inputs_Outputs!$B$5="Herbaceous",(LCA!$E$29*'[1]LOCH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6" s="5" t="str">
        <f>IF(M1736="","",$E$2*1000*'[1]LOCH Calc COE Calc'!$C$44)</f>
        <v/>
      </c>
      <c r="S1736" s="6" t="str">
        <f>IF(N1736="","",SUM(O1736:R1736)/('[1]LOCH Calc COE Calc'!$C$28))</f>
        <v/>
      </c>
      <c r="T1736" t="str">
        <f>IF(L1736="","",O1736/'[1]LOCH Calc COE Calc'!$C$28)</f>
        <v/>
      </c>
      <c r="U1736" t="str">
        <f>IF(L1736="","",P1736/'[1]LOCH Calc COE Calc'!$C$28)</f>
        <v/>
      </c>
      <c r="V1736" t="str">
        <f>IF(L1736="","",Q1736/'[1]LOCH Calc COE Calc'!$C$28)</f>
        <v/>
      </c>
      <c r="W1736" t="str">
        <f>IF(L1736="","",R1736/'[1]LOCH Calc COE Calc'!$C$28)</f>
        <v/>
      </c>
    </row>
    <row r="1737" spans="12:23" x14ac:dyDescent="0.25">
      <c r="L1737" s="4" t="str">
        <f>IF('[1]All Data '!BE1742="","",'[1]All Data '!BE1742)</f>
        <v/>
      </c>
      <c r="M1737" t="str">
        <f>IF('[1]All Data '!BF1742="","",'[1]All Data '!BF1742)</f>
        <v/>
      </c>
      <c r="N1737" s="5" t="str">
        <f>IF('[1]All Data '!BB1742="","",'[1]All Data '!BC1742/'[1]All Data '!BH1742)</f>
        <v/>
      </c>
      <c r="O1737" s="5" t="str">
        <f t="shared" si="29"/>
        <v/>
      </c>
      <c r="P1737" s="5" t="str">
        <f>IF(M1737="","",$C$2*(1-L1737)*907.2/0.621371*N1737*[1]Transportation!$M$40)</f>
        <v/>
      </c>
      <c r="Q1737" s="5" t="str">
        <f>IF(L1737="","",IF([1]Inputs_Outputs!$B$5="Herbaceous",(LCA!$E$29*'[1]LOCH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7" s="5" t="str">
        <f>IF(M1737="","",$E$2*1000*'[1]LOCH Calc COE Calc'!$C$44)</f>
        <v/>
      </c>
      <c r="S1737" s="6" t="str">
        <f>IF(N1737="","",SUM(O1737:R1737)/('[1]LOCH Calc COE Calc'!$C$28))</f>
        <v/>
      </c>
      <c r="T1737" t="str">
        <f>IF(L1737="","",O1737/'[1]LOCH Calc COE Calc'!$C$28)</f>
        <v/>
      </c>
      <c r="U1737" t="str">
        <f>IF(L1737="","",P1737/'[1]LOCH Calc COE Calc'!$C$28)</f>
        <v/>
      </c>
      <c r="V1737" t="str">
        <f>IF(L1737="","",Q1737/'[1]LOCH Calc COE Calc'!$C$28)</f>
        <v/>
      </c>
      <c r="W1737" t="str">
        <f>IF(L1737="","",R1737/'[1]LOCH Calc COE Calc'!$C$28)</f>
        <v/>
      </c>
    </row>
    <row r="1738" spans="12:23" x14ac:dyDescent="0.25">
      <c r="L1738" s="4" t="str">
        <f>IF('[1]All Data '!BE1743="","",'[1]All Data '!BE1743)</f>
        <v/>
      </c>
      <c r="M1738" t="str">
        <f>IF('[1]All Data '!BF1743="","",'[1]All Data '!BF1743)</f>
        <v/>
      </c>
      <c r="N1738" s="5" t="str">
        <f>IF('[1]All Data '!BB1743="","",'[1]All Data '!BC1743/'[1]All Data '!BH1743)</f>
        <v/>
      </c>
      <c r="O1738" s="5" t="str">
        <f t="shared" si="29"/>
        <v/>
      </c>
      <c r="P1738" s="5" t="str">
        <f>IF(M1738="","",$C$2*(1-L1738)*907.2/0.621371*N1738*[1]Transportation!$M$40)</f>
        <v/>
      </c>
      <c r="Q1738" s="5" t="str">
        <f>IF(L1738="","",IF([1]Inputs_Outputs!$B$5="Herbaceous",(LCA!$E$29*'[1]LOCH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8" s="5" t="str">
        <f>IF(M1738="","",$E$2*1000*'[1]LOCH Calc COE Calc'!$C$44)</f>
        <v/>
      </c>
      <c r="S1738" s="6" t="str">
        <f>IF(N1738="","",SUM(O1738:R1738)/('[1]LOCH Calc COE Calc'!$C$28))</f>
        <v/>
      </c>
      <c r="T1738" t="str">
        <f>IF(L1738="","",O1738/'[1]LOCH Calc COE Calc'!$C$28)</f>
        <v/>
      </c>
      <c r="U1738" t="str">
        <f>IF(L1738="","",P1738/'[1]LOCH Calc COE Calc'!$C$28)</f>
        <v/>
      </c>
      <c r="V1738" t="str">
        <f>IF(L1738="","",Q1738/'[1]LOCH Calc COE Calc'!$C$28)</f>
        <v/>
      </c>
      <c r="W1738" t="str">
        <f>IF(L1738="","",R1738/'[1]LOCH Calc COE Calc'!$C$28)</f>
        <v/>
      </c>
    </row>
    <row r="1739" spans="12:23" x14ac:dyDescent="0.25">
      <c r="L1739" s="4" t="str">
        <f>IF('[1]All Data '!BE1744="","",'[1]All Data '!BE1744)</f>
        <v/>
      </c>
      <c r="M1739" t="str">
        <f>IF('[1]All Data '!BF1744="","",'[1]All Data '!BF1744)</f>
        <v/>
      </c>
      <c r="N1739" s="5" t="str">
        <f>IF('[1]All Data '!BB1744="","",'[1]All Data '!BC1744/'[1]All Data '!BH1744)</f>
        <v/>
      </c>
      <c r="O1739" s="5" t="str">
        <f t="shared" si="29"/>
        <v/>
      </c>
      <c r="P1739" s="5" t="str">
        <f>IF(M1739="","",$C$2*(1-L1739)*907.2/0.621371*N1739*[1]Transportation!$M$40)</f>
        <v/>
      </c>
      <c r="Q1739" s="5" t="str">
        <f>IF(L1739="","",IF([1]Inputs_Outputs!$B$5="Herbaceous",(LCA!$E$29*'[1]LOCH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39" s="5" t="str">
        <f>IF(M1739="","",$E$2*1000*'[1]LOCH Calc COE Calc'!$C$44)</f>
        <v/>
      </c>
      <c r="S1739" s="6" t="str">
        <f>IF(N1739="","",SUM(O1739:R1739)/('[1]LOCH Calc COE Calc'!$C$28))</f>
        <v/>
      </c>
      <c r="T1739" t="str">
        <f>IF(L1739="","",O1739/'[1]LOCH Calc COE Calc'!$C$28)</f>
        <v/>
      </c>
      <c r="U1739" t="str">
        <f>IF(L1739="","",P1739/'[1]LOCH Calc COE Calc'!$C$28)</f>
        <v/>
      </c>
      <c r="V1739" t="str">
        <f>IF(L1739="","",Q1739/'[1]LOCH Calc COE Calc'!$C$28)</f>
        <v/>
      </c>
      <c r="W1739" t="str">
        <f>IF(L1739="","",R1739/'[1]LOCH Calc COE Calc'!$C$28)</f>
        <v/>
      </c>
    </row>
    <row r="1740" spans="12:23" x14ac:dyDescent="0.25">
      <c r="L1740" s="4" t="str">
        <f>IF('[1]All Data '!BE1745="","",'[1]All Data '!BE1745)</f>
        <v/>
      </c>
      <c r="M1740" t="str">
        <f>IF('[1]All Data '!BF1745="","",'[1]All Data '!BF1745)</f>
        <v/>
      </c>
      <c r="N1740" s="5" t="str">
        <f>IF('[1]All Data '!BB1745="","",'[1]All Data '!BC1745/'[1]All Data '!BH1745)</f>
        <v/>
      </c>
      <c r="O1740" s="5" t="str">
        <f t="shared" si="29"/>
        <v/>
      </c>
      <c r="P1740" s="5" t="str">
        <f>IF(M1740="","",$C$2*(1-L1740)*907.2/0.621371*N1740*[1]Transportation!$M$40)</f>
        <v/>
      </c>
      <c r="Q1740" s="5" t="str">
        <f>IF(L1740="","",IF([1]Inputs_Outputs!$B$5="Herbaceous",(LCA!$E$29*'[1]LOCH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0" s="5" t="str">
        <f>IF(M1740="","",$E$2*1000*'[1]LOCH Calc COE Calc'!$C$44)</f>
        <v/>
      </c>
      <c r="S1740" s="6" t="str">
        <f>IF(N1740="","",SUM(O1740:R1740)/('[1]LOCH Calc COE Calc'!$C$28))</f>
        <v/>
      </c>
      <c r="T1740" t="str">
        <f>IF(L1740="","",O1740/'[1]LOCH Calc COE Calc'!$C$28)</f>
        <v/>
      </c>
      <c r="U1740" t="str">
        <f>IF(L1740="","",P1740/'[1]LOCH Calc COE Calc'!$C$28)</f>
        <v/>
      </c>
      <c r="V1740" t="str">
        <f>IF(L1740="","",Q1740/'[1]LOCH Calc COE Calc'!$C$28)</f>
        <v/>
      </c>
      <c r="W1740" t="str">
        <f>IF(L1740="","",R1740/'[1]LOCH Calc COE Calc'!$C$28)</f>
        <v/>
      </c>
    </row>
    <row r="1741" spans="12:23" x14ac:dyDescent="0.25">
      <c r="L1741" s="4" t="str">
        <f>IF('[1]All Data '!BE1746="","",'[1]All Data '!BE1746)</f>
        <v/>
      </c>
      <c r="M1741" t="str">
        <f>IF('[1]All Data '!BF1746="","",'[1]All Data '!BF1746)</f>
        <v/>
      </c>
      <c r="N1741" s="5" t="str">
        <f>IF('[1]All Data '!BB1746="","",'[1]All Data '!BC1746/'[1]All Data '!BH1746)</f>
        <v/>
      </c>
      <c r="O1741" s="5" t="str">
        <f t="shared" si="29"/>
        <v/>
      </c>
      <c r="P1741" s="5" t="str">
        <f>IF(M1741="","",$C$2*(1-L1741)*907.2/0.621371*N1741*[1]Transportation!$M$40)</f>
        <v/>
      </c>
      <c r="Q1741" s="5" t="str">
        <f>IF(L1741="","",IF([1]Inputs_Outputs!$B$5="Herbaceous",(LCA!$E$29*'[1]LOCH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1" s="5" t="str">
        <f>IF(M1741="","",$E$2*1000*'[1]LOCH Calc COE Calc'!$C$44)</f>
        <v/>
      </c>
      <c r="S1741" s="6" t="str">
        <f>IF(N1741="","",SUM(O1741:R1741)/('[1]LOCH Calc COE Calc'!$C$28))</f>
        <v/>
      </c>
      <c r="T1741" t="str">
        <f>IF(L1741="","",O1741/'[1]LOCH Calc COE Calc'!$C$28)</f>
        <v/>
      </c>
      <c r="U1741" t="str">
        <f>IF(L1741="","",P1741/'[1]LOCH Calc COE Calc'!$C$28)</f>
        <v/>
      </c>
      <c r="V1741" t="str">
        <f>IF(L1741="","",Q1741/'[1]LOCH Calc COE Calc'!$C$28)</f>
        <v/>
      </c>
      <c r="W1741" t="str">
        <f>IF(L1741="","",R1741/'[1]LOCH Calc COE Calc'!$C$28)</f>
        <v/>
      </c>
    </row>
    <row r="1742" spans="12:23" x14ac:dyDescent="0.25">
      <c r="L1742" s="4" t="str">
        <f>IF('[1]All Data '!BE1747="","",'[1]All Data '!BE1747)</f>
        <v/>
      </c>
      <c r="M1742" t="str">
        <f>IF('[1]All Data '!BF1747="","",'[1]All Data '!BF1747)</f>
        <v/>
      </c>
      <c r="N1742" s="5" t="str">
        <f>IF('[1]All Data '!BB1747="","",'[1]All Data '!BC1747/'[1]All Data '!BH1747)</f>
        <v/>
      </c>
      <c r="O1742" s="5" t="str">
        <f t="shared" si="29"/>
        <v/>
      </c>
      <c r="P1742" s="5" t="str">
        <f>IF(M1742="","",$C$2*(1-L1742)*907.2/0.621371*N1742*[1]Transportation!$M$40)</f>
        <v/>
      </c>
      <c r="Q1742" s="5" t="str">
        <f>IF(L1742="","",IF([1]Inputs_Outputs!$B$5="Herbaceous",(LCA!$E$29*'[1]LOCH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2" s="5" t="str">
        <f>IF(M1742="","",$E$2*1000*'[1]LOCH Calc COE Calc'!$C$44)</f>
        <v/>
      </c>
      <c r="S1742" s="6" t="str">
        <f>IF(N1742="","",SUM(O1742:R1742)/('[1]LOCH Calc COE Calc'!$C$28))</f>
        <v/>
      </c>
      <c r="T1742" t="str">
        <f>IF(L1742="","",O1742/'[1]LOCH Calc COE Calc'!$C$28)</f>
        <v/>
      </c>
      <c r="U1742" t="str">
        <f>IF(L1742="","",P1742/'[1]LOCH Calc COE Calc'!$C$28)</f>
        <v/>
      </c>
      <c r="V1742" t="str">
        <f>IF(L1742="","",Q1742/'[1]LOCH Calc COE Calc'!$C$28)</f>
        <v/>
      </c>
      <c r="W1742" t="str">
        <f>IF(L1742="","",R1742/'[1]LOCH Calc COE Calc'!$C$28)</f>
        <v/>
      </c>
    </row>
    <row r="1743" spans="12:23" x14ac:dyDescent="0.25">
      <c r="L1743" s="4" t="str">
        <f>IF('[1]All Data '!BE1748="","",'[1]All Data '!BE1748)</f>
        <v/>
      </c>
      <c r="M1743" t="str">
        <f>IF('[1]All Data '!BF1748="","",'[1]All Data '!BF1748)</f>
        <v/>
      </c>
      <c r="N1743" s="5" t="str">
        <f>IF('[1]All Data '!BB1748="","",'[1]All Data '!BC1748/'[1]All Data '!BH1748)</f>
        <v/>
      </c>
      <c r="O1743" s="5" t="str">
        <f t="shared" si="29"/>
        <v/>
      </c>
      <c r="P1743" s="5" t="str">
        <f>IF(M1743="","",$C$2*(1-L1743)*907.2/0.621371*N1743*[1]Transportation!$M$40)</f>
        <v/>
      </c>
      <c r="Q1743" s="5" t="str">
        <f>IF(L1743="","",IF([1]Inputs_Outputs!$B$5="Herbaceous",(LCA!$E$29*'[1]LOCH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3" s="5" t="str">
        <f>IF(M1743="","",$E$2*1000*'[1]LOCH Calc COE Calc'!$C$44)</f>
        <v/>
      </c>
      <c r="S1743" s="6" t="str">
        <f>IF(N1743="","",SUM(O1743:R1743)/('[1]LOCH Calc COE Calc'!$C$28))</f>
        <v/>
      </c>
      <c r="T1743" t="str">
        <f>IF(L1743="","",O1743/'[1]LOCH Calc COE Calc'!$C$28)</f>
        <v/>
      </c>
      <c r="U1743" t="str">
        <f>IF(L1743="","",P1743/'[1]LOCH Calc COE Calc'!$C$28)</f>
        <v/>
      </c>
      <c r="V1743" t="str">
        <f>IF(L1743="","",Q1743/'[1]LOCH Calc COE Calc'!$C$28)</f>
        <v/>
      </c>
      <c r="W1743" t="str">
        <f>IF(L1743="","",R1743/'[1]LOCH Calc COE Calc'!$C$28)</f>
        <v/>
      </c>
    </row>
    <row r="1744" spans="12:23" x14ac:dyDescent="0.25">
      <c r="L1744" s="4" t="str">
        <f>IF('[1]All Data '!BE1749="","",'[1]All Data '!BE1749)</f>
        <v/>
      </c>
      <c r="M1744" t="str">
        <f>IF('[1]All Data '!BF1749="","",'[1]All Data '!BF1749)</f>
        <v/>
      </c>
      <c r="N1744" s="5" t="str">
        <f>IF('[1]All Data '!BB1749="","",'[1]All Data '!BC1749/'[1]All Data '!BH1749)</f>
        <v/>
      </c>
      <c r="O1744" s="5" t="str">
        <f t="shared" si="29"/>
        <v/>
      </c>
      <c r="P1744" s="5" t="str">
        <f>IF(M1744="","",$C$2*(1-L1744)*907.2/0.621371*N1744*[1]Transportation!$M$40)</f>
        <v/>
      </c>
      <c r="Q1744" s="5" t="str">
        <f>IF(L1744="","",IF([1]Inputs_Outputs!$B$5="Herbaceous",(LCA!$E$29*'[1]LOCH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4" s="5" t="str">
        <f>IF(M1744="","",$E$2*1000*'[1]LOCH Calc COE Calc'!$C$44)</f>
        <v/>
      </c>
      <c r="S1744" s="6" t="str">
        <f>IF(N1744="","",SUM(O1744:R1744)/('[1]LOCH Calc COE Calc'!$C$28))</f>
        <v/>
      </c>
      <c r="T1744" t="str">
        <f>IF(L1744="","",O1744/'[1]LOCH Calc COE Calc'!$C$28)</f>
        <v/>
      </c>
      <c r="U1744" t="str">
        <f>IF(L1744="","",P1744/'[1]LOCH Calc COE Calc'!$C$28)</f>
        <v/>
      </c>
      <c r="V1744" t="str">
        <f>IF(L1744="","",Q1744/'[1]LOCH Calc COE Calc'!$C$28)</f>
        <v/>
      </c>
      <c r="W1744" t="str">
        <f>IF(L1744="","",R1744/'[1]LOCH Calc COE Calc'!$C$28)</f>
        <v/>
      </c>
    </row>
    <row r="1745" spans="12:23" x14ac:dyDescent="0.25">
      <c r="L1745" s="4" t="str">
        <f>IF('[1]All Data '!BE1750="","",'[1]All Data '!BE1750)</f>
        <v/>
      </c>
      <c r="M1745" t="str">
        <f>IF('[1]All Data '!BF1750="","",'[1]All Data '!BF1750)</f>
        <v/>
      </c>
      <c r="N1745" s="5" t="str">
        <f>IF('[1]All Data '!BB1750="","",'[1]All Data '!BC1750/'[1]All Data '!BH1750)</f>
        <v/>
      </c>
      <c r="O1745" s="5" t="str">
        <f t="shared" si="29"/>
        <v/>
      </c>
      <c r="P1745" s="5" t="str">
        <f>IF(M1745="","",$C$2*(1-L1745)*907.2/0.621371*N1745*[1]Transportation!$M$40)</f>
        <v/>
      </c>
      <c r="Q1745" s="5" t="str">
        <f>IF(L1745="","",IF([1]Inputs_Outputs!$B$5="Herbaceous",(LCA!$E$29*'[1]LOCH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5" s="5" t="str">
        <f>IF(M1745="","",$E$2*1000*'[1]LOCH Calc COE Calc'!$C$44)</f>
        <v/>
      </c>
      <c r="S1745" s="6" t="str">
        <f>IF(N1745="","",SUM(O1745:R1745)/('[1]LOCH Calc COE Calc'!$C$28))</f>
        <v/>
      </c>
      <c r="T1745" t="str">
        <f>IF(L1745="","",O1745/'[1]LOCH Calc COE Calc'!$C$28)</f>
        <v/>
      </c>
      <c r="U1745" t="str">
        <f>IF(L1745="","",P1745/'[1]LOCH Calc COE Calc'!$C$28)</f>
        <v/>
      </c>
      <c r="V1745" t="str">
        <f>IF(L1745="","",Q1745/'[1]LOCH Calc COE Calc'!$C$28)</f>
        <v/>
      </c>
      <c r="W1745" t="str">
        <f>IF(L1745="","",R1745/'[1]LOCH Calc COE Calc'!$C$28)</f>
        <v/>
      </c>
    </row>
    <row r="1746" spans="12:23" x14ac:dyDescent="0.25">
      <c r="L1746" s="4" t="str">
        <f>IF('[1]All Data '!BE1751="","",'[1]All Data '!BE1751)</f>
        <v/>
      </c>
      <c r="M1746" t="str">
        <f>IF('[1]All Data '!BF1751="","",'[1]All Data '!BF1751)</f>
        <v/>
      </c>
      <c r="N1746" s="5" t="str">
        <f>IF('[1]All Data '!BB1751="","",'[1]All Data '!BC1751/'[1]All Data '!BH1751)</f>
        <v/>
      </c>
      <c r="O1746" s="5" t="str">
        <f t="shared" si="29"/>
        <v/>
      </c>
      <c r="P1746" s="5" t="str">
        <f>IF(M1746="","",$C$2*(1-L1746)*907.2/0.621371*N1746*[1]Transportation!$M$40)</f>
        <v/>
      </c>
      <c r="Q1746" s="5" t="str">
        <f>IF(L1746="","",IF([1]Inputs_Outputs!$B$5="Herbaceous",(LCA!$E$29*'[1]LOCH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6" s="5" t="str">
        <f>IF(M1746="","",$E$2*1000*'[1]LOCH Calc COE Calc'!$C$44)</f>
        <v/>
      </c>
      <c r="S1746" s="6" t="str">
        <f>IF(N1746="","",SUM(O1746:R1746)/('[1]LOCH Calc COE Calc'!$C$28))</f>
        <v/>
      </c>
      <c r="T1746" t="str">
        <f>IF(L1746="","",O1746/'[1]LOCH Calc COE Calc'!$C$28)</f>
        <v/>
      </c>
      <c r="U1746" t="str">
        <f>IF(L1746="","",P1746/'[1]LOCH Calc COE Calc'!$C$28)</f>
        <v/>
      </c>
      <c r="V1746" t="str">
        <f>IF(L1746="","",Q1746/'[1]LOCH Calc COE Calc'!$C$28)</f>
        <v/>
      </c>
      <c r="W1746" t="str">
        <f>IF(L1746="","",R1746/'[1]LOCH Calc COE Calc'!$C$28)</f>
        <v/>
      </c>
    </row>
    <row r="1747" spans="12:23" x14ac:dyDescent="0.25">
      <c r="L1747" s="4" t="str">
        <f>IF('[1]All Data '!BE1752="","",'[1]All Data '!BE1752)</f>
        <v/>
      </c>
      <c r="M1747" t="str">
        <f>IF('[1]All Data '!BF1752="","",'[1]All Data '!BF1752)</f>
        <v/>
      </c>
      <c r="N1747" s="5" t="str">
        <f>IF('[1]All Data '!BB1752="","",'[1]All Data '!BC1752/'[1]All Data '!BH1752)</f>
        <v/>
      </c>
      <c r="O1747" s="5" t="str">
        <f t="shared" si="29"/>
        <v/>
      </c>
      <c r="P1747" s="5" t="str">
        <f>IF(M1747="","",$C$2*(1-L1747)*907.2/0.621371*N1747*[1]Transportation!$M$40)</f>
        <v/>
      </c>
      <c r="Q1747" s="5" t="str">
        <f>IF(L1747="","",IF([1]Inputs_Outputs!$B$5="Herbaceous",(LCA!$E$29*'[1]LOCH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7" s="5" t="str">
        <f>IF(M1747="","",$E$2*1000*'[1]LOCH Calc COE Calc'!$C$44)</f>
        <v/>
      </c>
      <c r="S1747" s="6" t="str">
        <f>IF(N1747="","",SUM(O1747:R1747)/('[1]LOCH Calc COE Calc'!$C$28))</f>
        <v/>
      </c>
      <c r="T1747" t="str">
        <f>IF(L1747="","",O1747/'[1]LOCH Calc COE Calc'!$C$28)</f>
        <v/>
      </c>
      <c r="U1747" t="str">
        <f>IF(L1747="","",P1747/'[1]LOCH Calc COE Calc'!$C$28)</f>
        <v/>
      </c>
      <c r="V1747" t="str">
        <f>IF(L1747="","",Q1747/'[1]LOCH Calc COE Calc'!$C$28)</f>
        <v/>
      </c>
      <c r="W1747" t="str">
        <f>IF(L1747="","",R1747/'[1]LOCH Calc COE Calc'!$C$28)</f>
        <v/>
      </c>
    </row>
    <row r="1748" spans="12:23" x14ac:dyDescent="0.25">
      <c r="L1748" s="4" t="str">
        <f>IF('[1]All Data '!BE1753="","",'[1]All Data '!BE1753)</f>
        <v/>
      </c>
      <c r="M1748" t="str">
        <f>IF('[1]All Data '!BF1753="","",'[1]All Data '!BF1753)</f>
        <v/>
      </c>
      <c r="N1748" s="5" t="str">
        <f>IF('[1]All Data '!BB1753="","",'[1]All Data '!BC1753/'[1]All Data '!BH1753)</f>
        <v/>
      </c>
      <c r="O1748" s="5" t="str">
        <f t="shared" si="29"/>
        <v/>
      </c>
      <c r="P1748" s="5" t="str">
        <f>IF(M1748="","",$C$2*(1-L1748)*907.2/0.621371*N1748*[1]Transportation!$M$40)</f>
        <v/>
      </c>
      <c r="Q1748" s="5" t="str">
        <f>IF(L1748="","",IF([1]Inputs_Outputs!$B$5="Herbaceous",(LCA!$E$29*'[1]LOCH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8" s="5" t="str">
        <f>IF(M1748="","",$E$2*1000*'[1]LOCH Calc COE Calc'!$C$44)</f>
        <v/>
      </c>
      <c r="S1748" s="6" t="str">
        <f>IF(N1748="","",SUM(O1748:R1748)/('[1]LOCH Calc COE Calc'!$C$28))</f>
        <v/>
      </c>
      <c r="T1748" t="str">
        <f>IF(L1748="","",O1748/'[1]LOCH Calc COE Calc'!$C$28)</f>
        <v/>
      </c>
      <c r="U1748" t="str">
        <f>IF(L1748="","",P1748/'[1]LOCH Calc COE Calc'!$C$28)</f>
        <v/>
      </c>
      <c r="V1748" t="str">
        <f>IF(L1748="","",Q1748/'[1]LOCH Calc COE Calc'!$C$28)</f>
        <v/>
      </c>
      <c r="W1748" t="str">
        <f>IF(L1748="","",R1748/'[1]LOCH Calc COE Calc'!$C$28)</f>
        <v/>
      </c>
    </row>
    <row r="1749" spans="12:23" x14ac:dyDescent="0.25">
      <c r="L1749" s="4" t="str">
        <f>IF('[1]All Data '!BE1754="","",'[1]All Data '!BE1754)</f>
        <v/>
      </c>
      <c r="M1749" t="str">
        <f>IF('[1]All Data '!BF1754="","",'[1]All Data '!BF1754)</f>
        <v/>
      </c>
      <c r="N1749" s="5" t="str">
        <f>IF('[1]All Data '!BB1754="","",'[1]All Data '!BC1754/'[1]All Data '!BH1754)</f>
        <v/>
      </c>
      <c r="O1749" s="5" t="str">
        <f t="shared" si="29"/>
        <v/>
      </c>
      <c r="P1749" s="5" t="str">
        <f>IF(M1749="","",$C$2*(1-L1749)*907.2/0.621371*N1749*[1]Transportation!$M$40)</f>
        <v/>
      </c>
      <c r="Q1749" s="5" t="str">
        <f>IF(L1749="","",IF([1]Inputs_Outputs!$B$5="Herbaceous",(LCA!$E$29*'[1]LOCH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49" s="5" t="str">
        <f>IF(M1749="","",$E$2*1000*'[1]LOCH Calc COE Calc'!$C$44)</f>
        <v/>
      </c>
      <c r="S1749" s="6" t="str">
        <f>IF(N1749="","",SUM(O1749:R1749)/('[1]LOCH Calc COE Calc'!$C$28))</f>
        <v/>
      </c>
      <c r="T1749" t="str">
        <f>IF(L1749="","",O1749/'[1]LOCH Calc COE Calc'!$C$28)</f>
        <v/>
      </c>
      <c r="U1749" t="str">
        <f>IF(L1749="","",P1749/'[1]LOCH Calc COE Calc'!$C$28)</f>
        <v/>
      </c>
      <c r="V1749" t="str">
        <f>IF(L1749="","",Q1749/'[1]LOCH Calc COE Calc'!$C$28)</f>
        <v/>
      </c>
      <c r="W1749" t="str">
        <f>IF(L1749="","",R1749/'[1]LOCH Calc COE Calc'!$C$28)</f>
        <v/>
      </c>
    </row>
    <row r="1750" spans="12:23" x14ac:dyDescent="0.25">
      <c r="L1750" s="4" t="str">
        <f>IF('[1]All Data '!BE1755="","",'[1]All Data '!BE1755)</f>
        <v/>
      </c>
      <c r="M1750" t="str">
        <f>IF('[1]All Data '!BF1755="","",'[1]All Data '!BF1755)</f>
        <v/>
      </c>
      <c r="N1750" s="5" t="str">
        <f>IF('[1]All Data '!BB1755="","",'[1]All Data '!BC1755/'[1]All Data '!BH1755)</f>
        <v/>
      </c>
      <c r="O1750" s="5" t="str">
        <f t="shared" si="29"/>
        <v/>
      </c>
      <c r="P1750" s="5" t="str">
        <f>IF(M1750="","",$C$2*(1-L1750)*907.2/0.621371*N1750*[1]Transportation!$M$40)</f>
        <v/>
      </c>
      <c r="Q1750" s="5" t="str">
        <f>IF(L1750="","",IF([1]Inputs_Outputs!$B$5="Herbaceous",(LCA!$E$29*'[1]LOCH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0" s="5" t="str">
        <f>IF(M1750="","",$E$2*1000*'[1]LOCH Calc COE Calc'!$C$44)</f>
        <v/>
      </c>
      <c r="S1750" s="6" t="str">
        <f>IF(N1750="","",SUM(O1750:R1750)/('[1]LOCH Calc COE Calc'!$C$28))</f>
        <v/>
      </c>
      <c r="T1750" t="str">
        <f>IF(L1750="","",O1750/'[1]LOCH Calc COE Calc'!$C$28)</f>
        <v/>
      </c>
      <c r="U1750" t="str">
        <f>IF(L1750="","",P1750/'[1]LOCH Calc COE Calc'!$C$28)</f>
        <v/>
      </c>
      <c r="V1750" t="str">
        <f>IF(L1750="","",Q1750/'[1]LOCH Calc COE Calc'!$C$28)</f>
        <v/>
      </c>
      <c r="W1750" t="str">
        <f>IF(L1750="","",R1750/'[1]LOCH Calc COE Calc'!$C$28)</f>
        <v/>
      </c>
    </row>
    <row r="1751" spans="12:23" x14ac:dyDescent="0.25">
      <c r="L1751" s="4" t="str">
        <f>IF('[1]All Data '!BE1756="","",'[1]All Data '!BE1756)</f>
        <v/>
      </c>
      <c r="M1751" t="str">
        <f>IF('[1]All Data '!BF1756="","",'[1]All Data '!BF1756)</f>
        <v/>
      </c>
      <c r="N1751" s="5" t="str">
        <f>IF('[1]All Data '!BB1756="","",'[1]All Data '!BC1756/'[1]All Data '!BH1756)</f>
        <v/>
      </c>
      <c r="O1751" s="5" t="str">
        <f t="shared" si="29"/>
        <v/>
      </c>
      <c r="P1751" s="5" t="str">
        <f>IF(M1751="","",$C$2*(1-L1751)*907.2/0.621371*N1751*[1]Transportation!$M$40)</f>
        <v/>
      </c>
      <c r="Q1751" s="5" t="str">
        <f>IF(L1751="","",IF([1]Inputs_Outputs!$B$5="Herbaceous",(LCA!$E$29*'[1]LOCH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1" s="5" t="str">
        <f>IF(M1751="","",$E$2*1000*'[1]LOCH Calc COE Calc'!$C$44)</f>
        <v/>
      </c>
      <c r="S1751" s="6" t="str">
        <f>IF(N1751="","",SUM(O1751:R1751)/('[1]LOCH Calc COE Calc'!$C$28))</f>
        <v/>
      </c>
      <c r="T1751" t="str">
        <f>IF(L1751="","",O1751/'[1]LOCH Calc COE Calc'!$C$28)</f>
        <v/>
      </c>
      <c r="U1751" t="str">
        <f>IF(L1751="","",P1751/'[1]LOCH Calc COE Calc'!$C$28)</f>
        <v/>
      </c>
      <c r="V1751" t="str">
        <f>IF(L1751="","",Q1751/'[1]LOCH Calc COE Calc'!$C$28)</f>
        <v/>
      </c>
      <c r="W1751" t="str">
        <f>IF(L1751="","",R1751/'[1]LOCH Calc COE Calc'!$C$28)</f>
        <v/>
      </c>
    </row>
    <row r="1752" spans="12:23" x14ac:dyDescent="0.25">
      <c r="L1752" s="4" t="str">
        <f>IF('[1]All Data '!BE1757="","",'[1]All Data '!BE1757)</f>
        <v/>
      </c>
      <c r="M1752" t="str">
        <f>IF('[1]All Data '!BF1757="","",'[1]All Data '!BF1757)</f>
        <v/>
      </c>
      <c r="N1752" s="5" t="str">
        <f>IF('[1]All Data '!BB1757="","",'[1]All Data '!BC1757/'[1]All Data '!BH1757)</f>
        <v/>
      </c>
      <c r="O1752" s="5" t="str">
        <f t="shared" si="29"/>
        <v/>
      </c>
      <c r="P1752" s="5" t="str">
        <f>IF(M1752="","",$C$2*(1-L1752)*907.2/0.621371*N1752*[1]Transportation!$M$40)</f>
        <v/>
      </c>
      <c r="Q1752" s="5" t="str">
        <f>IF(L1752="","",IF([1]Inputs_Outputs!$B$5="Herbaceous",(LCA!$E$29*'[1]LOCH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2" s="5" t="str">
        <f>IF(M1752="","",$E$2*1000*'[1]LOCH Calc COE Calc'!$C$44)</f>
        <v/>
      </c>
      <c r="S1752" s="6" t="str">
        <f>IF(N1752="","",SUM(O1752:R1752)/('[1]LOCH Calc COE Calc'!$C$28))</f>
        <v/>
      </c>
      <c r="T1752" t="str">
        <f>IF(L1752="","",O1752/'[1]LOCH Calc COE Calc'!$C$28)</f>
        <v/>
      </c>
      <c r="U1752" t="str">
        <f>IF(L1752="","",P1752/'[1]LOCH Calc COE Calc'!$C$28)</f>
        <v/>
      </c>
      <c r="V1752" t="str">
        <f>IF(L1752="","",Q1752/'[1]LOCH Calc COE Calc'!$C$28)</f>
        <v/>
      </c>
      <c r="W1752" t="str">
        <f>IF(L1752="","",R1752/'[1]LOCH Calc COE Calc'!$C$28)</f>
        <v/>
      </c>
    </row>
    <row r="1753" spans="12:23" x14ac:dyDescent="0.25">
      <c r="L1753" s="4" t="str">
        <f>IF('[1]All Data '!BE1758="","",'[1]All Data '!BE1758)</f>
        <v/>
      </c>
      <c r="M1753" t="str">
        <f>IF('[1]All Data '!BF1758="","",'[1]All Data '!BF1758)</f>
        <v/>
      </c>
      <c r="N1753" s="5" t="str">
        <f>IF('[1]All Data '!BB1758="","",'[1]All Data '!BC1758/'[1]All Data '!BH1758)</f>
        <v/>
      </c>
      <c r="O1753" s="5" t="str">
        <f t="shared" si="29"/>
        <v/>
      </c>
      <c r="P1753" s="5" t="str">
        <f>IF(M1753="","",$C$2*(1-L1753)*907.2/0.621371*N1753*[1]Transportation!$M$40)</f>
        <v/>
      </c>
      <c r="Q1753" s="5" t="str">
        <f>IF(L1753="","",IF([1]Inputs_Outputs!$B$5="Herbaceous",(LCA!$E$29*'[1]LOCH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3" s="5" t="str">
        <f>IF(M1753="","",$E$2*1000*'[1]LOCH Calc COE Calc'!$C$44)</f>
        <v/>
      </c>
      <c r="S1753" s="6" t="str">
        <f>IF(N1753="","",SUM(O1753:R1753)/('[1]LOCH Calc COE Calc'!$C$28))</f>
        <v/>
      </c>
      <c r="T1753" t="str">
        <f>IF(L1753="","",O1753/'[1]LOCH Calc COE Calc'!$C$28)</f>
        <v/>
      </c>
      <c r="U1753" t="str">
        <f>IF(L1753="","",P1753/'[1]LOCH Calc COE Calc'!$C$28)</f>
        <v/>
      </c>
      <c r="V1753" t="str">
        <f>IF(L1753="","",Q1753/'[1]LOCH Calc COE Calc'!$C$28)</f>
        <v/>
      </c>
      <c r="W1753" t="str">
        <f>IF(L1753="","",R1753/'[1]LOCH Calc COE Calc'!$C$28)</f>
        <v/>
      </c>
    </row>
    <row r="1754" spans="12:23" x14ac:dyDescent="0.25">
      <c r="L1754" s="4" t="str">
        <f>IF('[1]All Data '!BE1759="","",'[1]All Data '!BE1759)</f>
        <v/>
      </c>
      <c r="M1754" t="str">
        <f>IF('[1]All Data '!BF1759="","",'[1]All Data '!BF1759)</f>
        <v/>
      </c>
      <c r="N1754" s="5" t="str">
        <f>IF('[1]All Data '!BB1759="","",'[1]All Data '!BC1759/'[1]All Data '!BH1759)</f>
        <v/>
      </c>
      <c r="O1754" s="5" t="str">
        <f t="shared" si="29"/>
        <v/>
      </c>
      <c r="P1754" s="5" t="str">
        <f>IF(M1754="","",$C$2*(1-L1754)*907.2/0.621371*N1754*[1]Transportation!$M$40)</f>
        <v/>
      </c>
      <c r="Q1754" s="5" t="str">
        <f>IF(L1754="","",IF([1]Inputs_Outputs!$B$5="Herbaceous",(LCA!$E$29*'[1]LOCH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4" s="5" t="str">
        <f>IF(M1754="","",$E$2*1000*'[1]LOCH Calc COE Calc'!$C$44)</f>
        <v/>
      </c>
      <c r="S1754" s="6" t="str">
        <f>IF(N1754="","",SUM(O1754:R1754)/('[1]LOCH Calc COE Calc'!$C$28))</f>
        <v/>
      </c>
      <c r="T1754" t="str">
        <f>IF(L1754="","",O1754/'[1]LOCH Calc COE Calc'!$C$28)</f>
        <v/>
      </c>
      <c r="U1754" t="str">
        <f>IF(L1754="","",P1754/'[1]LOCH Calc COE Calc'!$C$28)</f>
        <v/>
      </c>
      <c r="V1754" t="str">
        <f>IF(L1754="","",Q1754/'[1]LOCH Calc COE Calc'!$C$28)</f>
        <v/>
      </c>
      <c r="W1754" t="str">
        <f>IF(L1754="","",R1754/'[1]LOCH Calc COE Calc'!$C$28)</f>
        <v/>
      </c>
    </row>
    <row r="1755" spans="12:23" x14ac:dyDescent="0.25">
      <c r="L1755" s="4" t="str">
        <f>IF('[1]All Data '!BE1760="","",'[1]All Data '!BE1760)</f>
        <v/>
      </c>
      <c r="M1755" t="str">
        <f>IF('[1]All Data '!BF1760="","",'[1]All Data '!BF1760)</f>
        <v/>
      </c>
      <c r="N1755" s="5" t="str">
        <f>IF('[1]All Data '!BB1760="","",'[1]All Data '!BC1760/'[1]All Data '!BH1760)</f>
        <v/>
      </c>
      <c r="O1755" s="5" t="str">
        <f t="shared" si="29"/>
        <v/>
      </c>
      <c r="P1755" s="5" t="str">
        <f>IF(M1755="","",$C$2*(1-L1755)*907.2/0.621371*N1755*[1]Transportation!$M$40)</f>
        <v/>
      </c>
      <c r="Q1755" s="5" t="str">
        <f>IF(L1755="","",IF([1]Inputs_Outputs!$B$5="Herbaceous",(LCA!$E$29*'[1]LOCH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5" s="5" t="str">
        <f>IF(M1755="","",$E$2*1000*'[1]LOCH Calc COE Calc'!$C$44)</f>
        <v/>
      </c>
      <c r="S1755" s="6" t="str">
        <f>IF(N1755="","",SUM(O1755:R1755)/('[1]LOCH Calc COE Calc'!$C$28))</f>
        <v/>
      </c>
      <c r="T1755" t="str">
        <f>IF(L1755="","",O1755/'[1]LOCH Calc COE Calc'!$C$28)</f>
        <v/>
      </c>
      <c r="U1755" t="str">
        <f>IF(L1755="","",P1755/'[1]LOCH Calc COE Calc'!$C$28)</f>
        <v/>
      </c>
      <c r="V1755" t="str">
        <f>IF(L1755="","",Q1755/'[1]LOCH Calc COE Calc'!$C$28)</f>
        <v/>
      </c>
      <c r="W1755" t="str">
        <f>IF(L1755="","",R1755/'[1]LOCH Calc COE Calc'!$C$28)</f>
        <v/>
      </c>
    </row>
    <row r="1756" spans="12:23" x14ac:dyDescent="0.25">
      <c r="L1756" s="4" t="str">
        <f>IF('[1]All Data '!BE1761="","",'[1]All Data '!BE1761)</f>
        <v/>
      </c>
      <c r="M1756" t="str">
        <f>IF('[1]All Data '!BF1761="","",'[1]All Data '!BF1761)</f>
        <v/>
      </c>
      <c r="N1756" s="5" t="str">
        <f>IF('[1]All Data '!BB1761="","",'[1]All Data '!BC1761/'[1]All Data '!BH1761)</f>
        <v/>
      </c>
      <c r="O1756" s="5" t="str">
        <f t="shared" si="29"/>
        <v/>
      </c>
      <c r="P1756" s="5" t="str">
        <f>IF(M1756="","",$C$2*(1-L1756)*907.2/0.621371*N1756*[1]Transportation!$M$40)</f>
        <v/>
      </c>
      <c r="Q1756" s="5" t="str">
        <f>IF(L1756="","",IF([1]Inputs_Outputs!$B$5="Herbaceous",(LCA!$E$29*'[1]LOCH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6" s="5" t="str">
        <f>IF(M1756="","",$E$2*1000*'[1]LOCH Calc COE Calc'!$C$44)</f>
        <v/>
      </c>
      <c r="S1756" s="6" t="str">
        <f>IF(N1756="","",SUM(O1756:R1756)/('[1]LOCH Calc COE Calc'!$C$28))</f>
        <v/>
      </c>
      <c r="T1756" t="str">
        <f>IF(L1756="","",O1756/'[1]LOCH Calc COE Calc'!$C$28)</f>
        <v/>
      </c>
      <c r="U1756" t="str">
        <f>IF(L1756="","",P1756/'[1]LOCH Calc COE Calc'!$C$28)</f>
        <v/>
      </c>
      <c r="V1756" t="str">
        <f>IF(L1756="","",Q1756/'[1]LOCH Calc COE Calc'!$C$28)</f>
        <v/>
      </c>
      <c r="W1756" t="str">
        <f>IF(L1756="","",R1756/'[1]LOCH Calc COE Calc'!$C$28)</f>
        <v/>
      </c>
    </row>
    <row r="1757" spans="12:23" x14ac:dyDescent="0.25">
      <c r="L1757" s="4" t="str">
        <f>IF('[1]All Data '!BE1762="","",'[1]All Data '!BE1762)</f>
        <v/>
      </c>
      <c r="M1757" t="str">
        <f>IF('[1]All Data '!BF1762="","",'[1]All Data '!BF1762)</f>
        <v/>
      </c>
      <c r="N1757" s="5" t="str">
        <f>IF('[1]All Data '!BB1762="","",'[1]All Data '!BC1762/'[1]All Data '!BH1762)</f>
        <v/>
      </c>
      <c r="O1757" s="5" t="str">
        <f t="shared" si="29"/>
        <v/>
      </c>
      <c r="P1757" s="5" t="str">
        <f>IF(M1757="","",$C$2*(1-L1757)*907.2/0.621371*N1757*[1]Transportation!$M$40)</f>
        <v/>
      </c>
      <c r="Q1757" s="5" t="str">
        <f>IF(L1757="","",IF([1]Inputs_Outputs!$B$5="Herbaceous",(LCA!$E$29*'[1]LOCH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7" s="5" t="str">
        <f>IF(M1757="","",$E$2*1000*'[1]LOCH Calc COE Calc'!$C$44)</f>
        <v/>
      </c>
      <c r="S1757" s="6" t="str">
        <f>IF(N1757="","",SUM(O1757:R1757)/('[1]LOCH Calc COE Calc'!$C$28))</f>
        <v/>
      </c>
      <c r="T1757" t="str">
        <f>IF(L1757="","",O1757/'[1]LOCH Calc COE Calc'!$C$28)</f>
        <v/>
      </c>
      <c r="U1757" t="str">
        <f>IF(L1757="","",P1757/'[1]LOCH Calc COE Calc'!$C$28)</f>
        <v/>
      </c>
      <c r="V1757" t="str">
        <f>IF(L1757="","",Q1757/'[1]LOCH Calc COE Calc'!$C$28)</f>
        <v/>
      </c>
      <c r="W1757" t="str">
        <f>IF(L1757="","",R1757/'[1]LOCH Calc COE Calc'!$C$28)</f>
        <v/>
      </c>
    </row>
    <row r="1758" spans="12:23" x14ac:dyDescent="0.25">
      <c r="L1758" s="4" t="str">
        <f>IF('[1]All Data '!BE1763="","",'[1]All Data '!BE1763)</f>
        <v/>
      </c>
      <c r="M1758" t="str">
        <f>IF('[1]All Data '!BF1763="","",'[1]All Data '!BF1763)</f>
        <v/>
      </c>
      <c r="N1758" s="5" t="str">
        <f>IF('[1]All Data '!BB1763="","",'[1]All Data '!BC1763/'[1]All Data '!BH1763)</f>
        <v/>
      </c>
      <c r="O1758" s="5" t="str">
        <f t="shared" si="29"/>
        <v/>
      </c>
      <c r="P1758" s="5" t="str">
        <f>IF(M1758="","",$C$2*(1-L1758)*907.2/0.621371*N1758*[1]Transportation!$M$40)</f>
        <v/>
      </c>
      <c r="Q1758" s="5" t="str">
        <f>IF(L1758="","",IF([1]Inputs_Outputs!$B$5="Herbaceous",(LCA!$E$29*'[1]LOCH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8" s="5" t="str">
        <f>IF(M1758="","",$E$2*1000*'[1]LOCH Calc COE Calc'!$C$44)</f>
        <v/>
      </c>
      <c r="S1758" s="6" t="str">
        <f>IF(N1758="","",SUM(O1758:R1758)/('[1]LOCH Calc COE Calc'!$C$28))</f>
        <v/>
      </c>
      <c r="T1758" t="str">
        <f>IF(L1758="","",O1758/'[1]LOCH Calc COE Calc'!$C$28)</f>
        <v/>
      </c>
      <c r="U1758" t="str">
        <f>IF(L1758="","",P1758/'[1]LOCH Calc COE Calc'!$C$28)</f>
        <v/>
      </c>
      <c r="V1758" t="str">
        <f>IF(L1758="","",Q1758/'[1]LOCH Calc COE Calc'!$C$28)</f>
        <v/>
      </c>
      <c r="W1758" t="str">
        <f>IF(L1758="","",R1758/'[1]LOCH Calc COE Calc'!$C$28)</f>
        <v/>
      </c>
    </row>
    <row r="1759" spans="12:23" x14ac:dyDescent="0.25">
      <c r="L1759" s="4" t="str">
        <f>IF('[1]All Data '!BE1764="","",'[1]All Data '!BE1764)</f>
        <v/>
      </c>
      <c r="M1759" t="str">
        <f>IF('[1]All Data '!BF1764="","",'[1]All Data '!BF1764)</f>
        <v/>
      </c>
      <c r="N1759" s="5" t="str">
        <f>IF('[1]All Data '!BB1764="","",'[1]All Data '!BC1764/'[1]All Data '!BH1764)</f>
        <v/>
      </c>
      <c r="O1759" s="5" t="str">
        <f t="shared" si="29"/>
        <v/>
      </c>
      <c r="P1759" s="5" t="str">
        <f>IF(M1759="","",$C$2*(1-L1759)*907.2/0.621371*N1759*[1]Transportation!$M$40)</f>
        <v/>
      </c>
      <c r="Q1759" s="5" t="str">
        <f>IF(L1759="","",IF([1]Inputs_Outputs!$B$5="Herbaceous",(LCA!$E$29*'[1]LOCH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59" s="5" t="str">
        <f>IF(M1759="","",$E$2*1000*'[1]LOCH Calc COE Calc'!$C$44)</f>
        <v/>
      </c>
      <c r="S1759" s="6" t="str">
        <f>IF(N1759="","",SUM(O1759:R1759)/('[1]LOCH Calc COE Calc'!$C$28))</f>
        <v/>
      </c>
      <c r="T1759" t="str">
        <f>IF(L1759="","",O1759/'[1]LOCH Calc COE Calc'!$C$28)</f>
        <v/>
      </c>
      <c r="U1759" t="str">
        <f>IF(L1759="","",P1759/'[1]LOCH Calc COE Calc'!$C$28)</f>
        <v/>
      </c>
      <c r="V1759" t="str">
        <f>IF(L1759="","",Q1759/'[1]LOCH Calc COE Calc'!$C$28)</f>
        <v/>
      </c>
      <c r="W1759" t="str">
        <f>IF(L1759="","",R1759/'[1]LOCH Calc COE Calc'!$C$28)</f>
        <v/>
      </c>
    </row>
    <row r="1760" spans="12:23" x14ac:dyDescent="0.25">
      <c r="L1760" s="4" t="str">
        <f>IF('[1]All Data '!BE1765="","",'[1]All Data '!BE1765)</f>
        <v/>
      </c>
      <c r="M1760" t="str">
        <f>IF('[1]All Data '!BF1765="","",'[1]All Data '!BF1765)</f>
        <v/>
      </c>
      <c r="N1760" s="5" t="str">
        <f>IF('[1]All Data '!BB1765="","",'[1]All Data '!BC1765/'[1]All Data '!BH1765)</f>
        <v/>
      </c>
      <c r="O1760" s="5" t="str">
        <f t="shared" si="29"/>
        <v/>
      </c>
      <c r="P1760" s="5" t="str">
        <f>IF(M1760="","",$C$2*(1-L1760)*907.2/0.621371*N1760*[1]Transportation!$M$40)</f>
        <v/>
      </c>
      <c r="Q1760" s="5" t="str">
        <f>IF(L1760="","",IF([1]Inputs_Outputs!$B$5="Herbaceous",(LCA!$E$29*'[1]LOCH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0" s="5" t="str">
        <f>IF(M1760="","",$E$2*1000*'[1]LOCH Calc COE Calc'!$C$44)</f>
        <v/>
      </c>
      <c r="S1760" s="6" t="str">
        <f>IF(N1760="","",SUM(O1760:R1760)/('[1]LOCH Calc COE Calc'!$C$28))</f>
        <v/>
      </c>
      <c r="T1760" t="str">
        <f>IF(L1760="","",O1760/'[1]LOCH Calc COE Calc'!$C$28)</f>
        <v/>
      </c>
      <c r="U1760" t="str">
        <f>IF(L1760="","",P1760/'[1]LOCH Calc COE Calc'!$C$28)</f>
        <v/>
      </c>
      <c r="V1760" t="str">
        <f>IF(L1760="","",Q1760/'[1]LOCH Calc COE Calc'!$C$28)</f>
        <v/>
      </c>
      <c r="W1760" t="str">
        <f>IF(L1760="","",R1760/'[1]LOCH Calc COE Calc'!$C$28)</f>
        <v/>
      </c>
    </row>
    <row r="1761" spans="12:23" x14ac:dyDescent="0.25">
      <c r="L1761" s="4" t="str">
        <f>IF('[1]All Data '!BE1766="","",'[1]All Data '!BE1766)</f>
        <v/>
      </c>
      <c r="M1761" t="str">
        <f>IF('[1]All Data '!BF1766="","",'[1]All Data '!BF1766)</f>
        <v/>
      </c>
      <c r="N1761" s="5" t="str">
        <f>IF('[1]All Data '!BB1766="","",'[1]All Data '!BC1766/'[1]All Data '!BH1766)</f>
        <v/>
      </c>
      <c r="O1761" s="5" t="str">
        <f t="shared" si="29"/>
        <v/>
      </c>
      <c r="P1761" s="5" t="str">
        <f>IF(M1761="","",$C$2*(1-L1761)*907.2/0.621371*N1761*[1]Transportation!$M$40)</f>
        <v/>
      </c>
      <c r="Q1761" s="5" t="str">
        <f>IF(L1761="","",IF([1]Inputs_Outputs!$B$5="Herbaceous",(LCA!$E$29*'[1]LOCH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1" s="5" t="str">
        <f>IF(M1761="","",$E$2*1000*'[1]LOCH Calc COE Calc'!$C$44)</f>
        <v/>
      </c>
      <c r="S1761" s="6" t="str">
        <f>IF(N1761="","",SUM(O1761:R1761)/('[1]LOCH Calc COE Calc'!$C$28))</f>
        <v/>
      </c>
      <c r="T1761" t="str">
        <f>IF(L1761="","",O1761/'[1]LOCH Calc COE Calc'!$C$28)</f>
        <v/>
      </c>
      <c r="U1761" t="str">
        <f>IF(L1761="","",P1761/'[1]LOCH Calc COE Calc'!$C$28)</f>
        <v/>
      </c>
      <c r="V1761" t="str">
        <f>IF(L1761="","",Q1761/'[1]LOCH Calc COE Calc'!$C$28)</f>
        <v/>
      </c>
      <c r="W1761" t="str">
        <f>IF(L1761="","",R1761/'[1]LOCH Calc COE Calc'!$C$28)</f>
        <v/>
      </c>
    </row>
    <row r="1762" spans="12:23" x14ac:dyDescent="0.25">
      <c r="L1762" s="4" t="str">
        <f>IF('[1]All Data '!BE1767="","",'[1]All Data '!BE1767)</f>
        <v/>
      </c>
      <c r="M1762" t="str">
        <f>IF('[1]All Data '!BF1767="","",'[1]All Data '!BF1767)</f>
        <v/>
      </c>
      <c r="N1762" s="5" t="str">
        <f>IF('[1]All Data '!BB1767="","",'[1]All Data '!BC1767/'[1]All Data '!BH1767)</f>
        <v/>
      </c>
      <c r="O1762" s="5" t="str">
        <f t="shared" si="29"/>
        <v/>
      </c>
      <c r="P1762" s="5" t="str">
        <f>IF(M1762="","",$C$2*(1-L1762)*907.2/0.621371*N1762*[1]Transportation!$M$40)</f>
        <v/>
      </c>
      <c r="Q1762" s="5" t="str">
        <f>IF(L1762="","",IF([1]Inputs_Outputs!$B$5="Herbaceous",(LCA!$E$29*'[1]LOCH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2" s="5" t="str">
        <f>IF(M1762="","",$E$2*1000*'[1]LOCH Calc COE Calc'!$C$44)</f>
        <v/>
      </c>
      <c r="S1762" s="6" t="str">
        <f>IF(N1762="","",SUM(O1762:R1762)/('[1]LOCH Calc COE Calc'!$C$28))</f>
        <v/>
      </c>
      <c r="T1762" t="str">
        <f>IF(L1762="","",O1762/'[1]LOCH Calc COE Calc'!$C$28)</f>
        <v/>
      </c>
      <c r="U1762" t="str">
        <f>IF(L1762="","",P1762/'[1]LOCH Calc COE Calc'!$C$28)</f>
        <v/>
      </c>
      <c r="V1762" t="str">
        <f>IF(L1762="","",Q1762/'[1]LOCH Calc COE Calc'!$C$28)</f>
        <v/>
      </c>
      <c r="W1762" t="str">
        <f>IF(L1762="","",R1762/'[1]LOCH Calc COE Calc'!$C$28)</f>
        <v/>
      </c>
    </row>
    <row r="1763" spans="12:23" x14ac:dyDescent="0.25">
      <c r="L1763" s="4" t="str">
        <f>IF('[1]All Data '!BE1768="","",'[1]All Data '!BE1768)</f>
        <v/>
      </c>
      <c r="M1763" t="str">
        <f>IF('[1]All Data '!BF1768="","",'[1]All Data '!BF1768)</f>
        <v/>
      </c>
      <c r="N1763" s="5" t="str">
        <f>IF('[1]All Data '!BB1768="","",'[1]All Data '!BC1768/'[1]All Data '!BH1768)</f>
        <v/>
      </c>
      <c r="O1763" s="5" t="str">
        <f t="shared" si="29"/>
        <v/>
      </c>
      <c r="P1763" s="5" t="str">
        <f>IF(M1763="","",$C$2*(1-L1763)*907.2/0.621371*N1763*[1]Transportation!$M$40)</f>
        <v/>
      </c>
      <c r="Q1763" s="5" t="str">
        <f>IF(L1763="","",IF([1]Inputs_Outputs!$B$5="Herbaceous",(LCA!$E$29*'[1]LOCH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3" s="5" t="str">
        <f>IF(M1763="","",$E$2*1000*'[1]LOCH Calc COE Calc'!$C$44)</f>
        <v/>
      </c>
      <c r="S1763" s="6" t="str">
        <f>IF(N1763="","",SUM(O1763:R1763)/('[1]LOCH Calc COE Calc'!$C$28))</f>
        <v/>
      </c>
      <c r="T1763" t="str">
        <f>IF(L1763="","",O1763/'[1]LOCH Calc COE Calc'!$C$28)</f>
        <v/>
      </c>
      <c r="U1763" t="str">
        <f>IF(L1763="","",P1763/'[1]LOCH Calc COE Calc'!$C$28)</f>
        <v/>
      </c>
      <c r="V1763" t="str">
        <f>IF(L1763="","",Q1763/'[1]LOCH Calc COE Calc'!$C$28)</f>
        <v/>
      </c>
      <c r="W1763" t="str">
        <f>IF(L1763="","",R1763/'[1]LOCH Calc COE Calc'!$C$28)</f>
        <v/>
      </c>
    </row>
    <row r="1764" spans="12:23" x14ac:dyDescent="0.25">
      <c r="L1764" s="4" t="str">
        <f>IF('[1]All Data '!BE1769="","",'[1]All Data '!BE1769)</f>
        <v/>
      </c>
      <c r="M1764" t="str">
        <f>IF('[1]All Data '!BF1769="","",'[1]All Data '!BF1769)</f>
        <v/>
      </c>
      <c r="N1764" s="5" t="str">
        <f>IF('[1]All Data '!BB1769="","",'[1]All Data '!BC1769/'[1]All Data '!BH1769)</f>
        <v/>
      </c>
      <c r="O1764" s="5" t="str">
        <f t="shared" si="29"/>
        <v/>
      </c>
      <c r="P1764" s="5" t="str">
        <f>IF(M1764="","",$C$2*(1-L1764)*907.2/0.621371*N1764*[1]Transportation!$M$40)</f>
        <v/>
      </c>
      <c r="Q1764" s="5" t="str">
        <f>IF(L1764="","",IF([1]Inputs_Outputs!$B$5="Herbaceous",(LCA!$E$29*'[1]LOCH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4" s="5" t="str">
        <f>IF(M1764="","",$E$2*1000*'[1]LOCH Calc COE Calc'!$C$44)</f>
        <v/>
      </c>
      <c r="S1764" s="6" t="str">
        <f>IF(N1764="","",SUM(O1764:R1764)/('[1]LOCH Calc COE Calc'!$C$28))</f>
        <v/>
      </c>
      <c r="T1764" t="str">
        <f>IF(L1764="","",O1764/'[1]LOCH Calc COE Calc'!$C$28)</f>
        <v/>
      </c>
      <c r="U1764" t="str">
        <f>IF(L1764="","",P1764/'[1]LOCH Calc COE Calc'!$C$28)</f>
        <v/>
      </c>
      <c r="V1764" t="str">
        <f>IF(L1764="","",Q1764/'[1]LOCH Calc COE Calc'!$C$28)</f>
        <v/>
      </c>
      <c r="W1764" t="str">
        <f>IF(L1764="","",R1764/'[1]LOCH Calc COE Calc'!$C$28)</f>
        <v/>
      </c>
    </row>
    <row r="1765" spans="12:23" x14ac:dyDescent="0.25">
      <c r="L1765" s="4" t="str">
        <f>IF('[1]All Data '!BE1770="","",'[1]All Data '!BE1770)</f>
        <v/>
      </c>
      <c r="M1765" t="str">
        <f>IF('[1]All Data '!BF1770="","",'[1]All Data '!BF1770)</f>
        <v/>
      </c>
      <c r="N1765" s="5" t="str">
        <f>IF('[1]All Data '!BB1770="","",'[1]All Data '!BC1770/'[1]All Data '!BH1770)</f>
        <v/>
      </c>
      <c r="O1765" s="5" t="str">
        <f t="shared" si="29"/>
        <v/>
      </c>
      <c r="P1765" s="5" t="str">
        <f>IF(M1765="","",$C$2*(1-L1765)*907.2/0.621371*N1765*[1]Transportation!$M$40)</f>
        <v/>
      </c>
      <c r="Q1765" s="5" t="str">
        <f>IF(L1765="","",IF([1]Inputs_Outputs!$B$5="Herbaceous",(LCA!$E$29*'[1]LOCH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5" s="5" t="str">
        <f>IF(M1765="","",$E$2*1000*'[1]LOCH Calc COE Calc'!$C$44)</f>
        <v/>
      </c>
      <c r="S1765" s="6" t="str">
        <f>IF(N1765="","",SUM(O1765:R1765)/('[1]LOCH Calc COE Calc'!$C$28))</f>
        <v/>
      </c>
      <c r="T1765" t="str">
        <f>IF(L1765="","",O1765/'[1]LOCH Calc COE Calc'!$C$28)</f>
        <v/>
      </c>
      <c r="U1765" t="str">
        <f>IF(L1765="","",P1765/'[1]LOCH Calc COE Calc'!$C$28)</f>
        <v/>
      </c>
      <c r="V1765" t="str">
        <f>IF(L1765="","",Q1765/'[1]LOCH Calc COE Calc'!$C$28)</f>
        <v/>
      </c>
      <c r="W1765" t="str">
        <f>IF(L1765="","",R1765/'[1]LOCH Calc COE Calc'!$C$28)</f>
        <v/>
      </c>
    </row>
    <row r="1766" spans="12:23" x14ac:dyDescent="0.25">
      <c r="L1766" s="4" t="str">
        <f>IF('[1]All Data '!BE1771="","",'[1]All Data '!BE1771)</f>
        <v/>
      </c>
      <c r="M1766" t="str">
        <f>IF('[1]All Data '!BF1771="","",'[1]All Data '!BF1771)</f>
        <v/>
      </c>
      <c r="N1766" s="5" t="str">
        <f>IF('[1]All Data '!BB1771="","",'[1]All Data '!BC1771/'[1]All Data '!BH1771)</f>
        <v/>
      </c>
      <c r="O1766" s="5" t="str">
        <f t="shared" si="29"/>
        <v/>
      </c>
      <c r="P1766" s="5" t="str">
        <f>IF(M1766="","",$C$2*(1-L1766)*907.2/0.621371*N1766*[1]Transportation!$M$40)</f>
        <v/>
      </c>
      <c r="Q1766" s="5" t="str">
        <f>IF(L1766="","",IF([1]Inputs_Outputs!$B$5="Herbaceous",(LCA!$E$29*'[1]LOCH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6" s="5" t="str">
        <f>IF(M1766="","",$E$2*1000*'[1]LOCH Calc COE Calc'!$C$44)</f>
        <v/>
      </c>
      <c r="S1766" s="6" t="str">
        <f>IF(N1766="","",SUM(O1766:R1766)/('[1]LOCH Calc COE Calc'!$C$28))</f>
        <v/>
      </c>
      <c r="T1766" t="str">
        <f>IF(L1766="","",O1766/'[1]LOCH Calc COE Calc'!$C$28)</f>
        <v/>
      </c>
      <c r="U1766" t="str">
        <f>IF(L1766="","",P1766/'[1]LOCH Calc COE Calc'!$C$28)</f>
        <v/>
      </c>
      <c r="V1766" t="str">
        <f>IF(L1766="","",Q1766/'[1]LOCH Calc COE Calc'!$C$28)</f>
        <v/>
      </c>
      <c r="W1766" t="str">
        <f>IF(L1766="","",R1766/'[1]LOCH Calc COE Calc'!$C$28)</f>
        <v/>
      </c>
    </row>
    <row r="1767" spans="12:23" x14ac:dyDescent="0.25">
      <c r="L1767" s="4" t="str">
        <f>IF('[1]All Data '!BE1772="","",'[1]All Data '!BE1772)</f>
        <v/>
      </c>
      <c r="M1767" t="str">
        <f>IF('[1]All Data '!BF1772="","",'[1]All Data '!BF1772)</f>
        <v/>
      </c>
      <c r="N1767" s="5" t="str">
        <f>IF('[1]All Data '!BB1772="","",'[1]All Data '!BC1772/'[1]All Data '!BH1772)</f>
        <v/>
      </c>
      <c r="O1767" s="5" t="str">
        <f t="shared" si="29"/>
        <v/>
      </c>
      <c r="P1767" s="5" t="str">
        <f>IF(M1767="","",$C$2*(1-L1767)*907.2/0.621371*N1767*[1]Transportation!$M$40)</f>
        <v/>
      </c>
      <c r="Q1767" s="5" t="str">
        <f>IF(L1767="","",IF([1]Inputs_Outputs!$B$5="Herbaceous",(LCA!$E$29*'[1]LOCH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7" s="5" t="str">
        <f>IF(M1767="","",$E$2*1000*'[1]LOCH Calc COE Calc'!$C$44)</f>
        <v/>
      </c>
      <c r="S1767" s="6" t="str">
        <f>IF(N1767="","",SUM(O1767:R1767)/('[1]LOCH Calc COE Calc'!$C$28))</f>
        <v/>
      </c>
      <c r="T1767" t="str">
        <f>IF(L1767="","",O1767/'[1]LOCH Calc COE Calc'!$C$28)</f>
        <v/>
      </c>
      <c r="U1767" t="str">
        <f>IF(L1767="","",P1767/'[1]LOCH Calc COE Calc'!$C$28)</f>
        <v/>
      </c>
      <c r="V1767" t="str">
        <f>IF(L1767="","",Q1767/'[1]LOCH Calc COE Calc'!$C$28)</f>
        <v/>
      </c>
      <c r="W1767" t="str">
        <f>IF(L1767="","",R1767/'[1]LOCH Calc COE Calc'!$C$28)</f>
        <v/>
      </c>
    </row>
    <row r="1768" spans="12:23" x14ac:dyDescent="0.25">
      <c r="L1768" s="4" t="str">
        <f>IF('[1]All Data '!BE1773="","",'[1]All Data '!BE1773)</f>
        <v/>
      </c>
      <c r="M1768" t="str">
        <f>IF('[1]All Data '!BF1773="","",'[1]All Data '!BF1773)</f>
        <v/>
      </c>
      <c r="N1768" s="5" t="str">
        <f>IF('[1]All Data '!BB1773="","",'[1]All Data '!BC1773/'[1]All Data '!BH1773)</f>
        <v/>
      </c>
      <c r="O1768" s="5" t="str">
        <f t="shared" si="29"/>
        <v/>
      </c>
      <c r="P1768" s="5" t="str">
        <f>IF(M1768="","",$C$2*(1-L1768)*907.2/0.621371*N1768*[1]Transportation!$M$40)</f>
        <v/>
      </c>
      <c r="Q1768" s="5" t="str">
        <f>IF(L1768="","",IF([1]Inputs_Outputs!$B$5="Herbaceous",(LCA!$E$29*'[1]LOCH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8" s="5" t="str">
        <f>IF(M1768="","",$E$2*1000*'[1]LOCH Calc COE Calc'!$C$44)</f>
        <v/>
      </c>
      <c r="S1768" s="6" t="str">
        <f>IF(N1768="","",SUM(O1768:R1768)/('[1]LOCH Calc COE Calc'!$C$28))</f>
        <v/>
      </c>
      <c r="T1768" t="str">
        <f>IF(L1768="","",O1768/'[1]LOCH Calc COE Calc'!$C$28)</f>
        <v/>
      </c>
      <c r="U1768" t="str">
        <f>IF(L1768="","",P1768/'[1]LOCH Calc COE Calc'!$C$28)</f>
        <v/>
      </c>
      <c r="V1768" t="str">
        <f>IF(L1768="","",Q1768/'[1]LOCH Calc COE Calc'!$C$28)</f>
        <v/>
      </c>
      <c r="W1768" t="str">
        <f>IF(L1768="","",R1768/'[1]LOCH Calc COE Calc'!$C$28)</f>
        <v/>
      </c>
    </row>
    <row r="1769" spans="12:23" x14ac:dyDescent="0.25">
      <c r="L1769" s="4" t="str">
        <f>IF('[1]All Data '!BE1774="","",'[1]All Data '!BE1774)</f>
        <v/>
      </c>
      <c r="M1769" t="str">
        <f>IF('[1]All Data '!BF1774="","",'[1]All Data '!BF1774)</f>
        <v/>
      </c>
      <c r="N1769" s="5" t="str">
        <f>IF('[1]All Data '!BB1774="","",'[1]All Data '!BC1774/'[1]All Data '!BH1774)</f>
        <v/>
      </c>
      <c r="O1769" s="5" t="str">
        <f t="shared" si="29"/>
        <v/>
      </c>
      <c r="P1769" s="5" t="str">
        <f>IF(M1769="","",$C$2*(1-L1769)*907.2/0.621371*N1769*[1]Transportation!$M$40)</f>
        <v/>
      </c>
      <c r="Q1769" s="5" t="str">
        <f>IF(L1769="","",IF([1]Inputs_Outputs!$B$5="Herbaceous",(LCA!$E$29*'[1]LOCH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69" s="5" t="str">
        <f>IF(M1769="","",$E$2*1000*'[1]LOCH Calc COE Calc'!$C$44)</f>
        <v/>
      </c>
      <c r="S1769" s="6" t="str">
        <f>IF(N1769="","",SUM(O1769:R1769)/('[1]LOCH Calc COE Calc'!$C$28))</f>
        <v/>
      </c>
      <c r="T1769" t="str">
        <f>IF(L1769="","",O1769/'[1]LOCH Calc COE Calc'!$C$28)</f>
        <v/>
      </c>
      <c r="U1769" t="str">
        <f>IF(L1769="","",P1769/'[1]LOCH Calc COE Calc'!$C$28)</f>
        <v/>
      </c>
      <c r="V1769" t="str">
        <f>IF(L1769="","",Q1769/'[1]LOCH Calc COE Calc'!$C$28)</f>
        <v/>
      </c>
      <c r="W1769" t="str">
        <f>IF(L1769="","",R1769/'[1]LOCH Calc COE Calc'!$C$28)</f>
        <v/>
      </c>
    </row>
    <row r="1770" spans="12:23" x14ac:dyDescent="0.25">
      <c r="L1770" s="4" t="str">
        <f>IF('[1]All Data '!BE1775="","",'[1]All Data '!BE1775)</f>
        <v/>
      </c>
      <c r="M1770" t="str">
        <f>IF('[1]All Data '!BF1775="","",'[1]All Data '!BF1775)</f>
        <v/>
      </c>
      <c r="N1770" s="5" t="str">
        <f>IF('[1]All Data '!BB1775="","",'[1]All Data '!BC1775/'[1]All Data '!BH1775)</f>
        <v/>
      </c>
      <c r="O1770" s="5" t="str">
        <f t="shared" si="29"/>
        <v/>
      </c>
      <c r="P1770" s="5" t="str">
        <f>IF(M1770="","",$C$2*(1-L1770)*907.2/0.621371*N1770*[1]Transportation!$M$40)</f>
        <v/>
      </c>
      <c r="Q1770" s="5" t="str">
        <f>IF(L1770="","",IF([1]Inputs_Outputs!$B$5="Herbaceous",(LCA!$E$29*'[1]LOCH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0" s="5" t="str">
        <f>IF(M1770="","",$E$2*1000*'[1]LOCH Calc COE Calc'!$C$44)</f>
        <v/>
      </c>
      <c r="S1770" s="6" t="str">
        <f>IF(N1770="","",SUM(O1770:R1770)/('[1]LOCH Calc COE Calc'!$C$28))</f>
        <v/>
      </c>
      <c r="T1770" t="str">
        <f>IF(L1770="","",O1770/'[1]LOCH Calc COE Calc'!$C$28)</f>
        <v/>
      </c>
      <c r="U1770" t="str">
        <f>IF(L1770="","",P1770/'[1]LOCH Calc COE Calc'!$C$28)</f>
        <v/>
      </c>
      <c r="V1770" t="str">
        <f>IF(L1770="","",Q1770/'[1]LOCH Calc COE Calc'!$C$28)</f>
        <v/>
      </c>
      <c r="W1770" t="str">
        <f>IF(L1770="","",R1770/'[1]LOCH Calc COE Calc'!$C$28)</f>
        <v/>
      </c>
    </row>
    <row r="1771" spans="12:23" x14ac:dyDescent="0.25">
      <c r="L1771" s="4" t="str">
        <f>IF('[1]All Data '!BE1776="","",'[1]All Data '!BE1776)</f>
        <v/>
      </c>
      <c r="M1771" t="str">
        <f>IF('[1]All Data '!BF1776="","",'[1]All Data '!BF1776)</f>
        <v/>
      </c>
      <c r="N1771" s="5" t="str">
        <f>IF('[1]All Data '!BB1776="","",'[1]All Data '!BC1776/'[1]All Data '!BH1776)</f>
        <v/>
      </c>
      <c r="O1771" s="5" t="str">
        <f t="shared" si="29"/>
        <v/>
      </c>
      <c r="P1771" s="5" t="str">
        <f>IF(M1771="","",$C$2*(1-L1771)*907.2/0.621371*N1771*[1]Transportation!$M$40)</f>
        <v/>
      </c>
      <c r="Q1771" s="5" t="str">
        <f>IF(L1771="","",IF([1]Inputs_Outputs!$B$5="Herbaceous",(LCA!$E$29*'[1]LOCH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1" s="5" t="str">
        <f>IF(M1771="","",$E$2*1000*'[1]LOCH Calc COE Calc'!$C$44)</f>
        <v/>
      </c>
      <c r="S1771" s="6" t="str">
        <f>IF(N1771="","",SUM(O1771:R1771)/('[1]LOCH Calc COE Calc'!$C$28))</f>
        <v/>
      </c>
      <c r="T1771" t="str">
        <f>IF(L1771="","",O1771/'[1]LOCH Calc COE Calc'!$C$28)</f>
        <v/>
      </c>
      <c r="U1771" t="str">
        <f>IF(L1771="","",P1771/'[1]LOCH Calc COE Calc'!$C$28)</f>
        <v/>
      </c>
      <c r="V1771" t="str">
        <f>IF(L1771="","",Q1771/'[1]LOCH Calc COE Calc'!$C$28)</f>
        <v/>
      </c>
      <c r="W1771" t="str">
        <f>IF(L1771="","",R1771/'[1]LOCH Calc COE Calc'!$C$28)</f>
        <v/>
      </c>
    </row>
    <row r="1772" spans="12:23" x14ac:dyDescent="0.25">
      <c r="L1772" s="4" t="str">
        <f>IF('[1]All Data '!BE1777="","",'[1]All Data '!BE1777)</f>
        <v/>
      </c>
      <c r="M1772" t="str">
        <f>IF('[1]All Data '!BF1777="","",'[1]All Data '!BF1777)</f>
        <v/>
      </c>
      <c r="N1772" s="5" t="str">
        <f>IF('[1]All Data '!BB1777="","",'[1]All Data '!BC1777/'[1]All Data '!BH1777)</f>
        <v/>
      </c>
      <c r="O1772" s="5" t="str">
        <f t="shared" si="29"/>
        <v/>
      </c>
      <c r="P1772" s="5" t="str">
        <f>IF(M1772="","",$C$2*(1-L1772)*907.2/0.621371*N1772*[1]Transportation!$M$40)</f>
        <v/>
      </c>
      <c r="Q1772" s="5" t="str">
        <f>IF(L1772="","",IF([1]Inputs_Outputs!$B$5="Herbaceous",(LCA!$E$29*'[1]LOCH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2" s="5" t="str">
        <f>IF(M1772="","",$E$2*1000*'[1]LOCH Calc COE Calc'!$C$44)</f>
        <v/>
      </c>
      <c r="S1772" s="6" t="str">
        <f>IF(N1772="","",SUM(O1772:R1772)/('[1]LOCH Calc COE Calc'!$C$28))</f>
        <v/>
      </c>
      <c r="T1772" t="str">
        <f>IF(L1772="","",O1772/'[1]LOCH Calc COE Calc'!$C$28)</f>
        <v/>
      </c>
      <c r="U1772" t="str">
        <f>IF(L1772="","",P1772/'[1]LOCH Calc COE Calc'!$C$28)</f>
        <v/>
      </c>
      <c r="V1772" t="str">
        <f>IF(L1772="","",Q1772/'[1]LOCH Calc COE Calc'!$C$28)</f>
        <v/>
      </c>
      <c r="W1772" t="str">
        <f>IF(L1772="","",R1772/'[1]LOCH Calc COE Calc'!$C$28)</f>
        <v/>
      </c>
    </row>
    <row r="1773" spans="12:23" x14ac:dyDescent="0.25">
      <c r="L1773" s="4" t="str">
        <f>IF('[1]All Data '!BE1778="","",'[1]All Data '!BE1778)</f>
        <v/>
      </c>
      <c r="M1773" t="str">
        <f>IF('[1]All Data '!BF1778="","",'[1]All Data '!BF1778)</f>
        <v/>
      </c>
      <c r="N1773" s="5" t="str">
        <f>IF('[1]All Data '!BB1778="","",'[1]All Data '!BC1778/'[1]All Data '!BH1778)</f>
        <v/>
      </c>
      <c r="O1773" s="5" t="str">
        <f t="shared" si="29"/>
        <v/>
      </c>
      <c r="P1773" s="5" t="str">
        <f>IF(M1773="","",$C$2*(1-L1773)*907.2/0.621371*N1773*[1]Transportation!$M$40)</f>
        <v/>
      </c>
      <c r="Q1773" s="5" t="str">
        <f>IF(L1773="","",IF([1]Inputs_Outputs!$B$5="Herbaceous",(LCA!$E$29*'[1]LOCH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3" s="5" t="str">
        <f>IF(M1773="","",$E$2*1000*'[1]LOCH Calc COE Calc'!$C$44)</f>
        <v/>
      </c>
      <c r="S1773" s="6" t="str">
        <f>IF(N1773="","",SUM(O1773:R1773)/('[1]LOCH Calc COE Calc'!$C$28))</f>
        <v/>
      </c>
      <c r="T1773" t="str">
        <f>IF(L1773="","",O1773/'[1]LOCH Calc COE Calc'!$C$28)</f>
        <v/>
      </c>
      <c r="U1773" t="str">
        <f>IF(L1773="","",P1773/'[1]LOCH Calc COE Calc'!$C$28)</f>
        <v/>
      </c>
      <c r="V1773" t="str">
        <f>IF(L1773="","",Q1773/'[1]LOCH Calc COE Calc'!$C$28)</f>
        <v/>
      </c>
      <c r="W1773" t="str">
        <f>IF(L1773="","",R1773/'[1]LOCH Calc COE Calc'!$C$28)</f>
        <v/>
      </c>
    </row>
    <row r="1774" spans="12:23" x14ac:dyDescent="0.25">
      <c r="L1774" s="4" t="str">
        <f>IF('[1]All Data '!BE1779="","",'[1]All Data '!BE1779)</f>
        <v/>
      </c>
      <c r="M1774" t="str">
        <f>IF('[1]All Data '!BF1779="","",'[1]All Data '!BF1779)</f>
        <v/>
      </c>
      <c r="N1774" s="5" t="str">
        <f>IF('[1]All Data '!BB1779="","",'[1]All Data '!BC1779/'[1]All Data '!BH1779)</f>
        <v/>
      </c>
      <c r="O1774" s="5" t="str">
        <f t="shared" si="29"/>
        <v/>
      </c>
      <c r="P1774" s="5" t="str">
        <f>IF(M1774="","",$C$2*(1-L1774)*907.2/0.621371*N1774*[1]Transportation!$M$40)</f>
        <v/>
      </c>
      <c r="Q1774" s="5" t="str">
        <f>IF(L1774="","",IF([1]Inputs_Outputs!$B$5="Herbaceous",(LCA!$E$29*'[1]LOCH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4" s="5" t="str">
        <f>IF(M1774="","",$E$2*1000*'[1]LOCH Calc COE Calc'!$C$44)</f>
        <v/>
      </c>
      <c r="S1774" s="6" t="str">
        <f>IF(N1774="","",SUM(O1774:R1774)/('[1]LOCH Calc COE Calc'!$C$28))</f>
        <v/>
      </c>
      <c r="T1774" t="str">
        <f>IF(L1774="","",O1774/'[1]LOCH Calc COE Calc'!$C$28)</f>
        <v/>
      </c>
      <c r="U1774" t="str">
        <f>IF(L1774="","",P1774/'[1]LOCH Calc COE Calc'!$C$28)</f>
        <v/>
      </c>
      <c r="V1774" t="str">
        <f>IF(L1774="","",Q1774/'[1]LOCH Calc COE Calc'!$C$28)</f>
        <v/>
      </c>
      <c r="W1774" t="str">
        <f>IF(L1774="","",R1774/'[1]LOCH Calc COE Calc'!$C$28)</f>
        <v/>
      </c>
    </row>
    <row r="1775" spans="12:23" x14ac:dyDescent="0.25">
      <c r="L1775" s="4" t="str">
        <f>IF('[1]All Data '!BE1780="","",'[1]All Data '!BE1780)</f>
        <v/>
      </c>
      <c r="M1775" t="str">
        <f>IF('[1]All Data '!BF1780="","",'[1]All Data '!BF1780)</f>
        <v/>
      </c>
      <c r="N1775" s="5" t="str">
        <f>IF('[1]All Data '!BB1780="","",'[1]All Data '!BC1780/'[1]All Data '!BH1780)</f>
        <v/>
      </c>
      <c r="O1775" s="5" t="str">
        <f t="shared" si="29"/>
        <v/>
      </c>
      <c r="P1775" s="5" t="str">
        <f>IF(M1775="","",$C$2*(1-L1775)*907.2/0.621371*N1775*[1]Transportation!$M$40)</f>
        <v/>
      </c>
      <c r="Q1775" s="5" t="str">
        <f>IF(L1775="","",IF([1]Inputs_Outputs!$B$5="Herbaceous",(LCA!$E$29*'[1]LOCH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5" s="5" t="str">
        <f>IF(M1775="","",$E$2*1000*'[1]LOCH Calc COE Calc'!$C$44)</f>
        <v/>
      </c>
      <c r="S1775" s="6" t="str">
        <f>IF(N1775="","",SUM(O1775:R1775)/('[1]LOCH Calc COE Calc'!$C$28))</f>
        <v/>
      </c>
      <c r="T1775" t="str">
        <f>IF(L1775="","",O1775/'[1]LOCH Calc COE Calc'!$C$28)</f>
        <v/>
      </c>
      <c r="U1775" t="str">
        <f>IF(L1775="","",P1775/'[1]LOCH Calc COE Calc'!$C$28)</f>
        <v/>
      </c>
      <c r="V1775" t="str">
        <f>IF(L1775="","",Q1775/'[1]LOCH Calc COE Calc'!$C$28)</f>
        <v/>
      </c>
      <c r="W1775" t="str">
        <f>IF(L1775="","",R1775/'[1]LOCH Calc COE Calc'!$C$28)</f>
        <v/>
      </c>
    </row>
    <row r="1776" spans="12:23" x14ac:dyDescent="0.25">
      <c r="L1776" s="4" t="str">
        <f>IF('[1]All Data '!BE1781="","",'[1]All Data '!BE1781)</f>
        <v/>
      </c>
      <c r="M1776" t="str">
        <f>IF('[1]All Data '!BF1781="","",'[1]All Data '!BF1781)</f>
        <v/>
      </c>
      <c r="N1776" s="5" t="str">
        <f>IF('[1]All Data '!BB1781="","",'[1]All Data '!BC1781/'[1]All Data '!BH1781)</f>
        <v/>
      </c>
      <c r="O1776" s="5" t="str">
        <f t="shared" si="29"/>
        <v/>
      </c>
      <c r="P1776" s="5" t="str">
        <f>IF(M1776="","",$C$2*(1-L1776)*907.2/0.621371*N1776*[1]Transportation!$M$40)</f>
        <v/>
      </c>
      <c r="Q1776" s="5" t="str">
        <f>IF(L1776="","",IF([1]Inputs_Outputs!$B$5="Herbaceous",(LCA!$E$29*'[1]LOCH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6" s="5" t="str">
        <f>IF(M1776="","",$E$2*1000*'[1]LOCH Calc COE Calc'!$C$44)</f>
        <v/>
      </c>
      <c r="S1776" s="6" t="str">
        <f>IF(N1776="","",SUM(O1776:R1776)/('[1]LOCH Calc COE Calc'!$C$28))</f>
        <v/>
      </c>
      <c r="T1776" t="str">
        <f>IF(L1776="","",O1776/'[1]LOCH Calc COE Calc'!$C$28)</f>
        <v/>
      </c>
      <c r="U1776" t="str">
        <f>IF(L1776="","",P1776/'[1]LOCH Calc COE Calc'!$C$28)</f>
        <v/>
      </c>
      <c r="V1776" t="str">
        <f>IF(L1776="","",Q1776/'[1]LOCH Calc COE Calc'!$C$28)</f>
        <v/>
      </c>
      <c r="W1776" t="str">
        <f>IF(L1776="","",R1776/'[1]LOCH Calc COE Calc'!$C$28)</f>
        <v/>
      </c>
    </row>
    <row r="1777" spans="12:23" x14ac:dyDescent="0.25">
      <c r="L1777" s="4" t="str">
        <f>IF('[1]All Data '!BE1782="","",'[1]All Data '!BE1782)</f>
        <v/>
      </c>
      <c r="M1777" t="str">
        <f>IF('[1]All Data '!BF1782="","",'[1]All Data '!BF1782)</f>
        <v/>
      </c>
      <c r="N1777" s="5" t="str">
        <f>IF('[1]All Data '!BB1782="","",'[1]All Data '!BC1782/'[1]All Data '!BH1782)</f>
        <v/>
      </c>
      <c r="O1777" s="5" t="str">
        <f t="shared" si="29"/>
        <v/>
      </c>
      <c r="P1777" s="5" t="str">
        <f>IF(M1777="","",$C$2*(1-L1777)*907.2/0.621371*N1777*[1]Transportation!$M$40)</f>
        <v/>
      </c>
      <c r="Q1777" s="5" t="str">
        <f>IF(L1777="","",IF([1]Inputs_Outputs!$B$5="Herbaceous",(LCA!$E$29*'[1]LOCH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7" s="5" t="str">
        <f>IF(M1777="","",$E$2*1000*'[1]LOCH Calc COE Calc'!$C$44)</f>
        <v/>
      </c>
      <c r="S1777" s="6" t="str">
        <f>IF(N1777="","",SUM(O1777:R1777)/('[1]LOCH Calc COE Calc'!$C$28))</f>
        <v/>
      </c>
      <c r="T1777" t="str">
        <f>IF(L1777="","",O1777/'[1]LOCH Calc COE Calc'!$C$28)</f>
        <v/>
      </c>
      <c r="U1777" t="str">
        <f>IF(L1777="","",P1777/'[1]LOCH Calc COE Calc'!$C$28)</f>
        <v/>
      </c>
      <c r="V1777" t="str">
        <f>IF(L1777="","",Q1777/'[1]LOCH Calc COE Calc'!$C$28)</f>
        <v/>
      </c>
      <c r="W1777" t="str">
        <f>IF(L1777="","",R1777/'[1]LOCH Calc COE Calc'!$C$28)</f>
        <v/>
      </c>
    </row>
    <row r="1778" spans="12:23" x14ac:dyDescent="0.25">
      <c r="L1778" s="4" t="str">
        <f>IF('[1]All Data '!BE1783="","",'[1]All Data '!BE1783)</f>
        <v/>
      </c>
      <c r="M1778" t="str">
        <f>IF('[1]All Data '!BF1783="","",'[1]All Data '!BF1783)</f>
        <v/>
      </c>
      <c r="N1778" s="5" t="str">
        <f>IF('[1]All Data '!BB1783="","",'[1]All Data '!BC1783/'[1]All Data '!BH1783)</f>
        <v/>
      </c>
      <c r="O1778" s="5" t="str">
        <f t="shared" si="29"/>
        <v/>
      </c>
      <c r="P1778" s="5" t="str">
        <f>IF(M1778="","",$C$2*(1-L1778)*907.2/0.621371*N1778*[1]Transportation!$M$40)</f>
        <v/>
      </c>
      <c r="Q1778" s="5" t="str">
        <f>IF(L1778="","",IF([1]Inputs_Outputs!$B$5="Herbaceous",(LCA!$E$29*'[1]LOCH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8" s="5" t="str">
        <f>IF(M1778="","",$E$2*1000*'[1]LOCH Calc COE Calc'!$C$44)</f>
        <v/>
      </c>
      <c r="S1778" s="6" t="str">
        <f>IF(N1778="","",SUM(O1778:R1778)/('[1]LOCH Calc COE Calc'!$C$28))</f>
        <v/>
      </c>
      <c r="T1778" t="str">
        <f>IF(L1778="","",O1778/'[1]LOCH Calc COE Calc'!$C$28)</f>
        <v/>
      </c>
      <c r="U1778" t="str">
        <f>IF(L1778="","",P1778/'[1]LOCH Calc COE Calc'!$C$28)</f>
        <v/>
      </c>
      <c r="V1778" t="str">
        <f>IF(L1778="","",Q1778/'[1]LOCH Calc COE Calc'!$C$28)</f>
        <v/>
      </c>
      <c r="W1778" t="str">
        <f>IF(L1778="","",R1778/'[1]LOCH Calc COE Calc'!$C$28)</f>
        <v/>
      </c>
    </row>
    <row r="1779" spans="12:23" x14ac:dyDescent="0.25">
      <c r="L1779" s="4" t="str">
        <f>IF('[1]All Data '!BE1784="","",'[1]All Data '!BE1784)</f>
        <v/>
      </c>
      <c r="M1779" t="str">
        <f>IF('[1]All Data '!BF1784="","",'[1]All Data '!BF1784)</f>
        <v/>
      </c>
      <c r="N1779" s="5" t="str">
        <f>IF('[1]All Data '!BB1784="","",'[1]All Data '!BC1784/'[1]All Data '!BH1784)</f>
        <v/>
      </c>
      <c r="O1779" s="5" t="str">
        <f t="shared" si="29"/>
        <v/>
      </c>
      <c r="P1779" s="5" t="str">
        <f>IF(M1779="","",$C$2*(1-L1779)*907.2/0.621371*N1779*[1]Transportation!$M$40)</f>
        <v/>
      </c>
      <c r="Q1779" s="5" t="str">
        <f>IF(L1779="","",IF([1]Inputs_Outputs!$B$5="Herbaceous",(LCA!$E$29*'[1]LOCH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79" s="5" t="str">
        <f>IF(M1779="","",$E$2*1000*'[1]LOCH Calc COE Calc'!$C$44)</f>
        <v/>
      </c>
      <c r="S1779" s="6" t="str">
        <f>IF(N1779="","",SUM(O1779:R1779)/('[1]LOCH Calc COE Calc'!$C$28))</f>
        <v/>
      </c>
      <c r="T1779" t="str">
        <f>IF(L1779="","",O1779/'[1]LOCH Calc COE Calc'!$C$28)</f>
        <v/>
      </c>
      <c r="U1779" t="str">
        <f>IF(L1779="","",P1779/'[1]LOCH Calc COE Calc'!$C$28)</f>
        <v/>
      </c>
      <c r="V1779" t="str">
        <f>IF(L1779="","",Q1779/'[1]LOCH Calc COE Calc'!$C$28)</f>
        <v/>
      </c>
      <c r="W1779" t="str">
        <f>IF(L1779="","",R1779/'[1]LOCH Calc COE Calc'!$C$28)</f>
        <v/>
      </c>
    </row>
    <row r="1780" spans="12:23" x14ac:dyDescent="0.25">
      <c r="L1780" s="4" t="str">
        <f>IF('[1]All Data '!BE1785="","",'[1]All Data '!BE1785)</f>
        <v/>
      </c>
      <c r="M1780" t="str">
        <f>IF('[1]All Data '!BF1785="","",'[1]All Data '!BF1785)</f>
        <v/>
      </c>
      <c r="N1780" s="5" t="str">
        <f>IF('[1]All Data '!BB1785="","",'[1]All Data '!BC1785/'[1]All Data '!BH1785)</f>
        <v/>
      </c>
      <c r="O1780" s="5" t="str">
        <f t="shared" si="29"/>
        <v/>
      </c>
      <c r="P1780" s="5" t="str">
        <f>IF(M1780="","",$C$2*(1-L1780)*907.2/0.621371*N1780*[1]Transportation!$M$40)</f>
        <v/>
      </c>
      <c r="Q1780" s="5" t="str">
        <f>IF(L1780="","",IF([1]Inputs_Outputs!$B$5="Herbaceous",(LCA!$E$29*'[1]LOCH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0" s="5" t="str">
        <f>IF(M1780="","",$E$2*1000*'[1]LOCH Calc COE Calc'!$C$44)</f>
        <v/>
      </c>
      <c r="S1780" s="6" t="str">
        <f>IF(N1780="","",SUM(O1780:R1780)/('[1]LOCH Calc COE Calc'!$C$28))</f>
        <v/>
      </c>
      <c r="T1780" t="str">
        <f>IF(L1780="","",O1780/'[1]LOCH Calc COE Calc'!$C$28)</f>
        <v/>
      </c>
      <c r="U1780" t="str">
        <f>IF(L1780="","",P1780/'[1]LOCH Calc COE Calc'!$C$28)</f>
        <v/>
      </c>
      <c r="V1780" t="str">
        <f>IF(L1780="","",Q1780/'[1]LOCH Calc COE Calc'!$C$28)</f>
        <v/>
      </c>
      <c r="W1780" t="str">
        <f>IF(L1780="","",R1780/'[1]LOCH Calc COE Calc'!$C$28)</f>
        <v/>
      </c>
    </row>
    <row r="1781" spans="12:23" x14ac:dyDescent="0.25">
      <c r="L1781" s="4" t="str">
        <f>IF('[1]All Data '!BE1786="","",'[1]All Data '!BE1786)</f>
        <v/>
      </c>
      <c r="M1781" t="str">
        <f>IF('[1]All Data '!BF1786="","",'[1]All Data '!BF1786)</f>
        <v/>
      </c>
      <c r="N1781" s="5" t="str">
        <f>IF('[1]All Data '!BB1786="","",'[1]All Data '!BC1786/'[1]All Data '!BH1786)</f>
        <v/>
      </c>
      <c r="O1781" s="5" t="str">
        <f t="shared" si="29"/>
        <v/>
      </c>
      <c r="P1781" s="5" t="str">
        <f>IF(M1781="","",$C$2*(1-L1781)*907.2/0.621371*N1781*[1]Transportation!$M$40)</f>
        <v/>
      </c>
      <c r="Q1781" s="5" t="str">
        <f>IF(L1781="","",IF([1]Inputs_Outputs!$B$5="Herbaceous",(LCA!$E$29*'[1]LOCH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1" s="5" t="str">
        <f>IF(M1781="","",$E$2*1000*'[1]LOCH Calc COE Calc'!$C$44)</f>
        <v/>
      </c>
      <c r="S1781" s="6" t="str">
        <f>IF(N1781="","",SUM(O1781:R1781)/('[1]LOCH Calc COE Calc'!$C$28))</f>
        <v/>
      </c>
      <c r="T1781" t="str">
        <f>IF(L1781="","",O1781/'[1]LOCH Calc COE Calc'!$C$28)</f>
        <v/>
      </c>
      <c r="U1781" t="str">
        <f>IF(L1781="","",P1781/'[1]LOCH Calc COE Calc'!$C$28)</f>
        <v/>
      </c>
      <c r="V1781" t="str">
        <f>IF(L1781="","",Q1781/'[1]LOCH Calc COE Calc'!$C$28)</f>
        <v/>
      </c>
      <c r="W1781" t="str">
        <f>IF(L1781="","",R1781/'[1]LOCH Calc COE Calc'!$C$28)</f>
        <v/>
      </c>
    </row>
    <row r="1782" spans="12:23" x14ac:dyDescent="0.25">
      <c r="L1782" s="4" t="str">
        <f>IF('[1]All Data '!BE1787="","",'[1]All Data '!BE1787)</f>
        <v/>
      </c>
      <c r="M1782" t="str">
        <f>IF('[1]All Data '!BF1787="","",'[1]All Data '!BF1787)</f>
        <v/>
      </c>
      <c r="N1782" s="5" t="str">
        <f>IF('[1]All Data '!BB1787="","",'[1]All Data '!BC1787/'[1]All Data '!BH1787)</f>
        <v/>
      </c>
      <c r="O1782" s="5" t="str">
        <f t="shared" si="29"/>
        <v/>
      </c>
      <c r="P1782" s="5" t="str">
        <f>IF(M1782="","",$C$2*(1-L1782)*907.2/0.621371*N1782*[1]Transportation!$M$40)</f>
        <v/>
      </c>
      <c r="Q1782" s="5" t="str">
        <f>IF(L1782="","",IF([1]Inputs_Outputs!$B$5="Herbaceous",(LCA!$E$29*'[1]LOCH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2" s="5" t="str">
        <f>IF(M1782="","",$E$2*1000*'[1]LOCH Calc COE Calc'!$C$44)</f>
        <v/>
      </c>
      <c r="S1782" s="6" t="str">
        <f>IF(N1782="","",SUM(O1782:R1782)/('[1]LOCH Calc COE Calc'!$C$28))</f>
        <v/>
      </c>
      <c r="T1782" t="str">
        <f>IF(L1782="","",O1782/'[1]LOCH Calc COE Calc'!$C$28)</f>
        <v/>
      </c>
      <c r="U1782" t="str">
        <f>IF(L1782="","",P1782/'[1]LOCH Calc COE Calc'!$C$28)</f>
        <v/>
      </c>
      <c r="V1782" t="str">
        <f>IF(L1782="","",Q1782/'[1]LOCH Calc COE Calc'!$C$28)</f>
        <v/>
      </c>
      <c r="W1782" t="str">
        <f>IF(L1782="","",R1782/'[1]LOCH Calc COE Calc'!$C$28)</f>
        <v/>
      </c>
    </row>
    <row r="1783" spans="12:23" x14ac:dyDescent="0.25">
      <c r="L1783" s="4" t="str">
        <f>IF('[1]All Data '!BE1788="","",'[1]All Data '!BE1788)</f>
        <v/>
      </c>
      <c r="M1783" t="str">
        <f>IF('[1]All Data '!BF1788="","",'[1]All Data '!BF1788)</f>
        <v/>
      </c>
      <c r="N1783" s="5" t="str">
        <f>IF('[1]All Data '!BB1788="","",'[1]All Data '!BC1788/'[1]All Data '!BH1788)</f>
        <v/>
      </c>
      <c r="O1783" s="5" t="str">
        <f t="shared" si="29"/>
        <v/>
      </c>
      <c r="P1783" s="5" t="str">
        <f>IF(M1783="","",$C$2*(1-L1783)*907.2/0.621371*N1783*[1]Transportation!$M$40)</f>
        <v/>
      </c>
      <c r="Q1783" s="5" t="str">
        <f>IF(L1783="","",IF([1]Inputs_Outputs!$B$5="Herbaceous",(LCA!$E$29*'[1]LOCH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3" s="5" t="str">
        <f>IF(M1783="","",$E$2*1000*'[1]LOCH Calc COE Calc'!$C$44)</f>
        <v/>
      </c>
      <c r="S1783" s="6" t="str">
        <f>IF(N1783="","",SUM(O1783:R1783)/('[1]LOCH Calc COE Calc'!$C$28))</f>
        <v/>
      </c>
      <c r="T1783" t="str">
        <f>IF(L1783="","",O1783/'[1]LOCH Calc COE Calc'!$C$28)</f>
        <v/>
      </c>
      <c r="U1783" t="str">
        <f>IF(L1783="","",P1783/'[1]LOCH Calc COE Calc'!$C$28)</f>
        <v/>
      </c>
      <c r="V1783" t="str">
        <f>IF(L1783="","",Q1783/'[1]LOCH Calc COE Calc'!$C$28)</f>
        <v/>
      </c>
      <c r="W1783" t="str">
        <f>IF(L1783="","",R1783/'[1]LOCH Calc COE Calc'!$C$28)</f>
        <v/>
      </c>
    </row>
    <row r="1784" spans="12:23" x14ac:dyDescent="0.25">
      <c r="L1784" s="4" t="str">
        <f>IF('[1]All Data '!BE1789="","",'[1]All Data '!BE1789)</f>
        <v/>
      </c>
      <c r="M1784" t="str">
        <f>IF('[1]All Data '!BF1789="","",'[1]All Data '!BF1789)</f>
        <v/>
      </c>
      <c r="N1784" s="5" t="str">
        <f>IF('[1]All Data '!BB1789="","",'[1]All Data '!BC1789/'[1]All Data '!BH1789)</f>
        <v/>
      </c>
      <c r="O1784" s="5" t="str">
        <f t="shared" si="29"/>
        <v/>
      </c>
      <c r="P1784" s="5" t="str">
        <f>IF(M1784="","",$C$2*(1-L1784)*907.2/0.621371*N1784*[1]Transportation!$M$40)</f>
        <v/>
      </c>
      <c r="Q1784" s="5" t="str">
        <f>IF(L1784="","",IF([1]Inputs_Outputs!$B$5="Herbaceous",(LCA!$E$29*'[1]LOCH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4" s="5" t="str">
        <f>IF(M1784="","",$E$2*1000*'[1]LOCH Calc COE Calc'!$C$44)</f>
        <v/>
      </c>
      <c r="S1784" s="6" t="str">
        <f>IF(N1784="","",SUM(O1784:R1784)/('[1]LOCH Calc COE Calc'!$C$28))</f>
        <v/>
      </c>
      <c r="T1784" t="str">
        <f>IF(L1784="","",O1784/'[1]LOCH Calc COE Calc'!$C$28)</f>
        <v/>
      </c>
      <c r="U1784" t="str">
        <f>IF(L1784="","",P1784/'[1]LOCH Calc COE Calc'!$C$28)</f>
        <v/>
      </c>
      <c r="V1784" t="str">
        <f>IF(L1784="","",Q1784/'[1]LOCH Calc COE Calc'!$C$28)</f>
        <v/>
      </c>
      <c r="W1784" t="str">
        <f>IF(L1784="","",R1784/'[1]LOCH Calc COE Calc'!$C$28)</f>
        <v/>
      </c>
    </row>
    <row r="1785" spans="12:23" x14ac:dyDescent="0.25">
      <c r="L1785" s="4" t="str">
        <f>IF('[1]All Data '!BE1790="","",'[1]All Data '!BE1790)</f>
        <v/>
      </c>
      <c r="M1785" t="str">
        <f>IF('[1]All Data '!BF1790="","",'[1]All Data '!BF1790)</f>
        <v/>
      </c>
      <c r="N1785" s="5" t="str">
        <f>IF('[1]All Data '!BB1790="","",'[1]All Data '!BC1790/'[1]All Data '!BH1790)</f>
        <v/>
      </c>
      <c r="O1785" s="5" t="str">
        <f t="shared" si="29"/>
        <v/>
      </c>
      <c r="P1785" s="5" t="str">
        <f>IF(M1785="","",$C$2*(1-L1785)*907.2/0.621371*N1785*[1]Transportation!$M$40)</f>
        <v/>
      </c>
      <c r="Q1785" s="5" t="str">
        <f>IF(L1785="","",IF([1]Inputs_Outputs!$B$5="Herbaceous",(LCA!$E$29*'[1]LOCH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5" s="5" t="str">
        <f>IF(M1785="","",$E$2*1000*'[1]LOCH Calc COE Calc'!$C$44)</f>
        <v/>
      </c>
      <c r="S1785" s="6" t="str">
        <f>IF(N1785="","",SUM(O1785:R1785)/('[1]LOCH Calc COE Calc'!$C$28))</f>
        <v/>
      </c>
      <c r="T1785" t="str">
        <f>IF(L1785="","",O1785/'[1]LOCH Calc COE Calc'!$C$28)</f>
        <v/>
      </c>
      <c r="U1785" t="str">
        <f>IF(L1785="","",P1785/'[1]LOCH Calc COE Calc'!$C$28)</f>
        <v/>
      </c>
      <c r="V1785" t="str">
        <f>IF(L1785="","",Q1785/'[1]LOCH Calc COE Calc'!$C$28)</f>
        <v/>
      </c>
      <c r="W1785" t="str">
        <f>IF(L1785="","",R1785/'[1]LOCH Calc COE Calc'!$C$28)</f>
        <v/>
      </c>
    </row>
    <row r="1786" spans="12:23" x14ac:dyDescent="0.25">
      <c r="L1786" s="4" t="str">
        <f>IF('[1]All Data '!BE1791="","",'[1]All Data '!BE1791)</f>
        <v/>
      </c>
      <c r="M1786" t="str">
        <f>IF('[1]All Data '!BF1791="","",'[1]All Data '!BF1791)</f>
        <v/>
      </c>
      <c r="N1786" s="5" t="str">
        <f>IF('[1]All Data '!BB1791="","",'[1]All Data '!BC1791/'[1]All Data '!BH1791)</f>
        <v/>
      </c>
      <c r="O1786" s="5" t="str">
        <f t="shared" si="29"/>
        <v/>
      </c>
      <c r="P1786" s="5" t="str">
        <f>IF(M1786="","",$C$2*(1-L1786)*907.2/0.621371*N1786*[1]Transportation!$M$40)</f>
        <v/>
      </c>
      <c r="Q1786" s="5" t="str">
        <f>IF(L1786="","",IF([1]Inputs_Outputs!$B$5="Herbaceous",(LCA!$E$29*'[1]LOCH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6" s="5" t="str">
        <f>IF(M1786="","",$E$2*1000*'[1]LOCH Calc COE Calc'!$C$44)</f>
        <v/>
      </c>
      <c r="S1786" s="6" t="str">
        <f>IF(N1786="","",SUM(O1786:R1786)/('[1]LOCH Calc COE Calc'!$C$28))</f>
        <v/>
      </c>
      <c r="T1786" t="str">
        <f>IF(L1786="","",O1786/'[1]LOCH Calc COE Calc'!$C$28)</f>
        <v/>
      </c>
      <c r="U1786" t="str">
        <f>IF(L1786="","",P1786/'[1]LOCH Calc COE Calc'!$C$28)</f>
        <v/>
      </c>
      <c r="V1786" t="str">
        <f>IF(L1786="","",Q1786/'[1]LOCH Calc COE Calc'!$C$28)</f>
        <v/>
      </c>
      <c r="W1786" t="str">
        <f>IF(L1786="","",R1786/'[1]LOCH Calc COE Calc'!$C$28)</f>
        <v/>
      </c>
    </row>
    <row r="1787" spans="12:23" x14ac:dyDescent="0.25">
      <c r="L1787" s="4" t="str">
        <f>IF('[1]All Data '!BE1792="","",'[1]All Data '!BE1792)</f>
        <v/>
      </c>
      <c r="M1787" t="str">
        <f>IF('[1]All Data '!BF1792="","",'[1]All Data '!BF1792)</f>
        <v/>
      </c>
      <c r="N1787" s="5" t="str">
        <f>IF('[1]All Data '!BB1792="","",'[1]All Data '!BC1792/'[1]All Data '!BH1792)</f>
        <v/>
      </c>
      <c r="O1787" s="5" t="str">
        <f t="shared" si="29"/>
        <v/>
      </c>
      <c r="P1787" s="5" t="str">
        <f>IF(M1787="","",$C$2*(1-L1787)*907.2/0.621371*N1787*[1]Transportation!$M$40)</f>
        <v/>
      </c>
      <c r="Q1787" s="5" t="str">
        <f>IF(L1787="","",IF([1]Inputs_Outputs!$B$5="Herbaceous",(LCA!$E$29*'[1]LOCH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7" s="5" t="str">
        <f>IF(M1787="","",$E$2*1000*'[1]LOCH Calc COE Calc'!$C$44)</f>
        <v/>
      </c>
      <c r="S1787" s="6" t="str">
        <f>IF(N1787="","",SUM(O1787:R1787)/('[1]LOCH Calc COE Calc'!$C$28))</f>
        <v/>
      </c>
      <c r="T1787" t="str">
        <f>IF(L1787="","",O1787/'[1]LOCH Calc COE Calc'!$C$28)</f>
        <v/>
      </c>
      <c r="U1787" t="str">
        <f>IF(L1787="","",P1787/'[1]LOCH Calc COE Calc'!$C$28)</f>
        <v/>
      </c>
      <c r="V1787" t="str">
        <f>IF(L1787="","",Q1787/'[1]LOCH Calc COE Calc'!$C$28)</f>
        <v/>
      </c>
      <c r="W1787" t="str">
        <f>IF(L1787="","",R1787/'[1]LOCH Calc COE Calc'!$C$28)</f>
        <v/>
      </c>
    </row>
    <row r="1788" spans="12:23" x14ac:dyDescent="0.25">
      <c r="L1788" s="4" t="str">
        <f>IF('[1]All Data '!BE1793="","",'[1]All Data '!BE1793)</f>
        <v/>
      </c>
      <c r="M1788" t="str">
        <f>IF('[1]All Data '!BF1793="","",'[1]All Data '!BF1793)</f>
        <v/>
      </c>
      <c r="N1788" s="5" t="str">
        <f>IF('[1]All Data '!BB1793="","",'[1]All Data '!BC1793/'[1]All Data '!BH1793)</f>
        <v/>
      </c>
      <c r="O1788" s="5" t="str">
        <f t="shared" si="29"/>
        <v/>
      </c>
      <c r="P1788" s="5" t="str">
        <f>IF(M1788="","",$C$2*(1-L1788)*907.2/0.621371*N1788*[1]Transportation!$M$40)</f>
        <v/>
      </c>
      <c r="Q1788" s="5" t="str">
        <f>IF(L1788="","",IF([1]Inputs_Outputs!$B$5="Herbaceous",(LCA!$E$29*'[1]LOCH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8" s="5" t="str">
        <f>IF(M1788="","",$E$2*1000*'[1]LOCH Calc COE Calc'!$C$44)</f>
        <v/>
      </c>
      <c r="S1788" s="6" t="str">
        <f>IF(N1788="","",SUM(O1788:R1788)/('[1]LOCH Calc COE Calc'!$C$28))</f>
        <v/>
      </c>
      <c r="T1788" t="str">
        <f>IF(L1788="","",O1788/'[1]LOCH Calc COE Calc'!$C$28)</f>
        <v/>
      </c>
      <c r="U1788" t="str">
        <f>IF(L1788="","",P1788/'[1]LOCH Calc COE Calc'!$C$28)</f>
        <v/>
      </c>
      <c r="V1788" t="str">
        <f>IF(L1788="","",Q1788/'[1]LOCH Calc COE Calc'!$C$28)</f>
        <v/>
      </c>
      <c r="W1788" t="str">
        <f>IF(L1788="","",R1788/'[1]LOCH Calc COE Calc'!$C$28)</f>
        <v/>
      </c>
    </row>
    <row r="1789" spans="12:23" x14ac:dyDescent="0.25">
      <c r="L1789" s="4" t="str">
        <f>IF('[1]All Data '!BE1794="","",'[1]All Data '!BE1794)</f>
        <v/>
      </c>
      <c r="M1789" t="str">
        <f>IF('[1]All Data '!BF1794="","",'[1]All Data '!BF1794)</f>
        <v/>
      </c>
      <c r="N1789" s="5" t="str">
        <f>IF('[1]All Data '!BB1794="","",'[1]All Data '!BC1794/'[1]All Data '!BH1794)</f>
        <v/>
      </c>
      <c r="O1789" s="5" t="str">
        <f t="shared" si="29"/>
        <v/>
      </c>
      <c r="P1789" s="5" t="str">
        <f>IF(M1789="","",$C$2*(1-L1789)*907.2/0.621371*N1789*[1]Transportation!$M$40)</f>
        <v/>
      </c>
      <c r="Q1789" s="5" t="str">
        <f>IF(L1789="","",IF([1]Inputs_Outputs!$B$5="Herbaceous",(LCA!$E$29*'[1]LOCH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89" s="5" t="str">
        <f>IF(M1789="","",$E$2*1000*'[1]LOCH Calc COE Calc'!$C$44)</f>
        <v/>
      </c>
      <c r="S1789" s="6" t="str">
        <f>IF(N1789="","",SUM(O1789:R1789)/('[1]LOCH Calc COE Calc'!$C$28))</f>
        <v/>
      </c>
      <c r="T1789" t="str">
        <f>IF(L1789="","",O1789/'[1]LOCH Calc COE Calc'!$C$28)</f>
        <v/>
      </c>
      <c r="U1789" t="str">
        <f>IF(L1789="","",P1789/'[1]LOCH Calc COE Calc'!$C$28)</f>
        <v/>
      </c>
      <c r="V1789" t="str">
        <f>IF(L1789="","",Q1789/'[1]LOCH Calc COE Calc'!$C$28)</f>
        <v/>
      </c>
      <c r="W1789" t="str">
        <f>IF(L1789="","",R1789/'[1]LOCH Calc COE Calc'!$C$28)</f>
        <v/>
      </c>
    </row>
    <row r="1790" spans="12:23" x14ac:dyDescent="0.25">
      <c r="L1790" s="4" t="str">
        <f>IF('[1]All Data '!BE1795="","",'[1]All Data '!BE1795)</f>
        <v/>
      </c>
      <c r="M1790" t="str">
        <f>IF('[1]All Data '!BF1795="","",'[1]All Data '!BF1795)</f>
        <v/>
      </c>
      <c r="N1790" s="5" t="str">
        <f>IF('[1]All Data '!BB1795="","",'[1]All Data '!BC1795/'[1]All Data '!BH1795)</f>
        <v/>
      </c>
      <c r="O1790" s="5" t="str">
        <f t="shared" si="29"/>
        <v/>
      </c>
      <c r="P1790" s="5" t="str">
        <f>IF(M1790="","",$C$2*(1-L1790)*907.2/0.621371*N1790*[1]Transportation!$M$40)</f>
        <v/>
      </c>
      <c r="Q1790" s="5" t="str">
        <f>IF(L1790="","",IF([1]Inputs_Outputs!$B$5="Herbaceous",(LCA!$E$29*'[1]LOCH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0" s="5" t="str">
        <f>IF(M1790="","",$E$2*1000*'[1]LOCH Calc COE Calc'!$C$44)</f>
        <v/>
      </c>
      <c r="S1790" s="6" t="str">
        <f>IF(N1790="","",SUM(O1790:R1790)/('[1]LOCH Calc COE Calc'!$C$28))</f>
        <v/>
      </c>
      <c r="T1790" t="str">
        <f>IF(L1790="","",O1790/'[1]LOCH Calc COE Calc'!$C$28)</f>
        <v/>
      </c>
      <c r="U1790" t="str">
        <f>IF(L1790="","",P1790/'[1]LOCH Calc COE Calc'!$C$28)</f>
        <v/>
      </c>
      <c r="V1790" t="str">
        <f>IF(L1790="","",Q1790/'[1]LOCH Calc COE Calc'!$C$28)</f>
        <v/>
      </c>
      <c r="W1790" t="str">
        <f>IF(L1790="","",R1790/'[1]LOCH Calc COE Calc'!$C$28)</f>
        <v/>
      </c>
    </row>
    <row r="1791" spans="12:23" x14ac:dyDescent="0.25">
      <c r="L1791" s="4" t="str">
        <f>IF('[1]All Data '!BE1796="","",'[1]All Data '!BE1796)</f>
        <v/>
      </c>
      <c r="M1791" t="str">
        <f>IF('[1]All Data '!BF1796="","",'[1]All Data '!BF1796)</f>
        <v/>
      </c>
      <c r="N1791" s="5" t="str">
        <f>IF('[1]All Data '!BB1796="","",'[1]All Data '!BC1796/'[1]All Data '!BH1796)</f>
        <v/>
      </c>
      <c r="O1791" s="5" t="str">
        <f t="shared" si="29"/>
        <v/>
      </c>
      <c r="P1791" s="5" t="str">
        <f>IF(M1791="","",$C$2*(1-L1791)*907.2/0.621371*N1791*[1]Transportation!$M$40)</f>
        <v/>
      </c>
      <c r="Q1791" s="5" t="str">
        <f>IF(L1791="","",IF([1]Inputs_Outputs!$B$5="Herbaceous",(LCA!$E$29*'[1]LOCH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1" s="5" t="str">
        <f>IF(M1791="","",$E$2*1000*'[1]LOCH Calc COE Calc'!$C$44)</f>
        <v/>
      </c>
      <c r="S1791" s="6" t="str">
        <f>IF(N1791="","",SUM(O1791:R1791)/('[1]LOCH Calc COE Calc'!$C$28))</f>
        <v/>
      </c>
      <c r="T1791" t="str">
        <f>IF(L1791="","",O1791/'[1]LOCH Calc COE Calc'!$C$28)</f>
        <v/>
      </c>
      <c r="U1791" t="str">
        <f>IF(L1791="","",P1791/'[1]LOCH Calc COE Calc'!$C$28)</f>
        <v/>
      </c>
      <c r="V1791" t="str">
        <f>IF(L1791="","",Q1791/'[1]LOCH Calc COE Calc'!$C$28)</f>
        <v/>
      </c>
      <c r="W1791" t="str">
        <f>IF(L1791="","",R1791/'[1]LOCH Calc COE Calc'!$C$28)</f>
        <v/>
      </c>
    </row>
    <row r="1792" spans="12:23" x14ac:dyDescent="0.25">
      <c r="L1792" s="4" t="str">
        <f>IF('[1]All Data '!BE1797="","",'[1]All Data '!BE1797)</f>
        <v/>
      </c>
      <c r="M1792" t="str">
        <f>IF('[1]All Data '!BF1797="","",'[1]All Data '!BF1797)</f>
        <v/>
      </c>
      <c r="N1792" s="5" t="str">
        <f>IF('[1]All Data '!BB1797="","",'[1]All Data '!BC1797/'[1]All Data '!BH1797)</f>
        <v/>
      </c>
      <c r="O1792" s="5" t="str">
        <f t="shared" si="29"/>
        <v/>
      </c>
      <c r="P1792" s="5" t="str">
        <f>IF(M1792="","",$C$2*(1-L1792)*907.2/0.621371*N1792*[1]Transportation!$M$40)</f>
        <v/>
      </c>
      <c r="Q1792" s="5" t="str">
        <f>IF(L1792="","",IF([1]Inputs_Outputs!$B$5="Herbaceous",(LCA!$E$29*'[1]LOCH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2" s="5" t="str">
        <f>IF(M1792="","",$E$2*1000*'[1]LOCH Calc COE Calc'!$C$44)</f>
        <v/>
      </c>
      <c r="S1792" s="6" t="str">
        <f>IF(N1792="","",SUM(O1792:R1792)/('[1]LOCH Calc COE Calc'!$C$28))</f>
        <v/>
      </c>
      <c r="T1792" t="str">
        <f>IF(L1792="","",O1792/'[1]LOCH Calc COE Calc'!$C$28)</f>
        <v/>
      </c>
      <c r="U1792" t="str">
        <f>IF(L1792="","",P1792/'[1]LOCH Calc COE Calc'!$C$28)</f>
        <v/>
      </c>
      <c r="V1792" t="str">
        <f>IF(L1792="","",Q1792/'[1]LOCH Calc COE Calc'!$C$28)</f>
        <v/>
      </c>
      <c r="W1792" t="str">
        <f>IF(L1792="","",R1792/'[1]LOCH Calc COE Calc'!$C$28)</f>
        <v/>
      </c>
    </row>
    <row r="1793" spans="12:23" x14ac:dyDescent="0.25">
      <c r="L1793" s="4" t="str">
        <f>IF('[1]All Data '!BE1798="","",'[1]All Data '!BE1798)</f>
        <v/>
      </c>
      <c r="M1793" t="str">
        <f>IF('[1]All Data '!BF1798="","",'[1]All Data '!BF1798)</f>
        <v/>
      </c>
      <c r="N1793" s="5" t="str">
        <f>IF('[1]All Data '!BB1798="","",'[1]All Data '!BC1798/'[1]All Data '!BH1798)</f>
        <v/>
      </c>
      <c r="O1793" s="5" t="str">
        <f t="shared" si="29"/>
        <v/>
      </c>
      <c r="P1793" s="5" t="str">
        <f>IF(M1793="","",$C$2*(1-L1793)*907.2/0.621371*N1793*[1]Transportation!$M$40)</f>
        <v/>
      </c>
      <c r="Q1793" s="5" t="str">
        <f>IF(L1793="","",IF([1]Inputs_Outputs!$B$5="Herbaceous",(LCA!$E$29*'[1]LOCH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3" s="5" t="str">
        <f>IF(M1793="","",$E$2*1000*'[1]LOCH Calc COE Calc'!$C$44)</f>
        <v/>
      </c>
      <c r="S1793" s="6" t="str">
        <f>IF(N1793="","",SUM(O1793:R1793)/('[1]LOCH Calc COE Calc'!$C$28))</f>
        <v/>
      </c>
      <c r="T1793" t="str">
        <f>IF(L1793="","",O1793/'[1]LOCH Calc COE Calc'!$C$28)</f>
        <v/>
      </c>
      <c r="U1793" t="str">
        <f>IF(L1793="","",P1793/'[1]LOCH Calc COE Calc'!$C$28)</f>
        <v/>
      </c>
      <c r="V1793" t="str">
        <f>IF(L1793="","",Q1793/'[1]LOCH Calc COE Calc'!$C$28)</f>
        <v/>
      </c>
      <c r="W1793" t="str">
        <f>IF(L1793="","",R1793/'[1]LOCH Calc COE Calc'!$C$28)</f>
        <v/>
      </c>
    </row>
    <row r="1794" spans="12:23" x14ac:dyDescent="0.25">
      <c r="L1794" s="4" t="str">
        <f>IF('[1]All Data '!BE1799="","",'[1]All Data '!BE1799)</f>
        <v/>
      </c>
      <c r="M1794" t="str">
        <f>IF('[1]All Data '!BF1799="","",'[1]All Data '!BF1799)</f>
        <v/>
      </c>
      <c r="N1794" s="5" t="str">
        <f>IF('[1]All Data '!BB1799="","",'[1]All Data '!BC1799/'[1]All Data '!BH1799)</f>
        <v/>
      </c>
      <c r="O1794" s="5" t="str">
        <f t="shared" si="29"/>
        <v/>
      </c>
      <c r="P1794" s="5" t="str">
        <f>IF(M1794="","",$C$2*(1-L1794)*907.2/0.621371*N1794*[1]Transportation!$M$40)</f>
        <v/>
      </c>
      <c r="Q1794" s="5" t="str">
        <f>IF(L1794="","",IF([1]Inputs_Outputs!$B$5="Herbaceous",(LCA!$E$29*'[1]LOCH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4" s="5" t="str">
        <f>IF(M1794="","",$E$2*1000*'[1]LOCH Calc COE Calc'!$C$44)</f>
        <v/>
      </c>
      <c r="S1794" s="6" t="str">
        <f>IF(N1794="","",SUM(O1794:R1794)/('[1]LOCH Calc COE Calc'!$C$28))</f>
        <v/>
      </c>
      <c r="T1794" t="str">
        <f>IF(L1794="","",O1794/'[1]LOCH Calc COE Calc'!$C$28)</f>
        <v/>
      </c>
      <c r="U1794" t="str">
        <f>IF(L1794="","",P1794/'[1]LOCH Calc COE Calc'!$C$28)</f>
        <v/>
      </c>
      <c r="V1794" t="str">
        <f>IF(L1794="","",Q1794/'[1]LOCH Calc COE Calc'!$C$28)</f>
        <v/>
      </c>
      <c r="W1794" t="str">
        <f>IF(L1794="","",R1794/'[1]LOCH Calc COE Calc'!$C$28)</f>
        <v/>
      </c>
    </row>
    <row r="1795" spans="12:23" x14ac:dyDescent="0.25">
      <c r="L1795" s="4" t="str">
        <f>IF('[1]All Data '!BE1800="","",'[1]All Data '!BE1800)</f>
        <v/>
      </c>
      <c r="M1795" t="str">
        <f>IF('[1]All Data '!BF1800="","",'[1]All Data '!BF1800)</f>
        <v/>
      </c>
      <c r="N1795" s="5" t="str">
        <f>IF('[1]All Data '!BB1800="","",'[1]All Data '!BC1800/'[1]All Data '!BH1800)</f>
        <v/>
      </c>
      <c r="O1795" s="5" t="str">
        <f t="shared" si="29"/>
        <v/>
      </c>
      <c r="P1795" s="5" t="str">
        <f>IF(M1795="","",$C$2*(1-L1795)*907.2/0.621371*N1795*[1]Transportation!$M$40)</f>
        <v/>
      </c>
      <c r="Q1795" s="5" t="str">
        <f>IF(L1795="","",IF([1]Inputs_Outputs!$B$5="Herbaceous",(LCA!$E$29*'[1]LOCH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5" s="5" t="str">
        <f>IF(M1795="","",$E$2*1000*'[1]LOCH Calc COE Calc'!$C$44)</f>
        <v/>
      </c>
      <c r="S1795" s="6" t="str">
        <f>IF(N1795="","",SUM(O1795:R1795)/('[1]LOCH Calc COE Calc'!$C$28))</f>
        <v/>
      </c>
      <c r="T1795" t="str">
        <f>IF(L1795="","",O1795/'[1]LOCH Calc COE Calc'!$C$28)</f>
        <v/>
      </c>
      <c r="U1795" t="str">
        <f>IF(L1795="","",P1795/'[1]LOCH Calc COE Calc'!$C$28)</f>
        <v/>
      </c>
      <c r="V1795" t="str">
        <f>IF(L1795="","",Q1795/'[1]LOCH Calc COE Calc'!$C$28)</f>
        <v/>
      </c>
      <c r="W1795" t="str">
        <f>IF(L1795="","",R1795/'[1]LOCH Calc COE Calc'!$C$28)</f>
        <v/>
      </c>
    </row>
    <row r="1796" spans="12:23" x14ac:dyDescent="0.25">
      <c r="L1796" s="4" t="str">
        <f>IF('[1]All Data '!BE1801="","",'[1]All Data '!BE1801)</f>
        <v/>
      </c>
      <c r="M1796" t="str">
        <f>IF('[1]All Data '!BF1801="","",'[1]All Data '!BF1801)</f>
        <v/>
      </c>
      <c r="N1796" s="5" t="str">
        <f>IF('[1]All Data '!BB1801="","",'[1]All Data '!BC1801/'[1]All Data '!BH1801)</f>
        <v/>
      </c>
      <c r="O1796" s="5" t="str">
        <f t="shared" ref="O1796:O1859" si="30">IF(N1796="","",M1796*N1796)</f>
        <v/>
      </c>
      <c r="P1796" s="5" t="str">
        <f>IF(M1796="","",$C$2*(1-L1796)*907.2/0.621371*N1796*[1]Transportation!$M$40)</f>
        <v/>
      </c>
      <c r="Q1796" s="5" t="str">
        <f>IF(L1796="","",IF([1]Inputs_Outputs!$B$5="Herbaceous",(LCA!$E$29*'[1]LOCH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6" s="5" t="str">
        <f>IF(M1796="","",$E$2*1000*'[1]LOCH Calc COE Calc'!$C$44)</f>
        <v/>
      </c>
      <c r="S1796" s="6" t="str">
        <f>IF(N1796="","",SUM(O1796:R1796)/('[1]LOCH Calc COE Calc'!$C$28))</f>
        <v/>
      </c>
      <c r="T1796" t="str">
        <f>IF(L1796="","",O1796/'[1]LOCH Calc COE Calc'!$C$28)</f>
        <v/>
      </c>
      <c r="U1796" t="str">
        <f>IF(L1796="","",P1796/'[1]LOCH Calc COE Calc'!$C$28)</f>
        <v/>
      </c>
      <c r="V1796" t="str">
        <f>IF(L1796="","",Q1796/'[1]LOCH Calc COE Calc'!$C$28)</f>
        <v/>
      </c>
      <c r="W1796" t="str">
        <f>IF(L1796="","",R1796/'[1]LOCH Calc COE Calc'!$C$28)</f>
        <v/>
      </c>
    </row>
    <row r="1797" spans="12:23" x14ac:dyDescent="0.25">
      <c r="L1797" s="4" t="str">
        <f>IF('[1]All Data '!BE1802="","",'[1]All Data '!BE1802)</f>
        <v/>
      </c>
      <c r="M1797" t="str">
        <f>IF('[1]All Data '!BF1802="","",'[1]All Data '!BF1802)</f>
        <v/>
      </c>
      <c r="N1797" s="5" t="str">
        <f>IF('[1]All Data '!BB1802="","",'[1]All Data '!BC1802/'[1]All Data '!BH1802)</f>
        <v/>
      </c>
      <c r="O1797" s="5" t="str">
        <f t="shared" si="30"/>
        <v/>
      </c>
      <c r="P1797" s="5" t="str">
        <f>IF(M1797="","",$C$2*(1-L1797)*907.2/0.621371*N1797*[1]Transportation!$M$40)</f>
        <v/>
      </c>
      <c r="Q1797" s="5" t="str">
        <f>IF(L1797="","",IF([1]Inputs_Outputs!$B$5="Herbaceous",(LCA!$E$29*'[1]LOCH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7" s="5" t="str">
        <f>IF(M1797="","",$E$2*1000*'[1]LOCH Calc COE Calc'!$C$44)</f>
        <v/>
      </c>
      <c r="S1797" s="6" t="str">
        <f>IF(N1797="","",SUM(O1797:R1797)/('[1]LOCH Calc COE Calc'!$C$28))</f>
        <v/>
      </c>
      <c r="T1797" t="str">
        <f>IF(L1797="","",O1797/'[1]LOCH Calc COE Calc'!$C$28)</f>
        <v/>
      </c>
      <c r="U1797" t="str">
        <f>IF(L1797="","",P1797/'[1]LOCH Calc COE Calc'!$C$28)</f>
        <v/>
      </c>
      <c r="V1797" t="str">
        <f>IF(L1797="","",Q1797/'[1]LOCH Calc COE Calc'!$C$28)</f>
        <v/>
      </c>
      <c r="W1797" t="str">
        <f>IF(L1797="","",R1797/'[1]LOCH Calc COE Calc'!$C$28)</f>
        <v/>
      </c>
    </row>
    <row r="1798" spans="12:23" x14ac:dyDescent="0.25">
      <c r="L1798" s="4" t="str">
        <f>IF('[1]All Data '!BE1803="","",'[1]All Data '!BE1803)</f>
        <v/>
      </c>
      <c r="M1798" t="str">
        <f>IF('[1]All Data '!BF1803="","",'[1]All Data '!BF1803)</f>
        <v/>
      </c>
      <c r="N1798" s="5" t="str">
        <f>IF('[1]All Data '!BB1803="","",'[1]All Data '!BC1803/'[1]All Data '!BH1803)</f>
        <v/>
      </c>
      <c r="O1798" s="5" t="str">
        <f t="shared" si="30"/>
        <v/>
      </c>
      <c r="P1798" s="5" t="str">
        <f>IF(M1798="","",$C$2*(1-L1798)*907.2/0.621371*N1798*[1]Transportation!$M$40)</f>
        <v/>
      </c>
      <c r="Q1798" s="5" t="str">
        <f>IF(L1798="","",IF([1]Inputs_Outputs!$B$5="Herbaceous",(LCA!$E$29*'[1]LOCH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8" s="5" t="str">
        <f>IF(M1798="","",$E$2*1000*'[1]LOCH Calc COE Calc'!$C$44)</f>
        <v/>
      </c>
      <c r="S1798" s="6" t="str">
        <f>IF(N1798="","",SUM(O1798:R1798)/('[1]LOCH Calc COE Calc'!$C$28))</f>
        <v/>
      </c>
      <c r="T1798" t="str">
        <f>IF(L1798="","",O1798/'[1]LOCH Calc COE Calc'!$C$28)</f>
        <v/>
      </c>
      <c r="U1798" t="str">
        <f>IF(L1798="","",P1798/'[1]LOCH Calc COE Calc'!$C$28)</f>
        <v/>
      </c>
      <c r="V1798" t="str">
        <f>IF(L1798="","",Q1798/'[1]LOCH Calc COE Calc'!$C$28)</f>
        <v/>
      </c>
      <c r="W1798" t="str">
        <f>IF(L1798="","",R1798/'[1]LOCH Calc COE Calc'!$C$28)</f>
        <v/>
      </c>
    </row>
    <row r="1799" spans="12:23" x14ac:dyDescent="0.25">
      <c r="L1799" s="4" t="str">
        <f>IF('[1]All Data '!BE1804="","",'[1]All Data '!BE1804)</f>
        <v/>
      </c>
      <c r="M1799" t="str">
        <f>IF('[1]All Data '!BF1804="","",'[1]All Data '!BF1804)</f>
        <v/>
      </c>
      <c r="N1799" s="5" t="str">
        <f>IF('[1]All Data '!BB1804="","",'[1]All Data '!BC1804/'[1]All Data '!BH1804)</f>
        <v/>
      </c>
      <c r="O1799" s="5" t="str">
        <f t="shared" si="30"/>
        <v/>
      </c>
      <c r="P1799" s="5" t="str">
        <f>IF(M1799="","",$C$2*(1-L1799)*907.2/0.621371*N1799*[1]Transportation!$M$40)</f>
        <v/>
      </c>
      <c r="Q1799" s="5" t="str">
        <f>IF(L1799="","",IF([1]Inputs_Outputs!$B$5="Herbaceous",(LCA!$E$29*'[1]LOCH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799" s="5" t="str">
        <f>IF(M1799="","",$E$2*1000*'[1]LOCH Calc COE Calc'!$C$44)</f>
        <v/>
      </c>
      <c r="S1799" s="6" t="str">
        <f>IF(N1799="","",SUM(O1799:R1799)/('[1]LOCH Calc COE Calc'!$C$28))</f>
        <v/>
      </c>
      <c r="T1799" t="str">
        <f>IF(L1799="","",O1799/'[1]LOCH Calc COE Calc'!$C$28)</f>
        <v/>
      </c>
      <c r="U1799" t="str">
        <f>IF(L1799="","",P1799/'[1]LOCH Calc COE Calc'!$C$28)</f>
        <v/>
      </c>
      <c r="V1799" t="str">
        <f>IF(L1799="","",Q1799/'[1]LOCH Calc COE Calc'!$C$28)</f>
        <v/>
      </c>
      <c r="W1799" t="str">
        <f>IF(L1799="","",R1799/'[1]LOCH Calc COE Calc'!$C$28)</f>
        <v/>
      </c>
    </row>
    <row r="1800" spans="12:23" x14ac:dyDescent="0.25">
      <c r="L1800" s="4" t="str">
        <f>IF('[1]All Data '!BE1805="","",'[1]All Data '!BE1805)</f>
        <v/>
      </c>
      <c r="M1800" t="str">
        <f>IF('[1]All Data '!BF1805="","",'[1]All Data '!BF1805)</f>
        <v/>
      </c>
      <c r="N1800" s="5" t="str">
        <f>IF('[1]All Data '!BB1805="","",'[1]All Data '!BC1805/'[1]All Data '!BH1805)</f>
        <v/>
      </c>
      <c r="O1800" s="5" t="str">
        <f t="shared" si="30"/>
        <v/>
      </c>
      <c r="P1800" s="5" t="str">
        <f>IF(M1800="","",$C$2*(1-L1800)*907.2/0.621371*N1800*[1]Transportation!$M$40)</f>
        <v/>
      </c>
      <c r="Q1800" s="5" t="str">
        <f>IF(L1800="","",IF([1]Inputs_Outputs!$B$5="Herbaceous",(LCA!$E$29*'[1]LOCH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0" s="5" t="str">
        <f>IF(M1800="","",$E$2*1000*'[1]LOCH Calc COE Calc'!$C$44)</f>
        <v/>
      </c>
      <c r="S1800" s="6" t="str">
        <f>IF(N1800="","",SUM(O1800:R1800)/('[1]LOCH Calc COE Calc'!$C$28))</f>
        <v/>
      </c>
      <c r="T1800" t="str">
        <f>IF(L1800="","",O1800/'[1]LOCH Calc COE Calc'!$C$28)</f>
        <v/>
      </c>
      <c r="U1800" t="str">
        <f>IF(L1800="","",P1800/'[1]LOCH Calc COE Calc'!$C$28)</f>
        <v/>
      </c>
      <c r="V1800" t="str">
        <f>IF(L1800="","",Q1800/'[1]LOCH Calc COE Calc'!$C$28)</f>
        <v/>
      </c>
      <c r="W1800" t="str">
        <f>IF(L1800="","",R1800/'[1]LOCH Calc COE Calc'!$C$28)</f>
        <v/>
      </c>
    </row>
    <row r="1801" spans="12:23" x14ac:dyDescent="0.25">
      <c r="L1801" s="4" t="str">
        <f>IF('[1]All Data '!BE1806="","",'[1]All Data '!BE1806)</f>
        <v/>
      </c>
      <c r="M1801" t="str">
        <f>IF('[1]All Data '!BF1806="","",'[1]All Data '!BF1806)</f>
        <v/>
      </c>
      <c r="N1801" s="5" t="str">
        <f>IF('[1]All Data '!BB1806="","",'[1]All Data '!BC1806/'[1]All Data '!BH1806)</f>
        <v/>
      </c>
      <c r="O1801" s="5" t="str">
        <f t="shared" si="30"/>
        <v/>
      </c>
      <c r="P1801" s="5" t="str">
        <f>IF(M1801="","",$C$2*(1-L1801)*907.2/0.621371*N1801*[1]Transportation!$M$40)</f>
        <v/>
      </c>
      <c r="Q1801" s="5" t="str">
        <f>IF(L1801="","",IF([1]Inputs_Outputs!$B$5="Herbaceous",(LCA!$E$29*'[1]LOCH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1" s="5" t="str">
        <f>IF(M1801="","",$E$2*1000*'[1]LOCH Calc COE Calc'!$C$44)</f>
        <v/>
      </c>
      <c r="S1801" s="6" t="str">
        <f>IF(N1801="","",SUM(O1801:R1801)/('[1]LOCH Calc COE Calc'!$C$28))</f>
        <v/>
      </c>
      <c r="T1801" t="str">
        <f>IF(L1801="","",O1801/'[1]LOCH Calc COE Calc'!$C$28)</f>
        <v/>
      </c>
      <c r="U1801" t="str">
        <f>IF(L1801="","",P1801/'[1]LOCH Calc COE Calc'!$C$28)</f>
        <v/>
      </c>
      <c r="V1801" t="str">
        <f>IF(L1801="","",Q1801/'[1]LOCH Calc COE Calc'!$C$28)</f>
        <v/>
      </c>
      <c r="W1801" t="str">
        <f>IF(L1801="","",R1801/'[1]LOCH Calc COE Calc'!$C$28)</f>
        <v/>
      </c>
    </row>
    <row r="1802" spans="12:23" x14ac:dyDescent="0.25">
      <c r="L1802" s="4" t="str">
        <f>IF('[1]All Data '!BE1807="","",'[1]All Data '!BE1807)</f>
        <v/>
      </c>
      <c r="M1802" t="str">
        <f>IF('[1]All Data '!BF1807="","",'[1]All Data '!BF1807)</f>
        <v/>
      </c>
      <c r="N1802" s="5" t="str">
        <f>IF('[1]All Data '!BB1807="","",'[1]All Data '!BC1807/'[1]All Data '!BH1807)</f>
        <v/>
      </c>
      <c r="O1802" s="5" t="str">
        <f t="shared" si="30"/>
        <v/>
      </c>
      <c r="P1802" s="5" t="str">
        <f>IF(M1802="","",$C$2*(1-L1802)*907.2/0.621371*N1802*[1]Transportation!$M$40)</f>
        <v/>
      </c>
      <c r="Q1802" s="5" t="str">
        <f>IF(L1802="","",IF([1]Inputs_Outputs!$B$5="Herbaceous",(LCA!$E$29*'[1]LOCH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2" s="5" t="str">
        <f>IF(M1802="","",$E$2*1000*'[1]LOCH Calc COE Calc'!$C$44)</f>
        <v/>
      </c>
      <c r="S1802" s="6" t="str">
        <f>IF(N1802="","",SUM(O1802:R1802)/('[1]LOCH Calc COE Calc'!$C$28))</f>
        <v/>
      </c>
      <c r="T1802" t="str">
        <f>IF(L1802="","",O1802/'[1]LOCH Calc COE Calc'!$C$28)</f>
        <v/>
      </c>
      <c r="U1802" t="str">
        <f>IF(L1802="","",P1802/'[1]LOCH Calc COE Calc'!$C$28)</f>
        <v/>
      </c>
      <c r="V1802" t="str">
        <f>IF(L1802="","",Q1802/'[1]LOCH Calc COE Calc'!$C$28)</f>
        <v/>
      </c>
      <c r="W1802" t="str">
        <f>IF(L1802="","",R1802/'[1]LOCH Calc COE Calc'!$C$28)</f>
        <v/>
      </c>
    </row>
    <row r="1803" spans="12:23" x14ac:dyDescent="0.25">
      <c r="L1803" s="4" t="str">
        <f>IF('[1]All Data '!BE1808="","",'[1]All Data '!BE1808)</f>
        <v/>
      </c>
      <c r="M1803" t="str">
        <f>IF('[1]All Data '!BF1808="","",'[1]All Data '!BF1808)</f>
        <v/>
      </c>
      <c r="N1803" s="5" t="str">
        <f>IF('[1]All Data '!BB1808="","",'[1]All Data '!BC1808/'[1]All Data '!BH1808)</f>
        <v/>
      </c>
      <c r="O1803" s="5" t="str">
        <f t="shared" si="30"/>
        <v/>
      </c>
      <c r="P1803" s="5" t="str">
        <f>IF(M1803="","",$C$2*(1-L1803)*907.2/0.621371*N1803*[1]Transportation!$M$40)</f>
        <v/>
      </c>
      <c r="Q1803" s="5" t="str">
        <f>IF(L1803="","",IF([1]Inputs_Outputs!$B$5="Herbaceous",(LCA!$E$29*'[1]LOCH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3" s="5" t="str">
        <f>IF(M1803="","",$E$2*1000*'[1]LOCH Calc COE Calc'!$C$44)</f>
        <v/>
      </c>
      <c r="S1803" s="6" t="str">
        <f>IF(N1803="","",SUM(O1803:R1803)/('[1]LOCH Calc COE Calc'!$C$28))</f>
        <v/>
      </c>
      <c r="T1803" t="str">
        <f>IF(L1803="","",O1803/'[1]LOCH Calc COE Calc'!$C$28)</f>
        <v/>
      </c>
      <c r="U1803" t="str">
        <f>IF(L1803="","",P1803/'[1]LOCH Calc COE Calc'!$C$28)</f>
        <v/>
      </c>
      <c r="V1803" t="str">
        <f>IF(L1803="","",Q1803/'[1]LOCH Calc COE Calc'!$C$28)</f>
        <v/>
      </c>
      <c r="W1803" t="str">
        <f>IF(L1803="","",R1803/'[1]LOCH Calc COE Calc'!$C$28)</f>
        <v/>
      </c>
    </row>
    <row r="1804" spans="12:23" x14ac:dyDescent="0.25">
      <c r="L1804" s="4" t="str">
        <f>IF('[1]All Data '!BE1809="","",'[1]All Data '!BE1809)</f>
        <v/>
      </c>
      <c r="M1804" t="str">
        <f>IF('[1]All Data '!BF1809="","",'[1]All Data '!BF1809)</f>
        <v/>
      </c>
      <c r="N1804" s="5" t="str">
        <f>IF('[1]All Data '!BB1809="","",'[1]All Data '!BC1809/'[1]All Data '!BH1809)</f>
        <v/>
      </c>
      <c r="O1804" s="5" t="str">
        <f t="shared" si="30"/>
        <v/>
      </c>
      <c r="P1804" s="5" t="str">
        <f>IF(M1804="","",$C$2*(1-L1804)*907.2/0.621371*N1804*[1]Transportation!$M$40)</f>
        <v/>
      </c>
      <c r="Q1804" s="5" t="str">
        <f>IF(L1804="","",IF([1]Inputs_Outputs!$B$5="Herbaceous",(LCA!$E$29*'[1]LOCH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4" s="5" t="str">
        <f>IF(M1804="","",$E$2*1000*'[1]LOCH Calc COE Calc'!$C$44)</f>
        <v/>
      </c>
      <c r="S1804" s="6" t="str">
        <f>IF(N1804="","",SUM(O1804:R1804)/('[1]LOCH Calc COE Calc'!$C$28))</f>
        <v/>
      </c>
      <c r="T1804" t="str">
        <f>IF(L1804="","",O1804/'[1]LOCH Calc COE Calc'!$C$28)</f>
        <v/>
      </c>
      <c r="U1804" t="str">
        <f>IF(L1804="","",P1804/'[1]LOCH Calc COE Calc'!$C$28)</f>
        <v/>
      </c>
      <c r="V1804" t="str">
        <f>IF(L1804="","",Q1804/'[1]LOCH Calc COE Calc'!$C$28)</f>
        <v/>
      </c>
      <c r="W1804" t="str">
        <f>IF(L1804="","",R1804/'[1]LOCH Calc COE Calc'!$C$28)</f>
        <v/>
      </c>
    </row>
    <row r="1805" spans="12:23" x14ac:dyDescent="0.25">
      <c r="L1805" s="4" t="str">
        <f>IF('[1]All Data '!BE1810="","",'[1]All Data '!BE1810)</f>
        <v/>
      </c>
      <c r="M1805" t="str">
        <f>IF('[1]All Data '!BF1810="","",'[1]All Data '!BF1810)</f>
        <v/>
      </c>
      <c r="N1805" s="5" t="str">
        <f>IF('[1]All Data '!BB1810="","",'[1]All Data '!BC1810/'[1]All Data '!BH1810)</f>
        <v/>
      </c>
      <c r="O1805" s="5" t="str">
        <f t="shared" si="30"/>
        <v/>
      </c>
      <c r="P1805" s="5" t="str">
        <f>IF(M1805="","",$C$2*(1-L1805)*907.2/0.621371*N1805*[1]Transportation!$M$40)</f>
        <v/>
      </c>
      <c r="Q1805" s="5" t="str">
        <f>IF(L1805="","",IF([1]Inputs_Outputs!$B$5="Herbaceous",(LCA!$E$29*'[1]LOCH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5" s="5" t="str">
        <f>IF(M1805="","",$E$2*1000*'[1]LOCH Calc COE Calc'!$C$44)</f>
        <v/>
      </c>
      <c r="S1805" s="6" t="str">
        <f>IF(N1805="","",SUM(O1805:R1805)/('[1]LOCH Calc COE Calc'!$C$28))</f>
        <v/>
      </c>
      <c r="T1805" t="str">
        <f>IF(L1805="","",O1805/'[1]LOCH Calc COE Calc'!$C$28)</f>
        <v/>
      </c>
      <c r="U1805" t="str">
        <f>IF(L1805="","",P1805/'[1]LOCH Calc COE Calc'!$C$28)</f>
        <v/>
      </c>
      <c r="V1805" t="str">
        <f>IF(L1805="","",Q1805/'[1]LOCH Calc COE Calc'!$C$28)</f>
        <v/>
      </c>
      <c r="W1805" t="str">
        <f>IF(L1805="","",R1805/'[1]LOCH Calc COE Calc'!$C$28)</f>
        <v/>
      </c>
    </row>
    <row r="1806" spans="12:23" x14ac:dyDescent="0.25">
      <c r="L1806" s="4" t="str">
        <f>IF('[1]All Data '!BE1811="","",'[1]All Data '!BE1811)</f>
        <v/>
      </c>
      <c r="M1806" t="str">
        <f>IF('[1]All Data '!BF1811="","",'[1]All Data '!BF1811)</f>
        <v/>
      </c>
      <c r="N1806" s="5" t="str">
        <f>IF('[1]All Data '!BB1811="","",'[1]All Data '!BC1811/'[1]All Data '!BH1811)</f>
        <v/>
      </c>
      <c r="O1806" s="5" t="str">
        <f t="shared" si="30"/>
        <v/>
      </c>
      <c r="P1806" s="5" t="str">
        <f>IF(M1806="","",$C$2*(1-L1806)*907.2/0.621371*N1806*[1]Transportation!$M$40)</f>
        <v/>
      </c>
      <c r="Q1806" s="5" t="str">
        <f>IF(L1806="","",IF([1]Inputs_Outputs!$B$5="Herbaceous",(LCA!$E$29*'[1]LOCH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6" s="5" t="str">
        <f>IF(M1806="","",$E$2*1000*'[1]LOCH Calc COE Calc'!$C$44)</f>
        <v/>
      </c>
      <c r="S1806" s="6" t="str">
        <f>IF(N1806="","",SUM(O1806:R1806)/('[1]LOCH Calc COE Calc'!$C$28))</f>
        <v/>
      </c>
      <c r="T1806" t="str">
        <f>IF(L1806="","",O1806/'[1]LOCH Calc COE Calc'!$C$28)</f>
        <v/>
      </c>
      <c r="U1806" t="str">
        <f>IF(L1806="","",P1806/'[1]LOCH Calc COE Calc'!$C$28)</f>
        <v/>
      </c>
      <c r="V1806" t="str">
        <f>IF(L1806="","",Q1806/'[1]LOCH Calc COE Calc'!$C$28)</f>
        <v/>
      </c>
      <c r="W1806" t="str">
        <f>IF(L1806="","",R1806/'[1]LOCH Calc COE Calc'!$C$28)</f>
        <v/>
      </c>
    </row>
    <row r="1807" spans="12:23" x14ac:dyDescent="0.25">
      <c r="L1807" s="4" t="str">
        <f>IF('[1]All Data '!BE1812="","",'[1]All Data '!BE1812)</f>
        <v/>
      </c>
      <c r="M1807" t="str">
        <f>IF('[1]All Data '!BF1812="","",'[1]All Data '!BF1812)</f>
        <v/>
      </c>
      <c r="N1807" s="5" t="str">
        <f>IF('[1]All Data '!BB1812="","",'[1]All Data '!BC1812/'[1]All Data '!BH1812)</f>
        <v/>
      </c>
      <c r="O1807" s="5" t="str">
        <f t="shared" si="30"/>
        <v/>
      </c>
      <c r="P1807" s="5" t="str">
        <f>IF(M1807="","",$C$2*(1-L1807)*907.2/0.621371*N1807*[1]Transportation!$M$40)</f>
        <v/>
      </c>
      <c r="Q1807" s="5" t="str">
        <f>IF(L1807="","",IF([1]Inputs_Outputs!$B$5="Herbaceous",(LCA!$E$29*'[1]LOCH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7" s="5" t="str">
        <f>IF(M1807="","",$E$2*1000*'[1]LOCH Calc COE Calc'!$C$44)</f>
        <v/>
      </c>
      <c r="S1807" s="6" t="str">
        <f>IF(N1807="","",SUM(O1807:R1807)/('[1]LOCH Calc COE Calc'!$C$28))</f>
        <v/>
      </c>
      <c r="T1807" t="str">
        <f>IF(L1807="","",O1807/'[1]LOCH Calc COE Calc'!$C$28)</f>
        <v/>
      </c>
      <c r="U1807" t="str">
        <f>IF(L1807="","",P1807/'[1]LOCH Calc COE Calc'!$C$28)</f>
        <v/>
      </c>
      <c r="V1807" t="str">
        <f>IF(L1807="","",Q1807/'[1]LOCH Calc COE Calc'!$C$28)</f>
        <v/>
      </c>
      <c r="W1807" t="str">
        <f>IF(L1807="","",R1807/'[1]LOCH Calc COE Calc'!$C$28)</f>
        <v/>
      </c>
    </row>
    <row r="1808" spans="12:23" x14ac:dyDescent="0.25">
      <c r="L1808" s="4" t="str">
        <f>IF('[1]All Data '!BE1813="","",'[1]All Data '!BE1813)</f>
        <v/>
      </c>
      <c r="M1808" t="str">
        <f>IF('[1]All Data '!BF1813="","",'[1]All Data '!BF1813)</f>
        <v/>
      </c>
      <c r="N1808" s="5" t="str">
        <f>IF('[1]All Data '!BB1813="","",'[1]All Data '!BC1813/'[1]All Data '!BH1813)</f>
        <v/>
      </c>
      <c r="O1808" s="5" t="str">
        <f t="shared" si="30"/>
        <v/>
      </c>
      <c r="P1808" s="5" t="str">
        <f>IF(M1808="","",$C$2*(1-L1808)*907.2/0.621371*N1808*[1]Transportation!$M$40)</f>
        <v/>
      </c>
      <c r="Q1808" s="5" t="str">
        <f>IF(L1808="","",IF([1]Inputs_Outputs!$B$5="Herbaceous",(LCA!$E$29*'[1]LOCH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8" s="5" t="str">
        <f>IF(M1808="","",$E$2*1000*'[1]LOCH Calc COE Calc'!$C$44)</f>
        <v/>
      </c>
      <c r="S1808" s="6" t="str">
        <f>IF(N1808="","",SUM(O1808:R1808)/('[1]LOCH Calc COE Calc'!$C$28))</f>
        <v/>
      </c>
      <c r="T1808" t="str">
        <f>IF(L1808="","",O1808/'[1]LOCH Calc COE Calc'!$C$28)</f>
        <v/>
      </c>
      <c r="U1808" t="str">
        <f>IF(L1808="","",P1808/'[1]LOCH Calc COE Calc'!$C$28)</f>
        <v/>
      </c>
      <c r="V1808" t="str">
        <f>IF(L1808="","",Q1808/'[1]LOCH Calc COE Calc'!$C$28)</f>
        <v/>
      </c>
      <c r="W1808" t="str">
        <f>IF(L1808="","",R1808/'[1]LOCH Calc COE Calc'!$C$28)</f>
        <v/>
      </c>
    </row>
    <row r="1809" spans="12:23" x14ac:dyDescent="0.25">
      <c r="L1809" s="4" t="str">
        <f>IF('[1]All Data '!BE1814="","",'[1]All Data '!BE1814)</f>
        <v/>
      </c>
      <c r="M1809" t="str">
        <f>IF('[1]All Data '!BF1814="","",'[1]All Data '!BF1814)</f>
        <v/>
      </c>
      <c r="N1809" s="5" t="str">
        <f>IF('[1]All Data '!BB1814="","",'[1]All Data '!BC1814/'[1]All Data '!BH1814)</f>
        <v/>
      </c>
      <c r="O1809" s="5" t="str">
        <f t="shared" si="30"/>
        <v/>
      </c>
      <c r="P1809" s="5" t="str">
        <f>IF(M1809="","",$C$2*(1-L1809)*907.2/0.621371*N1809*[1]Transportation!$M$40)</f>
        <v/>
      </c>
      <c r="Q1809" s="5" t="str">
        <f>IF(L1809="","",IF([1]Inputs_Outputs!$B$5="Herbaceous",(LCA!$E$29*'[1]LOCH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09" s="5" t="str">
        <f>IF(M1809="","",$E$2*1000*'[1]LOCH Calc COE Calc'!$C$44)</f>
        <v/>
      </c>
      <c r="S1809" s="6" t="str">
        <f>IF(N1809="","",SUM(O1809:R1809)/('[1]LOCH Calc COE Calc'!$C$28))</f>
        <v/>
      </c>
      <c r="T1809" t="str">
        <f>IF(L1809="","",O1809/'[1]LOCH Calc COE Calc'!$C$28)</f>
        <v/>
      </c>
      <c r="U1809" t="str">
        <f>IF(L1809="","",P1809/'[1]LOCH Calc COE Calc'!$C$28)</f>
        <v/>
      </c>
      <c r="V1809" t="str">
        <f>IF(L1809="","",Q1809/'[1]LOCH Calc COE Calc'!$C$28)</f>
        <v/>
      </c>
      <c r="W1809" t="str">
        <f>IF(L1809="","",R1809/'[1]LOCH Calc COE Calc'!$C$28)</f>
        <v/>
      </c>
    </row>
    <row r="1810" spans="12:23" x14ac:dyDescent="0.25">
      <c r="L1810" s="4" t="str">
        <f>IF('[1]All Data '!BE1815="","",'[1]All Data '!BE1815)</f>
        <v/>
      </c>
      <c r="M1810" t="str">
        <f>IF('[1]All Data '!BF1815="","",'[1]All Data '!BF1815)</f>
        <v/>
      </c>
      <c r="N1810" s="5" t="str">
        <f>IF('[1]All Data '!BB1815="","",'[1]All Data '!BC1815/'[1]All Data '!BH1815)</f>
        <v/>
      </c>
      <c r="O1810" s="5" t="str">
        <f t="shared" si="30"/>
        <v/>
      </c>
      <c r="P1810" s="5" t="str">
        <f>IF(M1810="","",$C$2*(1-L1810)*907.2/0.621371*N1810*[1]Transportation!$M$40)</f>
        <v/>
      </c>
      <c r="Q1810" s="5" t="str">
        <f>IF(L1810="","",IF([1]Inputs_Outputs!$B$5="Herbaceous",(LCA!$E$29*'[1]LOCH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0" s="5" t="str">
        <f>IF(M1810="","",$E$2*1000*'[1]LOCH Calc COE Calc'!$C$44)</f>
        <v/>
      </c>
      <c r="S1810" s="6" t="str">
        <f>IF(N1810="","",SUM(O1810:R1810)/('[1]LOCH Calc COE Calc'!$C$28))</f>
        <v/>
      </c>
      <c r="T1810" t="str">
        <f>IF(L1810="","",O1810/'[1]LOCH Calc COE Calc'!$C$28)</f>
        <v/>
      </c>
      <c r="U1810" t="str">
        <f>IF(L1810="","",P1810/'[1]LOCH Calc COE Calc'!$C$28)</f>
        <v/>
      </c>
      <c r="V1810" t="str">
        <f>IF(L1810="","",Q1810/'[1]LOCH Calc COE Calc'!$C$28)</f>
        <v/>
      </c>
      <c r="W1810" t="str">
        <f>IF(L1810="","",R1810/'[1]LOCH Calc COE Calc'!$C$28)</f>
        <v/>
      </c>
    </row>
    <row r="1811" spans="12:23" x14ac:dyDescent="0.25">
      <c r="L1811" s="4" t="str">
        <f>IF('[1]All Data '!BE1816="","",'[1]All Data '!BE1816)</f>
        <v/>
      </c>
      <c r="M1811" t="str">
        <f>IF('[1]All Data '!BF1816="","",'[1]All Data '!BF1816)</f>
        <v/>
      </c>
      <c r="N1811" s="5" t="str">
        <f>IF('[1]All Data '!BB1816="","",'[1]All Data '!BC1816/'[1]All Data '!BH1816)</f>
        <v/>
      </c>
      <c r="O1811" s="5" t="str">
        <f t="shared" si="30"/>
        <v/>
      </c>
      <c r="P1811" s="5" t="str">
        <f>IF(M1811="","",$C$2*(1-L1811)*907.2/0.621371*N1811*[1]Transportation!$M$40)</f>
        <v/>
      </c>
      <c r="Q1811" s="5" t="str">
        <f>IF(L1811="","",IF([1]Inputs_Outputs!$B$5="Herbaceous",(LCA!$E$29*'[1]LOCH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1" s="5" t="str">
        <f>IF(M1811="","",$E$2*1000*'[1]LOCH Calc COE Calc'!$C$44)</f>
        <v/>
      </c>
      <c r="S1811" s="6" t="str">
        <f>IF(N1811="","",SUM(O1811:R1811)/('[1]LOCH Calc COE Calc'!$C$28))</f>
        <v/>
      </c>
      <c r="T1811" t="str">
        <f>IF(L1811="","",O1811/'[1]LOCH Calc COE Calc'!$C$28)</f>
        <v/>
      </c>
      <c r="U1811" t="str">
        <f>IF(L1811="","",P1811/'[1]LOCH Calc COE Calc'!$C$28)</f>
        <v/>
      </c>
      <c r="V1811" t="str">
        <f>IF(L1811="","",Q1811/'[1]LOCH Calc COE Calc'!$C$28)</f>
        <v/>
      </c>
      <c r="W1811" t="str">
        <f>IF(L1811="","",R1811/'[1]LOCH Calc COE Calc'!$C$28)</f>
        <v/>
      </c>
    </row>
    <row r="1812" spans="12:23" x14ac:dyDescent="0.25">
      <c r="L1812" s="4" t="str">
        <f>IF('[1]All Data '!BE1817="","",'[1]All Data '!BE1817)</f>
        <v/>
      </c>
      <c r="M1812" t="str">
        <f>IF('[1]All Data '!BF1817="","",'[1]All Data '!BF1817)</f>
        <v/>
      </c>
      <c r="N1812" s="5" t="str">
        <f>IF('[1]All Data '!BB1817="","",'[1]All Data '!BC1817/'[1]All Data '!BH1817)</f>
        <v/>
      </c>
      <c r="O1812" s="5" t="str">
        <f t="shared" si="30"/>
        <v/>
      </c>
      <c r="P1812" s="5" t="str">
        <f>IF(M1812="","",$C$2*(1-L1812)*907.2/0.621371*N1812*[1]Transportation!$M$40)</f>
        <v/>
      </c>
      <c r="Q1812" s="5" t="str">
        <f>IF(L1812="","",IF([1]Inputs_Outputs!$B$5="Herbaceous",(LCA!$E$29*'[1]LOCH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2" s="5" t="str">
        <f>IF(M1812="","",$E$2*1000*'[1]LOCH Calc COE Calc'!$C$44)</f>
        <v/>
      </c>
      <c r="S1812" s="6" t="str">
        <f>IF(N1812="","",SUM(O1812:R1812)/('[1]LOCH Calc COE Calc'!$C$28))</f>
        <v/>
      </c>
      <c r="T1812" t="str">
        <f>IF(L1812="","",O1812/'[1]LOCH Calc COE Calc'!$C$28)</f>
        <v/>
      </c>
      <c r="U1812" t="str">
        <f>IF(L1812="","",P1812/'[1]LOCH Calc COE Calc'!$C$28)</f>
        <v/>
      </c>
      <c r="V1812" t="str">
        <f>IF(L1812="","",Q1812/'[1]LOCH Calc COE Calc'!$C$28)</f>
        <v/>
      </c>
      <c r="W1812" t="str">
        <f>IF(L1812="","",R1812/'[1]LOCH Calc COE Calc'!$C$28)</f>
        <v/>
      </c>
    </row>
    <row r="1813" spans="12:23" x14ac:dyDescent="0.25">
      <c r="L1813" s="4" t="str">
        <f>IF('[1]All Data '!BE1818="","",'[1]All Data '!BE1818)</f>
        <v/>
      </c>
      <c r="M1813" t="str">
        <f>IF('[1]All Data '!BF1818="","",'[1]All Data '!BF1818)</f>
        <v/>
      </c>
      <c r="N1813" s="5" t="str">
        <f>IF('[1]All Data '!BB1818="","",'[1]All Data '!BC1818/'[1]All Data '!BH1818)</f>
        <v/>
      </c>
      <c r="O1813" s="5" t="str">
        <f t="shared" si="30"/>
        <v/>
      </c>
      <c r="P1813" s="5" t="str">
        <f>IF(M1813="","",$C$2*(1-L1813)*907.2/0.621371*N1813*[1]Transportation!$M$40)</f>
        <v/>
      </c>
      <c r="Q1813" s="5" t="str">
        <f>IF(L1813="","",IF([1]Inputs_Outputs!$B$5="Herbaceous",(LCA!$E$29*'[1]LOCH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3" s="5" t="str">
        <f>IF(M1813="","",$E$2*1000*'[1]LOCH Calc COE Calc'!$C$44)</f>
        <v/>
      </c>
      <c r="S1813" s="6" t="str">
        <f>IF(N1813="","",SUM(O1813:R1813)/('[1]LOCH Calc COE Calc'!$C$28))</f>
        <v/>
      </c>
      <c r="T1813" t="str">
        <f>IF(L1813="","",O1813/'[1]LOCH Calc COE Calc'!$C$28)</f>
        <v/>
      </c>
      <c r="U1813" t="str">
        <f>IF(L1813="","",P1813/'[1]LOCH Calc COE Calc'!$C$28)</f>
        <v/>
      </c>
      <c r="V1813" t="str">
        <f>IF(L1813="","",Q1813/'[1]LOCH Calc COE Calc'!$C$28)</f>
        <v/>
      </c>
      <c r="W1813" t="str">
        <f>IF(L1813="","",R1813/'[1]LOCH Calc COE Calc'!$C$28)</f>
        <v/>
      </c>
    </row>
    <row r="1814" spans="12:23" x14ac:dyDescent="0.25">
      <c r="L1814" s="4" t="str">
        <f>IF('[1]All Data '!BE1819="","",'[1]All Data '!BE1819)</f>
        <v/>
      </c>
      <c r="M1814" t="str">
        <f>IF('[1]All Data '!BF1819="","",'[1]All Data '!BF1819)</f>
        <v/>
      </c>
      <c r="N1814" s="5" t="str">
        <f>IF('[1]All Data '!BB1819="","",'[1]All Data '!BC1819/'[1]All Data '!BH1819)</f>
        <v/>
      </c>
      <c r="O1814" s="5" t="str">
        <f t="shared" si="30"/>
        <v/>
      </c>
      <c r="P1814" s="5" t="str">
        <f>IF(M1814="","",$C$2*(1-L1814)*907.2/0.621371*N1814*[1]Transportation!$M$40)</f>
        <v/>
      </c>
      <c r="Q1814" s="5" t="str">
        <f>IF(L1814="","",IF([1]Inputs_Outputs!$B$5="Herbaceous",(LCA!$E$29*'[1]LOCH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4" s="5" t="str">
        <f>IF(M1814="","",$E$2*1000*'[1]LOCH Calc COE Calc'!$C$44)</f>
        <v/>
      </c>
      <c r="S1814" s="6" t="str">
        <f>IF(N1814="","",SUM(O1814:R1814)/('[1]LOCH Calc COE Calc'!$C$28))</f>
        <v/>
      </c>
      <c r="T1814" t="str">
        <f>IF(L1814="","",O1814/'[1]LOCH Calc COE Calc'!$C$28)</f>
        <v/>
      </c>
      <c r="U1814" t="str">
        <f>IF(L1814="","",P1814/'[1]LOCH Calc COE Calc'!$C$28)</f>
        <v/>
      </c>
      <c r="V1814" t="str">
        <f>IF(L1814="","",Q1814/'[1]LOCH Calc COE Calc'!$C$28)</f>
        <v/>
      </c>
      <c r="W1814" t="str">
        <f>IF(L1814="","",R1814/'[1]LOCH Calc COE Calc'!$C$28)</f>
        <v/>
      </c>
    </row>
    <row r="1815" spans="12:23" x14ac:dyDescent="0.25">
      <c r="L1815" s="4" t="str">
        <f>IF('[1]All Data '!BE1820="","",'[1]All Data '!BE1820)</f>
        <v/>
      </c>
      <c r="M1815" t="str">
        <f>IF('[1]All Data '!BF1820="","",'[1]All Data '!BF1820)</f>
        <v/>
      </c>
      <c r="N1815" s="5" t="str">
        <f>IF('[1]All Data '!BB1820="","",'[1]All Data '!BC1820/'[1]All Data '!BH1820)</f>
        <v/>
      </c>
      <c r="O1815" s="5" t="str">
        <f t="shared" si="30"/>
        <v/>
      </c>
      <c r="P1815" s="5" t="str">
        <f>IF(M1815="","",$C$2*(1-L1815)*907.2/0.621371*N1815*[1]Transportation!$M$40)</f>
        <v/>
      </c>
      <c r="Q1815" s="5" t="str">
        <f>IF(L1815="","",IF([1]Inputs_Outputs!$B$5="Herbaceous",(LCA!$E$29*'[1]LOCH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5" s="5" t="str">
        <f>IF(M1815="","",$E$2*1000*'[1]LOCH Calc COE Calc'!$C$44)</f>
        <v/>
      </c>
      <c r="S1815" s="6" t="str">
        <f>IF(N1815="","",SUM(O1815:R1815)/('[1]LOCH Calc COE Calc'!$C$28))</f>
        <v/>
      </c>
      <c r="T1815" t="str">
        <f>IF(L1815="","",O1815/'[1]LOCH Calc COE Calc'!$C$28)</f>
        <v/>
      </c>
      <c r="U1815" t="str">
        <f>IF(L1815="","",P1815/'[1]LOCH Calc COE Calc'!$C$28)</f>
        <v/>
      </c>
      <c r="V1815" t="str">
        <f>IF(L1815="","",Q1815/'[1]LOCH Calc COE Calc'!$C$28)</f>
        <v/>
      </c>
      <c r="W1815" t="str">
        <f>IF(L1815="","",R1815/'[1]LOCH Calc COE Calc'!$C$28)</f>
        <v/>
      </c>
    </row>
    <row r="1816" spans="12:23" x14ac:dyDescent="0.25">
      <c r="L1816" s="4" t="str">
        <f>IF('[1]All Data '!BE1821="","",'[1]All Data '!BE1821)</f>
        <v/>
      </c>
      <c r="M1816" t="str">
        <f>IF('[1]All Data '!BF1821="","",'[1]All Data '!BF1821)</f>
        <v/>
      </c>
      <c r="N1816" s="5" t="str">
        <f>IF('[1]All Data '!BB1821="","",'[1]All Data '!BC1821/'[1]All Data '!BH1821)</f>
        <v/>
      </c>
      <c r="O1816" s="5" t="str">
        <f t="shared" si="30"/>
        <v/>
      </c>
      <c r="P1816" s="5" t="str">
        <f>IF(M1816="","",$C$2*(1-L1816)*907.2/0.621371*N1816*[1]Transportation!$M$40)</f>
        <v/>
      </c>
      <c r="Q1816" s="5" t="str">
        <f>IF(L1816="","",IF([1]Inputs_Outputs!$B$5="Herbaceous",(LCA!$E$29*'[1]LOCH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6" s="5" t="str">
        <f>IF(M1816="","",$E$2*1000*'[1]LOCH Calc COE Calc'!$C$44)</f>
        <v/>
      </c>
      <c r="S1816" s="6" t="str">
        <f>IF(N1816="","",SUM(O1816:R1816)/('[1]LOCH Calc COE Calc'!$C$28))</f>
        <v/>
      </c>
      <c r="T1816" t="str">
        <f>IF(L1816="","",O1816/'[1]LOCH Calc COE Calc'!$C$28)</f>
        <v/>
      </c>
      <c r="U1816" t="str">
        <f>IF(L1816="","",P1816/'[1]LOCH Calc COE Calc'!$C$28)</f>
        <v/>
      </c>
      <c r="V1816" t="str">
        <f>IF(L1816="","",Q1816/'[1]LOCH Calc COE Calc'!$C$28)</f>
        <v/>
      </c>
      <c r="W1816" t="str">
        <f>IF(L1816="","",R1816/'[1]LOCH Calc COE Calc'!$C$28)</f>
        <v/>
      </c>
    </row>
    <row r="1817" spans="12:23" x14ac:dyDescent="0.25">
      <c r="L1817" s="4" t="str">
        <f>IF('[1]All Data '!BE1822="","",'[1]All Data '!BE1822)</f>
        <v/>
      </c>
      <c r="M1817" t="str">
        <f>IF('[1]All Data '!BF1822="","",'[1]All Data '!BF1822)</f>
        <v/>
      </c>
      <c r="N1817" s="5" t="str">
        <f>IF('[1]All Data '!BB1822="","",'[1]All Data '!BC1822/'[1]All Data '!BH1822)</f>
        <v/>
      </c>
      <c r="O1817" s="5" t="str">
        <f t="shared" si="30"/>
        <v/>
      </c>
      <c r="P1817" s="5" t="str">
        <f>IF(M1817="","",$C$2*(1-L1817)*907.2/0.621371*N1817*[1]Transportation!$M$40)</f>
        <v/>
      </c>
      <c r="Q1817" s="5" t="str">
        <f>IF(L1817="","",IF([1]Inputs_Outputs!$B$5="Herbaceous",(LCA!$E$29*'[1]LOCH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7" s="5" t="str">
        <f>IF(M1817="","",$E$2*1000*'[1]LOCH Calc COE Calc'!$C$44)</f>
        <v/>
      </c>
      <c r="S1817" s="6" t="str">
        <f>IF(N1817="","",SUM(O1817:R1817)/('[1]LOCH Calc COE Calc'!$C$28))</f>
        <v/>
      </c>
      <c r="T1817" t="str">
        <f>IF(L1817="","",O1817/'[1]LOCH Calc COE Calc'!$C$28)</f>
        <v/>
      </c>
      <c r="U1817" t="str">
        <f>IF(L1817="","",P1817/'[1]LOCH Calc COE Calc'!$C$28)</f>
        <v/>
      </c>
      <c r="V1817" t="str">
        <f>IF(L1817="","",Q1817/'[1]LOCH Calc COE Calc'!$C$28)</f>
        <v/>
      </c>
      <c r="W1817" t="str">
        <f>IF(L1817="","",R1817/'[1]LOCH Calc COE Calc'!$C$28)</f>
        <v/>
      </c>
    </row>
    <row r="1818" spans="12:23" x14ac:dyDescent="0.25">
      <c r="L1818" s="4" t="str">
        <f>IF('[1]All Data '!BE1823="","",'[1]All Data '!BE1823)</f>
        <v/>
      </c>
      <c r="M1818" t="str">
        <f>IF('[1]All Data '!BF1823="","",'[1]All Data '!BF1823)</f>
        <v/>
      </c>
      <c r="N1818" s="5" t="str">
        <f>IF('[1]All Data '!BB1823="","",'[1]All Data '!BC1823/'[1]All Data '!BH1823)</f>
        <v/>
      </c>
      <c r="O1818" s="5" t="str">
        <f t="shared" si="30"/>
        <v/>
      </c>
      <c r="P1818" s="5" t="str">
        <f>IF(M1818="","",$C$2*(1-L1818)*907.2/0.621371*N1818*[1]Transportation!$M$40)</f>
        <v/>
      </c>
      <c r="Q1818" s="5" t="str">
        <f>IF(L1818="","",IF([1]Inputs_Outputs!$B$5="Herbaceous",(LCA!$E$29*'[1]LOCH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8" s="5" t="str">
        <f>IF(M1818="","",$E$2*1000*'[1]LOCH Calc COE Calc'!$C$44)</f>
        <v/>
      </c>
      <c r="S1818" s="6" t="str">
        <f>IF(N1818="","",SUM(O1818:R1818)/('[1]LOCH Calc COE Calc'!$C$28))</f>
        <v/>
      </c>
      <c r="T1818" t="str">
        <f>IF(L1818="","",O1818/'[1]LOCH Calc COE Calc'!$C$28)</f>
        <v/>
      </c>
      <c r="U1818" t="str">
        <f>IF(L1818="","",P1818/'[1]LOCH Calc COE Calc'!$C$28)</f>
        <v/>
      </c>
      <c r="V1818" t="str">
        <f>IF(L1818="","",Q1818/'[1]LOCH Calc COE Calc'!$C$28)</f>
        <v/>
      </c>
      <c r="W1818" t="str">
        <f>IF(L1818="","",R1818/'[1]LOCH Calc COE Calc'!$C$28)</f>
        <v/>
      </c>
    </row>
    <row r="1819" spans="12:23" x14ac:dyDescent="0.25">
      <c r="L1819" s="4" t="str">
        <f>IF('[1]All Data '!BE1824="","",'[1]All Data '!BE1824)</f>
        <v/>
      </c>
      <c r="M1819" t="str">
        <f>IF('[1]All Data '!BF1824="","",'[1]All Data '!BF1824)</f>
        <v/>
      </c>
      <c r="N1819" s="5" t="str">
        <f>IF('[1]All Data '!BB1824="","",'[1]All Data '!BC1824/'[1]All Data '!BH1824)</f>
        <v/>
      </c>
      <c r="O1819" s="5" t="str">
        <f t="shared" si="30"/>
        <v/>
      </c>
      <c r="P1819" s="5" t="str">
        <f>IF(M1819="","",$C$2*(1-L1819)*907.2/0.621371*N1819*[1]Transportation!$M$40)</f>
        <v/>
      </c>
      <c r="Q1819" s="5" t="str">
        <f>IF(L1819="","",IF([1]Inputs_Outputs!$B$5="Herbaceous",(LCA!$E$29*'[1]LOCH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19" s="5" t="str">
        <f>IF(M1819="","",$E$2*1000*'[1]LOCH Calc COE Calc'!$C$44)</f>
        <v/>
      </c>
      <c r="S1819" s="6" t="str">
        <f>IF(N1819="","",SUM(O1819:R1819)/('[1]LOCH Calc COE Calc'!$C$28))</f>
        <v/>
      </c>
      <c r="T1819" t="str">
        <f>IF(L1819="","",O1819/'[1]LOCH Calc COE Calc'!$C$28)</f>
        <v/>
      </c>
      <c r="U1819" t="str">
        <f>IF(L1819="","",P1819/'[1]LOCH Calc COE Calc'!$C$28)</f>
        <v/>
      </c>
      <c r="V1819" t="str">
        <f>IF(L1819="","",Q1819/'[1]LOCH Calc COE Calc'!$C$28)</f>
        <v/>
      </c>
      <c r="W1819" t="str">
        <f>IF(L1819="","",R1819/'[1]LOCH Calc COE Calc'!$C$28)</f>
        <v/>
      </c>
    </row>
    <row r="1820" spans="12:23" x14ac:dyDescent="0.25">
      <c r="L1820" s="4" t="str">
        <f>IF('[1]All Data '!BE1825="","",'[1]All Data '!BE1825)</f>
        <v/>
      </c>
      <c r="M1820" t="str">
        <f>IF('[1]All Data '!BF1825="","",'[1]All Data '!BF1825)</f>
        <v/>
      </c>
      <c r="N1820" s="5" t="str">
        <f>IF('[1]All Data '!BB1825="","",'[1]All Data '!BC1825/'[1]All Data '!BH1825)</f>
        <v/>
      </c>
      <c r="O1820" s="5" t="str">
        <f t="shared" si="30"/>
        <v/>
      </c>
      <c r="P1820" s="5" t="str">
        <f>IF(M1820="","",$C$2*(1-L1820)*907.2/0.621371*N1820*[1]Transportation!$M$40)</f>
        <v/>
      </c>
      <c r="Q1820" s="5" t="str">
        <f>IF(L1820="","",IF([1]Inputs_Outputs!$B$5="Herbaceous",(LCA!$E$29*'[1]LOCH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0" s="5" t="str">
        <f>IF(M1820="","",$E$2*1000*'[1]LOCH Calc COE Calc'!$C$44)</f>
        <v/>
      </c>
      <c r="S1820" s="6" t="str">
        <f>IF(N1820="","",SUM(O1820:R1820)/('[1]LOCH Calc COE Calc'!$C$28))</f>
        <v/>
      </c>
      <c r="T1820" t="str">
        <f>IF(L1820="","",O1820/'[1]LOCH Calc COE Calc'!$C$28)</f>
        <v/>
      </c>
      <c r="U1820" t="str">
        <f>IF(L1820="","",P1820/'[1]LOCH Calc COE Calc'!$C$28)</f>
        <v/>
      </c>
      <c r="V1820" t="str">
        <f>IF(L1820="","",Q1820/'[1]LOCH Calc COE Calc'!$C$28)</f>
        <v/>
      </c>
      <c r="W1820" t="str">
        <f>IF(L1820="","",R1820/'[1]LOCH Calc COE Calc'!$C$28)</f>
        <v/>
      </c>
    </row>
    <row r="1821" spans="12:23" x14ac:dyDescent="0.25">
      <c r="L1821" s="4" t="str">
        <f>IF('[1]All Data '!BE1826="","",'[1]All Data '!BE1826)</f>
        <v/>
      </c>
      <c r="M1821" t="str">
        <f>IF('[1]All Data '!BF1826="","",'[1]All Data '!BF1826)</f>
        <v/>
      </c>
      <c r="N1821" s="5" t="str">
        <f>IF('[1]All Data '!BB1826="","",'[1]All Data '!BC1826/'[1]All Data '!BH1826)</f>
        <v/>
      </c>
      <c r="O1821" s="5" t="str">
        <f t="shared" si="30"/>
        <v/>
      </c>
      <c r="P1821" s="5" t="str">
        <f>IF(M1821="","",$C$2*(1-L1821)*907.2/0.621371*N1821*[1]Transportation!$M$40)</f>
        <v/>
      </c>
      <c r="Q1821" s="5" t="str">
        <f>IF(L1821="","",IF([1]Inputs_Outputs!$B$5="Herbaceous",(LCA!$E$29*'[1]LOCH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1" s="5" t="str">
        <f>IF(M1821="","",$E$2*1000*'[1]LOCH Calc COE Calc'!$C$44)</f>
        <v/>
      </c>
      <c r="S1821" s="6" t="str">
        <f>IF(N1821="","",SUM(O1821:R1821)/('[1]LOCH Calc COE Calc'!$C$28))</f>
        <v/>
      </c>
      <c r="T1821" t="str">
        <f>IF(L1821="","",O1821/'[1]LOCH Calc COE Calc'!$C$28)</f>
        <v/>
      </c>
      <c r="U1821" t="str">
        <f>IF(L1821="","",P1821/'[1]LOCH Calc COE Calc'!$C$28)</f>
        <v/>
      </c>
      <c r="V1821" t="str">
        <f>IF(L1821="","",Q1821/'[1]LOCH Calc COE Calc'!$C$28)</f>
        <v/>
      </c>
      <c r="W1821" t="str">
        <f>IF(L1821="","",R1821/'[1]LOCH Calc COE Calc'!$C$28)</f>
        <v/>
      </c>
    </row>
    <row r="1822" spans="12:23" x14ac:dyDescent="0.25">
      <c r="L1822" s="4" t="str">
        <f>IF('[1]All Data '!BE1827="","",'[1]All Data '!BE1827)</f>
        <v/>
      </c>
      <c r="M1822" t="str">
        <f>IF('[1]All Data '!BF1827="","",'[1]All Data '!BF1827)</f>
        <v/>
      </c>
      <c r="N1822" s="5" t="str">
        <f>IF('[1]All Data '!BB1827="","",'[1]All Data '!BC1827/'[1]All Data '!BH1827)</f>
        <v/>
      </c>
      <c r="O1822" s="5" t="str">
        <f t="shared" si="30"/>
        <v/>
      </c>
      <c r="P1822" s="5" t="str">
        <f>IF(M1822="","",$C$2*(1-L1822)*907.2/0.621371*N1822*[1]Transportation!$M$40)</f>
        <v/>
      </c>
      <c r="Q1822" s="5" t="str">
        <f>IF(L1822="","",IF([1]Inputs_Outputs!$B$5="Herbaceous",(LCA!$E$29*'[1]LOCH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2" s="5" t="str">
        <f>IF(M1822="","",$E$2*1000*'[1]LOCH Calc COE Calc'!$C$44)</f>
        <v/>
      </c>
      <c r="S1822" s="6" t="str">
        <f>IF(N1822="","",SUM(O1822:R1822)/('[1]LOCH Calc COE Calc'!$C$28))</f>
        <v/>
      </c>
      <c r="T1822" t="str">
        <f>IF(L1822="","",O1822/'[1]LOCH Calc COE Calc'!$C$28)</f>
        <v/>
      </c>
      <c r="U1822" t="str">
        <f>IF(L1822="","",P1822/'[1]LOCH Calc COE Calc'!$C$28)</f>
        <v/>
      </c>
      <c r="V1822" t="str">
        <f>IF(L1822="","",Q1822/'[1]LOCH Calc COE Calc'!$C$28)</f>
        <v/>
      </c>
      <c r="W1822" t="str">
        <f>IF(L1822="","",R1822/'[1]LOCH Calc COE Calc'!$C$28)</f>
        <v/>
      </c>
    </row>
    <row r="1823" spans="12:23" x14ac:dyDescent="0.25">
      <c r="L1823" s="4" t="str">
        <f>IF('[1]All Data '!BE1828="","",'[1]All Data '!BE1828)</f>
        <v/>
      </c>
      <c r="M1823" t="str">
        <f>IF('[1]All Data '!BF1828="","",'[1]All Data '!BF1828)</f>
        <v/>
      </c>
      <c r="N1823" s="5" t="str">
        <f>IF('[1]All Data '!BB1828="","",'[1]All Data '!BC1828/'[1]All Data '!BH1828)</f>
        <v/>
      </c>
      <c r="O1823" s="5" t="str">
        <f t="shared" si="30"/>
        <v/>
      </c>
      <c r="P1823" s="5" t="str">
        <f>IF(M1823="","",$C$2*(1-L1823)*907.2/0.621371*N1823*[1]Transportation!$M$40)</f>
        <v/>
      </c>
      <c r="Q1823" s="5" t="str">
        <f>IF(L1823="","",IF([1]Inputs_Outputs!$B$5="Herbaceous",(LCA!$E$29*'[1]LOCH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3" s="5" t="str">
        <f>IF(M1823="","",$E$2*1000*'[1]LOCH Calc COE Calc'!$C$44)</f>
        <v/>
      </c>
      <c r="S1823" s="6" t="str">
        <f>IF(N1823="","",SUM(O1823:R1823)/('[1]LOCH Calc COE Calc'!$C$28))</f>
        <v/>
      </c>
      <c r="T1823" t="str">
        <f>IF(L1823="","",O1823/'[1]LOCH Calc COE Calc'!$C$28)</f>
        <v/>
      </c>
      <c r="U1823" t="str">
        <f>IF(L1823="","",P1823/'[1]LOCH Calc COE Calc'!$C$28)</f>
        <v/>
      </c>
      <c r="V1823" t="str">
        <f>IF(L1823="","",Q1823/'[1]LOCH Calc COE Calc'!$C$28)</f>
        <v/>
      </c>
      <c r="W1823" t="str">
        <f>IF(L1823="","",R1823/'[1]LOCH Calc COE Calc'!$C$28)</f>
        <v/>
      </c>
    </row>
    <row r="1824" spans="12:23" x14ac:dyDescent="0.25">
      <c r="L1824" s="4" t="str">
        <f>IF('[1]All Data '!BE1829="","",'[1]All Data '!BE1829)</f>
        <v/>
      </c>
      <c r="M1824" t="str">
        <f>IF('[1]All Data '!BF1829="","",'[1]All Data '!BF1829)</f>
        <v/>
      </c>
      <c r="N1824" s="5" t="str">
        <f>IF('[1]All Data '!BB1829="","",'[1]All Data '!BC1829/'[1]All Data '!BH1829)</f>
        <v/>
      </c>
      <c r="O1824" s="5" t="str">
        <f t="shared" si="30"/>
        <v/>
      </c>
      <c r="P1824" s="5" t="str">
        <f>IF(M1824="","",$C$2*(1-L1824)*907.2/0.621371*N1824*[1]Transportation!$M$40)</f>
        <v/>
      </c>
      <c r="Q1824" s="5" t="str">
        <f>IF(L1824="","",IF([1]Inputs_Outputs!$B$5="Herbaceous",(LCA!$E$29*'[1]LOCH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4" s="5" t="str">
        <f>IF(M1824="","",$E$2*1000*'[1]LOCH Calc COE Calc'!$C$44)</f>
        <v/>
      </c>
      <c r="S1824" s="6" t="str">
        <f>IF(N1824="","",SUM(O1824:R1824)/('[1]LOCH Calc COE Calc'!$C$28))</f>
        <v/>
      </c>
      <c r="T1824" t="str">
        <f>IF(L1824="","",O1824/'[1]LOCH Calc COE Calc'!$C$28)</f>
        <v/>
      </c>
      <c r="U1824" t="str">
        <f>IF(L1824="","",P1824/'[1]LOCH Calc COE Calc'!$C$28)</f>
        <v/>
      </c>
      <c r="V1824" t="str">
        <f>IF(L1824="","",Q1824/'[1]LOCH Calc COE Calc'!$C$28)</f>
        <v/>
      </c>
      <c r="W1824" t="str">
        <f>IF(L1824="","",R1824/'[1]LOCH Calc COE Calc'!$C$28)</f>
        <v/>
      </c>
    </row>
    <row r="1825" spans="12:23" x14ac:dyDescent="0.25">
      <c r="L1825" s="4" t="str">
        <f>IF('[1]All Data '!BE1830="","",'[1]All Data '!BE1830)</f>
        <v/>
      </c>
      <c r="M1825" t="str">
        <f>IF('[1]All Data '!BF1830="","",'[1]All Data '!BF1830)</f>
        <v/>
      </c>
      <c r="N1825" s="5" t="str">
        <f>IF('[1]All Data '!BB1830="","",'[1]All Data '!BC1830/'[1]All Data '!BH1830)</f>
        <v/>
      </c>
      <c r="O1825" s="5" t="str">
        <f t="shared" si="30"/>
        <v/>
      </c>
      <c r="P1825" s="5" t="str">
        <f>IF(M1825="","",$C$2*(1-L1825)*907.2/0.621371*N1825*[1]Transportation!$M$40)</f>
        <v/>
      </c>
      <c r="Q1825" s="5" t="str">
        <f>IF(L1825="","",IF([1]Inputs_Outputs!$B$5="Herbaceous",(LCA!$E$29*'[1]LOCH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5" s="5" t="str">
        <f>IF(M1825="","",$E$2*1000*'[1]LOCH Calc COE Calc'!$C$44)</f>
        <v/>
      </c>
      <c r="S1825" s="6" t="str">
        <f>IF(N1825="","",SUM(O1825:R1825)/('[1]LOCH Calc COE Calc'!$C$28))</f>
        <v/>
      </c>
      <c r="T1825" t="str">
        <f>IF(L1825="","",O1825/'[1]LOCH Calc COE Calc'!$C$28)</f>
        <v/>
      </c>
      <c r="U1825" t="str">
        <f>IF(L1825="","",P1825/'[1]LOCH Calc COE Calc'!$C$28)</f>
        <v/>
      </c>
      <c r="V1825" t="str">
        <f>IF(L1825="","",Q1825/'[1]LOCH Calc COE Calc'!$C$28)</f>
        <v/>
      </c>
      <c r="W1825" t="str">
        <f>IF(L1825="","",R1825/'[1]LOCH Calc COE Calc'!$C$28)</f>
        <v/>
      </c>
    </row>
    <row r="1826" spans="12:23" x14ac:dyDescent="0.25">
      <c r="L1826" s="4" t="str">
        <f>IF('[1]All Data '!BE1831="","",'[1]All Data '!BE1831)</f>
        <v/>
      </c>
      <c r="M1826" t="str">
        <f>IF('[1]All Data '!BF1831="","",'[1]All Data '!BF1831)</f>
        <v/>
      </c>
      <c r="N1826" s="5" t="str">
        <f>IF('[1]All Data '!BB1831="","",'[1]All Data '!BC1831/'[1]All Data '!BH1831)</f>
        <v/>
      </c>
      <c r="O1826" s="5" t="str">
        <f t="shared" si="30"/>
        <v/>
      </c>
      <c r="P1826" s="5" t="str">
        <f>IF(M1826="","",$C$2*(1-L1826)*907.2/0.621371*N1826*[1]Transportation!$M$40)</f>
        <v/>
      </c>
      <c r="Q1826" s="5" t="str">
        <f>IF(L1826="","",IF([1]Inputs_Outputs!$B$5="Herbaceous",(LCA!$E$29*'[1]LOCH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6" s="5" t="str">
        <f>IF(M1826="","",$E$2*1000*'[1]LOCH Calc COE Calc'!$C$44)</f>
        <v/>
      </c>
      <c r="S1826" s="6" t="str">
        <f>IF(N1826="","",SUM(O1826:R1826)/('[1]LOCH Calc COE Calc'!$C$28))</f>
        <v/>
      </c>
      <c r="T1826" t="str">
        <f>IF(L1826="","",O1826/'[1]LOCH Calc COE Calc'!$C$28)</f>
        <v/>
      </c>
      <c r="U1826" t="str">
        <f>IF(L1826="","",P1826/'[1]LOCH Calc COE Calc'!$C$28)</f>
        <v/>
      </c>
      <c r="V1826" t="str">
        <f>IF(L1826="","",Q1826/'[1]LOCH Calc COE Calc'!$C$28)</f>
        <v/>
      </c>
      <c r="W1826" t="str">
        <f>IF(L1826="","",R1826/'[1]LOCH Calc COE Calc'!$C$28)</f>
        <v/>
      </c>
    </row>
    <row r="1827" spans="12:23" x14ac:dyDescent="0.25">
      <c r="L1827" s="4" t="str">
        <f>IF('[1]All Data '!BE1832="","",'[1]All Data '!BE1832)</f>
        <v/>
      </c>
      <c r="M1827" t="str">
        <f>IF('[1]All Data '!BF1832="","",'[1]All Data '!BF1832)</f>
        <v/>
      </c>
      <c r="N1827" s="5" t="str">
        <f>IF('[1]All Data '!BB1832="","",'[1]All Data '!BC1832/'[1]All Data '!BH1832)</f>
        <v/>
      </c>
      <c r="O1827" s="5" t="str">
        <f t="shared" si="30"/>
        <v/>
      </c>
      <c r="P1827" s="5" t="str">
        <f>IF(M1827="","",$C$2*(1-L1827)*907.2/0.621371*N1827*[1]Transportation!$M$40)</f>
        <v/>
      </c>
      <c r="Q1827" s="5" t="str">
        <f>IF(L1827="","",IF([1]Inputs_Outputs!$B$5="Herbaceous",(LCA!$E$29*'[1]LOCH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7" s="5" t="str">
        <f>IF(M1827="","",$E$2*1000*'[1]LOCH Calc COE Calc'!$C$44)</f>
        <v/>
      </c>
      <c r="S1827" s="6" t="str">
        <f>IF(N1827="","",SUM(O1827:R1827)/('[1]LOCH Calc COE Calc'!$C$28))</f>
        <v/>
      </c>
      <c r="T1827" t="str">
        <f>IF(L1827="","",O1827/'[1]LOCH Calc COE Calc'!$C$28)</f>
        <v/>
      </c>
      <c r="U1827" t="str">
        <f>IF(L1827="","",P1827/'[1]LOCH Calc COE Calc'!$C$28)</f>
        <v/>
      </c>
      <c r="V1827" t="str">
        <f>IF(L1827="","",Q1827/'[1]LOCH Calc COE Calc'!$C$28)</f>
        <v/>
      </c>
      <c r="W1827" t="str">
        <f>IF(L1827="","",R1827/'[1]LOCH Calc COE Calc'!$C$28)</f>
        <v/>
      </c>
    </row>
    <row r="1828" spans="12:23" x14ac:dyDescent="0.25">
      <c r="L1828" s="4" t="str">
        <f>IF('[1]All Data '!BE1833="","",'[1]All Data '!BE1833)</f>
        <v/>
      </c>
      <c r="M1828" t="str">
        <f>IF('[1]All Data '!BF1833="","",'[1]All Data '!BF1833)</f>
        <v/>
      </c>
      <c r="N1828" s="5" t="str">
        <f>IF('[1]All Data '!BB1833="","",'[1]All Data '!BC1833/'[1]All Data '!BH1833)</f>
        <v/>
      </c>
      <c r="O1828" s="5" t="str">
        <f t="shared" si="30"/>
        <v/>
      </c>
      <c r="P1828" s="5" t="str">
        <f>IF(M1828="","",$C$2*(1-L1828)*907.2/0.621371*N1828*[1]Transportation!$M$40)</f>
        <v/>
      </c>
      <c r="Q1828" s="5" t="str">
        <f>IF(L1828="","",IF([1]Inputs_Outputs!$B$5="Herbaceous",(LCA!$E$29*'[1]LOCH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8" s="5" t="str">
        <f>IF(M1828="","",$E$2*1000*'[1]LOCH Calc COE Calc'!$C$44)</f>
        <v/>
      </c>
      <c r="S1828" s="6" t="str">
        <f>IF(N1828="","",SUM(O1828:R1828)/('[1]LOCH Calc COE Calc'!$C$28))</f>
        <v/>
      </c>
      <c r="T1828" t="str">
        <f>IF(L1828="","",O1828/'[1]LOCH Calc COE Calc'!$C$28)</f>
        <v/>
      </c>
      <c r="U1828" t="str">
        <f>IF(L1828="","",P1828/'[1]LOCH Calc COE Calc'!$C$28)</f>
        <v/>
      </c>
      <c r="V1828" t="str">
        <f>IF(L1828="","",Q1828/'[1]LOCH Calc COE Calc'!$C$28)</f>
        <v/>
      </c>
      <c r="W1828" t="str">
        <f>IF(L1828="","",R1828/'[1]LOCH Calc COE Calc'!$C$28)</f>
        <v/>
      </c>
    </row>
    <row r="1829" spans="12:23" x14ac:dyDescent="0.25">
      <c r="L1829" s="4" t="str">
        <f>IF('[1]All Data '!BE1834="","",'[1]All Data '!BE1834)</f>
        <v/>
      </c>
      <c r="M1829" t="str">
        <f>IF('[1]All Data '!BF1834="","",'[1]All Data '!BF1834)</f>
        <v/>
      </c>
      <c r="N1829" s="5" t="str">
        <f>IF('[1]All Data '!BB1834="","",'[1]All Data '!BC1834/'[1]All Data '!BH1834)</f>
        <v/>
      </c>
      <c r="O1829" s="5" t="str">
        <f t="shared" si="30"/>
        <v/>
      </c>
      <c r="P1829" s="5" t="str">
        <f>IF(M1829="","",$C$2*(1-L1829)*907.2/0.621371*N1829*[1]Transportation!$M$40)</f>
        <v/>
      </c>
      <c r="Q1829" s="5" t="str">
        <f>IF(L1829="","",IF([1]Inputs_Outputs!$B$5="Herbaceous",(LCA!$E$29*'[1]LOCH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29" s="5" t="str">
        <f>IF(M1829="","",$E$2*1000*'[1]LOCH Calc COE Calc'!$C$44)</f>
        <v/>
      </c>
      <c r="S1829" s="6" t="str">
        <f>IF(N1829="","",SUM(O1829:R1829)/('[1]LOCH Calc COE Calc'!$C$28))</f>
        <v/>
      </c>
      <c r="T1829" t="str">
        <f>IF(L1829="","",O1829/'[1]LOCH Calc COE Calc'!$C$28)</f>
        <v/>
      </c>
      <c r="U1829" t="str">
        <f>IF(L1829="","",P1829/'[1]LOCH Calc COE Calc'!$C$28)</f>
        <v/>
      </c>
      <c r="V1829" t="str">
        <f>IF(L1829="","",Q1829/'[1]LOCH Calc COE Calc'!$C$28)</f>
        <v/>
      </c>
      <c r="W1829" t="str">
        <f>IF(L1829="","",R1829/'[1]LOCH Calc COE Calc'!$C$28)</f>
        <v/>
      </c>
    </row>
    <row r="1830" spans="12:23" x14ac:dyDescent="0.25">
      <c r="L1830" s="4" t="str">
        <f>IF('[1]All Data '!BE1835="","",'[1]All Data '!BE1835)</f>
        <v/>
      </c>
      <c r="M1830" t="str">
        <f>IF('[1]All Data '!BF1835="","",'[1]All Data '!BF1835)</f>
        <v/>
      </c>
      <c r="N1830" s="5" t="str">
        <f>IF('[1]All Data '!BB1835="","",'[1]All Data '!BC1835/'[1]All Data '!BH1835)</f>
        <v/>
      </c>
      <c r="O1830" s="5" t="str">
        <f t="shared" si="30"/>
        <v/>
      </c>
      <c r="P1830" s="5" t="str">
        <f>IF(M1830="","",$C$2*(1-L1830)*907.2/0.621371*N1830*[1]Transportation!$M$40)</f>
        <v/>
      </c>
      <c r="Q1830" s="5" t="str">
        <f>IF(L1830="","",IF([1]Inputs_Outputs!$B$5="Herbaceous",(LCA!$E$29*'[1]LOCH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0" s="5" t="str">
        <f>IF(M1830="","",$E$2*1000*'[1]LOCH Calc COE Calc'!$C$44)</f>
        <v/>
      </c>
      <c r="S1830" s="6" t="str">
        <f>IF(N1830="","",SUM(O1830:R1830)/('[1]LOCH Calc COE Calc'!$C$28))</f>
        <v/>
      </c>
      <c r="T1830" t="str">
        <f>IF(L1830="","",O1830/'[1]LOCH Calc COE Calc'!$C$28)</f>
        <v/>
      </c>
      <c r="U1830" t="str">
        <f>IF(L1830="","",P1830/'[1]LOCH Calc COE Calc'!$C$28)</f>
        <v/>
      </c>
      <c r="V1830" t="str">
        <f>IF(L1830="","",Q1830/'[1]LOCH Calc COE Calc'!$C$28)</f>
        <v/>
      </c>
      <c r="W1830" t="str">
        <f>IF(L1830="","",R1830/'[1]LOCH Calc COE Calc'!$C$28)</f>
        <v/>
      </c>
    </row>
    <row r="1831" spans="12:23" x14ac:dyDescent="0.25">
      <c r="L1831" s="4" t="str">
        <f>IF('[1]All Data '!BE1836="","",'[1]All Data '!BE1836)</f>
        <v/>
      </c>
      <c r="M1831" t="str">
        <f>IF('[1]All Data '!BF1836="","",'[1]All Data '!BF1836)</f>
        <v/>
      </c>
      <c r="N1831" s="5" t="str">
        <f>IF('[1]All Data '!BB1836="","",'[1]All Data '!BC1836/'[1]All Data '!BH1836)</f>
        <v/>
      </c>
      <c r="O1831" s="5" t="str">
        <f t="shared" si="30"/>
        <v/>
      </c>
      <c r="P1831" s="5" t="str">
        <f>IF(M1831="","",$C$2*(1-L1831)*907.2/0.621371*N1831*[1]Transportation!$M$40)</f>
        <v/>
      </c>
      <c r="Q1831" s="5" t="str">
        <f>IF(L1831="","",IF([1]Inputs_Outputs!$B$5="Herbaceous",(LCA!$E$29*'[1]LOCH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1" s="5" t="str">
        <f>IF(M1831="","",$E$2*1000*'[1]LOCH Calc COE Calc'!$C$44)</f>
        <v/>
      </c>
      <c r="S1831" s="6" t="str">
        <f>IF(N1831="","",SUM(O1831:R1831)/('[1]LOCH Calc COE Calc'!$C$28))</f>
        <v/>
      </c>
      <c r="T1831" t="str">
        <f>IF(L1831="","",O1831/'[1]LOCH Calc COE Calc'!$C$28)</f>
        <v/>
      </c>
      <c r="U1831" t="str">
        <f>IF(L1831="","",P1831/'[1]LOCH Calc COE Calc'!$C$28)</f>
        <v/>
      </c>
      <c r="V1831" t="str">
        <f>IF(L1831="","",Q1831/'[1]LOCH Calc COE Calc'!$C$28)</f>
        <v/>
      </c>
      <c r="W1831" t="str">
        <f>IF(L1831="","",R1831/'[1]LOCH Calc COE Calc'!$C$28)</f>
        <v/>
      </c>
    </row>
    <row r="1832" spans="12:23" x14ac:dyDescent="0.25">
      <c r="L1832" s="4" t="str">
        <f>IF('[1]All Data '!BE1837="","",'[1]All Data '!BE1837)</f>
        <v/>
      </c>
      <c r="M1832" t="str">
        <f>IF('[1]All Data '!BF1837="","",'[1]All Data '!BF1837)</f>
        <v/>
      </c>
      <c r="N1832" s="5" t="str">
        <f>IF('[1]All Data '!BB1837="","",'[1]All Data '!BC1837/'[1]All Data '!BH1837)</f>
        <v/>
      </c>
      <c r="O1832" s="5" t="str">
        <f t="shared" si="30"/>
        <v/>
      </c>
      <c r="P1832" s="5" t="str">
        <f>IF(M1832="","",$C$2*(1-L1832)*907.2/0.621371*N1832*[1]Transportation!$M$40)</f>
        <v/>
      </c>
      <c r="Q1832" s="5" t="str">
        <f>IF(L1832="","",IF([1]Inputs_Outputs!$B$5="Herbaceous",(LCA!$E$29*'[1]LOCH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2" s="5" t="str">
        <f>IF(M1832="","",$E$2*1000*'[1]LOCH Calc COE Calc'!$C$44)</f>
        <v/>
      </c>
      <c r="S1832" s="6" t="str">
        <f>IF(N1832="","",SUM(O1832:R1832)/('[1]LOCH Calc COE Calc'!$C$28))</f>
        <v/>
      </c>
      <c r="T1832" t="str">
        <f>IF(L1832="","",O1832/'[1]LOCH Calc COE Calc'!$C$28)</f>
        <v/>
      </c>
      <c r="U1832" t="str">
        <f>IF(L1832="","",P1832/'[1]LOCH Calc COE Calc'!$C$28)</f>
        <v/>
      </c>
      <c r="V1832" t="str">
        <f>IF(L1832="","",Q1832/'[1]LOCH Calc COE Calc'!$C$28)</f>
        <v/>
      </c>
      <c r="W1832" t="str">
        <f>IF(L1832="","",R1832/'[1]LOCH Calc COE Calc'!$C$28)</f>
        <v/>
      </c>
    </row>
    <row r="1833" spans="12:23" x14ac:dyDescent="0.25">
      <c r="L1833" s="4" t="str">
        <f>IF('[1]All Data '!BE1838="","",'[1]All Data '!BE1838)</f>
        <v/>
      </c>
      <c r="M1833" t="str">
        <f>IF('[1]All Data '!BF1838="","",'[1]All Data '!BF1838)</f>
        <v/>
      </c>
      <c r="N1833" s="5" t="str">
        <f>IF('[1]All Data '!BB1838="","",'[1]All Data '!BC1838/'[1]All Data '!BH1838)</f>
        <v/>
      </c>
      <c r="O1833" s="5" t="str">
        <f t="shared" si="30"/>
        <v/>
      </c>
      <c r="P1833" s="5" t="str">
        <f>IF(M1833="","",$C$2*(1-L1833)*907.2/0.621371*N1833*[1]Transportation!$M$40)</f>
        <v/>
      </c>
      <c r="Q1833" s="5" t="str">
        <f>IF(L1833="","",IF([1]Inputs_Outputs!$B$5="Herbaceous",(LCA!$E$29*'[1]LOCH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3" s="5" t="str">
        <f>IF(M1833="","",$E$2*1000*'[1]LOCH Calc COE Calc'!$C$44)</f>
        <v/>
      </c>
      <c r="S1833" s="6" t="str">
        <f>IF(N1833="","",SUM(O1833:R1833)/('[1]LOCH Calc COE Calc'!$C$28))</f>
        <v/>
      </c>
      <c r="T1833" t="str">
        <f>IF(L1833="","",O1833/'[1]LOCH Calc COE Calc'!$C$28)</f>
        <v/>
      </c>
      <c r="U1833" t="str">
        <f>IF(L1833="","",P1833/'[1]LOCH Calc COE Calc'!$C$28)</f>
        <v/>
      </c>
      <c r="V1833" t="str">
        <f>IF(L1833="","",Q1833/'[1]LOCH Calc COE Calc'!$C$28)</f>
        <v/>
      </c>
      <c r="W1833" t="str">
        <f>IF(L1833="","",R1833/'[1]LOCH Calc COE Calc'!$C$28)</f>
        <v/>
      </c>
    </row>
    <row r="1834" spans="12:23" x14ac:dyDescent="0.25">
      <c r="L1834" s="4" t="str">
        <f>IF('[1]All Data '!BE1839="","",'[1]All Data '!BE1839)</f>
        <v/>
      </c>
      <c r="M1834" t="str">
        <f>IF('[1]All Data '!BF1839="","",'[1]All Data '!BF1839)</f>
        <v/>
      </c>
      <c r="N1834" s="5" t="str">
        <f>IF('[1]All Data '!BB1839="","",'[1]All Data '!BC1839/'[1]All Data '!BH1839)</f>
        <v/>
      </c>
      <c r="O1834" s="5" t="str">
        <f t="shared" si="30"/>
        <v/>
      </c>
      <c r="P1834" s="5" t="str">
        <f>IF(M1834="","",$C$2*(1-L1834)*907.2/0.621371*N1834*[1]Transportation!$M$40)</f>
        <v/>
      </c>
      <c r="Q1834" s="5" t="str">
        <f>IF(L1834="","",IF([1]Inputs_Outputs!$B$5="Herbaceous",(LCA!$E$29*'[1]LOCH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4" s="5" t="str">
        <f>IF(M1834="","",$E$2*1000*'[1]LOCH Calc COE Calc'!$C$44)</f>
        <v/>
      </c>
      <c r="S1834" s="6" t="str">
        <f>IF(N1834="","",SUM(O1834:R1834)/('[1]LOCH Calc COE Calc'!$C$28))</f>
        <v/>
      </c>
      <c r="T1834" t="str">
        <f>IF(L1834="","",O1834/'[1]LOCH Calc COE Calc'!$C$28)</f>
        <v/>
      </c>
      <c r="U1834" t="str">
        <f>IF(L1834="","",P1834/'[1]LOCH Calc COE Calc'!$C$28)</f>
        <v/>
      </c>
      <c r="V1834" t="str">
        <f>IF(L1834="","",Q1834/'[1]LOCH Calc COE Calc'!$C$28)</f>
        <v/>
      </c>
      <c r="W1834" t="str">
        <f>IF(L1834="","",R1834/'[1]LOCH Calc COE Calc'!$C$28)</f>
        <v/>
      </c>
    </row>
    <row r="1835" spans="12:23" x14ac:dyDescent="0.25">
      <c r="L1835" s="4" t="str">
        <f>IF('[1]All Data '!BE1840="","",'[1]All Data '!BE1840)</f>
        <v/>
      </c>
      <c r="M1835" t="str">
        <f>IF('[1]All Data '!BF1840="","",'[1]All Data '!BF1840)</f>
        <v/>
      </c>
      <c r="N1835" s="5" t="str">
        <f>IF('[1]All Data '!BB1840="","",'[1]All Data '!BC1840/'[1]All Data '!BH1840)</f>
        <v/>
      </c>
      <c r="O1835" s="5" t="str">
        <f t="shared" si="30"/>
        <v/>
      </c>
      <c r="P1835" s="5" t="str">
        <f>IF(M1835="","",$C$2*(1-L1835)*907.2/0.621371*N1835*[1]Transportation!$M$40)</f>
        <v/>
      </c>
      <c r="Q1835" s="5" t="str">
        <f>IF(L1835="","",IF([1]Inputs_Outputs!$B$5="Herbaceous",(LCA!$E$29*'[1]LOCH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5" s="5" t="str">
        <f>IF(M1835="","",$E$2*1000*'[1]LOCH Calc COE Calc'!$C$44)</f>
        <v/>
      </c>
      <c r="S1835" s="6" t="str">
        <f>IF(N1835="","",SUM(O1835:R1835)/('[1]LOCH Calc COE Calc'!$C$28))</f>
        <v/>
      </c>
      <c r="T1835" t="str">
        <f>IF(L1835="","",O1835/'[1]LOCH Calc COE Calc'!$C$28)</f>
        <v/>
      </c>
      <c r="U1835" t="str">
        <f>IF(L1835="","",P1835/'[1]LOCH Calc COE Calc'!$C$28)</f>
        <v/>
      </c>
      <c r="V1835" t="str">
        <f>IF(L1835="","",Q1835/'[1]LOCH Calc COE Calc'!$C$28)</f>
        <v/>
      </c>
      <c r="W1835" t="str">
        <f>IF(L1835="","",R1835/'[1]LOCH Calc COE Calc'!$C$28)</f>
        <v/>
      </c>
    </row>
    <row r="1836" spans="12:23" x14ac:dyDescent="0.25">
      <c r="L1836" s="4" t="str">
        <f>IF('[1]All Data '!BE1841="","",'[1]All Data '!BE1841)</f>
        <v/>
      </c>
      <c r="M1836" t="str">
        <f>IF('[1]All Data '!BF1841="","",'[1]All Data '!BF1841)</f>
        <v/>
      </c>
      <c r="N1836" s="5" t="str">
        <f>IF('[1]All Data '!BB1841="","",'[1]All Data '!BC1841/'[1]All Data '!BH1841)</f>
        <v/>
      </c>
      <c r="O1836" s="5" t="str">
        <f t="shared" si="30"/>
        <v/>
      </c>
      <c r="P1836" s="5" t="str">
        <f>IF(M1836="","",$C$2*(1-L1836)*907.2/0.621371*N1836*[1]Transportation!$M$40)</f>
        <v/>
      </c>
      <c r="Q1836" s="5" t="str">
        <f>IF(L1836="","",IF([1]Inputs_Outputs!$B$5="Herbaceous",(LCA!$E$29*'[1]LOCH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6" s="5" t="str">
        <f>IF(M1836="","",$E$2*1000*'[1]LOCH Calc COE Calc'!$C$44)</f>
        <v/>
      </c>
      <c r="S1836" s="6" t="str">
        <f>IF(N1836="","",SUM(O1836:R1836)/('[1]LOCH Calc COE Calc'!$C$28))</f>
        <v/>
      </c>
      <c r="T1836" t="str">
        <f>IF(L1836="","",O1836/'[1]LOCH Calc COE Calc'!$C$28)</f>
        <v/>
      </c>
      <c r="U1836" t="str">
        <f>IF(L1836="","",P1836/'[1]LOCH Calc COE Calc'!$C$28)</f>
        <v/>
      </c>
      <c r="V1836" t="str">
        <f>IF(L1836="","",Q1836/'[1]LOCH Calc COE Calc'!$C$28)</f>
        <v/>
      </c>
      <c r="W1836" t="str">
        <f>IF(L1836="","",R1836/'[1]LOCH Calc COE Calc'!$C$28)</f>
        <v/>
      </c>
    </row>
    <row r="1837" spans="12:23" x14ac:dyDescent="0.25">
      <c r="L1837" s="4" t="str">
        <f>IF('[1]All Data '!BE1842="","",'[1]All Data '!BE1842)</f>
        <v/>
      </c>
      <c r="M1837" t="str">
        <f>IF('[1]All Data '!BF1842="","",'[1]All Data '!BF1842)</f>
        <v/>
      </c>
      <c r="N1837" s="5" t="str">
        <f>IF('[1]All Data '!BB1842="","",'[1]All Data '!BC1842/'[1]All Data '!BH1842)</f>
        <v/>
      </c>
      <c r="O1837" s="5" t="str">
        <f t="shared" si="30"/>
        <v/>
      </c>
      <c r="P1837" s="5" t="str">
        <f>IF(M1837="","",$C$2*(1-L1837)*907.2/0.621371*N1837*[1]Transportation!$M$40)</f>
        <v/>
      </c>
      <c r="Q1837" s="5" t="str">
        <f>IF(L1837="","",IF([1]Inputs_Outputs!$B$5="Herbaceous",(LCA!$E$29*'[1]LOCH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7" s="5" t="str">
        <f>IF(M1837="","",$E$2*1000*'[1]LOCH Calc COE Calc'!$C$44)</f>
        <v/>
      </c>
      <c r="S1837" s="6" t="str">
        <f>IF(N1837="","",SUM(O1837:R1837)/('[1]LOCH Calc COE Calc'!$C$28))</f>
        <v/>
      </c>
      <c r="T1837" t="str">
        <f>IF(L1837="","",O1837/'[1]LOCH Calc COE Calc'!$C$28)</f>
        <v/>
      </c>
      <c r="U1837" t="str">
        <f>IF(L1837="","",P1837/'[1]LOCH Calc COE Calc'!$C$28)</f>
        <v/>
      </c>
      <c r="V1837" t="str">
        <f>IF(L1837="","",Q1837/'[1]LOCH Calc COE Calc'!$C$28)</f>
        <v/>
      </c>
      <c r="W1837" t="str">
        <f>IF(L1837="","",R1837/'[1]LOCH Calc COE Calc'!$C$28)</f>
        <v/>
      </c>
    </row>
    <row r="1838" spans="12:23" x14ac:dyDescent="0.25">
      <c r="L1838" s="4" t="str">
        <f>IF('[1]All Data '!BE1843="","",'[1]All Data '!BE1843)</f>
        <v/>
      </c>
      <c r="M1838" t="str">
        <f>IF('[1]All Data '!BF1843="","",'[1]All Data '!BF1843)</f>
        <v/>
      </c>
      <c r="N1838" s="5" t="str">
        <f>IF('[1]All Data '!BB1843="","",'[1]All Data '!BC1843/'[1]All Data '!BH1843)</f>
        <v/>
      </c>
      <c r="O1838" s="5" t="str">
        <f t="shared" si="30"/>
        <v/>
      </c>
      <c r="P1838" s="5" t="str">
        <f>IF(M1838="","",$C$2*(1-L1838)*907.2/0.621371*N1838*[1]Transportation!$M$40)</f>
        <v/>
      </c>
      <c r="Q1838" s="5" t="str">
        <f>IF(L1838="","",IF([1]Inputs_Outputs!$B$5="Herbaceous",(LCA!$E$29*'[1]LOCH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8" s="5" t="str">
        <f>IF(M1838="","",$E$2*1000*'[1]LOCH Calc COE Calc'!$C$44)</f>
        <v/>
      </c>
      <c r="S1838" s="6" t="str">
        <f>IF(N1838="","",SUM(O1838:R1838)/('[1]LOCH Calc COE Calc'!$C$28))</f>
        <v/>
      </c>
      <c r="T1838" t="str">
        <f>IF(L1838="","",O1838/'[1]LOCH Calc COE Calc'!$C$28)</f>
        <v/>
      </c>
      <c r="U1838" t="str">
        <f>IF(L1838="","",P1838/'[1]LOCH Calc COE Calc'!$C$28)</f>
        <v/>
      </c>
      <c r="V1838" t="str">
        <f>IF(L1838="","",Q1838/'[1]LOCH Calc COE Calc'!$C$28)</f>
        <v/>
      </c>
      <c r="W1838" t="str">
        <f>IF(L1838="","",R1838/'[1]LOCH Calc COE Calc'!$C$28)</f>
        <v/>
      </c>
    </row>
    <row r="1839" spans="12:23" x14ac:dyDescent="0.25">
      <c r="L1839" s="4" t="str">
        <f>IF('[1]All Data '!BE1844="","",'[1]All Data '!BE1844)</f>
        <v/>
      </c>
      <c r="M1839" t="str">
        <f>IF('[1]All Data '!BF1844="","",'[1]All Data '!BF1844)</f>
        <v/>
      </c>
      <c r="N1839" s="5" t="str">
        <f>IF('[1]All Data '!BB1844="","",'[1]All Data '!BC1844/'[1]All Data '!BH1844)</f>
        <v/>
      </c>
      <c r="O1839" s="5" t="str">
        <f t="shared" si="30"/>
        <v/>
      </c>
      <c r="P1839" s="5" t="str">
        <f>IF(M1839="","",$C$2*(1-L1839)*907.2/0.621371*N1839*[1]Transportation!$M$40)</f>
        <v/>
      </c>
      <c r="Q1839" s="5" t="str">
        <f>IF(L1839="","",IF([1]Inputs_Outputs!$B$5="Herbaceous",(LCA!$E$29*'[1]LOCH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39" s="5" t="str">
        <f>IF(M1839="","",$E$2*1000*'[1]LOCH Calc COE Calc'!$C$44)</f>
        <v/>
      </c>
      <c r="S1839" s="6" t="str">
        <f>IF(N1839="","",SUM(O1839:R1839)/('[1]LOCH Calc COE Calc'!$C$28))</f>
        <v/>
      </c>
      <c r="T1839" t="str">
        <f>IF(L1839="","",O1839/'[1]LOCH Calc COE Calc'!$C$28)</f>
        <v/>
      </c>
      <c r="U1839" t="str">
        <f>IF(L1839="","",P1839/'[1]LOCH Calc COE Calc'!$C$28)</f>
        <v/>
      </c>
      <c r="V1839" t="str">
        <f>IF(L1839="","",Q1839/'[1]LOCH Calc COE Calc'!$C$28)</f>
        <v/>
      </c>
      <c r="W1839" t="str">
        <f>IF(L1839="","",R1839/'[1]LOCH Calc COE Calc'!$C$28)</f>
        <v/>
      </c>
    </row>
    <row r="1840" spans="12:23" x14ac:dyDescent="0.25">
      <c r="L1840" s="4" t="str">
        <f>IF('[1]All Data '!BE1845="","",'[1]All Data '!BE1845)</f>
        <v/>
      </c>
      <c r="M1840" t="str">
        <f>IF('[1]All Data '!BF1845="","",'[1]All Data '!BF1845)</f>
        <v/>
      </c>
      <c r="N1840" s="5" t="str">
        <f>IF('[1]All Data '!BB1845="","",'[1]All Data '!BC1845/'[1]All Data '!BH1845)</f>
        <v/>
      </c>
      <c r="O1840" s="5" t="str">
        <f t="shared" si="30"/>
        <v/>
      </c>
      <c r="P1840" s="5" t="str">
        <f>IF(M1840="","",$C$2*(1-L1840)*907.2/0.621371*N1840*[1]Transportation!$M$40)</f>
        <v/>
      </c>
      <c r="Q1840" s="5" t="str">
        <f>IF(L1840="","",IF([1]Inputs_Outputs!$B$5="Herbaceous",(LCA!$E$29*'[1]LOCH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0" s="5" t="str">
        <f>IF(M1840="","",$E$2*1000*'[1]LOCH Calc COE Calc'!$C$44)</f>
        <v/>
      </c>
      <c r="S1840" s="6" t="str">
        <f>IF(N1840="","",SUM(O1840:R1840)/('[1]LOCH Calc COE Calc'!$C$28))</f>
        <v/>
      </c>
      <c r="T1840" t="str">
        <f>IF(L1840="","",O1840/'[1]LOCH Calc COE Calc'!$C$28)</f>
        <v/>
      </c>
      <c r="U1840" t="str">
        <f>IF(L1840="","",P1840/'[1]LOCH Calc COE Calc'!$C$28)</f>
        <v/>
      </c>
      <c r="V1840" t="str">
        <f>IF(L1840="","",Q1840/'[1]LOCH Calc COE Calc'!$C$28)</f>
        <v/>
      </c>
      <c r="W1840" t="str">
        <f>IF(L1840="","",R1840/'[1]LOCH Calc COE Calc'!$C$28)</f>
        <v/>
      </c>
    </row>
    <row r="1841" spans="12:23" x14ac:dyDescent="0.25">
      <c r="L1841" s="4" t="str">
        <f>IF('[1]All Data '!BE1846="","",'[1]All Data '!BE1846)</f>
        <v/>
      </c>
      <c r="M1841" t="str">
        <f>IF('[1]All Data '!BF1846="","",'[1]All Data '!BF1846)</f>
        <v/>
      </c>
      <c r="N1841" s="5" t="str">
        <f>IF('[1]All Data '!BB1846="","",'[1]All Data '!BC1846/'[1]All Data '!BH1846)</f>
        <v/>
      </c>
      <c r="O1841" s="5" t="str">
        <f t="shared" si="30"/>
        <v/>
      </c>
      <c r="P1841" s="5" t="str">
        <f>IF(M1841="","",$C$2*(1-L1841)*907.2/0.621371*N1841*[1]Transportation!$M$40)</f>
        <v/>
      </c>
      <c r="Q1841" s="5" t="str">
        <f>IF(L1841="","",IF([1]Inputs_Outputs!$B$5="Herbaceous",(LCA!$E$29*'[1]LOCH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1" s="5" t="str">
        <f>IF(M1841="","",$E$2*1000*'[1]LOCH Calc COE Calc'!$C$44)</f>
        <v/>
      </c>
      <c r="S1841" s="6" t="str">
        <f>IF(N1841="","",SUM(O1841:R1841)/('[1]LOCH Calc COE Calc'!$C$28))</f>
        <v/>
      </c>
      <c r="T1841" t="str">
        <f>IF(L1841="","",O1841/'[1]LOCH Calc COE Calc'!$C$28)</f>
        <v/>
      </c>
      <c r="U1841" t="str">
        <f>IF(L1841="","",P1841/'[1]LOCH Calc COE Calc'!$C$28)</f>
        <v/>
      </c>
      <c r="V1841" t="str">
        <f>IF(L1841="","",Q1841/'[1]LOCH Calc COE Calc'!$C$28)</f>
        <v/>
      </c>
      <c r="W1841" t="str">
        <f>IF(L1841="","",R1841/'[1]LOCH Calc COE Calc'!$C$28)</f>
        <v/>
      </c>
    </row>
    <row r="1842" spans="12:23" x14ac:dyDescent="0.25">
      <c r="L1842" s="4" t="str">
        <f>IF('[1]All Data '!BE1847="","",'[1]All Data '!BE1847)</f>
        <v/>
      </c>
      <c r="M1842" t="str">
        <f>IF('[1]All Data '!BF1847="","",'[1]All Data '!BF1847)</f>
        <v/>
      </c>
      <c r="N1842" s="5" t="str">
        <f>IF('[1]All Data '!BB1847="","",'[1]All Data '!BC1847/'[1]All Data '!BH1847)</f>
        <v/>
      </c>
      <c r="O1842" s="5" t="str">
        <f t="shared" si="30"/>
        <v/>
      </c>
      <c r="P1842" s="5" t="str">
        <f>IF(M1842="","",$C$2*(1-L1842)*907.2/0.621371*N1842*[1]Transportation!$M$40)</f>
        <v/>
      </c>
      <c r="Q1842" s="5" t="str">
        <f>IF(L1842="","",IF([1]Inputs_Outputs!$B$5="Herbaceous",(LCA!$E$29*'[1]LOCH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2" s="5" t="str">
        <f>IF(M1842="","",$E$2*1000*'[1]LOCH Calc COE Calc'!$C$44)</f>
        <v/>
      </c>
      <c r="S1842" s="6" t="str">
        <f>IF(N1842="","",SUM(O1842:R1842)/('[1]LOCH Calc COE Calc'!$C$28))</f>
        <v/>
      </c>
      <c r="T1842" t="str">
        <f>IF(L1842="","",O1842/'[1]LOCH Calc COE Calc'!$C$28)</f>
        <v/>
      </c>
      <c r="U1842" t="str">
        <f>IF(L1842="","",P1842/'[1]LOCH Calc COE Calc'!$C$28)</f>
        <v/>
      </c>
      <c r="V1842" t="str">
        <f>IF(L1842="","",Q1842/'[1]LOCH Calc COE Calc'!$C$28)</f>
        <v/>
      </c>
      <c r="W1842" t="str">
        <f>IF(L1842="","",R1842/'[1]LOCH Calc COE Calc'!$C$28)</f>
        <v/>
      </c>
    </row>
    <row r="1843" spans="12:23" x14ac:dyDescent="0.25">
      <c r="L1843" s="4" t="str">
        <f>IF('[1]All Data '!BE1848="","",'[1]All Data '!BE1848)</f>
        <v/>
      </c>
      <c r="M1843" t="str">
        <f>IF('[1]All Data '!BF1848="","",'[1]All Data '!BF1848)</f>
        <v/>
      </c>
      <c r="N1843" s="5" t="str">
        <f>IF('[1]All Data '!BB1848="","",'[1]All Data '!BC1848/'[1]All Data '!BH1848)</f>
        <v/>
      </c>
      <c r="O1843" s="5" t="str">
        <f t="shared" si="30"/>
        <v/>
      </c>
      <c r="P1843" s="5" t="str">
        <f>IF(M1843="","",$C$2*(1-L1843)*907.2/0.621371*N1843*[1]Transportation!$M$40)</f>
        <v/>
      </c>
      <c r="Q1843" s="5" t="str">
        <f>IF(L1843="","",IF([1]Inputs_Outputs!$B$5="Herbaceous",(LCA!$E$29*'[1]LOCH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3" s="5" t="str">
        <f>IF(M1843="","",$E$2*1000*'[1]LOCH Calc COE Calc'!$C$44)</f>
        <v/>
      </c>
      <c r="S1843" s="6" t="str">
        <f>IF(N1843="","",SUM(O1843:R1843)/('[1]LOCH Calc COE Calc'!$C$28))</f>
        <v/>
      </c>
      <c r="T1843" t="str">
        <f>IF(L1843="","",O1843/'[1]LOCH Calc COE Calc'!$C$28)</f>
        <v/>
      </c>
      <c r="U1843" t="str">
        <f>IF(L1843="","",P1843/'[1]LOCH Calc COE Calc'!$C$28)</f>
        <v/>
      </c>
      <c r="V1843" t="str">
        <f>IF(L1843="","",Q1843/'[1]LOCH Calc COE Calc'!$C$28)</f>
        <v/>
      </c>
      <c r="W1843" t="str">
        <f>IF(L1843="","",R1843/'[1]LOCH Calc COE Calc'!$C$28)</f>
        <v/>
      </c>
    </row>
    <row r="1844" spans="12:23" x14ac:dyDescent="0.25">
      <c r="L1844" s="4" t="str">
        <f>IF('[1]All Data '!BE1849="","",'[1]All Data '!BE1849)</f>
        <v/>
      </c>
      <c r="M1844" t="str">
        <f>IF('[1]All Data '!BF1849="","",'[1]All Data '!BF1849)</f>
        <v/>
      </c>
      <c r="N1844" s="5" t="str">
        <f>IF('[1]All Data '!BB1849="","",'[1]All Data '!BC1849/'[1]All Data '!BH1849)</f>
        <v/>
      </c>
      <c r="O1844" s="5" t="str">
        <f t="shared" si="30"/>
        <v/>
      </c>
      <c r="P1844" s="5" t="str">
        <f>IF(M1844="","",$C$2*(1-L1844)*907.2/0.621371*N1844*[1]Transportation!$M$40)</f>
        <v/>
      </c>
      <c r="Q1844" s="5" t="str">
        <f>IF(L1844="","",IF([1]Inputs_Outputs!$B$5="Herbaceous",(LCA!$E$29*'[1]LOCH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4" s="5" t="str">
        <f>IF(M1844="","",$E$2*1000*'[1]LOCH Calc COE Calc'!$C$44)</f>
        <v/>
      </c>
      <c r="S1844" s="6" t="str">
        <f>IF(N1844="","",SUM(O1844:R1844)/('[1]LOCH Calc COE Calc'!$C$28))</f>
        <v/>
      </c>
      <c r="T1844" t="str">
        <f>IF(L1844="","",O1844/'[1]LOCH Calc COE Calc'!$C$28)</f>
        <v/>
      </c>
      <c r="U1844" t="str">
        <f>IF(L1844="","",P1844/'[1]LOCH Calc COE Calc'!$C$28)</f>
        <v/>
      </c>
      <c r="V1844" t="str">
        <f>IF(L1844="","",Q1844/'[1]LOCH Calc COE Calc'!$C$28)</f>
        <v/>
      </c>
      <c r="W1844" t="str">
        <f>IF(L1844="","",R1844/'[1]LOCH Calc COE Calc'!$C$28)</f>
        <v/>
      </c>
    </row>
    <row r="1845" spans="12:23" x14ac:dyDescent="0.25">
      <c r="L1845" s="4" t="str">
        <f>IF('[1]All Data '!BE1850="","",'[1]All Data '!BE1850)</f>
        <v/>
      </c>
      <c r="M1845" t="str">
        <f>IF('[1]All Data '!BF1850="","",'[1]All Data '!BF1850)</f>
        <v/>
      </c>
      <c r="N1845" s="5" t="str">
        <f>IF('[1]All Data '!BB1850="","",'[1]All Data '!BC1850/'[1]All Data '!BH1850)</f>
        <v/>
      </c>
      <c r="O1845" s="5" t="str">
        <f t="shared" si="30"/>
        <v/>
      </c>
      <c r="P1845" s="5" t="str">
        <f>IF(M1845="","",$C$2*(1-L1845)*907.2/0.621371*N1845*[1]Transportation!$M$40)</f>
        <v/>
      </c>
      <c r="Q1845" s="5" t="str">
        <f>IF(L1845="","",IF([1]Inputs_Outputs!$B$5="Herbaceous",(LCA!$E$29*'[1]LOCH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5" s="5" t="str">
        <f>IF(M1845="","",$E$2*1000*'[1]LOCH Calc COE Calc'!$C$44)</f>
        <v/>
      </c>
      <c r="S1845" s="6" t="str">
        <f>IF(N1845="","",SUM(O1845:R1845)/('[1]LOCH Calc COE Calc'!$C$28))</f>
        <v/>
      </c>
      <c r="T1845" t="str">
        <f>IF(L1845="","",O1845/'[1]LOCH Calc COE Calc'!$C$28)</f>
        <v/>
      </c>
      <c r="U1845" t="str">
        <f>IF(L1845="","",P1845/'[1]LOCH Calc COE Calc'!$C$28)</f>
        <v/>
      </c>
      <c r="V1845" t="str">
        <f>IF(L1845="","",Q1845/'[1]LOCH Calc COE Calc'!$C$28)</f>
        <v/>
      </c>
      <c r="W1845" t="str">
        <f>IF(L1845="","",R1845/'[1]LOCH Calc COE Calc'!$C$28)</f>
        <v/>
      </c>
    </row>
    <row r="1846" spans="12:23" x14ac:dyDescent="0.25">
      <c r="L1846" s="4" t="str">
        <f>IF('[1]All Data '!BE1851="","",'[1]All Data '!BE1851)</f>
        <v/>
      </c>
      <c r="M1846" t="str">
        <f>IF('[1]All Data '!BF1851="","",'[1]All Data '!BF1851)</f>
        <v/>
      </c>
      <c r="N1846" s="5" t="str">
        <f>IF('[1]All Data '!BB1851="","",'[1]All Data '!BC1851/'[1]All Data '!BH1851)</f>
        <v/>
      </c>
      <c r="O1846" s="5" t="str">
        <f t="shared" si="30"/>
        <v/>
      </c>
      <c r="P1846" s="5" t="str">
        <f>IF(M1846="","",$C$2*(1-L1846)*907.2/0.621371*N1846*[1]Transportation!$M$40)</f>
        <v/>
      </c>
      <c r="Q1846" s="5" t="str">
        <f>IF(L1846="","",IF([1]Inputs_Outputs!$B$5="Herbaceous",(LCA!$E$29*'[1]LOCH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6" s="5" t="str">
        <f>IF(M1846="","",$E$2*1000*'[1]LOCH Calc COE Calc'!$C$44)</f>
        <v/>
      </c>
      <c r="S1846" s="6" t="str">
        <f>IF(N1846="","",SUM(O1846:R1846)/('[1]LOCH Calc COE Calc'!$C$28))</f>
        <v/>
      </c>
      <c r="T1846" t="str">
        <f>IF(L1846="","",O1846/'[1]LOCH Calc COE Calc'!$C$28)</f>
        <v/>
      </c>
      <c r="U1846" t="str">
        <f>IF(L1846="","",P1846/'[1]LOCH Calc COE Calc'!$C$28)</f>
        <v/>
      </c>
      <c r="V1846" t="str">
        <f>IF(L1846="","",Q1846/'[1]LOCH Calc COE Calc'!$C$28)</f>
        <v/>
      </c>
      <c r="W1846" t="str">
        <f>IF(L1846="","",R1846/'[1]LOCH Calc COE Calc'!$C$28)</f>
        <v/>
      </c>
    </row>
    <row r="1847" spans="12:23" x14ac:dyDescent="0.25">
      <c r="L1847" s="4" t="str">
        <f>IF('[1]All Data '!BE1852="","",'[1]All Data '!BE1852)</f>
        <v/>
      </c>
      <c r="M1847" t="str">
        <f>IF('[1]All Data '!BF1852="","",'[1]All Data '!BF1852)</f>
        <v/>
      </c>
      <c r="N1847" s="5" t="str">
        <f>IF('[1]All Data '!BB1852="","",'[1]All Data '!BC1852/'[1]All Data '!BH1852)</f>
        <v/>
      </c>
      <c r="O1847" s="5" t="str">
        <f t="shared" si="30"/>
        <v/>
      </c>
      <c r="P1847" s="5" t="str">
        <f>IF(M1847="","",$C$2*(1-L1847)*907.2/0.621371*N1847*[1]Transportation!$M$40)</f>
        <v/>
      </c>
      <c r="Q1847" s="5" t="str">
        <f>IF(L1847="","",IF([1]Inputs_Outputs!$B$5="Herbaceous",(LCA!$E$29*'[1]LOCH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7" s="5" t="str">
        <f>IF(M1847="","",$E$2*1000*'[1]LOCH Calc COE Calc'!$C$44)</f>
        <v/>
      </c>
      <c r="S1847" s="6" t="str">
        <f>IF(N1847="","",SUM(O1847:R1847)/('[1]LOCH Calc COE Calc'!$C$28))</f>
        <v/>
      </c>
      <c r="T1847" t="str">
        <f>IF(L1847="","",O1847/'[1]LOCH Calc COE Calc'!$C$28)</f>
        <v/>
      </c>
      <c r="U1847" t="str">
        <f>IF(L1847="","",P1847/'[1]LOCH Calc COE Calc'!$C$28)</f>
        <v/>
      </c>
      <c r="V1847" t="str">
        <f>IF(L1847="","",Q1847/'[1]LOCH Calc COE Calc'!$C$28)</f>
        <v/>
      </c>
      <c r="W1847" t="str">
        <f>IF(L1847="","",R1847/'[1]LOCH Calc COE Calc'!$C$28)</f>
        <v/>
      </c>
    </row>
    <row r="1848" spans="12:23" x14ac:dyDescent="0.25">
      <c r="L1848" s="4" t="str">
        <f>IF('[1]All Data '!BE1853="","",'[1]All Data '!BE1853)</f>
        <v/>
      </c>
      <c r="M1848" t="str">
        <f>IF('[1]All Data '!BF1853="","",'[1]All Data '!BF1853)</f>
        <v/>
      </c>
      <c r="N1848" s="5" t="str">
        <f>IF('[1]All Data '!BB1853="","",'[1]All Data '!BC1853/'[1]All Data '!BH1853)</f>
        <v/>
      </c>
      <c r="O1848" s="5" t="str">
        <f t="shared" si="30"/>
        <v/>
      </c>
      <c r="P1848" s="5" t="str">
        <f>IF(M1848="","",$C$2*(1-L1848)*907.2/0.621371*N1848*[1]Transportation!$M$40)</f>
        <v/>
      </c>
      <c r="Q1848" s="5" t="str">
        <f>IF(L1848="","",IF([1]Inputs_Outputs!$B$5="Herbaceous",(LCA!$E$29*'[1]LOCH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8" s="5" t="str">
        <f>IF(M1848="","",$E$2*1000*'[1]LOCH Calc COE Calc'!$C$44)</f>
        <v/>
      </c>
      <c r="S1848" s="6" t="str">
        <f>IF(N1848="","",SUM(O1848:R1848)/('[1]LOCH Calc COE Calc'!$C$28))</f>
        <v/>
      </c>
      <c r="T1848" t="str">
        <f>IF(L1848="","",O1848/'[1]LOCH Calc COE Calc'!$C$28)</f>
        <v/>
      </c>
      <c r="U1848" t="str">
        <f>IF(L1848="","",P1848/'[1]LOCH Calc COE Calc'!$C$28)</f>
        <v/>
      </c>
      <c r="V1848" t="str">
        <f>IF(L1848="","",Q1848/'[1]LOCH Calc COE Calc'!$C$28)</f>
        <v/>
      </c>
      <c r="W1848" t="str">
        <f>IF(L1848="","",R1848/'[1]LOCH Calc COE Calc'!$C$28)</f>
        <v/>
      </c>
    </row>
    <row r="1849" spans="12:23" x14ac:dyDescent="0.25">
      <c r="L1849" s="4" t="str">
        <f>IF('[1]All Data '!BE1854="","",'[1]All Data '!BE1854)</f>
        <v/>
      </c>
      <c r="M1849" t="str">
        <f>IF('[1]All Data '!BF1854="","",'[1]All Data '!BF1854)</f>
        <v/>
      </c>
      <c r="N1849" s="5" t="str">
        <f>IF('[1]All Data '!BB1854="","",'[1]All Data '!BC1854/'[1]All Data '!BH1854)</f>
        <v/>
      </c>
      <c r="O1849" s="5" t="str">
        <f t="shared" si="30"/>
        <v/>
      </c>
      <c r="P1849" s="5" t="str">
        <f>IF(M1849="","",$C$2*(1-L1849)*907.2/0.621371*N1849*[1]Transportation!$M$40)</f>
        <v/>
      </c>
      <c r="Q1849" s="5" t="str">
        <f>IF(L1849="","",IF([1]Inputs_Outputs!$B$5="Herbaceous",(LCA!$E$29*'[1]LOCH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49" s="5" t="str">
        <f>IF(M1849="","",$E$2*1000*'[1]LOCH Calc COE Calc'!$C$44)</f>
        <v/>
      </c>
      <c r="S1849" s="6" t="str">
        <f>IF(N1849="","",SUM(O1849:R1849)/('[1]LOCH Calc COE Calc'!$C$28))</f>
        <v/>
      </c>
      <c r="T1849" t="str">
        <f>IF(L1849="","",O1849/'[1]LOCH Calc COE Calc'!$C$28)</f>
        <v/>
      </c>
      <c r="U1849" t="str">
        <f>IF(L1849="","",P1849/'[1]LOCH Calc COE Calc'!$C$28)</f>
        <v/>
      </c>
      <c r="V1849" t="str">
        <f>IF(L1849="","",Q1849/'[1]LOCH Calc COE Calc'!$C$28)</f>
        <v/>
      </c>
      <c r="W1849" t="str">
        <f>IF(L1849="","",R1849/'[1]LOCH Calc COE Calc'!$C$28)</f>
        <v/>
      </c>
    </row>
    <row r="1850" spans="12:23" x14ac:dyDescent="0.25">
      <c r="L1850" s="4" t="str">
        <f>IF('[1]All Data '!BE1855="","",'[1]All Data '!BE1855)</f>
        <v/>
      </c>
      <c r="M1850" t="str">
        <f>IF('[1]All Data '!BF1855="","",'[1]All Data '!BF1855)</f>
        <v/>
      </c>
      <c r="N1850" s="5" t="str">
        <f>IF('[1]All Data '!BB1855="","",'[1]All Data '!BC1855/'[1]All Data '!BH1855)</f>
        <v/>
      </c>
      <c r="O1850" s="5" t="str">
        <f t="shared" si="30"/>
        <v/>
      </c>
      <c r="P1850" s="5" t="str">
        <f>IF(M1850="","",$C$2*(1-L1850)*907.2/0.621371*N1850*[1]Transportation!$M$40)</f>
        <v/>
      </c>
      <c r="Q1850" s="5" t="str">
        <f>IF(L1850="","",IF([1]Inputs_Outputs!$B$5="Herbaceous",(LCA!$E$29*'[1]LOCH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0" s="5" t="str">
        <f>IF(M1850="","",$E$2*1000*'[1]LOCH Calc COE Calc'!$C$44)</f>
        <v/>
      </c>
      <c r="S1850" s="6" t="str">
        <f>IF(N1850="","",SUM(O1850:R1850)/('[1]LOCH Calc COE Calc'!$C$28))</f>
        <v/>
      </c>
      <c r="T1850" t="str">
        <f>IF(L1850="","",O1850/'[1]LOCH Calc COE Calc'!$C$28)</f>
        <v/>
      </c>
      <c r="U1850" t="str">
        <f>IF(L1850="","",P1850/'[1]LOCH Calc COE Calc'!$C$28)</f>
        <v/>
      </c>
      <c r="V1850" t="str">
        <f>IF(L1850="","",Q1850/'[1]LOCH Calc COE Calc'!$C$28)</f>
        <v/>
      </c>
      <c r="W1850" t="str">
        <f>IF(L1850="","",R1850/'[1]LOCH Calc COE Calc'!$C$28)</f>
        <v/>
      </c>
    </row>
    <row r="1851" spans="12:23" x14ac:dyDescent="0.25">
      <c r="L1851" s="4" t="str">
        <f>IF('[1]All Data '!BE1856="","",'[1]All Data '!BE1856)</f>
        <v/>
      </c>
      <c r="M1851" t="str">
        <f>IF('[1]All Data '!BF1856="","",'[1]All Data '!BF1856)</f>
        <v/>
      </c>
      <c r="N1851" s="5" t="str">
        <f>IF('[1]All Data '!BB1856="","",'[1]All Data '!BC1856/'[1]All Data '!BH1856)</f>
        <v/>
      </c>
      <c r="O1851" s="5" t="str">
        <f t="shared" si="30"/>
        <v/>
      </c>
      <c r="P1851" s="5" t="str">
        <f>IF(M1851="","",$C$2*(1-L1851)*907.2/0.621371*N1851*[1]Transportation!$M$40)</f>
        <v/>
      </c>
      <c r="Q1851" s="5" t="str">
        <f>IF(L1851="","",IF([1]Inputs_Outputs!$B$5="Herbaceous",(LCA!$E$29*'[1]LOCH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1" s="5" t="str">
        <f>IF(M1851="","",$E$2*1000*'[1]LOCH Calc COE Calc'!$C$44)</f>
        <v/>
      </c>
      <c r="S1851" s="6" t="str">
        <f>IF(N1851="","",SUM(O1851:R1851)/('[1]LOCH Calc COE Calc'!$C$28))</f>
        <v/>
      </c>
      <c r="T1851" t="str">
        <f>IF(L1851="","",O1851/'[1]LOCH Calc COE Calc'!$C$28)</f>
        <v/>
      </c>
      <c r="U1851" t="str">
        <f>IF(L1851="","",P1851/'[1]LOCH Calc COE Calc'!$C$28)</f>
        <v/>
      </c>
      <c r="V1851" t="str">
        <f>IF(L1851="","",Q1851/'[1]LOCH Calc COE Calc'!$C$28)</f>
        <v/>
      </c>
      <c r="W1851" t="str">
        <f>IF(L1851="","",R1851/'[1]LOCH Calc COE Calc'!$C$28)</f>
        <v/>
      </c>
    </row>
    <row r="1852" spans="12:23" x14ac:dyDescent="0.25">
      <c r="L1852" s="4" t="str">
        <f>IF('[1]All Data '!BE1857="","",'[1]All Data '!BE1857)</f>
        <v/>
      </c>
      <c r="M1852" t="str">
        <f>IF('[1]All Data '!BF1857="","",'[1]All Data '!BF1857)</f>
        <v/>
      </c>
      <c r="N1852" s="5" t="str">
        <f>IF('[1]All Data '!BB1857="","",'[1]All Data '!BC1857/'[1]All Data '!BH1857)</f>
        <v/>
      </c>
      <c r="O1852" s="5" t="str">
        <f t="shared" si="30"/>
        <v/>
      </c>
      <c r="P1852" s="5" t="str">
        <f>IF(M1852="","",$C$2*(1-L1852)*907.2/0.621371*N1852*[1]Transportation!$M$40)</f>
        <v/>
      </c>
      <c r="Q1852" s="5" t="str">
        <f>IF(L1852="","",IF([1]Inputs_Outputs!$B$5="Herbaceous",(LCA!$E$29*'[1]LOCH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2" s="5" t="str">
        <f>IF(M1852="","",$E$2*1000*'[1]LOCH Calc COE Calc'!$C$44)</f>
        <v/>
      </c>
      <c r="S1852" s="6" t="str">
        <f>IF(N1852="","",SUM(O1852:R1852)/('[1]LOCH Calc COE Calc'!$C$28))</f>
        <v/>
      </c>
      <c r="T1852" t="str">
        <f>IF(L1852="","",O1852/'[1]LOCH Calc COE Calc'!$C$28)</f>
        <v/>
      </c>
      <c r="U1852" t="str">
        <f>IF(L1852="","",P1852/'[1]LOCH Calc COE Calc'!$C$28)</f>
        <v/>
      </c>
      <c r="V1852" t="str">
        <f>IF(L1852="","",Q1852/'[1]LOCH Calc COE Calc'!$C$28)</f>
        <v/>
      </c>
      <c r="W1852" t="str">
        <f>IF(L1852="","",R1852/'[1]LOCH Calc COE Calc'!$C$28)</f>
        <v/>
      </c>
    </row>
    <row r="1853" spans="12:23" x14ac:dyDescent="0.25">
      <c r="L1853" s="4" t="str">
        <f>IF('[1]All Data '!BE1858="","",'[1]All Data '!BE1858)</f>
        <v/>
      </c>
      <c r="M1853" t="str">
        <f>IF('[1]All Data '!BF1858="","",'[1]All Data '!BF1858)</f>
        <v/>
      </c>
      <c r="N1853" s="5" t="str">
        <f>IF('[1]All Data '!BB1858="","",'[1]All Data '!BC1858/'[1]All Data '!BH1858)</f>
        <v/>
      </c>
      <c r="O1853" s="5" t="str">
        <f t="shared" si="30"/>
        <v/>
      </c>
      <c r="P1853" s="5" t="str">
        <f>IF(M1853="","",$C$2*(1-L1853)*907.2/0.621371*N1853*[1]Transportation!$M$40)</f>
        <v/>
      </c>
      <c r="Q1853" s="5" t="str">
        <f>IF(L1853="","",IF([1]Inputs_Outputs!$B$5="Herbaceous",(LCA!$E$29*'[1]LOCH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3" s="5" t="str">
        <f>IF(M1853="","",$E$2*1000*'[1]LOCH Calc COE Calc'!$C$44)</f>
        <v/>
      </c>
      <c r="S1853" s="6" t="str">
        <f>IF(N1853="","",SUM(O1853:R1853)/('[1]LOCH Calc COE Calc'!$C$28))</f>
        <v/>
      </c>
      <c r="T1853" t="str">
        <f>IF(L1853="","",O1853/'[1]LOCH Calc COE Calc'!$C$28)</f>
        <v/>
      </c>
      <c r="U1853" t="str">
        <f>IF(L1853="","",P1853/'[1]LOCH Calc COE Calc'!$C$28)</f>
        <v/>
      </c>
      <c r="V1853" t="str">
        <f>IF(L1853="","",Q1853/'[1]LOCH Calc COE Calc'!$C$28)</f>
        <v/>
      </c>
      <c r="W1853" t="str">
        <f>IF(L1853="","",R1853/'[1]LOCH Calc COE Calc'!$C$28)</f>
        <v/>
      </c>
    </row>
    <row r="1854" spans="12:23" x14ac:dyDescent="0.25">
      <c r="L1854" s="4" t="str">
        <f>IF('[1]All Data '!BE1859="","",'[1]All Data '!BE1859)</f>
        <v/>
      </c>
      <c r="M1854" t="str">
        <f>IF('[1]All Data '!BF1859="","",'[1]All Data '!BF1859)</f>
        <v/>
      </c>
      <c r="N1854" s="5" t="str">
        <f>IF('[1]All Data '!BB1859="","",'[1]All Data '!BC1859/'[1]All Data '!BH1859)</f>
        <v/>
      </c>
      <c r="O1854" s="5" t="str">
        <f t="shared" si="30"/>
        <v/>
      </c>
      <c r="P1854" s="5" t="str">
        <f>IF(M1854="","",$C$2*(1-L1854)*907.2/0.621371*N1854*[1]Transportation!$M$40)</f>
        <v/>
      </c>
      <c r="Q1854" s="5" t="str">
        <f>IF(L1854="","",IF([1]Inputs_Outputs!$B$5="Herbaceous",(LCA!$E$29*'[1]LOCH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4" s="5" t="str">
        <f>IF(M1854="","",$E$2*1000*'[1]LOCH Calc COE Calc'!$C$44)</f>
        <v/>
      </c>
      <c r="S1854" s="6" t="str">
        <f>IF(N1854="","",SUM(O1854:R1854)/('[1]LOCH Calc COE Calc'!$C$28))</f>
        <v/>
      </c>
      <c r="T1854" t="str">
        <f>IF(L1854="","",O1854/'[1]LOCH Calc COE Calc'!$C$28)</f>
        <v/>
      </c>
      <c r="U1854" t="str">
        <f>IF(L1854="","",P1854/'[1]LOCH Calc COE Calc'!$C$28)</f>
        <v/>
      </c>
      <c r="V1854" t="str">
        <f>IF(L1854="","",Q1854/'[1]LOCH Calc COE Calc'!$C$28)</f>
        <v/>
      </c>
      <c r="W1854" t="str">
        <f>IF(L1854="","",R1854/'[1]LOCH Calc COE Calc'!$C$28)</f>
        <v/>
      </c>
    </row>
    <row r="1855" spans="12:23" x14ac:dyDescent="0.25">
      <c r="L1855" s="4" t="str">
        <f>IF('[1]All Data '!BE1860="","",'[1]All Data '!BE1860)</f>
        <v/>
      </c>
      <c r="M1855" t="str">
        <f>IF('[1]All Data '!BF1860="","",'[1]All Data '!BF1860)</f>
        <v/>
      </c>
      <c r="N1855" s="5" t="str">
        <f>IF('[1]All Data '!BB1860="","",'[1]All Data '!BC1860/'[1]All Data '!BH1860)</f>
        <v/>
      </c>
      <c r="O1855" s="5" t="str">
        <f t="shared" si="30"/>
        <v/>
      </c>
      <c r="P1855" s="5" t="str">
        <f>IF(M1855="","",$C$2*(1-L1855)*907.2/0.621371*N1855*[1]Transportation!$M$40)</f>
        <v/>
      </c>
      <c r="Q1855" s="5" t="str">
        <f>IF(L1855="","",IF([1]Inputs_Outputs!$B$5="Herbaceous",(LCA!$E$29*'[1]LOCH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5" s="5" t="str">
        <f>IF(M1855="","",$E$2*1000*'[1]LOCH Calc COE Calc'!$C$44)</f>
        <v/>
      </c>
      <c r="S1855" s="6" t="str">
        <f>IF(N1855="","",SUM(O1855:R1855)/('[1]LOCH Calc COE Calc'!$C$28))</f>
        <v/>
      </c>
      <c r="T1855" t="str">
        <f>IF(L1855="","",O1855/'[1]LOCH Calc COE Calc'!$C$28)</f>
        <v/>
      </c>
      <c r="U1855" t="str">
        <f>IF(L1855="","",P1855/'[1]LOCH Calc COE Calc'!$C$28)</f>
        <v/>
      </c>
      <c r="V1855" t="str">
        <f>IF(L1855="","",Q1855/'[1]LOCH Calc COE Calc'!$C$28)</f>
        <v/>
      </c>
      <c r="W1855" t="str">
        <f>IF(L1855="","",R1855/'[1]LOCH Calc COE Calc'!$C$28)</f>
        <v/>
      </c>
    </row>
    <row r="1856" spans="12:23" x14ac:dyDescent="0.25">
      <c r="L1856" s="4" t="str">
        <f>IF('[1]All Data '!BE1861="","",'[1]All Data '!BE1861)</f>
        <v/>
      </c>
      <c r="M1856" t="str">
        <f>IF('[1]All Data '!BF1861="","",'[1]All Data '!BF1861)</f>
        <v/>
      </c>
      <c r="N1856" s="5" t="str">
        <f>IF('[1]All Data '!BB1861="","",'[1]All Data '!BC1861/'[1]All Data '!BH1861)</f>
        <v/>
      </c>
      <c r="O1856" s="5" t="str">
        <f t="shared" si="30"/>
        <v/>
      </c>
      <c r="P1856" s="5" t="str">
        <f>IF(M1856="","",$C$2*(1-L1856)*907.2/0.621371*N1856*[1]Transportation!$M$40)</f>
        <v/>
      </c>
      <c r="Q1856" s="5" t="str">
        <f>IF(L1856="","",IF([1]Inputs_Outputs!$B$5="Herbaceous",(LCA!$E$29*'[1]LOCH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6" s="5" t="str">
        <f>IF(M1856="","",$E$2*1000*'[1]LOCH Calc COE Calc'!$C$44)</f>
        <v/>
      </c>
      <c r="S1856" s="6" t="str">
        <f>IF(N1856="","",SUM(O1856:R1856)/('[1]LOCH Calc COE Calc'!$C$28))</f>
        <v/>
      </c>
      <c r="T1856" t="str">
        <f>IF(L1856="","",O1856/'[1]LOCH Calc COE Calc'!$C$28)</f>
        <v/>
      </c>
      <c r="U1856" t="str">
        <f>IF(L1856="","",P1856/'[1]LOCH Calc COE Calc'!$C$28)</f>
        <v/>
      </c>
      <c r="V1856" t="str">
        <f>IF(L1856="","",Q1856/'[1]LOCH Calc COE Calc'!$C$28)</f>
        <v/>
      </c>
      <c r="W1856" t="str">
        <f>IF(L1856="","",R1856/'[1]LOCH Calc COE Calc'!$C$28)</f>
        <v/>
      </c>
    </row>
    <row r="1857" spans="12:23" x14ac:dyDescent="0.25">
      <c r="L1857" s="4" t="str">
        <f>IF('[1]All Data '!BE1862="","",'[1]All Data '!BE1862)</f>
        <v/>
      </c>
      <c r="M1857" t="str">
        <f>IF('[1]All Data '!BF1862="","",'[1]All Data '!BF1862)</f>
        <v/>
      </c>
      <c r="N1857" s="5" t="str">
        <f>IF('[1]All Data '!BB1862="","",'[1]All Data '!BC1862/'[1]All Data '!BH1862)</f>
        <v/>
      </c>
      <c r="O1857" s="5" t="str">
        <f t="shared" si="30"/>
        <v/>
      </c>
      <c r="P1857" s="5" t="str">
        <f>IF(M1857="","",$C$2*(1-L1857)*907.2/0.621371*N1857*[1]Transportation!$M$40)</f>
        <v/>
      </c>
      <c r="Q1857" s="5" t="str">
        <f>IF(L1857="","",IF([1]Inputs_Outputs!$B$5="Herbaceous",(LCA!$E$29*'[1]LOCH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7" s="5" t="str">
        <f>IF(M1857="","",$E$2*1000*'[1]LOCH Calc COE Calc'!$C$44)</f>
        <v/>
      </c>
      <c r="S1857" s="6" t="str">
        <f>IF(N1857="","",SUM(O1857:R1857)/('[1]LOCH Calc COE Calc'!$C$28))</f>
        <v/>
      </c>
      <c r="T1857" t="str">
        <f>IF(L1857="","",O1857/'[1]LOCH Calc COE Calc'!$C$28)</f>
        <v/>
      </c>
      <c r="U1857" t="str">
        <f>IF(L1857="","",P1857/'[1]LOCH Calc COE Calc'!$C$28)</f>
        <v/>
      </c>
      <c r="V1857" t="str">
        <f>IF(L1857="","",Q1857/'[1]LOCH Calc COE Calc'!$C$28)</f>
        <v/>
      </c>
      <c r="W1857" t="str">
        <f>IF(L1857="","",R1857/'[1]LOCH Calc COE Calc'!$C$28)</f>
        <v/>
      </c>
    </row>
    <row r="1858" spans="12:23" x14ac:dyDescent="0.25">
      <c r="L1858" s="4" t="str">
        <f>IF('[1]All Data '!BE1863="","",'[1]All Data '!BE1863)</f>
        <v/>
      </c>
      <c r="M1858" t="str">
        <f>IF('[1]All Data '!BF1863="","",'[1]All Data '!BF1863)</f>
        <v/>
      </c>
      <c r="N1858" s="5" t="str">
        <f>IF('[1]All Data '!BB1863="","",'[1]All Data '!BC1863/'[1]All Data '!BH1863)</f>
        <v/>
      </c>
      <c r="O1858" s="5" t="str">
        <f t="shared" si="30"/>
        <v/>
      </c>
      <c r="P1858" s="5" t="str">
        <f>IF(M1858="","",$C$2*(1-L1858)*907.2/0.621371*N1858*[1]Transportation!$M$40)</f>
        <v/>
      </c>
      <c r="Q1858" s="5" t="str">
        <f>IF(L1858="","",IF([1]Inputs_Outputs!$B$5="Herbaceous",(LCA!$E$29*'[1]LOCH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8" s="5" t="str">
        <f>IF(M1858="","",$E$2*1000*'[1]LOCH Calc COE Calc'!$C$44)</f>
        <v/>
      </c>
      <c r="S1858" s="6" t="str">
        <f>IF(N1858="","",SUM(O1858:R1858)/('[1]LOCH Calc COE Calc'!$C$28))</f>
        <v/>
      </c>
      <c r="T1858" t="str">
        <f>IF(L1858="","",O1858/'[1]LOCH Calc COE Calc'!$C$28)</f>
        <v/>
      </c>
      <c r="U1858" t="str">
        <f>IF(L1858="","",P1858/'[1]LOCH Calc COE Calc'!$C$28)</f>
        <v/>
      </c>
      <c r="V1858" t="str">
        <f>IF(L1858="","",Q1858/'[1]LOCH Calc COE Calc'!$C$28)</f>
        <v/>
      </c>
      <c r="W1858" t="str">
        <f>IF(L1858="","",R1858/'[1]LOCH Calc COE Calc'!$C$28)</f>
        <v/>
      </c>
    </row>
    <row r="1859" spans="12:23" x14ac:dyDescent="0.25">
      <c r="L1859" s="4" t="str">
        <f>IF('[1]All Data '!BE1864="","",'[1]All Data '!BE1864)</f>
        <v/>
      </c>
      <c r="M1859" t="str">
        <f>IF('[1]All Data '!BF1864="","",'[1]All Data '!BF1864)</f>
        <v/>
      </c>
      <c r="N1859" s="5" t="str">
        <f>IF('[1]All Data '!BB1864="","",'[1]All Data '!BC1864/'[1]All Data '!BH1864)</f>
        <v/>
      </c>
      <c r="O1859" s="5" t="str">
        <f t="shared" si="30"/>
        <v/>
      </c>
      <c r="P1859" s="5" t="str">
        <f>IF(M1859="","",$C$2*(1-L1859)*907.2/0.621371*N1859*[1]Transportation!$M$40)</f>
        <v/>
      </c>
      <c r="Q1859" s="5" t="str">
        <f>IF(L1859="","",IF([1]Inputs_Outputs!$B$5="Herbaceous",(LCA!$E$29*'[1]LOCH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59" s="5" t="str">
        <f>IF(M1859="","",$E$2*1000*'[1]LOCH Calc COE Calc'!$C$44)</f>
        <v/>
      </c>
      <c r="S1859" s="6" t="str">
        <f>IF(N1859="","",SUM(O1859:R1859)/('[1]LOCH Calc COE Calc'!$C$28))</f>
        <v/>
      </c>
      <c r="T1859" t="str">
        <f>IF(L1859="","",O1859/'[1]LOCH Calc COE Calc'!$C$28)</f>
        <v/>
      </c>
      <c r="U1859" t="str">
        <f>IF(L1859="","",P1859/'[1]LOCH Calc COE Calc'!$C$28)</f>
        <v/>
      </c>
      <c r="V1859" t="str">
        <f>IF(L1859="","",Q1859/'[1]LOCH Calc COE Calc'!$C$28)</f>
        <v/>
      </c>
      <c r="W1859" t="str">
        <f>IF(L1859="","",R1859/'[1]LOCH Calc COE Calc'!$C$28)</f>
        <v/>
      </c>
    </row>
    <row r="1860" spans="12:23" x14ac:dyDescent="0.25">
      <c r="L1860" s="4" t="str">
        <f>IF('[1]All Data '!BE1865="","",'[1]All Data '!BE1865)</f>
        <v/>
      </c>
      <c r="M1860" t="str">
        <f>IF('[1]All Data '!BF1865="","",'[1]All Data '!BF1865)</f>
        <v/>
      </c>
      <c r="N1860" s="5" t="str">
        <f>IF('[1]All Data '!BB1865="","",'[1]All Data '!BC1865/'[1]All Data '!BH1865)</f>
        <v/>
      </c>
      <c r="O1860" s="5" t="str">
        <f t="shared" ref="O1860:O1923" si="31">IF(N1860="","",M1860*N1860)</f>
        <v/>
      </c>
      <c r="P1860" s="5" t="str">
        <f>IF(M1860="","",$C$2*(1-L1860)*907.2/0.621371*N1860*[1]Transportation!$M$40)</f>
        <v/>
      </c>
      <c r="Q1860" s="5" t="str">
        <f>IF(L1860="","",IF([1]Inputs_Outputs!$B$5="Herbaceous",(LCA!$E$29*'[1]LOCH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0" s="5" t="str">
        <f>IF(M1860="","",$E$2*1000*'[1]LOCH Calc COE Calc'!$C$44)</f>
        <v/>
      </c>
      <c r="S1860" s="6" t="str">
        <f>IF(N1860="","",SUM(O1860:R1860)/('[1]LOCH Calc COE Calc'!$C$28))</f>
        <v/>
      </c>
      <c r="T1860" t="str">
        <f>IF(L1860="","",O1860/'[1]LOCH Calc COE Calc'!$C$28)</f>
        <v/>
      </c>
      <c r="U1860" t="str">
        <f>IF(L1860="","",P1860/'[1]LOCH Calc COE Calc'!$C$28)</f>
        <v/>
      </c>
      <c r="V1860" t="str">
        <f>IF(L1860="","",Q1860/'[1]LOCH Calc COE Calc'!$C$28)</f>
        <v/>
      </c>
      <c r="W1860" t="str">
        <f>IF(L1860="","",R1860/'[1]LOCH Calc COE Calc'!$C$28)</f>
        <v/>
      </c>
    </row>
    <row r="1861" spans="12:23" x14ac:dyDescent="0.25">
      <c r="L1861" s="4" t="str">
        <f>IF('[1]All Data '!BE1866="","",'[1]All Data '!BE1866)</f>
        <v/>
      </c>
      <c r="M1861" t="str">
        <f>IF('[1]All Data '!BF1866="","",'[1]All Data '!BF1866)</f>
        <v/>
      </c>
      <c r="N1861" s="5" t="str">
        <f>IF('[1]All Data '!BB1866="","",'[1]All Data '!BC1866/'[1]All Data '!BH1866)</f>
        <v/>
      </c>
      <c r="O1861" s="5" t="str">
        <f t="shared" si="31"/>
        <v/>
      </c>
      <c r="P1861" s="5" t="str">
        <f>IF(M1861="","",$C$2*(1-L1861)*907.2/0.621371*N1861*[1]Transportation!$M$40)</f>
        <v/>
      </c>
      <c r="Q1861" s="5" t="str">
        <f>IF(L1861="","",IF([1]Inputs_Outputs!$B$5="Herbaceous",(LCA!$E$29*'[1]LOCH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1" s="5" t="str">
        <f>IF(M1861="","",$E$2*1000*'[1]LOCH Calc COE Calc'!$C$44)</f>
        <v/>
      </c>
      <c r="S1861" s="6" t="str">
        <f>IF(N1861="","",SUM(O1861:R1861)/('[1]LOCH Calc COE Calc'!$C$28))</f>
        <v/>
      </c>
      <c r="T1861" t="str">
        <f>IF(L1861="","",O1861/'[1]LOCH Calc COE Calc'!$C$28)</f>
        <v/>
      </c>
      <c r="U1861" t="str">
        <f>IF(L1861="","",P1861/'[1]LOCH Calc COE Calc'!$C$28)</f>
        <v/>
      </c>
      <c r="V1861" t="str">
        <f>IF(L1861="","",Q1861/'[1]LOCH Calc COE Calc'!$C$28)</f>
        <v/>
      </c>
      <c r="W1861" t="str">
        <f>IF(L1861="","",R1861/'[1]LOCH Calc COE Calc'!$C$28)</f>
        <v/>
      </c>
    </row>
    <row r="1862" spans="12:23" x14ac:dyDescent="0.25">
      <c r="L1862" s="4" t="str">
        <f>IF('[1]All Data '!BE1867="","",'[1]All Data '!BE1867)</f>
        <v/>
      </c>
      <c r="M1862" t="str">
        <f>IF('[1]All Data '!BF1867="","",'[1]All Data '!BF1867)</f>
        <v/>
      </c>
      <c r="N1862" s="5" t="str">
        <f>IF('[1]All Data '!BB1867="","",'[1]All Data '!BC1867/'[1]All Data '!BH1867)</f>
        <v/>
      </c>
      <c r="O1862" s="5" t="str">
        <f t="shared" si="31"/>
        <v/>
      </c>
      <c r="P1862" s="5" t="str">
        <f>IF(M1862="","",$C$2*(1-L1862)*907.2/0.621371*N1862*[1]Transportation!$M$40)</f>
        <v/>
      </c>
      <c r="Q1862" s="5" t="str">
        <f>IF(L1862="","",IF([1]Inputs_Outputs!$B$5="Herbaceous",(LCA!$E$29*'[1]LOCH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2" s="5" t="str">
        <f>IF(M1862="","",$E$2*1000*'[1]LOCH Calc COE Calc'!$C$44)</f>
        <v/>
      </c>
      <c r="S1862" s="6" t="str">
        <f>IF(N1862="","",SUM(O1862:R1862)/('[1]LOCH Calc COE Calc'!$C$28))</f>
        <v/>
      </c>
      <c r="T1862" t="str">
        <f>IF(L1862="","",O1862/'[1]LOCH Calc COE Calc'!$C$28)</f>
        <v/>
      </c>
      <c r="U1862" t="str">
        <f>IF(L1862="","",P1862/'[1]LOCH Calc COE Calc'!$C$28)</f>
        <v/>
      </c>
      <c r="V1862" t="str">
        <f>IF(L1862="","",Q1862/'[1]LOCH Calc COE Calc'!$C$28)</f>
        <v/>
      </c>
      <c r="W1862" t="str">
        <f>IF(L1862="","",R1862/'[1]LOCH Calc COE Calc'!$C$28)</f>
        <v/>
      </c>
    </row>
    <row r="1863" spans="12:23" x14ac:dyDescent="0.25">
      <c r="L1863" s="4" t="str">
        <f>IF('[1]All Data '!BE1868="","",'[1]All Data '!BE1868)</f>
        <v/>
      </c>
      <c r="M1863" t="str">
        <f>IF('[1]All Data '!BF1868="","",'[1]All Data '!BF1868)</f>
        <v/>
      </c>
      <c r="N1863" s="5" t="str">
        <f>IF('[1]All Data '!BB1868="","",'[1]All Data '!BC1868/'[1]All Data '!BH1868)</f>
        <v/>
      </c>
      <c r="O1863" s="5" t="str">
        <f t="shared" si="31"/>
        <v/>
      </c>
      <c r="P1863" s="5" t="str">
        <f>IF(M1863="","",$C$2*(1-L1863)*907.2/0.621371*N1863*[1]Transportation!$M$40)</f>
        <v/>
      </c>
      <c r="Q1863" s="5" t="str">
        <f>IF(L1863="","",IF([1]Inputs_Outputs!$B$5="Herbaceous",(LCA!$E$29*'[1]LOCH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3" s="5" t="str">
        <f>IF(M1863="","",$E$2*1000*'[1]LOCH Calc COE Calc'!$C$44)</f>
        <v/>
      </c>
      <c r="S1863" s="6" t="str">
        <f>IF(N1863="","",SUM(O1863:R1863)/('[1]LOCH Calc COE Calc'!$C$28))</f>
        <v/>
      </c>
      <c r="T1863" t="str">
        <f>IF(L1863="","",O1863/'[1]LOCH Calc COE Calc'!$C$28)</f>
        <v/>
      </c>
      <c r="U1863" t="str">
        <f>IF(L1863="","",P1863/'[1]LOCH Calc COE Calc'!$C$28)</f>
        <v/>
      </c>
      <c r="V1863" t="str">
        <f>IF(L1863="","",Q1863/'[1]LOCH Calc COE Calc'!$C$28)</f>
        <v/>
      </c>
      <c r="W1863" t="str">
        <f>IF(L1863="","",R1863/'[1]LOCH Calc COE Calc'!$C$28)</f>
        <v/>
      </c>
    </row>
    <row r="1864" spans="12:23" x14ac:dyDescent="0.25">
      <c r="L1864" s="4" t="str">
        <f>IF('[1]All Data '!BE1869="","",'[1]All Data '!BE1869)</f>
        <v/>
      </c>
      <c r="M1864" t="str">
        <f>IF('[1]All Data '!BF1869="","",'[1]All Data '!BF1869)</f>
        <v/>
      </c>
      <c r="N1864" s="5" t="str">
        <f>IF('[1]All Data '!BB1869="","",'[1]All Data '!BC1869/'[1]All Data '!BH1869)</f>
        <v/>
      </c>
      <c r="O1864" s="5" t="str">
        <f t="shared" si="31"/>
        <v/>
      </c>
      <c r="P1864" s="5" t="str">
        <f>IF(M1864="","",$C$2*(1-L1864)*907.2/0.621371*N1864*[1]Transportation!$M$40)</f>
        <v/>
      </c>
      <c r="Q1864" s="5" t="str">
        <f>IF(L1864="","",IF([1]Inputs_Outputs!$B$5="Herbaceous",(LCA!$E$29*'[1]LOCH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4" s="5" t="str">
        <f>IF(M1864="","",$E$2*1000*'[1]LOCH Calc COE Calc'!$C$44)</f>
        <v/>
      </c>
      <c r="S1864" s="6" t="str">
        <f>IF(N1864="","",SUM(O1864:R1864)/('[1]LOCH Calc COE Calc'!$C$28))</f>
        <v/>
      </c>
      <c r="T1864" t="str">
        <f>IF(L1864="","",O1864/'[1]LOCH Calc COE Calc'!$C$28)</f>
        <v/>
      </c>
      <c r="U1864" t="str">
        <f>IF(L1864="","",P1864/'[1]LOCH Calc COE Calc'!$C$28)</f>
        <v/>
      </c>
      <c r="V1864" t="str">
        <f>IF(L1864="","",Q1864/'[1]LOCH Calc COE Calc'!$C$28)</f>
        <v/>
      </c>
      <c r="W1864" t="str">
        <f>IF(L1864="","",R1864/'[1]LOCH Calc COE Calc'!$C$28)</f>
        <v/>
      </c>
    </row>
    <row r="1865" spans="12:23" x14ac:dyDescent="0.25">
      <c r="L1865" s="4" t="str">
        <f>IF('[1]All Data '!BE1870="","",'[1]All Data '!BE1870)</f>
        <v/>
      </c>
      <c r="M1865" t="str">
        <f>IF('[1]All Data '!BF1870="","",'[1]All Data '!BF1870)</f>
        <v/>
      </c>
      <c r="N1865" s="5" t="str">
        <f>IF('[1]All Data '!BB1870="","",'[1]All Data '!BC1870/'[1]All Data '!BH1870)</f>
        <v/>
      </c>
      <c r="O1865" s="5" t="str">
        <f t="shared" si="31"/>
        <v/>
      </c>
      <c r="P1865" s="5" t="str">
        <f>IF(M1865="","",$C$2*(1-L1865)*907.2/0.621371*N1865*[1]Transportation!$M$40)</f>
        <v/>
      </c>
      <c r="Q1865" s="5" t="str">
        <f>IF(L1865="","",IF([1]Inputs_Outputs!$B$5="Herbaceous",(LCA!$E$29*'[1]LOCH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5" s="5" t="str">
        <f>IF(M1865="","",$E$2*1000*'[1]LOCH Calc COE Calc'!$C$44)</f>
        <v/>
      </c>
      <c r="S1865" s="6" t="str">
        <f>IF(N1865="","",SUM(O1865:R1865)/('[1]LOCH Calc COE Calc'!$C$28))</f>
        <v/>
      </c>
      <c r="T1865" t="str">
        <f>IF(L1865="","",O1865/'[1]LOCH Calc COE Calc'!$C$28)</f>
        <v/>
      </c>
      <c r="U1865" t="str">
        <f>IF(L1865="","",P1865/'[1]LOCH Calc COE Calc'!$C$28)</f>
        <v/>
      </c>
      <c r="V1865" t="str">
        <f>IF(L1865="","",Q1865/'[1]LOCH Calc COE Calc'!$C$28)</f>
        <v/>
      </c>
      <c r="W1865" t="str">
        <f>IF(L1865="","",R1865/'[1]LOCH Calc COE Calc'!$C$28)</f>
        <v/>
      </c>
    </row>
    <row r="1866" spans="12:23" x14ac:dyDescent="0.25">
      <c r="L1866" s="4" t="str">
        <f>IF('[1]All Data '!BE1871="","",'[1]All Data '!BE1871)</f>
        <v/>
      </c>
      <c r="M1866" t="str">
        <f>IF('[1]All Data '!BF1871="","",'[1]All Data '!BF1871)</f>
        <v/>
      </c>
      <c r="N1866" s="5" t="str">
        <f>IF('[1]All Data '!BB1871="","",'[1]All Data '!BC1871/'[1]All Data '!BH1871)</f>
        <v/>
      </c>
      <c r="O1866" s="5" t="str">
        <f t="shared" si="31"/>
        <v/>
      </c>
      <c r="P1866" s="5" t="str">
        <f>IF(M1866="","",$C$2*(1-L1866)*907.2/0.621371*N1866*[1]Transportation!$M$40)</f>
        <v/>
      </c>
      <c r="Q1866" s="5" t="str">
        <f>IF(L1866="","",IF([1]Inputs_Outputs!$B$5="Herbaceous",(LCA!$E$29*'[1]LOCH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6" s="5" t="str">
        <f>IF(M1866="","",$E$2*1000*'[1]LOCH Calc COE Calc'!$C$44)</f>
        <v/>
      </c>
      <c r="S1866" s="6" t="str">
        <f>IF(N1866="","",SUM(O1866:R1866)/('[1]LOCH Calc COE Calc'!$C$28))</f>
        <v/>
      </c>
      <c r="T1866" t="str">
        <f>IF(L1866="","",O1866/'[1]LOCH Calc COE Calc'!$C$28)</f>
        <v/>
      </c>
      <c r="U1866" t="str">
        <f>IF(L1866="","",P1866/'[1]LOCH Calc COE Calc'!$C$28)</f>
        <v/>
      </c>
      <c r="V1866" t="str">
        <f>IF(L1866="","",Q1866/'[1]LOCH Calc COE Calc'!$C$28)</f>
        <v/>
      </c>
      <c r="W1866" t="str">
        <f>IF(L1866="","",R1866/'[1]LOCH Calc COE Calc'!$C$28)</f>
        <v/>
      </c>
    </row>
    <row r="1867" spans="12:23" x14ac:dyDescent="0.25">
      <c r="L1867" s="4" t="str">
        <f>IF('[1]All Data '!BE1872="","",'[1]All Data '!BE1872)</f>
        <v/>
      </c>
      <c r="M1867" t="str">
        <f>IF('[1]All Data '!BF1872="","",'[1]All Data '!BF1872)</f>
        <v/>
      </c>
      <c r="N1867" s="5" t="str">
        <f>IF('[1]All Data '!BB1872="","",'[1]All Data '!BC1872/'[1]All Data '!BH1872)</f>
        <v/>
      </c>
      <c r="O1867" s="5" t="str">
        <f t="shared" si="31"/>
        <v/>
      </c>
      <c r="P1867" s="5" t="str">
        <f>IF(M1867="","",$C$2*(1-L1867)*907.2/0.621371*N1867*[1]Transportation!$M$40)</f>
        <v/>
      </c>
      <c r="Q1867" s="5" t="str">
        <f>IF(L1867="","",IF([1]Inputs_Outputs!$B$5="Herbaceous",(LCA!$E$29*'[1]LOCH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7" s="5" t="str">
        <f>IF(M1867="","",$E$2*1000*'[1]LOCH Calc COE Calc'!$C$44)</f>
        <v/>
      </c>
      <c r="S1867" s="6" t="str">
        <f>IF(N1867="","",SUM(O1867:R1867)/('[1]LOCH Calc COE Calc'!$C$28))</f>
        <v/>
      </c>
      <c r="T1867" t="str">
        <f>IF(L1867="","",O1867/'[1]LOCH Calc COE Calc'!$C$28)</f>
        <v/>
      </c>
      <c r="U1867" t="str">
        <f>IF(L1867="","",P1867/'[1]LOCH Calc COE Calc'!$C$28)</f>
        <v/>
      </c>
      <c r="V1867" t="str">
        <f>IF(L1867="","",Q1867/'[1]LOCH Calc COE Calc'!$C$28)</f>
        <v/>
      </c>
      <c r="W1867" t="str">
        <f>IF(L1867="","",R1867/'[1]LOCH Calc COE Calc'!$C$28)</f>
        <v/>
      </c>
    </row>
    <row r="1868" spans="12:23" x14ac:dyDescent="0.25">
      <c r="L1868" s="4" t="str">
        <f>IF('[1]All Data '!BE1873="","",'[1]All Data '!BE1873)</f>
        <v/>
      </c>
      <c r="M1868" t="str">
        <f>IF('[1]All Data '!BF1873="","",'[1]All Data '!BF1873)</f>
        <v/>
      </c>
      <c r="N1868" s="5" t="str">
        <f>IF('[1]All Data '!BB1873="","",'[1]All Data '!BC1873/'[1]All Data '!BH1873)</f>
        <v/>
      </c>
      <c r="O1868" s="5" t="str">
        <f t="shared" si="31"/>
        <v/>
      </c>
      <c r="P1868" s="5" t="str">
        <f>IF(M1868="","",$C$2*(1-L1868)*907.2/0.621371*N1868*[1]Transportation!$M$40)</f>
        <v/>
      </c>
      <c r="Q1868" s="5" t="str">
        <f>IF(L1868="","",IF([1]Inputs_Outputs!$B$5="Herbaceous",(LCA!$E$29*'[1]LOCH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8" s="5" t="str">
        <f>IF(M1868="","",$E$2*1000*'[1]LOCH Calc COE Calc'!$C$44)</f>
        <v/>
      </c>
      <c r="S1868" s="6" t="str">
        <f>IF(N1868="","",SUM(O1868:R1868)/('[1]LOCH Calc COE Calc'!$C$28))</f>
        <v/>
      </c>
      <c r="T1868" t="str">
        <f>IF(L1868="","",O1868/'[1]LOCH Calc COE Calc'!$C$28)</f>
        <v/>
      </c>
      <c r="U1868" t="str">
        <f>IF(L1868="","",P1868/'[1]LOCH Calc COE Calc'!$C$28)</f>
        <v/>
      </c>
      <c r="V1868" t="str">
        <f>IF(L1868="","",Q1868/'[1]LOCH Calc COE Calc'!$C$28)</f>
        <v/>
      </c>
      <c r="W1868" t="str">
        <f>IF(L1868="","",R1868/'[1]LOCH Calc COE Calc'!$C$28)</f>
        <v/>
      </c>
    </row>
    <row r="1869" spans="12:23" x14ac:dyDescent="0.25">
      <c r="L1869" s="4" t="str">
        <f>IF('[1]All Data '!BE1874="","",'[1]All Data '!BE1874)</f>
        <v/>
      </c>
      <c r="M1869" t="str">
        <f>IF('[1]All Data '!BF1874="","",'[1]All Data '!BF1874)</f>
        <v/>
      </c>
      <c r="N1869" s="5" t="str">
        <f>IF('[1]All Data '!BB1874="","",'[1]All Data '!BC1874/'[1]All Data '!BH1874)</f>
        <v/>
      </c>
      <c r="O1869" s="5" t="str">
        <f t="shared" si="31"/>
        <v/>
      </c>
      <c r="P1869" s="5" t="str">
        <f>IF(M1869="","",$C$2*(1-L1869)*907.2/0.621371*N1869*[1]Transportation!$M$40)</f>
        <v/>
      </c>
      <c r="Q1869" s="5" t="str">
        <f>IF(L1869="","",IF([1]Inputs_Outputs!$B$5="Herbaceous",(LCA!$E$29*'[1]LOCH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69" s="5" t="str">
        <f>IF(M1869="","",$E$2*1000*'[1]LOCH Calc COE Calc'!$C$44)</f>
        <v/>
      </c>
      <c r="S1869" s="6" t="str">
        <f>IF(N1869="","",SUM(O1869:R1869)/('[1]LOCH Calc COE Calc'!$C$28))</f>
        <v/>
      </c>
      <c r="T1869" t="str">
        <f>IF(L1869="","",O1869/'[1]LOCH Calc COE Calc'!$C$28)</f>
        <v/>
      </c>
      <c r="U1869" t="str">
        <f>IF(L1869="","",P1869/'[1]LOCH Calc COE Calc'!$C$28)</f>
        <v/>
      </c>
      <c r="V1869" t="str">
        <f>IF(L1869="","",Q1869/'[1]LOCH Calc COE Calc'!$C$28)</f>
        <v/>
      </c>
      <c r="W1869" t="str">
        <f>IF(L1869="","",R1869/'[1]LOCH Calc COE Calc'!$C$28)</f>
        <v/>
      </c>
    </row>
    <row r="1870" spans="12:23" x14ac:dyDescent="0.25">
      <c r="L1870" s="4" t="str">
        <f>IF('[1]All Data '!BE1875="","",'[1]All Data '!BE1875)</f>
        <v/>
      </c>
      <c r="M1870" t="str">
        <f>IF('[1]All Data '!BF1875="","",'[1]All Data '!BF1875)</f>
        <v/>
      </c>
      <c r="N1870" s="5" t="str">
        <f>IF('[1]All Data '!BB1875="","",'[1]All Data '!BC1875/'[1]All Data '!BH1875)</f>
        <v/>
      </c>
      <c r="O1870" s="5" t="str">
        <f t="shared" si="31"/>
        <v/>
      </c>
      <c r="P1870" s="5" t="str">
        <f>IF(M1870="","",$C$2*(1-L1870)*907.2/0.621371*N1870*[1]Transportation!$M$40)</f>
        <v/>
      </c>
      <c r="Q1870" s="5" t="str">
        <f>IF(L1870="","",IF([1]Inputs_Outputs!$B$5="Herbaceous",(LCA!$E$29*'[1]LOCH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0" s="5" t="str">
        <f>IF(M1870="","",$E$2*1000*'[1]LOCH Calc COE Calc'!$C$44)</f>
        <v/>
      </c>
      <c r="S1870" s="6" t="str">
        <f>IF(N1870="","",SUM(O1870:R1870)/('[1]LOCH Calc COE Calc'!$C$28))</f>
        <v/>
      </c>
      <c r="T1870" t="str">
        <f>IF(L1870="","",O1870/'[1]LOCH Calc COE Calc'!$C$28)</f>
        <v/>
      </c>
      <c r="U1870" t="str">
        <f>IF(L1870="","",P1870/'[1]LOCH Calc COE Calc'!$C$28)</f>
        <v/>
      </c>
      <c r="V1870" t="str">
        <f>IF(L1870="","",Q1870/'[1]LOCH Calc COE Calc'!$C$28)</f>
        <v/>
      </c>
      <c r="W1870" t="str">
        <f>IF(L1870="","",R1870/'[1]LOCH Calc COE Calc'!$C$28)</f>
        <v/>
      </c>
    </row>
    <row r="1871" spans="12:23" x14ac:dyDescent="0.25">
      <c r="L1871" s="4" t="str">
        <f>IF('[1]All Data '!BE1876="","",'[1]All Data '!BE1876)</f>
        <v/>
      </c>
      <c r="M1871" t="str">
        <f>IF('[1]All Data '!BF1876="","",'[1]All Data '!BF1876)</f>
        <v/>
      </c>
      <c r="N1871" s="5" t="str">
        <f>IF('[1]All Data '!BB1876="","",'[1]All Data '!BC1876/'[1]All Data '!BH1876)</f>
        <v/>
      </c>
      <c r="O1871" s="5" t="str">
        <f t="shared" si="31"/>
        <v/>
      </c>
      <c r="P1871" s="5" t="str">
        <f>IF(M1871="","",$C$2*(1-L1871)*907.2/0.621371*N1871*[1]Transportation!$M$40)</f>
        <v/>
      </c>
      <c r="Q1871" s="5" t="str">
        <f>IF(L1871="","",IF([1]Inputs_Outputs!$B$5="Herbaceous",(LCA!$E$29*'[1]LOCH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1" s="5" t="str">
        <f>IF(M1871="","",$E$2*1000*'[1]LOCH Calc COE Calc'!$C$44)</f>
        <v/>
      </c>
      <c r="S1871" s="6" t="str">
        <f>IF(N1871="","",SUM(O1871:R1871)/('[1]LOCH Calc COE Calc'!$C$28))</f>
        <v/>
      </c>
      <c r="T1871" t="str">
        <f>IF(L1871="","",O1871/'[1]LOCH Calc COE Calc'!$C$28)</f>
        <v/>
      </c>
      <c r="U1871" t="str">
        <f>IF(L1871="","",P1871/'[1]LOCH Calc COE Calc'!$C$28)</f>
        <v/>
      </c>
      <c r="V1871" t="str">
        <f>IF(L1871="","",Q1871/'[1]LOCH Calc COE Calc'!$C$28)</f>
        <v/>
      </c>
      <c r="W1871" t="str">
        <f>IF(L1871="","",R1871/'[1]LOCH Calc COE Calc'!$C$28)</f>
        <v/>
      </c>
    </row>
    <row r="1872" spans="12:23" x14ac:dyDescent="0.25">
      <c r="L1872" s="4" t="str">
        <f>IF('[1]All Data '!BE1877="","",'[1]All Data '!BE1877)</f>
        <v/>
      </c>
      <c r="M1872" t="str">
        <f>IF('[1]All Data '!BF1877="","",'[1]All Data '!BF1877)</f>
        <v/>
      </c>
      <c r="N1872" s="5" t="str">
        <f>IF('[1]All Data '!BB1877="","",'[1]All Data '!BC1877/'[1]All Data '!BH1877)</f>
        <v/>
      </c>
      <c r="O1872" s="5" t="str">
        <f t="shared" si="31"/>
        <v/>
      </c>
      <c r="P1872" s="5" t="str">
        <f>IF(M1872="","",$C$2*(1-L1872)*907.2/0.621371*N1872*[1]Transportation!$M$40)</f>
        <v/>
      </c>
      <c r="Q1872" s="5" t="str">
        <f>IF(L1872="","",IF([1]Inputs_Outputs!$B$5="Herbaceous",(LCA!$E$29*'[1]LOCH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2" s="5" t="str">
        <f>IF(M1872="","",$E$2*1000*'[1]LOCH Calc COE Calc'!$C$44)</f>
        <v/>
      </c>
      <c r="S1872" s="6" t="str">
        <f>IF(N1872="","",SUM(O1872:R1872)/('[1]LOCH Calc COE Calc'!$C$28))</f>
        <v/>
      </c>
      <c r="T1872" t="str">
        <f>IF(L1872="","",O1872/'[1]LOCH Calc COE Calc'!$C$28)</f>
        <v/>
      </c>
      <c r="U1872" t="str">
        <f>IF(L1872="","",P1872/'[1]LOCH Calc COE Calc'!$C$28)</f>
        <v/>
      </c>
      <c r="V1872" t="str">
        <f>IF(L1872="","",Q1872/'[1]LOCH Calc COE Calc'!$C$28)</f>
        <v/>
      </c>
      <c r="W1872" t="str">
        <f>IF(L1872="","",R1872/'[1]LOCH Calc COE Calc'!$C$28)</f>
        <v/>
      </c>
    </row>
    <row r="1873" spans="12:23" x14ac:dyDescent="0.25">
      <c r="L1873" s="4" t="str">
        <f>IF('[1]All Data '!BE1878="","",'[1]All Data '!BE1878)</f>
        <v/>
      </c>
      <c r="M1873" t="str">
        <f>IF('[1]All Data '!BF1878="","",'[1]All Data '!BF1878)</f>
        <v/>
      </c>
      <c r="N1873" s="5" t="str">
        <f>IF('[1]All Data '!BB1878="","",'[1]All Data '!BC1878/'[1]All Data '!BH1878)</f>
        <v/>
      </c>
      <c r="O1873" s="5" t="str">
        <f t="shared" si="31"/>
        <v/>
      </c>
      <c r="P1873" s="5" t="str">
        <f>IF(M1873="","",$C$2*(1-L1873)*907.2/0.621371*N1873*[1]Transportation!$M$40)</f>
        <v/>
      </c>
      <c r="Q1873" s="5" t="str">
        <f>IF(L1873="","",IF([1]Inputs_Outputs!$B$5="Herbaceous",(LCA!$E$29*'[1]LOCH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3" s="5" t="str">
        <f>IF(M1873="","",$E$2*1000*'[1]LOCH Calc COE Calc'!$C$44)</f>
        <v/>
      </c>
      <c r="S1873" s="6" t="str">
        <f>IF(N1873="","",SUM(O1873:R1873)/('[1]LOCH Calc COE Calc'!$C$28))</f>
        <v/>
      </c>
      <c r="T1873" t="str">
        <f>IF(L1873="","",O1873/'[1]LOCH Calc COE Calc'!$C$28)</f>
        <v/>
      </c>
      <c r="U1873" t="str">
        <f>IF(L1873="","",P1873/'[1]LOCH Calc COE Calc'!$C$28)</f>
        <v/>
      </c>
      <c r="V1873" t="str">
        <f>IF(L1873="","",Q1873/'[1]LOCH Calc COE Calc'!$C$28)</f>
        <v/>
      </c>
      <c r="W1873" t="str">
        <f>IF(L1873="","",R1873/'[1]LOCH Calc COE Calc'!$C$28)</f>
        <v/>
      </c>
    </row>
    <row r="1874" spans="12:23" x14ac:dyDescent="0.25">
      <c r="L1874" s="4" t="str">
        <f>IF('[1]All Data '!BE1879="","",'[1]All Data '!BE1879)</f>
        <v/>
      </c>
      <c r="M1874" t="str">
        <f>IF('[1]All Data '!BF1879="","",'[1]All Data '!BF1879)</f>
        <v/>
      </c>
      <c r="N1874" s="5" t="str">
        <f>IF('[1]All Data '!BB1879="","",'[1]All Data '!BC1879/'[1]All Data '!BH1879)</f>
        <v/>
      </c>
      <c r="O1874" s="5" t="str">
        <f t="shared" si="31"/>
        <v/>
      </c>
      <c r="P1874" s="5" t="str">
        <f>IF(M1874="","",$C$2*(1-L1874)*907.2/0.621371*N1874*[1]Transportation!$M$40)</f>
        <v/>
      </c>
      <c r="Q1874" s="5" t="str">
        <f>IF(L1874="","",IF([1]Inputs_Outputs!$B$5="Herbaceous",(LCA!$E$29*'[1]LOCH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4" s="5" t="str">
        <f>IF(M1874="","",$E$2*1000*'[1]LOCH Calc COE Calc'!$C$44)</f>
        <v/>
      </c>
      <c r="S1874" s="6" t="str">
        <f>IF(N1874="","",SUM(O1874:R1874)/('[1]LOCH Calc COE Calc'!$C$28))</f>
        <v/>
      </c>
      <c r="T1874" t="str">
        <f>IF(L1874="","",O1874/'[1]LOCH Calc COE Calc'!$C$28)</f>
        <v/>
      </c>
      <c r="U1874" t="str">
        <f>IF(L1874="","",P1874/'[1]LOCH Calc COE Calc'!$C$28)</f>
        <v/>
      </c>
      <c r="V1874" t="str">
        <f>IF(L1874="","",Q1874/'[1]LOCH Calc COE Calc'!$C$28)</f>
        <v/>
      </c>
      <c r="W1874" t="str">
        <f>IF(L1874="","",R1874/'[1]LOCH Calc COE Calc'!$C$28)</f>
        <v/>
      </c>
    </row>
    <row r="1875" spans="12:23" x14ac:dyDescent="0.25">
      <c r="L1875" s="4" t="str">
        <f>IF('[1]All Data '!BE1880="","",'[1]All Data '!BE1880)</f>
        <v/>
      </c>
      <c r="M1875" t="str">
        <f>IF('[1]All Data '!BF1880="","",'[1]All Data '!BF1880)</f>
        <v/>
      </c>
      <c r="N1875" s="5" t="str">
        <f>IF('[1]All Data '!BB1880="","",'[1]All Data '!BC1880/'[1]All Data '!BH1880)</f>
        <v/>
      </c>
      <c r="O1875" s="5" t="str">
        <f t="shared" si="31"/>
        <v/>
      </c>
      <c r="P1875" s="5" t="str">
        <f>IF(M1875="","",$C$2*(1-L1875)*907.2/0.621371*N1875*[1]Transportation!$M$40)</f>
        <v/>
      </c>
      <c r="Q1875" s="5" t="str">
        <f>IF(L1875="","",IF([1]Inputs_Outputs!$B$5="Herbaceous",(LCA!$E$29*'[1]LOCH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5" s="5" t="str">
        <f>IF(M1875="","",$E$2*1000*'[1]LOCH Calc COE Calc'!$C$44)</f>
        <v/>
      </c>
      <c r="S1875" s="6" t="str">
        <f>IF(N1875="","",SUM(O1875:R1875)/('[1]LOCH Calc COE Calc'!$C$28))</f>
        <v/>
      </c>
      <c r="T1875" t="str">
        <f>IF(L1875="","",O1875/'[1]LOCH Calc COE Calc'!$C$28)</f>
        <v/>
      </c>
      <c r="U1875" t="str">
        <f>IF(L1875="","",P1875/'[1]LOCH Calc COE Calc'!$C$28)</f>
        <v/>
      </c>
      <c r="V1875" t="str">
        <f>IF(L1875="","",Q1875/'[1]LOCH Calc COE Calc'!$C$28)</f>
        <v/>
      </c>
      <c r="W1875" t="str">
        <f>IF(L1875="","",R1875/'[1]LOCH Calc COE Calc'!$C$28)</f>
        <v/>
      </c>
    </row>
    <row r="1876" spans="12:23" x14ac:dyDescent="0.25">
      <c r="L1876" s="4" t="str">
        <f>IF('[1]All Data '!BE1881="","",'[1]All Data '!BE1881)</f>
        <v/>
      </c>
      <c r="M1876" t="str">
        <f>IF('[1]All Data '!BF1881="","",'[1]All Data '!BF1881)</f>
        <v/>
      </c>
      <c r="N1876" s="5" t="str">
        <f>IF('[1]All Data '!BB1881="","",'[1]All Data '!BC1881/'[1]All Data '!BH1881)</f>
        <v/>
      </c>
      <c r="O1876" s="5" t="str">
        <f t="shared" si="31"/>
        <v/>
      </c>
      <c r="P1876" s="5" t="str">
        <f>IF(M1876="","",$C$2*(1-L1876)*907.2/0.621371*N1876*[1]Transportation!$M$40)</f>
        <v/>
      </c>
      <c r="Q1876" s="5" t="str">
        <f>IF(L1876="","",IF([1]Inputs_Outputs!$B$5="Herbaceous",(LCA!$E$29*'[1]LOCH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6" s="5" t="str">
        <f>IF(M1876="","",$E$2*1000*'[1]LOCH Calc COE Calc'!$C$44)</f>
        <v/>
      </c>
      <c r="S1876" s="6" t="str">
        <f>IF(N1876="","",SUM(O1876:R1876)/('[1]LOCH Calc COE Calc'!$C$28))</f>
        <v/>
      </c>
      <c r="T1876" t="str">
        <f>IF(L1876="","",O1876/'[1]LOCH Calc COE Calc'!$C$28)</f>
        <v/>
      </c>
      <c r="U1876" t="str">
        <f>IF(L1876="","",P1876/'[1]LOCH Calc COE Calc'!$C$28)</f>
        <v/>
      </c>
      <c r="V1876" t="str">
        <f>IF(L1876="","",Q1876/'[1]LOCH Calc COE Calc'!$C$28)</f>
        <v/>
      </c>
      <c r="W1876" t="str">
        <f>IF(L1876="","",R1876/'[1]LOCH Calc COE Calc'!$C$28)</f>
        <v/>
      </c>
    </row>
    <row r="1877" spans="12:23" x14ac:dyDescent="0.25">
      <c r="L1877" s="4" t="str">
        <f>IF('[1]All Data '!BE1882="","",'[1]All Data '!BE1882)</f>
        <v/>
      </c>
      <c r="M1877" t="str">
        <f>IF('[1]All Data '!BF1882="","",'[1]All Data '!BF1882)</f>
        <v/>
      </c>
      <c r="N1877" s="5" t="str">
        <f>IF('[1]All Data '!BB1882="","",'[1]All Data '!BC1882/'[1]All Data '!BH1882)</f>
        <v/>
      </c>
      <c r="O1877" s="5" t="str">
        <f t="shared" si="31"/>
        <v/>
      </c>
      <c r="P1877" s="5" t="str">
        <f>IF(M1877="","",$C$2*(1-L1877)*907.2/0.621371*N1877*[1]Transportation!$M$40)</f>
        <v/>
      </c>
      <c r="Q1877" s="5" t="str">
        <f>IF(L1877="","",IF([1]Inputs_Outputs!$B$5="Herbaceous",(LCA!$E$29*'[1]LOCH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7" s="5" t="str">
        <f>IF(M1877="","",$E$2*1000*'[1]LOCH Calc COE Calc'!$C$44)</f>
        <v/>
      </c>
      <c r="S1877" s="6" t="str">
        <f>IF(N1877="","",SUM(O1877:R1877)/('[1]LOCH Calc COE Calc'!$C$28))</f>
        <v/>
      </c>
      <c r="T1877" t="str">
        <f>IF(L1877="","",O1877/'[1]LOCH Calc COE Calc'!$C$28)</f>
        <v/>
      </c>
      <c r="U1877" t="str">
        <f>IF(L1877="","",P1877/'[1]LOCH Calc COE Calc'!$C$28)</f>
        <v/>
      </c>
      <c r="V1877" t="str">
        <f>IF(L1877="","",Q1877/'[1]LOCH Calc COE Calc'!$C$28)</f>
        <v/>
      </c>
      <c r="W1877" t="str">
        <f>IF(L1877="","",R1877/'[1]LOCH Calc COE Calc'!$C$28)</f>
        <v/>
      </c>
    </row>
    <row r="1878" spans="12:23" x14ac:dyDescent="0.25">
      <c r="L1878" s="4" t="str">
        <f>IF('[1]All Data '!BE1883="","",'[1]All Data '!BE1883)</f>
        <v/>
      </c>
      <c r="M1878" t="str">
        <f>IF('[1]All Data '!BF1883="","",'[1]All Data '!BF1883)</f>
        <v/>
      </c>
      <c r="N1878" s="5" t="str">
        <f>IF('[1]All Data '!BB1883="","",'[1]All Data '!BC1883/'[1]All Data '!BH1883)</f>
        <v/>
      </c>
      <c r="O1878" s="5" t="str">
        <f t="shared" si="31"/>
        <v/>
      </c>
      <c r="P1878" s="5" t="str">
        <f>IF(M1878="","",$C$2*(1-L1878)*907.2/0.621371*N1878*[1]Transportation!$M$40)</f>
        <v/>
      </c>
      <c r="Q1878" s="5" t="str">
        <f>IF(L1878="","",IF([1]Inputs_Outputs!$B$5="Herbaceous",(LCA!$E$29*'[1]LOCH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8" s="5" t="str">
        <f>IF(M1878="","",$E$2*1000*'[1]LOCH Calc COE Calc'!$C$44)</f>
        <v/>
      </c>
      <c r="S1878" s="6" t="str">
        <f>IF(N1878="","",SUM(O1878:R1878)/('[1]LOCH Calc COE Calc'!$C$28))</f>
        <v/>
      </c>
      <c r="T1878" t="str">
        <f>IF(L1878="","",O1878/'[1]LOCH Calc COE Calc'!$C$28)</f>
        <v/>
      </c>
      <c r="U1878" t="str">
        <f>IF(L1878="","",P1878/'[1]LOCH Calc COE Calc'!$C$28)</f>
        <v/>
      </c>
      <c r="V1878" t="str">
        <f>IF(L1878="","",Q1878/'[1]LOCH Calc COE Calc'!$C$28)</f>
        <v/>
      </c>
      <c r="W1878" t="str">
        <f>IF(L1878="","",R1878/'[1]LOCH Calc COE Calc'!$C$28)</f>
        <v/>
      </c>
    </row>
    <row r="1879" spans="12:23" x14ac:dyDescent="0.25">
      <c r="L1879" s="4" t="str">
        <f>IF('[1]All Data '!BE1884="","",'[1]All Data '!BE1884)</f>
        <v/>
      </c>
      <c r="M1879" t="str">
        <f>IF('[1]All Data '!BF1884="","",'[1]All Data '!BF1884)</f>
        <v/>
      </c>
      <c r="N1879" s="5" t="str">
        <f>IF('[1]All Data '!BB1884="","",'[1]All Data '!BC1884/'[1]All Data '!BH1884)</f>
        <v/>
      </c>
      <c r="O1879" s="5" t="str">
        <f t="shared" si="31"/>
        <v/>
      </c>
      <c r="P1879" s="5" t="str">
        <f>IF(M1879="","",$C$2*(1-L1879)*907.2/0.621371*N1879*[1]Transportation!$M$40)</f>
        <v/>
      </c>
      <c r="Q1879" s="5" t="str">
        <f>IF(L1879="","",IF([1]Inputs_Outputs!$B$5="Herbaceous",(LCA!$E$29*'[1]LOCH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79" s="5" t="str">
        <f>IF(M1879="","",$E$2*1000*'[1]LOCH Calc COE Calc'!$C$44)</f>
        <v/>
      </c>
      <c r="S1879" s="6" t="str">
        <f>IF(N1879="","",SUM(O1879:R1879)/('[1]LOCH Calc COE Calc'!$C$28))</f>
        <v/>
      </c>
      <c r="T1879" t="str">
        <f>IF(L1879="","",O1879/'[1]LOCH Calc COE Calc'!$C$28)</f>
        <v/>
      </c>
      <c r="U1879" t="str">
        <f>IF(L1879="","",P1879/'[1]LOCH Calc COE Calc'!$C$28)</f>
        <v/>
      </c>
      <c r="V1879" t="str">
        <f>IF(L1879="","",Q1879/'[1]LOCH Calc COE Calc'!$C$28)</f>
        <v/>
      </c>
      <c r="W1879" t="str">
        <f>IF(L1879="","",R1879/'[1]LOCH Calc COE Calc'!$C$28)</f>
        <v/>
      </c>
    </row>
    <row r="1880" spans="12:23" x14ac:dyDescent="0.25">
      <c r="L1880" s="4" t="str">
        <f>IF('[1]All Data '!BE1885="","",'[1]All Data '!BE1885)</f>
        <v/>
      </c>
      <c r="M1880" t="str">
        <f>IF('[1]All Data '!BF1885="","",'[1]All Data '!BF1885)</f>
        <v/>
      </c>
      <c r="N1880" s="5" t="str">
        <f>IF('[1]All Data '!BB1885="","",'[1]All Data '!BC1885/'[1]All Data '!BH1885)</f>
        <v/>
      </c>
      <c r="O1880" s="5" t="str">
        <f t="shared" si="31"/>
        <v/>
      </c>
      <c r="P1880" s="5" t="str">
        <f>IF(M1880="","",$C$2*(1-L1880)*907.2/0.621371*N1880*[1]Transportation!$M$40)</f>
        <v/>
      </c>
      <c r="Q1880" s="5" t="str">
        <f>IF(L1880="","",IF([1]Inputs_Outputs!$B$5="Herbaceous",(LCA!$E$29*'[1]LOCH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0" s="5" t="str">
        <f>IF(M1880="","",$E$2*1000*'[1]LOCH Calc COE Calc'!$C$44)</f>
        <v/>
      </c>
      <c r="S1880" s="6" t="str">
        <f>IF(N1880="","",SUM(O1880:R1880)/('[1]LOCH Calc COE Calc'!$C$28))</f>
        <v/>
      </c>
      <c r="T1880" t="str">
        <f>IF(L1880="","",O1880/'[1]LOCH Calc COE Calc'!$C$28)</f>
        <v/>
      </c>
      <c r="U1880" t="str">
        <f>IF(L1880="","",P1880/'[1]LOCH Calc COE Calc'!$C$28)</f>
        <v/>
      </c>
      <c r="V1880" t="str">
        <f>IF(L1880="","",Q1880/'[1]LOCH Calc COE Calc'!$C$28)</f>
        <v/>
      </c>
      <c r="W1880" t="str">
        <f>IF(L1880="","",R1880/'[1]LOCH Calc COE Calc'!$C$28)</f>
        <v/>
      </c>
    </row>
    <row r="1881" spans="12:23" x14ac:dyDescent="0.25">
      <c r="L1881" s="4" t="str">
        <f>IF('[1]All Data '!BE1886="","",'[1]All Data '!BE1886)</f>
        <v/>
      </c>
      <c r="M1881" t="str">
        <f>IF('[1]All Data '!BF1886="","",'[1]All Data '!BF1886)</f>
        <v/>
      </c>
      <c r="N1881" s="5" t="str">
        <f>IF('[1]All Data '!BB1886="","",'[1]All Data '!BC1886/'[1]All Data '!BH1886)</f>
        <v/>
      </c>
      <c r="O1881" s="5" t="str">
        <f t="shared" si="31"/>
        <v/>
      </c>
      <c r="P1881" s="5" t="str">
        <f>IF(M1881="","",$C$2*(1-L1881)*907.2/0.621371*N1881*[1]Transportation!$M$40)</f>
        <v/>
      </c>
      <c r="Q1881" s="5" t="str">
        <f>IF(L1881="","",IF([1]Inputs_Outputs!$B$5="Herbaceous",(LCA!$E$29*'[1]LOCH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1" s="5" t="str">
        <f>IF(M1881="","",$E$2*1000*'[1]LOCH Calc COE Calc'!$C$44)</f>
        <v/>
      </c>
      <c r="S1881" s="6" t="str">
        <f>IF(N1881="","",SUM(O1881:R1881)/('[1]LOCH Calc COE Calc'!$C$28))</f>
        <v/>
      </c>
      <c r="T1881" t="str">
        <f>IF(L1881="","",O1881/'[1]LOCH Calc COE Calc'!$C$28)</f>
        <v/>
      </c>
      <c r="U1881" t="str">
        <f>IF(L1881="","",P1881/'[1]LOCH Calc COE Calc'!$C$28)</f>
        <v/>
      </c>
      <c r="V1881" t="str">
        <f>IF(L1881="","",Q1881/'[1]LOCH Calc COE Calc'!$C$28)</f>
        <v/>
      </c>
      <c r="W1881" t="str">
        <f>IF(L1881="","",R1881/'[1]LOCH Calc COE Calc'!$C$28)</f>
        <v/>
      </c>
    </row>
    <row r="1882" spans="12:23" x14ac:dyDescent="0.25">
      <c r="L1882" s="4" t="str">
        <f>IF('[1]All Data '!BE1887="","",'[1]All Data '!BE1887)</f>
        <v/>
      </c>
      <c r="M1882" t="str">
        <f>IF('[1]All Data '!BF1887="","",'[1]All Data '!BF1887)</f>
        <v/>
      </c>
      <c r="N1882" s="5" t="str">
        <f>IF('[1]All Data '!BB1887="","",'[1]All Data '!BC1887/'[1]All Data '!BH1887)</f>
        <v/>
      </c>
      <c r="O1882" s="5" t="str">
        <f t="shared" si="31"/>
        <v/>
      </c>
      <c r="P1882" s="5" t="str">
        <f>IF(M1882="","",$C$2*(1-L1882)*907.2/0.621371*N1882*[1]Transportation!$M$40)</f>
        <v/>
      </c>
      <c r="Q1882" s="5" t="str">
        <f>IF(L1882="","",IF([1]Inputs_Outputs!$B$5="Herbaceous",(LCA!$E$29*'[1]LOCH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2" s="5" t="str">
        <f>IF(M1882="","",$E$2*1000*'[1]LOCH Calc COE Calc'!$C$44)</f>
        <v/>
      </c>
      <c r="S1882" s="6" t="str">
        <f>IF(N1882="","",SUM(O1882:R1882)/('[1]LOCH Calc COE Calc'!$C$28))</f>
        <v/>
      </c>
      <c r="T1882" t="str">
        <f>IF(L1882="","",O1882/'[1]LOCH Calc COE Calc'!$C$28)</f>
        <v/>
      </c>
      <c r="U1882" t="str">
        <f>IF(L1882="","",P1882/'[1]LOCH Calc COE Calc'!$C$28)</f>
        <v/>
      </c>
      <c r="V1882" t="str">
        <f>IF(L1882="","",Q1882/'[1]LOCH Calc COE Calc'!$C$28)</f>
        <v/>
      </c>
      <c r="W1882" t="str">
        <f>IF(L1882="","",R1882/'[1]LOCH Calc COE Calc'!$C$28)</f>
        <v/>
      </c>
    </row>
    <row r="1883" spans="12:23" x14ac:dyDescent="0.25">
      <c r="L1883" s="4" t="str">
        <f>IF('[1]All Data '!BE1888="","",'[1]All Data '!BE1888)</f>
        <v/>
      </c>
      <c r="M1883" t="str">
        <f>IF('[1]All Data '!BF1888="","",'[1]All Data '!BF1888)</f>
        <v/>
      </c>
      <c r="N1883" s="5" t="str">
        <f>IF('[1]All Data '!BB1888="","",'[1]All Data '!BC1888/'[1]All Data '!BH1888)</f>
        <v/>
      </c>
      <c r="O1883" s="5" t="str">
        <f t="shared" si="31"/>
        <v/>
      </c>
      <c r="P1883" s="5" t="str">
        <f>IF(M1883="","",$C$2*(1-L1883)*907.2/0.621371*N1883*[1]Transportation!$M$40)</f>
        <v/>
      </c>
      <c r="Q1883" s="5" t="str">
        <f>IF(L1883="","",IF([1]Inputs_Outputs!$B$5="Herbaceous",(LCA!$E$29*'[1]LOCH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3" s="5" t="str">
        <f>IF(M1883="","",$E$2*1000*'[1]LOCH Calc COE Calc'!$C$44)</f>
        <v/>
      </c>
      <c r="S1883" s="6" t="str">
        <f>IF(N1883="","",SUM(O1883:R1883)/('[1]LOCH Calc COE Calc'!$C$28))</f>
        <v/>
      </c>
      <c r="T1883" t="str">
        <f>IF(L1883="","",O1883/'[1]LOCH Calc COE Calc'!$C$28)</f>
        <v/>
      </c>
      <c r="U1883" t="str">
        <f>IF(L1883="","",P1883/'[1]LOCH Calc COE Calc'!$C$28)</f>
        <v/>
      </c>
      <c r="V1883" t="str">
        <f>IF(L1883="","",Q1883/'[1]LOCH Calc COE Calc'!$C$28)</f>
        <v/>
      </c>
      <c r="W1883" t="str">
        <f>IF(L1883="","",R1883/'[1]LOCH Calc COE Calc'!$C$28)</f>
        <v/>
      </c>
    </row>
    <row r="1884" spans="12:23" x14ac:dyDescent="0.25">
      <c r="L1884" s="4" t="str">
        <f>IF('[1]All Data '!BE1889="","",'[1]All Data '!BE1889)</f>
        <v/>
      </c>
      <c r="M1884" t="str">
        <f>IF('[1]All Data '!BF1889="","",'[1]All Data '!BF1889)</f>
        <v/>
      </c>
      <c r="N1884" s="5" t="str">
        <f>IF('[1]All Data '!BB1889="","",'[1]All Data '!BC1889/'[1]All Data '!BH1889)</f>
        <v/>
      </c>
      <c r="O1884" s="5" t="str">
        <f t="shared" si="31"/>
        <v/>
      </c>
      <c r="P1884" s="5" t="str">
        <f>IF(M1884="","",$C$2*(1-L1884)*907.2/0.621371*N1884*[1]Transportation!$M$40)</f>
        <v/>
      </c>
      <c r="Q1884" s="5" t="str">
        <f>IF(L1884="","",IF([1]Inputs_Outputs!$B$5="Herbaceous",(LCA!$E$29*'[1]LOCH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4" s="5" t="str">
        <f>IF(M1884="","",$E$2*1000*'[1]LOCH Calc COE Calc'!$C$44)</f>
        <v/>
      </c>
      <c r="S1884" s="6" t="str">
        <f>IF(N1884="","",SUM(O1884:R1884)/('[1]LOCH Calc COE Calc'!$C$28))</f>
        <v/>
      </c>
      <c r="T1884" t="str">
        <f>IF(L1884="","",O1884/'[1]LOCH Calc COE Calc'!$C$28)</f>
        <v/>
      </c>
      <c r="U1884" t="str">
        <f>IF(L1884="","",P1884/'[1]LOCH Calc COE Calc'!$C$28)</f>
        <v/>
      </c>
      <c r="V1884" t="str">
        <f>IF(L1884="","",Q1884/'[1]LOCH Calc COE Calc'!$C$28)</f>
        <v/>
      </c>
      <c r="W1884" t="str">
        <f>IF(L1884="","",R1884/'[1]LOCH Calc COE Calc'!$C$28)</f>
        <v/>
      </c>
    </row>
    <row r="1885" spans="12:23" x14ac:dyDescent="0.25">
      <c r="L1885" s="4" t="str">
        <f>IF('[1]All Data '!BE1890="","",'[1]All Data '!BE1890)</f>
        <v/>
      </c>
      <c r="M1885" t="str">
        <f>IF('[1]All Data '!BF1890="","",'[1]All Data '!BF1890)</f>
        <v/>
      </c>
      <c r="N1885" s="5" t="str">
        <f>IF('[1]All Data '!BB1890="","",'[1]All Data '!BC1890/'[1]All Data '!BH1890)</f>
        <v/>
      </c>
      <c r="O1885" s="5" t="str">
        <f t="shared" si="31"/>
        <v/>
      </c>
      <c r="P1885" s="5" t="str">
        <f>IF(M1885="","",$C$2*(1-L1885)*907.2/0.621371*N1885*[1]Transportation!$M$40)</f>
        <v/>
      </c>
      <c r="Q1885" s="5" t="str">
        <f>IF(L1885="","",IF([1]Inputs_Outputs!$B$5="Herbaceous",(LCA!$E$29*'[1]LOCH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5" s="5" t="str">
        <f>IF(M1885="","",$E$2*1000*'[1]LOCH Calc COE Calc'!$C$44)</f>
        <v/>
      </c>
      <c r="S1885" s="6" t="str">
        <f>IF(N1885="","",SUM(O1885:R1885)/('[1]LOCH Calc COE Calc'!$C$28))</f>
        <v/>
      </c>
      <c r="T1885" t="str">
        <f>IF(L1885="","",O1885/'[1]LOCH Calc COE Calc'!$C$28)</f>
        <v/>
      </c>
      <c r="U1885" t="str">
        <f>IF(L1885="","",P1885/'[1]LOCH Calc COE Calc'!$C$28)</f>
        <v/>
      </c>
      <c r="V1885" t="str">
        <f>IF(L1885="","",Q1885/'[1]LOCH Calc COE Calc'!$C$28)</f>
        <v/>
      </c>
      <c r="W1885" t="str">
        <f>IF(L1885="","",R1885/'[1]LOCH Calc COE Calc'!$C$28)</f>
        <v/>
      </c>
    </row>
    <row r="1886" spans="12:23" x14ac:dyDescent="0.25">
      <c r="L1886" s="4" t="str">
        <f>IF('[1]All Data '!BE1891="","",'[1]All Data '!BE1891)</f>
        <v/>
      </c>
      <c r="M1886" t="str">
        <f>IF('[1]All Data '!BF1891="","",'[1]All Data '!BF1891)</f>
        <v/>
      </c>
      <c r="N1886" s="5" t="str">
        <f>IF('[1]All Data '!BB1891="","",'[1]All Data '!BC1891/'[1]All Data '!BH1891)</f>
        <v/>
      </c>
      <c r="O1886" s="5" t="str">
        <f t="shared" si="31"/>
        <v/>
      </c>
      <c r="P1886" s="5" t="str">
        <f>IF(M1886="","",$C$2*(1-L1886)*907.2/0.621371*N1886*[1]Transportation!$M$40)</f>
        <v/>
      </c>
      <c r="Q1886" s="5" t="str">
        <f>IF(L1886="","",IF([1]Inputs_Outputs!$B$5="Herbaceous",(LCA!$E$29*'[1]LOCH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6" s="5" t="str">
        <f>IF(M1886="","",$E$2*1000*'[1]LOCH Calc COE Calc'!$C$44)</f>
        <v/>
      </c>
      <c r="S1886" s="6" t="str">
        <f>IF(N1886="","",SUM(O1886:R1886)/('[1]LOCH Calc COE Calc'!$C$28))</f>
        <v/>
      </c>
      <c r="T1886" t="str">
        <f>IF(L1886="","",O1886/'[1]LOCH Calc COE Calc'!$C$28)</f>
        <v/>
      </c>
      <c r="U1886" t="str">
        <f>IF(L1886="","",P1886/'[1]LOCH Calc COE Calc'!$C$28)</f>
        <v/>
      </c>
      <c r="V1886" t="str">
        <f>IF(L1886="","",Q1886/'[1]LOCH Calc COE Calc'!$C$28)</f>
        <v/>
      </c>
      <c r="W1886" t="str">
        <f>IF(L1886="","",R1886/'[1]LOCH Calc COE Calc'!$C$28)</f>
        <v/>
      </c>
    </row>
    <row r="1887" spans="12:23" x14ac:dyDescent="0.25">
      <c r="L1887" s="4" t="str">
        <f>IF('[1]All Data '!BE1892="","",'[1]All Data '!BE1892)</f>
        <v/>
      </c>
      <c r="M1887" t="str">
        <f>IF('[1]All Data '!BF1892="","",'[1]All Data '!BF1892)</f>
        <v/>
      </c>
      <c r="N1887" s="5" t="str">
        <f>IF('[1]All Data '!BB1892="","",'[1]All Data '!BC1892/'[1]All Data '!BH1892)</f>
        <v/>
      </c>
      <c r="O1887" s="5" t="str">
        <f t="shared" si="31"/>
        <v/>
      </c>
      <c r="P1887" s="5" t="str">
        <f>IF(M1887="","",$C$2*(1-L1887)*907.2/0.621371*N1887*[1]Transportation!$M$40)</f>
        <v/>
      </c>
      <c r="Q1887" s="5" t="str">
        <f>IF(L1887="","",IF([1]Inputs_Outputs!$B$5="Herbaceous",(LCA!$E$29*'[1]LOCH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7" s="5" t="str">
        <f>IF(M1887="","",$E$2*1000*'[1]LOCH Calc COE Calc'!$C$44)</f>
        <v/>
      </c>
      <c r="S1887" s="6" t="str">
        <f>IF(N1887="","",SUM(O1887:R1887)/('[1]LOCH Calc COE Calc'!$C$28))</f>
        <v/>
      </c>
      <c r="T1887" t="str">
        <f>IF(L1887="","",O1887/'[1]LOCH Calc COE Calc'!$C$28)</f>
        <v/>
      </c>
      <c r="U1887" t="str">
        <f>IF(L1887="","",P1887/'[1]LOCH Calc COE Calc'!$C$28)</f>
        <v/>
      </c>
      <c r="V1887" t="str">
        <f>IF(L1887="","",Q1887/'[1]LOCH Calc COE Calc'!$C$28)</f>
        <v/>
      </c>
      <c r="W1887" t="str">
        <f>IF(L1887="","",R1887/'[1]LOCH Calc COE Calc'!$C$28)</f>
        <v/>
      </c>
    </row>
    <row r="1888" spans="12:23" x14ac:dyDescent="0.25">
      <c r="L1888" s="4" t="str">
        <f>IF('[1]All Data '!BE1893="","",'[1]All Data '!BE1893)</f>
        <v/>
      </c>
      <c r="M1888" t="str">
        <f>IF('[1]All Data '!BF1893="","",'[1]All Data '!BF1893)</f>
        <v/>
      </c>
      <c r="N1888" s="5" t="str">
        <f>IF('[1]All Data '!BB1893="","",'[1]All Data '!BC1893/'[1]All Data '!BH1893)</f>
        <v/>
      </c>
      <c r="O1888" s="5" t="str">
        <f t="shared" si="31"/>
        <v/>
      </c>
      <c r="P1888" s="5" t="str">
        <f>IF(M1888="","",$C$2*(1-L1888)*907.2/0.621371*N1888*[1]Transportation!$M$40)</f>
        <v/>
      </c>
      <c r="Q1888" s="5" t="str">
        <f>IF(L1888="","",IF([1]Inputs_Outputs!$B$5="Herbaceous",(LCA!$E$29*'[1]LOCH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8" s="5" t="str">
        <f>IF(M1888="","",$E$2*1000*'[1]LOCH Calc COE Calc'!$C$44)</f>
        <v/>
      </c>
      <c r="S1888" s="6" t="str">
        <f>IF(N1888="","",SUM(O1888:R1888)/('[1]LOCH Calc COE Calc'!$C$28))</f>
        <v/>
      </c>
      <c r="T1888" t="str">
        <f>IF(L1888="","",O1888/'[1]LOCH Calc COE Calc'!$C$28)</f>
        <v/>
      </c>
      <c r="U1888" t="str">
        <f>IF(L1888="","",P1888/'[1]LOCH Calc COE Calc'!$C$28)</f>
        <v/>
      </c>
      <c r="V1888" t="str">
        <f>IF(L1888="","",Q1888/'[1]LOCH Calc COE Calc'!$C$28)</f>
        <v/>
      </c>
      <c r="W1888" t="str">
        <f>IF(L1888="","",R1888/'[1]LOCH Calc COE Calc'!$C$28)</f>
        <v/>
      </c>
    </row>
    <row r="1889" spans="12:23" x14ac:dyDescent="0.25">
      <c r="L1889" s="4" t="str">
        <f>IF('[1]All Data '!BE1894="","",'[1]All Data '!BE1894)</f>
        <v/>
      </c>
      <c r="M1889" t="str">
        <f>IF('[1]All Data '!BF1894="","",'[1]All Data '!BF1894)</f>
        <v/>
      </c>
      <c r="N1889" s="5" t="str">
        <f>IF('[1]All Data '!BB1894="","",'[1]All Data '!BC1894/'[1]All Data '!BH1894)</f>
        <v/>
      </c>
      <c r="O1889" s="5" t="str">
        <f t="shared" si="31"/>
        <v/>
      </c>
      <c r="P1889" s="5" t="str">
        <f>IF(M1889="","",$C$2*(1-L1889)*907.2/0.621371*N1889*[1]Transportation!$M$40)</f>
        <v/>
      </c>
      <c r="Q1889" s="5" t="str">
        <f>IF(L1889="","",IF([1]Inputs_Outputs!$B$5="Herbaceous",(LCA!$E$29*'[1]LOCH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89" s="5" t="str">
        <f>IF(M1889="","",$E$2*1000*'[1]LOCH Calc COE Calc'!$C$44)</f>
        <v/>
      </c>
      <c r="S1889" s="6" t="str">
        <f>IF(N1889="","",SUM(O1889:R1889)/('[1]LOCH Calc COE Calc'!$C$28))</f>
        <v/>
      </c>
      <c r="T1889" t="str">
        <f>IF(L1889="","",O1889/'[1]LOCH Calc COE Calc'!$C$28)</f>
        <v/>
      </c>
      <c r="U1889" t="str">
        <f>IF(L1889="","",P1889/'[1]LOCH Calc COE Calc'!$C$28)</f>
        <v/>
      </c>
      <c r="V1889" t="str">
        <f>IF(L1889="","",Q1889/'[1]LOCH Calc COE Calc'!$C$28)</f>
        <v/>
      </c>
      <c r="W1889" t="str">
        <f>IF(L1889="","",R1889/'[1]LOCH Calc COE Calc'!$C$28)</f>
        <v/>
      </c>
    </row>
    <row r="1890" spans="12:23" x14ac:dyDescent="0.25">
      <c r="L1890" s="4" t="str">
        <f>IF('[1]All Data '!BE1895="","",'[1]All Data '!BE1895)</f>
        <v/>
      </c>
      <c r="M1890" t="str">
        <f>IF('[1]All Data '!BF1895="","",'[1]All Data '!BF1895)</f>
        <v/>
      </c>
      <c r="N1890" s="5" t="str">
        <f>IF('[1]All Data '!BB1895="","",'[1]All Data '!BC1895/'[1]All Data '!BH1895)</f>
        <v/>
      </c>
      <c r="O1890" s="5" t="str">
        <f t="shared" si="31"/>
        <v/>
      </c>
      <c r="P1890" s="5" t="str">
        <f>IF(M1890="","",$C$2*(1-L1890)*907.2/0.621371*N1890*[1]Transportation!$M$40)</f>
        <v/>
      </c>
      <c r="Q1890" s="5" t="str">
        <f>IF(L1890="","",IF([1]Inputs_Outputs!$B$5="Herbaceous",(LCA!$E$29*'[1]LOCH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0" s="5" t="str">
        <f>IF(M1890="","",$E$2*1000*'[1]LOCH Calc COE Calc'!$C$44)</f>
        <v/>
      </c>
      <c r="S1890" s="6" t="str">
        <f>IF(N1890="","",SUM(O1890:R1890)/('[1]LOCH Calc COE Calc'!$C$28))</f>
        <v/>
      </c>
      <c r="T1890" t="str">
        <f>IF(L1890="","",O1890/'[1]LOCH Calc COE Calc'!$C$28)</f>
        <v/>
      </c>
      <c r="U1890" t="str">
        <f>IF(L1890="","",P1890/'[1]LOCH Calc COE Calc'!$C$28)</f>
        <v/>
      </c>
      <c r="V1890" t="str">
        <f>IF(L1890="","",Q1890/'[1]LOCH Calc COE Calc'!$C$28)</f>
        <v/>
      </c>
      <c r="W1890" t="str">
        <f>IF(L1890="","",R1890/'[1]LOCH Calc COE Calc'!$C$28)</f>
        <v/>
      </c>
    </row>
    <row r="1891" spans="12:23" x14ac:dyDescent="0.25">
      <c r="L1891" s="4" t="str">
        <f>IF('[1]All Data '!BE1896="","",'[1]All Data '!BE1896)</f>
        <v/>
      </c>
      <c r="M1891" t="str">
        <f>IF('[1]All Data '!BF1896="","",'[1]All Data '!BF1896)</f>
        <v/>
      </c>
      <c r="N1891" s="5" t="str">
        <f>IF('[1]All Data '!BB1896="","",'[1]All Data '!BC1896/'[1]All Data '!BH1896)</f>
        <v/>
      </c>
      <c r="O1891" s="5" t="str">
        <f t="shared" si="31"/>
        <v/>
      </c>
      <c r="P1891" s="5" t="str">
        <f>IF(M1891="","",$C$2*(1-L1891)*907.2/0.621371*N1891*[1]Transportation!$M$40)</f>
        <v/>
      </c>
      <c r="Q1891" s="5" t="str">
        <f>IF(L1891="","",IF([1]Inputs_Outputs!$B$5="Herbaceous",(LCA!$E$29*'[1]LOCH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1" s="5" t="str">
        <f>IF(M1891="","",$E$2*1000*'[1]LOCH Calc COE Calc'!$C$44)</f>
        <v/>
      </c>
      <c r="S1891" s="6" t="str">
        <f>IF(N1891="","",SUM(O1891:R1891)/('[1]LOCH Calc COE Calc'!$C$28))</f>
        <v/>
      </c>
      <c r="T1891" t="str">
        <f>IF(L1891="","",O1891/'[1]LOCH Calc COE Calc'!$C$28)</f>
        <v/>
      </c>
      <c r="U1891" t="str">
        <f>IF(L1891="","",P1891/'[1]LOCH Calc COE Calc'!$C$28)</f>
        <v/>
      </c>
      <c r="V1891" t="str">
        <f>IF(L1891="","",Q1891/'[1]LOCH Calc COE Calc'!$C$28)</f>
        <v/>
      </c>
      <c r="W1891" t="str">
        <f>IF(L1891="","",R1891/'[1]LOCH Calc COE Calc'!$C$28)</f>
        <v/>
      </c>
    </row>
    <row r="1892" spans="12:23" x14ac:dyDescent="0.25">
      <c r="L1892" s="4" t="str">
        <f>IF('[1]All Data '!BE1897="","",'[1]All Data '!BE1897)</f>
        <v/>
      </c>
      <c r="M1892" t="str">
        <f>IF('[1]All Data '!BF1897="","",'[1]All Data '!BF1897)</f>
        <v/>
      </c>
      <c r="N1892" s="5" t="str">
        <f>IF('[1]All Data '!BB1897="","",'[1]All Data '!BC1897/'[1]All Data '!BH1897)</f>
        <v/>
      </c>
      <c r="O1892" s="5" t="str">
        <f t="shared" si="31"/>
        <v/>
      </c>
      <c r="P1892" s="5" t="str">
        <f>IF(M1892="","",$C$2*(1-L1892)*907.2/0.621371*N1892*[1]Transportation!$M$40)</f>
        <v/>
      </c>
      <c r="Q1892" s="5" t="str">
        <f>IF(L1892="","",IF([1]Inputs_Outputs!$B$5="Herbaceous",(LCA!$E$29*'[1]LOCH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2" s="5" t="str">
        <f>IF(M1892="","",$E$2*1000*'[1]LOCH Calc COE Calc'!$C$44)</f>
        <v/>
      </c>
      <c r="S1892" s="6" t="str">
        <f>IF(N1892="","",SUM(O1892:R1892)/('[1]LOCH Calc COE Calc'!$C$28))</f>
        <v/>
      </c>
      <c r="T1892" t="str">
        <f>IF(L1892="","",O1892/'[1]LOCH Calc COE Calc'!$C$28)</f>
        <v/>
      </c>
      <c r="U1892" t="str">
        <f>IF(L1892="","",P1892/'[1]LOCH Calc COE Calc'!$C$28)</f>
        <v/>
      </c>
      <c r="V1892" t="str">
        <f>IF(L1892="","",Q1892/'[1]LOCH Calc COE Calc'!$C$28)</f>
        <v/>
      </c>
      <c r="W1892" t="str">
        <f>IF(L1892="","",R1892/'[1]LOCH Calc COE Calc'!$C$28)</f>
        <v/>
      </c>
    </row>
    <row r="1893" spans="12:23" x14ac:dyDescent="0.25">
      <c r="L1893" s="4" t="str">
        <f>IF('[1]All Data '!BE1898="","",'[1]All Data '!BE1898)</f>
        <v/>
      </c>
      <c r="M1893" t="str">
        <f>IF('[1]All Data '!BF1898="","",'[1]All Data '!BF1898)</f>
        <v/>
      </c>
      <c r="N1893" s="5" t="str">
        <f>IF('[1]All Data '!BB1898="","",'[1]All Data '!BC1898/'[1]All Data '!BH1898)</f>
        <v/>
      </c>
      <c r="O1893" s="5" t="str">
        <f t="shared" si="31"/>
        <v/>
      </c>
      <c r="P1893" s="5" t="str">
        <f>IF(M1893="","",$C$2*(1-L1893)*907.2/0.621371*N1893*[1]Transportation!$M$40)</f>
        <v/>
      </c>
      <c r="Q1893" s="5" t="str">
        <f>IF(L1893="","",IF([1]Inputs_Outputs!$B$5="Herbaceous",(LCA!$E$29*'[1]LOCH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3" s="5" t="str">
        <f>IF(M1893="","",$E$2*1000*'[1]LOCH Calc COE Calc'!$C$44)</f>
        <v/>
      </c>
      <c r="S1893" s="6" t="str">
        <f>IF(N1893="","",SUM(O1893:R1893)/('[1]LOCH Calc COE Calc'!$C$28))</f>
        <v/>
      </c>
      <c r="T1893" t="str">
        <f>IF(L1893="","",O1893/'[1]LOCH Calc COE Calc'!$C$28)</f>
        <v/>
      </c>
      <c r="U1893" t="str">
        <f>IF(L1893="","",P1893/'[1]LOCH Calc COE Calc'!$C$28)</f>
        <v/>
      </c>
      <c r="V1893" t="str">
        <f>IF(L1893="","",Q1893/'[1]LOCH Calc COE Calc'!$C$28)</f>
        <v/>
      </c>
      <c r="W1893" t="str">
        <f>IF(L1893="","",R1893/'[1]LOCH Calc COE Calc'!$C$28)</f>
        <v/>
      </c>
    </row>
    <row r="1894" spans="12:23" x14ac:dyDescent="0.25">
      <c r="L1894" s="4" t="str">
        <f>IF('[1]All Data '!BE1899="","",'[1]All Data '!BE1899)</f>
        <v/>
      </c>
      <c r="M1894" t="str">
        <f>IF('[1]All Data '!BF1899="","",'[1]All Data '!BF1899)</f>
        <v/>
      </c>
      <c r="N1894" s="5" t="str">
        <f>IF('[1]All Data '!BB1899="","",'[1]All Data '!BC1899/'[1]All Data '!BH1899)</f>
        <v/>
      </c>
      <c r="O1894" s="5" t="str">
        <f t="shared" si="31"/>
        <v/>
      </c>
      <c r="P1894" s="5" t="str">
        <f>IF(M1894="","",$C$2*(1-L1894)*907.2/0.621371*N1894*[1]Transportation!$M$40)</f>
        <v/>
      </c>
      <c r="Q1894" s="5" t="str">
        <f>IF(L1894="","",IF([1]Inputs_Outputs!$B$5="Herbaceous",(LCA!$E$29*'[1]LOCH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4" s="5" t="str">
        <f>IF(M1894="","",$E$2*1000*'[1]LOCH Calc COE Calc'!$C$44)</f>
        <v/>
      </c>
      <c r="S1894" s="6" t="str">
        <f>IF(N1894="","",SUM(O1894:R1894)/('[1]LOCH Calc COE Calc'!$C$28))</f>
        <v/>
      </c>
      <c r="T1894" t="str">
        <f>IF(L1894="","",O1894/'[1]LOCH Calc COE Calc'!$C$28)</f>
        <v/>
      </c>
      <c r="U1894" t="str">
        <f>IF(L1894="","",P1894/'[1]LOCH Calc COE Calc'!$C$28)</f>
        <v/>
      </c>
      <c r="V1894" t="str">
        <f>IF(L1894="","",Q1894/'[1]LOCH Calc COE Calc'!$C$28)</f>
        <v/>
      </c>
      <c r="W1894" t="str">
        <f>IF(L1894="","",R1894/'[1]LOCH Calc COE Calc'!$C$28)</f>
        <v/>
      </c>
    </row>
    <row r="1895" spans="12:23" x14ac:dyDescent="0.25">
      <c r="L1895" s="4" t="str">
        <f>IF('[1]All Data '!BE1900="","",'[1]All Data '!BE1900)</f>
        <v/>
      </c>
      <c r="M1895" t="str">
        <f>IF('[1]All Data '!BF1900="","",'[1]All Data '!BF1900)</f>
        <v/>
      </c>
      <c r="N1895" s="5" t="str">
        <f>IF('[1]All Data '!BB1900="","",'[1]All Data '!BC1900/'[1]All Data '!BH1900)</f>
        <v/>
      </c>
      <c r="O1895" s="5" t="str">
        <f t="shared" si="31"/>
        <v/>
      </c>
      <c r="P1895" s="5" t="str">
        <f>IF(M1895="","",$C$2*(1-L1895)*907.2/0.621371*N1895*[1]Transportation!$M$40)</f>
        <v/>
      </c>
      <c r="Q1895" s="5" t="str">
        <f>IF(L1895="","",IF([1]Inputs_Outputs!$B$5="Herbaceous",(LCA!$E$29*'[1]LOCH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5" s="5" t="str">
        <f>IF(M1895="","",$E$2*1000*'[1]LOCH Calc COE Calc'!$C$44)</f>
        <v/>
      </c>
      <c r="S1895" s="6" t="str">
        <f>IF(N1895="","",SUM(O1895:R1895)/('[1]LOCH Calc COE Calc'!$C$28))</f>
        <v/>
      </c>
      <c r="T1895" t="str">
        <f>IF(L1895="","",O1895/'[1]LOCH Calc COE Calc'!$C$28)</f>
        <v/>
      </c>
      <c r="U1895" t="str">
        <f>IF(L1895="","",P1895/'[1]LOCH Calc COE Calc'!$C$28)</f>
        <v/>
      </c>
      <c r="V1895" t="str">
        <f>IF(L1895="","",Q1895/'[1]LOCH Calc COE Calc'!$C$28)</f>
        <v/>
      </c>
      <c r="W1895" t="str">
        <f>IF(L1895="","",R1895/'[1]LOCH Calc COE Calc'!$C$28)</f>
        <v/>
      </c>
    </row>
    <row r="1896" spans="12:23" x14ac:dyDescent="0.25">
      <c r="L1896" s="4" t="str">
        <f>IF('[1]All Data '!BE1901="","",'[1]All Data '!BE1901)</f>
        <v/>
      </c>
      <c r="M1896" t="str">
        <f>IF('[1]All Data '!BF1901="","",'[1]All Data '!BF1901)</f>
        <v/>
      </c>
      <c r="N1896" s="5" t="str">
        <f>IF('[1]All Data '!BB1901="","",'[1]All Data '!BC1901/'[1]All Data '!BH1901)</f>
        <v/>
      </c>
      <c r="O1896" s="5" t="str">
        <f t="shared" si="31"/>
        <v/>
      </c>
      <c r="P1896" s="5" t="str">
        <f>IF(M1896="","",$C$2*(1-L1896)*907.2/0.621371*N1896*[1]Transportation!$M$40)</f>
        <v/>
      </c>
      <c r="Q1896" s="5" t="str">
        <f>IF(L1896="","",IF([1]Inputs_Outputs!$B$5="Herbaceous",(LCA!$E$29*'[1]LOCH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6" s="5" t="str">
        <f>IF(M1896="","",$E$2*1000*'[1]LOCH Calc COE Calc'!$C$44)</f>
        <v/>
      </c>
      <c r="S1896" s="6" t="str">
        <f>IF(N1896="","",SUM(O1896:R1896)/('[1]LOCH Calc COE Calc'!$C$28))</f>
        <v/>
      </c>
      <c r="T1896" t="str">
        <f>IF(L1896="","",O1896/'[1]LOCH Calc COE Calc'!$C$28)</f>
        <v/>
      </c>
      <c r="U1896" t="str">
        <f>IF(L1896="","",P1896/'[1]LOCH Calc COE Calc'!$C$28)</f>
        <v/>
      </c>
      <c r="V1896" t="str">
        <f>IF(L1896="","",Q1896/'[1]LOCH Calc COE Calc'!$C$28)</f>
        <v/>
      </c>
      <c r="W1896" t="str">
        <f>IF(L1896="","",R1896/'[1]LOCH Calc COE Calc'!$C$28)</f>
        <v/>
      </c>
    </row>
    <row r="1897" spans="12:23" x14ac:dyDescent="0.25">
      <c r="L1897" s="4" t="str">
        <f>IF('[1]All Data '!BE1902="","",'[1]All Data '!BE1902)</f>
        <v/>
      </c>
      <c r="M1897" t="str">
        <f>IF('[1]All Data '!BF1902="","",'[1]All Data '!BF1902)</f>
        <v/>
      </c>
      <c r="N1897" s="5" t="str">
        <f>IF('[1]All Data '!BB1902="","",'[1]All Data '!BC1902/'[1]All Data '!BH1902)</f>
        <v/>
      </c>
      <c r="O1897" s="5" t="str">
        <f t="shared" si="31"/>
        <v/>
      </c>
      <c r="P1897" s="5" t="str">
        <f>IF(M1897="","",$C$2*(1-L1897)*907.2/0.621371*N1897*[1]Transportation!$M$40)</f>
        <v/>
      </c>
      <c r="Q1897" s="5" t="str">
        <f>IF(L1897="","",IF([1]Inputs_Outputs!$B$5="Herbaceous",(LCA!$E$29*'[1]LOCH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7" s="5" t="str">
        <f>IF(M1897="","",$E$2*1000*'[1]LOCH Calc COE Calc'!$C$44)</f>
        <v/>
      </c>
      <c r="S1897" s="6" t="str">
        <f>IF(N1897="","",SUM(O1897:R1897)/('[1]LOCH Calc COE Calc'!$C$28))</f>
        <v/>
      </c>
      <c r="T1897" t="str">
        <f>IF(L1897="","",O1897/'[1]LOCH Calc COE Calc'!$C$28)</f>
        <v/>
      </c>
      <c r="U1897" t="str">
        <f>IF(L1897="","",P1897/'[1]LOCH Calc COE Calc'!$C$28)</f>
        <v/>
      </c>
      <c r="V1897" t="str">
        <f>IF(L1897="","",Q1897/'[1]LOCH Calc COE Calc'!$C$28)</f>
        <v/>
      </c>
      <c r="W1897" t="str">
        <f>IF(L1897="","",R1897/'[1]LOCH Calc COE Calc'!$C$28)</f>
        <v/>
      </c>
    </row>
    <row r="1898" spans="12:23" x14ac:dyDescent="0.25">
      <c r="L1898" s="4" t="str">
        <f>IF('[1]All Data '!BE1903="","",'[1]All Data '!BE1903)</f>
        <v/>
      </c>
      <c r="M1898" t="str">
        <f>IF('[1]All Data '!BF1903="","",'[1]All Data '!BF1903)</f>
        <v/>
      </c>
      <c r="N1898" s="5" t="str">
        <f>IF('[1]All Data '!BB1903="","",'[1]All Data '!BC1903/'[1]All Data '!BH1903)</f>
        <v/>
      </c>
      <c r="O1898" s="5" t="str">
        <f t="shared" si="31"/>
        <v/>
      </c>
      <c r="P1898" s="5" t="str">
        <f>IF(M1898="","",$C$2*(1-L1898)*907.2/0.621371*N1898*[1]Transportation!$M$40)</f>
        <v/>
      </c>
      <c r="Q1898" s="5" t="str">
        <f>IF(L1898="","",IF([1]Inputs_Outputs!$B$5="Herbaceous",(LCA!$E$29*'[1]LOCH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8" s="5" t="str">
        <f>IF(M1898="","",$E$2*1000*'[1]LOCH Calc COE Calc'!$C$44)</f>
        <v/>
      </c>
      <c r="S1898" s="6" t="str">
        <f>IF(N1898="","",SUM(O1898:R1898)/('[1]LOCH Calc COE Calc'!$C$28))</f>
        <v/>
      </c>
      <c r="T1898" t="str">
        <f>IF(L1898="","",O1898/'[1]LOCH Calc COE Calc'!$C$28)</f>
        <v/>
      </c>
      <c r="U1898" t="str">
        <f>IF(L1898="","",P1898/'[1]LOCH Calc COE Calc'!$C$28)</f>
        <v/>
      </c>
      <c r="V1898" t="str">
        <f>IF(L1898="","",Q1898/'[1]LOCH Calc COE Calc'!$C$28)</f>
        <v/>
      </c>
      <c r="W1898" t="str">
        <f>IF(L1898="","",R1898/'[1]LOCH Calc COE Calc'!$C$28)</f>
        <v/>
      </c>
    </row>
    <row r="1899" spans="12:23" x14ac:dyDescent="0.25">
      <c r="L1899" s="4" t="str">
        <f>IF('[1]All Data '!BE1904="","",'[1]All Data '!BE1904)</f>
        <v/>
      </c>
      <c r="M1899" t="str">
        <f>IF('[1]All Data '!BF1904="","",'[1]All Data '!BF1904)</f>
        <v/>
      </c>
      <c r="N1899" s="5" t="str">
        <f>IF('[1]All Data '!BB1904="","",'[1]All Data '!BC1904/'[1]All Data '!BH1904)</f>
        <v/>
      </c>
      <c r="O1899" s="5" t="str">
        <f t="shared" si="31"/>
        <v/>
      </c>
      <c r="P1899" s="5" t="str">
        <f>IF(M1899="","",$C$2*(1-L1899)*907.2/0.621371*N1899*[1]Transportation!$M$40)</f>
        <v/>
      </c>
      <c r="Q1899" s="5" t="str">
        <f>IF(L1899="","",IF([1]Inputs_Outputs!$B$5="Herbaceous",(LCA!$E$29*'[1]LOCH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899" s="5" t="str">
        <f>IF(M1899="","",$E$2*1000*'[1]LOCH Calc COE Calc'!$C$44)</f>
        <v/>
      </c>
      <c r="S1899" s="6" t="str">
        <f>IF(N1899="","",SUM(O1899:R1899)/('[1]LOCH Calc COE Calc'!$C$28))</f>
        <v/>
      </c>
      <c r="T1899" t="str">
        <f>IF(L1899="","",O1899/'[1]LOCH Calc COE Calc'!$C$28)</f>
        <v/>
      </c>
      <c r="U1899" t="str">
        <f>IF(L1899="","",P1899/'[1]LOCH Calc COE Calc'!$C$28)</f>
        <v/>
      </c>
      <c r="V1899" t="str">
        <f>IF(L1899="","",Q1899/'[1]LOCH Calc COE Calc'!$C$28)</f>
        <v/>
      </c>
      <c r="W1899" t="str">
        <f>IF(L1899="","",R1899/'[1]LOCH Calc COE Calc'!$C$28)</f>
        <v/>
      </c>
    </row>
    <row r="1900" spans="12:23" x14ac:dyDescent="0.25">
      <c r="L1900" s="4" t="str">
        <f>IF('[1]All Data '!BE1905="","",'[1]All Data '!BE1905)</f>
        <v/>
      </c>
      <c r="M1900" t="str">
        <f>IF('[1]All Data '!BF1905="","",'[1]All Data '!BF1905)</f>
        <v/>
      </c>
      <c r="N1900" s="5" t="str">
        <f>IF('[1]All Data '!BB1905="","",'[1]All Data '!BC1905/'[1]All Data '!BH1905)</f>
        <v/>
      </c>
      <c r="O1900" s="5" t="str">
        <f t="shared" si="31"/>
        <v/>
      </c>
      <c r="P1900" s="5" t="str">
        <f>IF(M1900="","",$C$2*(1-L1900)*907.2/0.621371*N1900*[1]Transportation!$M$40)</f>
        <v/>
      </c>
      <c r="Q1900" s="5" t="str">
        <f>IF(L1900="","",IF([1]Inputs_Outputs!$B$5="Herbaceous",(LCA!$E$29*'[1]LOCH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0" s="5" t="str">
        <f>IF(M1900="","",$E$2*1000*'[1]LOCH Calc COE Calc'!$C$44)</f>
        <v/>
      </c>
      <c r="S1900" s="6" t="str">
        <f>IF(N1900="","",SUM(O1900:R1900)/('[1]LOCH Calc COE Calc'!$C$28))</f>
        <v/>
      </c>
      <c r="T1900" t="str">
        <f>IF(L1900="","",O1900/'[1]LOCH Calc COE Calc'!$C$28)</f>
        <v/>
      </c>
      <c r="U1900" t="str">
        <f>IF(L1900="","",P1900/'[1]LOCH Calc COE Calc'!$C$28)</f>
        <v/>
      </c>
      <c r="V1900" t="str">
        <f>IF(L1900="","",Q1900/'[1]LOCH Calc COE Calc'!$C$28)</f>
        <v/>
      </c>
      <c r="W1900" t="str">
        <f>IF(L1900="","",R1900/'[1]LOCH Calc COE Calc'!$C$28)</f>
        <v/>
      </c>
    </row>
    <row r="1901" spans="12:23" x14ac:dyDescent="0.25">
      <c r="L1901" s="4" t="str">
        <f>IF('[1]All Data '!BE1906="","",'[1]All Data '!BE1906)</f>
        <v/>
      </c>
      <c r="M1901" t="str">
        <f>IF('[1]All Data '!BF1906="","",'[1]All Data '!BF1906)</f>
        <v/>
      </c>
      <c r="N1901" s="5" t="str">
        <f>IF('[1]All Data '!BB1906="","",'[1]All Data '!BC1906/'[1]All Data '!BH1906)</f>
        <v/>
      </c>
      <c r="O1901" s="5" t="str">
        <f t="shared" si="31"/>
        <v/>
      </c>
      <c r="P1901" s="5" t="str">
        <f>IF(M1901="","",$C$2*(1-L1901)*907.2/0.621371*N1901*[1]Transportation!$M$40)</f>
        <v/>
      </c>
      <c r="Q1901" s="5" t="str">
        <f>IF(L1901="","",IF([1]Inputs_Outputs!$B$5="Herbaceous",(LCA!$E$29*'[1]LOCH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1" s="5" t="str">
        <f>IF(M1901="","",$E$2*1000*'[1]LOCH Calc COE Calc'!$C$44)</f>
        <v/>
      </c>
      <c r="S1901" s="6" t="str">
        <f>IF(N1901="","",SUM(O1901:R1901)/('[1]LOCH Calc COE Calc'!$C$28))</f>
        <v/>
      </c>
      <c r="T1901" t="str">
        <f>IF(L1901="","",O1901/'[1]LOCH Calc COE Calc'!$C$28)</f>
        <v/>
      </c>
      <c r="U1901" t="str">
        <f>IF(L1901="","",P1901/'[1]LOCH Calc COE Calc'!$C$28)</f>
        <v/>
      </c>
      <c r="V1901" t="str">
        <f>IF(L1901="","",Q1901/'[1]LOCH Calc COE Calc'!$C$28)</f>
        <v/>
      </c>
      <c r="W1901" t="str">
        <f>IF(L1901="","",R1901/'[1]LOCH Calc COE Calc'!$C$28)</f>
        <v/>
      </c>
    </row>
    <row r="1902" spans="12:23" x14ac:dyDescent="0.25">
      <c r="L1902" s="4" t="str">
        <f>IF('[1]All Data '!BE1907="","",'[1]All Data '!BE1907)</f>
        <v/>
      </c>
      <c r="M1902" t="str">
        <f>IF('[1]All Data '!BF1907="","",'[1]All Data '!BF1907)</f>
        <v/>
      </c>
      <c r="N1902" s="5" t="str">
        <f>IF('[1]All Data '!BB1907="","",'[1]All Data '!BC1907/'[1]All Data '!BH1907)</f>
        <v/>
      </c>
      <c r="O1902" s="5" t="str">
        <f t="shared" si="31"/>
        <v/>
      </c>
      <c r="P1902" s="5" t="str">
        <f>IF(M1902="","",$C$2*(1-L1902)*907.2/0.621371*N1902*[1]Transportation!$M$40)</f>
        <v/>
      </c>
      <c r="Q1902" s="5" t="str">
        <f>IF(L1902="","",IF([1]Inputs_Outputs!$B$5="Herbaceous",(LCA!$E$29*'[1]LOCH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2" s="5" t="str">
        <f>IF(M1902="","",$E$2*1000*'[1]LOCH Calc COE Calc'!$C$44)</f>
        <v/>
      </c>
      <c r="S1902" s="6" t="str">
        <f>IF(N1902="","",SUM(O1902:R1902)/('[1]LOCH Calc COE Calc'!$C$28))</f>
        <v/>
      </c>
      <c r="T1902" t="str">
        <f>IF(L1902="","",O1902/'[1]LOCH Calc COE Calc'!$C$28)</f>
        <v/>
      </c>
      <c r="U1902" t="str">
        <f>IF(L1902="","",P1902/'[1]LOCH Calc COE Calc'!$C$28)</f>
        <v/>
      </c>
      <c r="V1902" t="str">
        <f>IF(L1902="","",Q1902/'[1]LOCH Calc COE Calc'!$C$28)</f>
        <v/>
      </c>
      <c r="W1902" t="str">
        <f>IF(L1902="","",R1902/'[1]LOCH Calc COE Calc'!$C$28)</f>
        <v/>
      </c>
    </row>
    <row r="1903" spans="12:23" x14ac:dyDescent="0.25">
      <c r="L1903" s="4" t="str">
        <f>IF('[1]All Data '!BE1908="","",'[1]All Data '!BE1908)</f>
        <v/>
      </c>
      <c r="M1903" t="str">
        <f>IF('[1]All Data '!BF1908="","",'[1]All Data '!BF1908)</f>
        <v/>
      </c>
      <c r="N1903" s="5" t="str">
        <f>IF('[1]All Data '!BB1908="","",'[1]All Data '!BC1908/'[1]All Data '!BH1908)</f>
        <v/>
      </c>
      <c r="O1903" s="5" t="str">
        <f t="shared" si="31"/>
        <v/>
      </c>
      <c r="P1903" s="5" t="str">
        <f>IF(M1903="","",$C$2*(1-L1903)*907.2/0.621371*N1903*[1]Transportation!$M$40)</f>
        <v/>
      </c>
      <c r="Q1903" s="5" t="str">
        <f>IF(L1903="","",IF([1]Inputs_Outputs!$B$5="Herbaceous",(LCA!$E$29*'[1]LOCH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3" s="5" t="str">
        <f>IF(M1903="","",$E$2*1000*'[1]LOCH Calc COE Calc'!$C$44)</f>
        <v/>
      </c>
      <c r="S1903" s="6" t="str">
        <f>IF(N1903="","",SUM(O1903:R1903)/('[1]LOCH Calc COE Calc'!$C$28))</f>
        <v/>
      </c>
      <c r="T1903" t="str">
        <f>IF(L1903="","",O1903/'[1]LOCH Calc COE Calc'!$C$28)</f>
        <v/>
      </c>
      <c r="U1903" t="str">
        <f>IF(L1903="","",P1903/'[1]LOCH Calc COE Calc'!$C$28)</f>
        <v/>
      </c>
      <c r="V1903" t="str">
        <f>IF(L1903="","",Q1903/'[1]LOCH Calc COE Calc'!$C$28)</f>
        <v/>
      </c>
      <c r="W1903" t="str">
        <f>IF(L1903="","",R1903/'[1]LOCH Calc COE Calc'!$C$28)</f>
        <v/>
      </c>
    </row>
    <row r="1904" spans="12:23" x14ac:dyDescent="0.25">
      <c r="L1904" s="4" t="str">
        <f>IF('[1]All Data '!BE1909="","",'[1]All Data '!BE1909)</f>
        <v/>
      </c>
      <c r="M1904" t="str">
        <f>IF('[1]All Data '!BF1909="","",'[1]All Data '!BF1909)</f>
        <v/>
      </c>
      <c r="N1904" s="5" t="str">
        <f>IF('[1]All Data '!BB1909="","",'[1]All Data '!BC1909/'[1]All Data '!BH1909)</f>
        <v/>
      </c>
      <c r="O1904" s="5" t="str">
        <f t="shared" si="31"/>
        <v/>
      </c>
      <c r="P1904" s="5" t="str">
        <f>IF(M1904="","",$C$2*(1-L1904)*907.2/0.621371*N1904*[1]Transportation!$M$40)</f>
        <v/>
      </c>
      <c r="Q1904" s="5" t="str">
        <f>IF(L1904="","",IF([1]Inputs_Outputs!$B$5="Herbaceous",(LCA!$E$29*'[1]LOCH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4" s="5" t="str">
        <f>IF(M1904="","",$E$2*1000*'[1]LOCH Calc COE Calc'!$C$44)</f>
        <v/>
      </c>
      <c r="S1904" s="6" t="str">
        <f>IF(N1904="","",SUM(O1904:R1904)/('[1]LOCH Calc COE Calc'!$C$28))</f>
        <v/>
      </c>
      <c r="T1904" t="str">
        <f>IF(L1904="","",O1904/'[1]LOCH Calc COE Calc'!$C$28)</f>
        <v/>
      </c>
      <c r="U1904" t="str">
        <f>IF(L1904="","",P1904/'[1]LOCH Calc COE Calc'!$C$28)</f>
        <v/>
      </c>
      <c r="V1904" t="str">
        <f>IF(L1904="","",Q1904/'[1]LOCH Calc COE Calc'!$C$28)</f>
        <v/>
      </c>
      <c r="W1904" t="str">
        <f>IF(L1904="","",R1904/'[1]LOCH Calc COE Calc'!$C$28)</f>
        <v/>
      </c>
    </row>
    <row r="1905" spans="12:23" x14ac:dyDescent="0.25">
      <c r="L1905" s="4" t="str">
        <f>IF('[1]All Data '!BE1910="","",'[1]All Data '!BE1910)</f>
        <v/>
      </c>
      <c r="M1905" t="str">
        <f>IF('[1]All Data '!BF1910="","",'[1]All Data '!BF1910)</f>
        <v/>
      </c>
      <c r="N1905" s="5" t="str">
        <f>IF('[1]All Data '!BB1910="","",'[1]All Data '!BC1910/'[1]All Data '!BH1910)</f>
        <v/>
      </c>
      <c r="O1905" s="5" t="str">
        <f t="shared" si="31"/>
        <v/>
      </c>
      <c r="P1905" s="5" t="str">
        <f>IF(M1905="","",$C$2*(1-L1905)*907.2/0.621371*N1905*[1]Transportation!$M$40)</f>
        <v/>
      </c>
      <c r="Q1905" s="5" t="str">
        <f>IF(L1905="","",IF([1]Inputs_Outputs!$B$5="Herbaceous",(LCA!$E$29*'[1]LOCH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5" s="5" t="str">
        <f>IF(M1905="","",$E$2*1000*'[1]LOCH Calc COE Calc'!$C$44)</f>
        <v/>
      </c>
      <c r="S1905" s="6" t="str">
        <f>IF(N1905="","",SUM(O1905:R1905)/('[1]LOCH Calc COE Calc'!$C$28))</f>
        <v/>
      </c>
      <c r="T1905" t="str">
        <f>IF(L1905="","",O1905/'[1]LOCH Calc COE Calc'!$C$28)</f>
        <v/>
      </c>
      <c r="U1905" t="str">
        <f>IF(L1905="","",P1905/'[1]LOCH Calc COE Calc'!$C$28)</f>
        <v/>
      </c>
      <c r="V1905" t="str">
        <f>IF(L1905="","",Q1905/'[1]LOCH Calc COE Calc'!$C$28)</f>
        <v/>
      </c>
      <c r="W1905" t="str">
        <f>IF(L1905="","",R1905/'[1]LOCH Calc COE Calc'!$C$28)</f>
        <v/>
      </c>
    </row>
    <row r="1906" spans="12:23" x14ac:dyDescent="0.25">
      <c r="L1906" s="4" t="str">
        <f>IF('[1]All Data '!BE1911="","",'[1]All Data '!BE1911)</f>
        <v/>
      </c>
      <c r="M1906" t="str">
        <f>IF('[1]All Data '!BF1911="","",'[1]All Data '!BF1911)</f>
        <v/>
      </c>
      <c r="N1906" s="5" t="str">
        <f>IF('[1]All Data '!BB1911="","",'[1]All Data '!BC1911/'[1]All Data '!BH1911)</f>
        <v/>
      </c>
      <c r="O1906" s="5" t="str">
        <f t="shared" si="31"/>
        <v/>
      </c>
      <c r="P1906" s="5" t="str">
        <f>IF(M1906="","",$C$2*(1-L1906)*907.2/0.621371*N1906*[1]Transportation!$M$40)</f>
        <v/>
      </c>
      <c r="Q1906" s="5" t="str">
        <f>IF(L1906="","",IF([1]Inputs_Outputs!$B$5="Herbaceous",(LCA!$E$29*'[1]LOCH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6" s="5" t="str">
        <f>IF(M1906="","",$E$2*1000*'[1]LOCH Calc COE Calc'!$C$44)</f>
        <v/>
      </c>
      <c r="S1906" s="6" t="str">
        <f>IF(N1906="","",SUM(O1906:R1906)/('[1]LOCH Calc COE Calc'!$C$28))</f>
        <v/>
      </c>
      <c r="T1906" t="str">
        <f>IF(L1906="","",O1906/'[1]LOCH Calc COE Calc'!$C$28)</f>
        <v/>
      </c>
      <c r="U1906" t="str">
        <f>IF(L1906="","",P1906/'[1]LOCH Calc COE Calc'!$C$28)</f>
        <v/>
      </c>
      <c r="V1906" t="str">
        <f>IF(L1906="","",Q1906/'[1]LOCH Calc COE Calc'!$C$28)</f>
        <v/>
      </c>
      <c r="W1906" t="str">
        <f>IF(L1906="","",R1906/'[1]LOCH Calc COE Calc'!$C$28)</f>
        <v/>
      </c>
    </row>
    <row r="1907" spans="12:23" x14ac:dyDescent="0.25">
      <c r="L1907" s="4" t="str">
        <f>IF('[1]All Data '!BE1912="","",'[1]All Data '!BE1912)</f>
        <v/>
      </c>
      <c r="M1907" t="str">
        <f>IF('[1]All Data '!BF1912="","",'[1]All Data '!BF1912)</f>
        <v/>
      </c>
      <c r="N1907" s="5" t="str">
        <f>IF('[1]All Data '!BB1912="","",'[1]All Data '!BC1912/'[1]All Data '!BH1912)</f>
        <v/>
      </c>
      <c r="O1907" s="5" t="str">
        <f t="shared" si="31"/>
        <v/>
      </c>
      <c r="P1907" s="5" t="str">
        <f>IF(M1907="","",$C$2*(1-L1907)*907.2/0.621371*N1907*[1]Transportation!$M$40)</f>
        <v/>
      </c>
      <c r="Q1907" s="5" t="str">
        <f>IF(L1907="","",IF([1]Inputs_Outputs!$B$5="Herbaceous",(LCA!$E$29*'[1]LOCH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7" s="5" t="str">
        <f>IF(M1907="","",$E$2*1000*'[1]LOCH Calc COE Calc'!$C$44)</f>
        <v/>
      </c>
      <c r="S1907" s="6" t="str">
        <f>IF(N1907="","",SUM(O1907:R1907)/('[1]LOCH Calc COE Calc'!$C$28))</f>
        <v/>
      </c>
      <c r="T1907" t="str">
        <f>IF(L1907="","",O1907/'[1]LOCH Calc COE Calc'!$C$28)</f>
        <v/>
      </c>
      <c r="U1907" t="str">
        <f>IF(L1907="","",P1907/'[1]LOCH Calc COE Calc'!$C$28)</f>
        <v/>
      </c>
      <c r="V1907" t="str">
        <f>IF(L1907="","",Q1907/'[1]LOCH Calc COE Calc'!$C$28)</f>
        <v/>
      </c>
      <c r="W1907" t="str">
        <f>IF(L1907="","",R1907/'[1]LOCH Calc COE Calc'!$C$28)</f>
        <v/>
      </c>
    </row>
    <row r="1908" spans="12:23" x14ac:dyDescent="0.25">
      <c r="L1908" s="4" t="str">
        <f>IF('[1]All Data '!BE1913="","",'[1]All Data '!BE1913)</f>
        <v/>
      </c>
      <c r="M1908" t="str">
        <f>IF('[1]All Data '!BF1913="","",'[1]All Data '!BF1913)</f>
        <v/>
      </c>
      <c r="N1908" s="5" t="str">
        <f>IF('[1]All Data '!BB1913="","",'[1]All Data '!BC1913/'[1]All Data '!BH1913)</f>
        <v/>
      </c>
      <c r="O1908" s="5" t="str">
        <f t="shared" si="31"/>
        <v/>
      </c>
      <c r="P1908" s="5" t="str">
        <f>IF(M1908="","",$C$2*(1-L1908)*907.2/0.621371*N1908*[1]Transportation!$M$40)</f>
        <v/>
      </c>
      <c r="Q1908" s="5" t="str">
        <f>IF(L1908="","",IF([1]Inputs_Outputs!$B$5="Herbaceous",(LCA!$E$29*'[1]LOCH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8" s="5" t="str">
        <f>IF(M1908="","",$E$2*1000*'[1]LOCH Calc COE Calc'!$C$44)</f>
        <v/>
      </c>
      <c r="S1908" s="6" t="str">
        <f>IF(N1908="","",SUM(O1908:R1908)/('[1]LOCH Calc COE Calc'!$C$28))</f>
        <v/>
      </c>
      <c r="T1908" t="str">
        <f>IF(L1908="","",O1908/'[1]LOCH Calc COE Calc'!$C$28)</f>
        <v/>
      </c>
      <c r="U1908" t="str">
        <f>IF(L1908="","",P1908/'[1]LOCH Calc COE Calc'!$C$28)</f>
        <v/>
      </c>
      <c r="V1908" t="str">
        <f>IF(L1908="","",Q1908/'[1]LOCH Calc COE Calc'!$C$28)</f>
        <v/>
      </c>
      <c r="W1908" t="str">
        <f>IF(L1908="","",R1908/'[1]LOCH Calc COE Calc'!$C$28)</f>
        <v/>
      </c>
    </row>
    <row r="1909" spans="12:23" x14ac:dyDescent="0.25">
      <c r="L1909" s="4" t="str">
        <f>IF('[1]All Data '!BE1914="","",'[1]All Data '!BE1914)</f>
        <v/>
      </c>
      <c r="M1909" t="str">
        <f>IF('[1]All Data '!BF1914="","",'[1]All Data '!BF1914)</f>
        <v/>
      </c>
      <c r="N1909" s="5" t="str">
        <f>IF('[1]All Data '!BB1914="","",'[1]All Data '!BC1914/'[1]All Data '!BH1914)</f>
        <v/>
      </c>
      <c r="O1909" s="5" t="str">
        <f t="shared" si="31"/>
        <v/>
      </c>
      <c r="P1909" s="5" t="str">
        <f>IF(M1909="","",$C$2*(1-L1909)*907.2/0.621371*N1909*[1]Transportation!$M$40)</f>
        <v/>
      </c>
      <c r="Q1909" s="5" t="str">
        <f>IF(L1909="","",IF([1]Inputs_Outputs!$B$5="Herbaceous",(LCA!$E$29*'[1]LOCH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09" s="5" t="str">
        <f>IF(M1909="","",$E$2*1000*'[1]LOCH Calc COE Calc'!$C$44)</f>
        <v/>
      </c>
      <c r="S1909" s="6" t="str">
        <f>IF(N1909="","",SUM(O1909:R1909)/('[1]LOCH Calc COE Calc'!$C$28))</f>
        <v/>
      </c>
      <c r="T1909" t="str">
        <f>IF(L1909="","",O1909/'[1]LOCH Calc COE Calc'!$C$28)</f>
        <v/>
      </c>
      <c r="U1909" t="str">
        <f>IF(L1909="","",P1909/'[1]LOCH Calc COE Calc'!$C$28)</f>
        <v/>
      </c>
      <c r="V1909" t="str">
        <f>IF(L1909="","",Q1909/'[1]LOCH Calc COE Calc'!$C$28)</f>
        <v/>
      </c>
      <c r="W1909" t="str">
        <f>IF(L1909="","",R1909/'[1]LOCH Calc COE Calc'!$C$28)</f>
        <v/>
      </c>
    </row>
    <row r="1910" spans="12:23" x14ac:dyDescent="0.25">
      <c r="L1910" s="4" t="str">
        <f>IF('[1]All Data '!BE1915="","",'[1]All Data '!BE1915)</f>
        <v/>
      </c>
      <c r="M1910" t="str">
        <f>IF('[1]All Data '!BF1915="","",'[1]All Data '!BF1915)</f>
        <v/>
      </c>
      <c r="N1910" s="5" t="str">
        <f>IF('[1]All Data '!BB1915="","",'[1]All Data '!BC1915/'[1]All Data '!BH1915)</f>
        <v/>
      </c>
      <c r="O1910" s="5" t="str">
        <f t="shared" si="31"/>
        <v/>
      </c>
      <c r="P1910" s="5" t="str">
        <f>IF(M1910="","",$C$2*(1-L1910)*907.2/0.621371*N1910*[1]Transportation!$M$40)</f>
        <v/>
      </c>
      <c r="Q1910" s="5" t="str">
        <f>IF(L1910="","",IF([1]Inputs_Outputs!$B$5="Herbaceous",(LCA!$E$29*'[1]LOCH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0" s="5" t="str">
        <f>IF(M1910="","",$E$2*1000*'[1]LOCH Calc COE Calc'!$C$44)</f>
        <v/>
      </c>
      <c r="S1910" s="6" t="str">
        <f>IF(N1910="","",SUM(O1910:R1910)/('[1]LOCH Calc COE Calc'!$C$28))</f>
        <v/>
      </c>
      <c r="T1910" t="str">
        <f>IF(L1910="","",O1910/'[1]LOCH Calc COE Calc'!$C$28)</f>
        <v/>
      </c>
      <c r="U1910" t="str">
        <f>IF(L1910="","",P1910/'[1]LOCH Calc COE Calc'!$C$28)</f>
        <v/>
      </c>
      <c r="V1910" t="str">
        <f>IF(L1910="","",Q1910/'[1]LOCH Calc COE Calc'!$C$28)</f>
        <v/>
      </c>
      <c r="W1910" t="str">
        <f>IF(L1910="","",R1910/'[1]LOCH Calc COE Calc'!$C$28)</f>
        <v/>
      </c>
    </row>
    <row r="1911" spans="12:23" x14ac:dyDescent="0.25">
      <c r="L1911" s="4" t="str">
        <f>IF('[1]All Data '!BE1916="","",'[1]All Data '!BE1916)</f>
        <v/>
      </c>
      <c r="M1911" t="str">
        <f>IF('[1]All Data '!BF1916="","",'[1]All Data '!BF1916)</f>
        <v/>
      </c>
      <c r="N1911" s="5" t="str">
        <f>IF('[1]All Data '!BB1916="","",'[1]All Data '!BC1916/'[1]All Data '!BH1916)</f>
        <v/>
      </c>
      <c r="O1911" s="5" t="str">
        <f t="shared" si="31"/>
        <v/>
      </c>
      <c r="P1911" s="5" t="str">
        <f>IF(M1911="","",$C$2*(1-L1911)*907.2/0.621371*N1911*[1]Transportation!$M$40)</f>
        <v/>
      </c>
      <c r="Q1911" s="5" t="str">
        <f>IF(L1911="","",IF([1]Inputs_Outputs!$B$5="Herbaceous",(LCA!$E$29*'[1]LOCH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1" s="5" t="str">
        <f>IF(M1911="","",$E$2*1000*'[1]LOCH Calc COE Calc'!$C$44)</f>
        <v/>
      </c>
      <c r="S1911" s="6" t="str">
        <f>IF(N1911="","",SUM(O1911:R1911)/('[1]LOCH Calc COE Calc'!$C$28))</f>
        <v/>
      </c>
      <c r="T1911" t="str">
        <f>IF(L1911="","",O1911/'[1]LOCH Calc COE Calc'!$C$28)</f>
        <v/>
      </c>
      <c r="U1911" t="str">
        <f>IF(L1911="","",P1911/'[1]LOCH Calc COE Calc'!$C$28)</f>
        <v/>
      </c>
      <c r="V1911" t="str">
        <f>IF(L1911="","",Q1911/'[1]LOCH Calc COE Calc'!$C$28)</f>
        <v/>
      </c>
      <c r="W1911" t="str">
        <f>IF(L1911="","",R1911/'[1]LOCH Calc COE Calc'!$C$28)</f>
        <v/>
      </c>
    </row>
    <row r="1912" spans="12:23" x14ac:dyDescent="0.25">
      <c r="L1912" s="4" t="str">
        <f>IF('[1]All Data '!BE1917="","",'[1]All Data '!BE1917)</f>
        <v/>
      </c>
      <c r="M1912" t="str">
        <f>IF('[1]All Data '!BF1917="","",'[1]All Data '!BF1917)</f>
        <v/>
      </c>
      <c r="N1912" s="5" t="str">
        <f>IF('[1]All Data '!BB1917="","",'[1]All Data '!BC1917/'[1]All Data '!BH1917)</f>
        <v/>
      </c>
      <c r="O1912" s="5" t="str">
        <f t="shared" si="31"/>
        <v/>
      </c>
      <c r="P1912" s="5" t="str">
        <f>IF(M1912="","",$C$2*(1-L1912)*907.2/0.621371*N1912*[1]Transportation!$M$40)</f>
        <v/>
      </c>
      <c r="Q1912" s="5" t="str">
        <f>IF(L1912="","",IF([1]Inputs_Outputs!$B$5="Herbaceous",(LCA!$E$29*'[1]LOCH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2" s="5" t="str">
        <f>IF(M1912="","",$E$2*1000*'[1]LOCH Calc COE Calc'!$C$44)</f>
        <v/>
      </c>
      <c r="S1912" s="6" t="str">
        <f>IF(N1912="","",SUM(O1912:R1912)/('[1]LOCH Calc COE Calc'!$C$28))</f>
        <v/>
      </c>
      <c r="T1912" t="str">
        <f>IF(L1912="","",O1912/'[1]LOCH Calc COE Calc'!$C$28)</f>
        <v/>
      </c>
      <c r="U1912" t="str">
        <f>IF(L1912="","",P1912/'[1]LOCH Calc COE Calc'!$C$28)</f>
        <v/>
      </c>
      <c r="V1912" t="str">
        <f>IF(L1912="","",Q1912/'[1]LOCH Calc COE Calc'!$C$28)</f>
        <v/>
      </c>
      <c r="W1912" t="str">
        <f>IF(L1912="","",R1912/'[1]LOCH Calc COE Calc'!$C$28)</f>
        <v/>
      </c>
    </row>
    <row r="1913" spans="12:23" x14ac:dyDescent="0.25">
      <c r="L1913" s="4" t="str">
        <f>IF('[1]All Data '!BE1918="","",'[1]All Data '!BE1918)</f>
        <v/>
      </c>
      <c r="M1913" t="str">
        <f>IF('[1]All Data '!BF1918="","",'[1]All Data '!BF1918)</f>
        <v/>
      </c>
      <c r="N1913" s="5" t="str">
        <f>IF('[1]All Data '!BB1918="","",'[1]All Data '!BC1918/'[1]All Data '!BH1918)</f>
        <v/>
      </c>
      <c r="O1913" s="5" t="str">
        <f t="shared" si="31"/>
        <v/>
      </c>
      <c r="P1913" s="5" t="str">
        <f>IF(M1913="","",$C$2*(1-L1913)*907.2/0.621371*N1913*[1]Transportation!$M$40)</f>
        <v/>
      </c>
      <c r="Q1913" s="5" t="str">
        <f>IF(L1913="","",IF([1]Inputs_Outputs!$B$5="Herbaceous",(LCA!$E$29*'[1]LOCH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3" s="5" t="str">
        <f>IF(M1913="","",$E$2*1000*'[1]LOCH Calc COE Calc'!$C$44)</f>
        <v/>
      </c>
      <c r="S1913" s="6" t="str">
        <f>IF(N1913="","",SUM(O1913:R1913)/('[1]LOCH Calc COE Calc'!$C$28))</f>
        <v/>
      </c>
      <c r="T1913" t="str">
        <f>IF(L1913="","",O1913/'[1]LOCH Calc COE Calc'!$C$28)</f>
        <v/>
      </c>
      <c r="U1913" t="str">
        <f>IF(L1913="","",P1913/'[1]LOCH Calc COE Calc'!$C$28)</f>
        <v/>
      </c>
      <c r="V1913" t="str">
        <f>IF(L1913="","",Q1913/'[1]LOCH Calc COE Calc'!$C$28)</f>
        <v/>
      </c>
      <c r="W1913" t="str">
        <f>IF(L1913="","",R1913/'[1]LOCH Calc COE Calc'!$C$28)</f>
        <v/>
      </c>
    </row>
    <row r="1914" spans="12:23" x14ac:dyDescent="0.25">
      <c r="L1914" s="4" t="str">
        <f>IF('[1]All Data '!BE1919="","",'[1]All Data '!BE1919)</f>
        <v/>
      </c>
      <c r="M1914" t="str">
        <f>IF('[1]All Data '!BF1919="","",'[1]All Data '!BF1919)</f>
        <v/>
      </c>
      <c r="N1914" s="5" t="str">
        <f>IF('[1]All Data '!BB1919="","",'[1]All Data '!BC1919/'[1]All Data '!BH1919)</f>
        <v/>
      </c>
      <c r="O1914" s="5" t="str">
        <f t="shared" si="31"/>
        <v/>
      </c>
      <c r="P1914" s="5" t="str">
        <f>IF(M1914="","",$C$2*(1-L1914)*907.2/0.621371*N1914*[1]Transportation!$M$40)</f>
        <v/>
      </c>
      <c r="Q1914" s="5" t="str">
        <f>IF(L1914="","",IF([1]Inputs_Outputs!$B$5="Herbaceous",(LCA!$E$29*'[1]LOCH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4" s="5" t="str">
        <f>IF(M1914="","",$E$2*1000*'[1]LOCH Calc COE Calc'!$C$44)</f>
        <v/>
      </c>
      <c r="S1914" s="6" t="str">
        <f>IF(N1914="","",SUM(O1914:R1914)/('[1]LOCH Calc COE Calc'!$C$28))</f>
        <v/>
      </c>
      <c r="T1914" t="str">
        <f>IF(L1914="","",O1914/'[1]LOCH Calc COE Calc'!$C$28)</f>
        <v/>
      </c>
      <c r="U1914" t="str">
        <f>IF(L1914="","",P1914/'[1]LOCH Calc COE Calc'!$C$28)</f>
        <v/>
      </c>
      <c r="V1914" t="str">
        <f>IF(L1914="","",Q1914/'[1]LOCH Calc COE Calc'!$C$28)</f>
        <v/>
      </c>
      <c r="W1914" t="str">
        <f>IF(L1914="","",R1914/'[1]LOCH Calc COE Calc'!$C$28)</f>
        <v/>
      </c>
    </row>
    <row r="1915" spans="12:23" x14ac:dyDescent="0.25">
      <c r="L1915" s="4" t="str">
        <f>IF('[1]All Data '!BE1920="","",'[1]All Data '!BE1920)</f>
        <v/>
      </c>
      <c r="M1915" t="str">
        <f>IF('[1]All Data '!BF1920="","",'[1]All Data '!BF1920)</f>
        <v/>
      </c>
      <c r="N1915" s="5" t="str">
        <f>IF('[1]All Data '!BB1920="","",'[1]All Data '!BC1920/'[1]All Data '!BH1920)</f>
        <v/>
      </c>
      <c r="O1915" s="5" t="str">
        <f t="shared" si="31"/>
        <v/>
      </c>
      <c r="P1915" s="5" t="str">
        <f>IF(M1915="","",$C$2*(1-L1915)*907.2/0.621371*N1915*[1]Transportation!$M$40)</f>
        <v/>
      </c>
      <c r="Q1915" s="5" t="str">
        <f>IF(L1915="","",IF([1]Inputs_Outputs!$B$5="Herbaceous",(LCA!$E$29*'[1]LOCH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5" s="5" t="str">
        <f>IF(M1915="","",$E$2*1000*'[1]LOCH Calc COE Calc'!$C$44)</f>
        <v/>
      </c>
      <c r="S1915" s="6" t="str">
        <f>IF(N1915="","",SUM(O1915:R1915)/('[1]LOCH Calc COE Calc'!$C$28))</f>
        <v/>
      </c>
      <c r="T1915" t="str">
        <f>IF(L1915="","",O1915/'[1]LOCH Calc COE Calc'!$C$28)</f>
        <v/>
      </c>
      <c r="U1915" t="str">
        <f>IF(L1915="","",P1915/'[1]LOCH Calc COE Calc'!$C$28)</f>
        <v/>
      </c>
      <c r="V1915" t="str">
        <f>IF(L1915="","",Q1915/'[1]LOCH Calc COE Calc'!$C$28)</f>
        <v/>
      </c>
      <c r="W1915" t="str">
        <f>IF(L1915="","",R1915/'[1]LOCH Calc COE Calc'!$C$28)</f>
        <v/>
      </c>
    </row>
    <row r="1916" spans="12:23" x14ac:dyDescent="0.25">
      <c r="L1916" s="4" t="str">
        <f>IF('[1]All Data '!BE1921="","",'[1]All Data '!BE1921)</f>
        <v/>
      </c>
      <c r="M1916" t="str">
        <f>IF('[1]All Data '!BF1921="","",'[1]All Data '!BF1921)</f>
        <v/>
      </c>
      <c r="N1916" s="5" t="str">
        <f>IF('[1]All Data '!BB1921="","",'[1]All Data '!BC1921/'[1]All Data '!BH1921)</f>
        <v/>
      </c>
      <c r="O1916" s="5" t="str">
        <f t="shared" si="31"/>
        <v/>
      </c>
      <c r="P1916" s="5" t="str">
        <f>IF(M1916="","",$C$2*(1-L1916)*907.2/0.621371*N1916*[1]Transportation!$M$40)</f>
        <v/>
      </c>
      <c r="Q1916" s="5" t="str">
        <f>IF(L1916="","",IF([1]Inputs_Outputs!$B$5="Herbaceous",(LCA!$E$29*'[1]LOCH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6" s="5" t="str">
        <f>IF(M1916="","",$E$2*1000*'[1]LOCH Calc COE Calc'!$C$44)</f>
        <v/>
      </c>
      <c r="S1916" s="6" t="str">
        <f>IF(N1916="","",SUM(O1916:R1916)/('[1]LOCH Calc COE Calc'!$C$28))</f>
        <v/>
      </c>
      <c r="T1916" t="str">
        <f>IF(L1916="","",O1916/'[1]LOCH Calc COE Calc'!$C$28)</f>
        <v/>
      </c>
      <c r="U1916" t="str">
        <f>IF(L1916="","",P1916/'[1]LOCH Calc COE Calc'!$C$28)</f>
        <v/>
      </c>
      <c r="V1916" t="str">
        <f>IF(L1916="","",Q1916/'[1]LOCH Calc COE Calc'!$C$28)</f>
        <v/>
      </c>
      <c r="W1916" t="str">
        <f>IF(L1916="","",R1916/'[1]LOCH Calc COE Calc'!$C$28)</f>
        <v/>
      </c>
    </row>
    <row r="1917" spans="12:23" x14ac:dyDescent="0.25">
      <c r="L1917" s="4" t="str">
        <f>IF('[1]All Data '!BE1922="","",'[1]All Data '!BE1922)</f>
        <v/>
      </c>
      <c r="M1917" t="str">
        <f>IF('[1]All Data '!BF1922="","",'[1]All Data '!BF1922)</f>
        <v/>
      </c>
      <c r="N1917" s="5" t="str">
        <f>IF('[1]All Data '!BB1922="","",'[1]All Data '!BC1922/'[1]All Data '!BH1922)</f>
        <v/>
      </c>
      <c r="O1917" s="5" t="str">
        <f t="shared" si="31"/>
        <v/>
      </c>
      <c r="P1917" s="5" t="str">
        <f>IF(M1917="","",$C$2*(1-L1917)*907.2/0.621371*N1917*[1]Transportation!$M$40)</f>
        <v/>
      </c>
      <c r="Q1917" s="5" t="str">
        <f>IF(L1917="","",IF([1]Inputs_Outputs!$B$5="Herbaceous",(LCA!$E$29*'[1]LOCH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7" s="5" t="str">
        <f>IF(M1917="","",$E$2*1000*'[1]LOCH Calc COE Calc'!$C$44)</f>
        <v/>
      </c>
      <c r="S1917" s="6" t="str">
        <f>IF(N1917="","",SUM(O1917:R1917)/('[1]LOCH Calc COE Calc'!$C$28))</f>
        <v/>
      </c>
      <c r="T1917" t="str">
        <f>IF(L1917="","",O1917/'[1]LOCH Calc COE Calc'!$C$28)</f>
        <v/>
      </c>
      <c r="U1917" t="str">
        <f>IF(L1917="","",P1917/'[1]LOCH Calc COE Calc'!$C$28)</f>
        <v/>
      </c>
      <c r="V1917" t="str">
        <f>IF(L1917="","",Q1917/'[1]LOCH Calc COE Calc'!$C$28)</f>
        <v/>
      </c>
      <c r="W1917" t="str">
        <f>IF(L1917="","",R1917/'[1]LOCH Calc COE Calc'!$C$28)</f>
        <v/>
      </c>
    </row>
    <row r="1918" spans="12:23" x14ac:dyDescent="0.25">
      <c r="L1918" s="4" t="str">
        <f>IF('[1]All Data '!BE1923="","",'[1]All Data '!BE1923)</f>
        <v/>
      </c>
      <c r="M1918" t="str">
        <f>IF('[1]All Data '!BF1923="","",'[1]All Data '!BF1923)</f>
        <v/>
      </c>
      <c r="N1918" s="5" t="str">
        <f>IF('[1]All Data '!BB1923="","",'[1]All Data '!BC1923/'[1]All Data '!BH1923)</f>
        <v/>
      </c>
      <c r="O1918" s="5" t="str">
        <f t="shared" si="31"/>
        <v/>
      </c>
      <c r="P1918" s="5" t="str">
        <f>IF(M1918="","",$C$2*(1-L1918)*907.2/0.621371*N1918*[1]Transportation!$M$40)</f>
        <v/>
      </c>
      <c r="Q1918" s="5" t="str">
        <f>IF(L1918="","",IF([1]Inputs_Outputs!$B$5="Herbaceous",(LCA!$E$29*'[1]LOCH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8" s="5" t="str">
        <f>IF(M1918="","",$E$2*1000*'[1]LOCH Calc COE Calc'!$C$44)</f>
        <v/>
      </c>
      <c r="S1918" s="6" t="str">
        <f>IF(N1918="","",SUM(O1918:R1918)/('[1]LOCH Calc COE Calc'!$C$28))</f>
        <v/>
      </c>
      <c r="T1918" t="str">
        <f>IF(L1918="","",O1918/'[1]LOCH Calc COE Calc'!$C$28)</f>
        <v/>
      </c>
      <c r="U1918" t="str">
        <f>IF(L1918="","",P1918/'[1]LOCH Calc COE Calc'!$C$28)</f>
        <v/>
      </c>
      <c r="V1918" t="str">
        <f>IF(L1918="","",Q1918/'[1]LOCH Calc COE Calc'!$C$28)</f>
        <v/>
      </c>
      <c r="W1918" t="str">
        <f>IF(L1918="","",R1918/'[1]LOCH Calc COE Calc'!$C$28)</f>
        <v/>
      </c>
    </row>
    <row r="1919" spans="12:23" x14ac:dyDescent="0.25">
      <c r="L1919" s="4" t="str">
        <f>IF('[1]All Data '!BE1924="","",'[1]All Data '!BE1924)</f>
        <v/>
      </c>
      <c r="M1919" t="str">
        <f>IF('[1]All Data '!BF1924="","",'[1]All Data '!BF1924)</f>
        <v/>
      </c>
      <c r="N1919" s="5" t="str">
        <f>IF('[1]All Data '!BB1924="","",'[1]All Data '!BC1924/'[1]All Data '!BH1924)</f>
        <v/>
      </c>
      <c r="O1919" s="5" t="str">
        <f t="shared" si="31"/>
        <v/>
      </c>
      <c r="P1919" s="5" t="str">
        <f>IF(M1919="","",$C$2*(1-L1919)*907.2/0.621371*N1919*[1]Transportation!$M$40)</f>
        <v/>
      </c>
      <c r="Q1919" s="5" t="str">
        <f>IF(L1919="","",IF([1]Inputs_Outputs!$B$5="Herbaceous",(LCA!$E$29*'[1]LOCH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19" s="5" t="str">
        <f>IF(M1919="","",$E$2*1000*'[1]LOCH Calc COE Calc'!$C$44)</f>
        <v/>
      </c>
      <c r="S1919" s="6" t="str">
        <f>IF(N1919="","",SUM(O1919:R1919)/('[1]LOCH Calc COE Calc'!$C$28))</f>
        <v/>
      </c>
      <c r="T1919" t="str">
        <f>IF(L1919="","",O1919/'[1]LOCH Calc COE Calc'!$C$28)</f>
        <v/>
      </c>
      <c r="U1919" t="str">
        <f>IF(L1919="","",P1919/'[1]LOCH Calc COE Calc'!$C$28)</f>
        <v/>
      </c>
      <c r="V1919" t="str">
        <f>IF(L1919="","",Q1919/'[1]LOCH Calc COE Calc'!$C$28)</f>
        <v/>
      </c>
      <c r="W1919" t="str">
        <f>IF(L1919="","",R1919/'[1]LOCH Calc COE Calc'!$C$28)</f>
        <v/>
      </c>
    </row>
    <row r="1920" spans="12:23" x14ac:dyDescent="0.25">
      <c r="L1920" s="4" t="str">
        <f>IF('[1]All Data '!BE1925="","",'[1]All Data '!BE1925)</f>
        <v/>
      </c>
      <c r="M1920" t="str">
        <f>IF('[1]All Data '!BF1925="","",'[1]All Data '!BF1925)</f>
        <v/>
      </c>
      <c r="N1920" s="5" t="str">
        <f>IF('[1]All Data '!BB1925="","",'[1]All Data '!BC1925/'[1]All Data '!BH1925)</f>
        <v/>
      </c>
      <c r="O1920" s="5" t="str">
        <f t="shared" si="31"/>
        <v/>
      </c>
      <c r="P1920" s="5" t="str">
        <f>IF(M1920="","",$C$2*(1-L1920)*907.2/0.621371*N1920*[1]Transportation!$M$40)</f>
        <v/>
      </c>
      <c r="Q1920" s="5" t="str">
        <f>IF(L1920="","",IF([1]Inputs_Outputs!$B$5="Herbaceous",(LCA!$E$29*'[1]LOCH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0" s="5" t="str">
        <f>IF(M1920="","",$E$2*1000*'[1]LOCH Calc COE Calc'!$C$44)</f>
        <v/>
      </c>
      <c r="S1920" s="6" t="str">
        <f>IF(N1920="","",SUM(O1920:R1920)/('[1]LOCH Calc COE Calc'!$C$28))</f>
        <v/>
      </c>
      <c r="T1920" t="str">
        <f>IF(L1920="","",O1920/'[1]LOCH Calc COE Calc'!$C$28)</f>
        <v/>
      </c>
      <c r="U1920" t="str">
        <f>IF(L1920="","",P1920/'[1]LOCH Calc COE Calc'!$C$28)</f>
        <v/>
      </c>
      <c r="V1920" t="str">
        <f>IF(L1920="","",Q1920/'[1]LOCH Calc COE Calc'!$C$28)</f>
        <v/>
      </c>
      <c r="W1920" t="str">
        <f>IF(L1920="","",R1920/'[1]LOCH Calc COE Calc'!$C$28)</f>
        <v/>
      </c>
    </row>
    <row r="1921" spans="12:23" x14ac:dyDescent="0.25">
      <c r="L1921" s="4" t="str">
        <f>IF('[1]All Data '!BE1926="","",'[1]All Data '!BE1926)</f>
        <v/>
      </c>
      <c r="M1921" t="str">
        <f>IF('[1]All Data '!BF1926="","",'[1]All Data '!BF1926)</f>
        <v/>
      </c>
      <c r="N1921" s="5" t="str">
        <f>IF('[1]All Data '!BB1926="","",'[1]All Data '!BC1926/'[1]All Data '!BH1926)</f>
        <v/>
      </c>
      <c r="O1921" s="5" t="str">
        <f t="shared" si="31"/>
        <v/>
      </c>
      <c r="P1921" s="5" t="str">
        <f>IF(M1921="","",$C$2*(1-L1921)*907.2/0.621371*N1921*[1]Transportation!$M$40)</f>
        <v/>
      </c>
      <c r="Q1921" s="5" t="str">
        <f>IF(L1921="","",IF([1]Inputs_Outputs!$B$5="Herbaceous",(LCA!$E$29*'[1]LOCH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1" s="5" t="str">
        <f>IF(M1921="","",$E$2*1000*'[1]LOCH Calc COE Calc'!$C$44)</f>
        <v/>
      </c>
      <c r="S1921" s="6" t="str">
        <f>IF(N1921="","",SUM(O1921:R1921)/('[1]LOCH Calc COE Calc'!$C$28))</f>
        <v/>
      </c>
      <c r="T1921" t="str">
        <f>IF(L1921="","",O1921/'[1]LOCH Calc COE Calc'!$C$28)</f>
        <v/>
      </c>
      <c r="U1921" t="str">
        <f>IF(L1921="","",P1921/'[1]LOCH Calc COE Calc'!$C$28)</f>
        <v/>
      </c>
      <c r="V1921" t="str">
        <f>IF(L1921="","",Q1921/'[1]LOCH Calc COE Calc'!$C$28)</f>
        <v/>
      </c>
      <c r="W1921" t="str">
        <f>IF(L1921="","",R1921/'[1]LOCH Calc COE Calc'!$C$28)</f>
        <v/>
      </c>
    </row>
    <row r="1922" spans="12:23" x14ac:dyDescent="0.25">
      <c r="L1922" s="4" t="str">
        <f>IF('[1]All Data '!BE1927="","",'[1]All Data '!BE1927)</f>
        <v/>
      </c>
      <c r="M1922" t="str">
        <f>IF('[1]All Data '!BF1927="","",'[1]All Data '!BF1927)</f>
        <v/>
      </c>
      <c r="N1922" s="5" t="str">
        <f>IF('[1]All Data '!BB1927="","",'[1]All Data '!BC1927/'[1]All Data '!BH1927)</f>
        <v/>
      </c>
      <c r="O1922" s="5" t="str">
        <f t="shared" si="31"/>
        <v/>
      </c>
      <c r="P1922" s="5" t="str">
        <f>IF(M1922="","",$C$2*(1-L1922)*907.2/0.621371*N1922*[1]Transportation!$M$40)</f>
        <v/>
      </c>
      <c r="Q1922" s="5" t="str">
        <f>IF(L1922="","",IF([1]Inputs_Outputs!$B$5="Herbaceous",(LCA!$E$29*'[1]LOCH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2" s="5" t="str">
        <f>IF(M1922="","",$E$2*1000*'[1]LOCH Calc COE Calc'!$C$44)</f>
        <v/>
      </c>
      <c r="S1922" s="6" t="str">
        <f>IF(N1922="","",SUM(O1922:R1922)/('[1]LOCH Calc COE Calc'!$C$28))</f>
        <v/>
      </c>
      <c r="T1922" t="str">
        <f>IF(L1922="","",O1922/'[1]LOCH Calc COE Calc'!$C$28)</f>
        <v/>
      </c>
      <c r="U1922" t="str">
        <f>IF(L1922="","",P1922/'[1]LOCH Calc COE Calc'!$C$28)</f>
        <v/>
      </c>
      <c r="V1922" t="str">
        <f>IF(L1922="","",Q1922/'[1]LOCH Calc COE Calc'!$C$28)</f>
        <v/>
      </c>
      <c r="W1922" t="str">
        <f>IF(L1922="","",R1922/'[1]LOCH Calc COE Calc'!$C$28)</f>
        <v/>
      </c>
    </row>
    <row r="1923" spans="12:23" x14ac:dyDescent="0.25">
      <c r="L1923" s="4" t="str">
        <f>IF('[1]All Data '!BE1928="","",'[1]All Data '!BE1928)</f>
        <v/>
      </c>
      <c r="M1923" t="str">
        <f>IF('[1]All Data '!BF1928="","",'[1]All Data '!BF1928)</f>
        <v/>
      </c>
      <c r="N1923" s="5" t="str">
        <f>IF('[1]All Data '!BB1928="","",'[1]All Data '!BC1928/'[1]All Data '!BH1928)</f>
        <v/>
      </c>
      <c r="O1923" s="5" t="str">
        <f t="shared" si="31"/>
        <v/>
      </c>
      <c r="P1923" s="5" t="str">
        <f>IF(M1923="","",$C$2*(1-L1923)*907.2/0.621371*N1923*[1]Transportation!$M$40)</f>
        <v/>
      </c>
      <c r="Q1923" s="5" t="str">
        <f>IF(L1923="","",IF([1]Inputs_Outputs!$B$5="Herbaceous",(LCA!$E$29*'[1]LOCH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3" s="5" t="str">
        <f>IF(M1923="","",$E$2*1000*'[1]LOCH Calc COE Calc'!$C$44)</f>
        <v/>
      </c>
      <c r="S1923" s="6" t="str">
        <f>IF(N1923="","",SUM(O1923:R1923)/('[1]LOCH Calc COE Calc'!$C$28))</f>
        <v/>
      </c>
      <c r="T1923" t="str">
        <f>IF(L1923="","",O1923/'[1]LOCH Calc COE Calc'!$C$28)</f>
        <v/>
      </c>
      <c r="U1923" t="str">
        <f>IF(L1923="","",P1923/'[1]LOCH Calc COE Calc'!$C$28)</f>
        <v/>
      </c>
      <c r="V1923" t="str">
        <f>IF(L1923="","",Q1923/'[1]LOCH Calc COE Calc'!$C$28)</f>
        <v/>
      </c>
      <c r="W1923" t="str">
        <f>IF(L1923="","",R1923/'[1]LOCH Calc COE Calc'!$C$28)</f>
        <v/>
      </c>
    </row>
    <row r="1924" spans="12:23" x14ac:dyDescent="0.25">
      <c r="L1924" s="4" t="str">
        <f>IF('[1]All Data '!BE1929="","",'[1]All Data '!BE1929)</f>
        <v/>
      </c>
      <c r="M1924" t="str">
        <f>IF('[1]All Data '!BF1929="","",'[1]All Data '!BF1929)</f>
        <v/>
      </c>
      <c r="N1924" s="5" t="str">
        <f>IF('[1]All Data '!BB1929="","",'[1]All Data '!BC1929/'[1]All Data '!BH1929)</f>
        <v/>
      </c>
      <c r="O1924" s="5" t="str">
        <f t="shared" ref="O1924:O1987" si="32">IF(N1924="","",M1924*N1924)</f>
        <v/>
      </c>
      <c r="P1924" s="5" t="str">
        <f>IF(M1924="","",$C$2*(1-L1924)*907.2/0.621371*N1924*[1]Transportation!$M$40)</f>
        <v/>
      </c>
      <c r="Q1924" s="5" t="str">
        <f>IF(L1924="","",IF([1]Inputs_Outputs!$B$5="Herbaceous",(LCA!$E$29*'[1]LOCH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4" s="5" t="str">
        <f>IF(M1924="","",$E$2*1000*'[1]LOCH Calc COE Calc'!$C$44)</f>
        <v/>
      </c>
      <c r="S1924" s="6" t="str">
        <f>IF(N1924="","",SUM(O1924:R1924)/('[1]LOCH Calc COE Calc'!$C$28))</f>
        <v/>
      </c>
      <c r="T1924" t="str">
        <f>IF(L1924="","",O1924/'[1]LOCH Calc COE Calc'!$C$28)</f>
        <v/>
      </c>
      <c r="U1924" t="str">
        <f>IF(L1924="","",P1924/'[1]LOCH Calc COE Calc'!$C$28)</f>
        <v/>
      </c>
      <c r="V1924" t="str">
        <f>IF(L1924="","",Q1924/'[1]LOCH Calc COE Calc'!$C$28)</f>
        <v/>
      </c>
      <c r="W1924" t="str">
        <f>IF(L1924="","",R1924/'[1]LOCH Calc COE Calc'!$C$28)</f>
        <v/>
      </c>
    </row>
    <row r="1925" spans="12:23" x14ac:dyDescent="0.25">
      <c r="L1925" s="4" t="str">
        <f>IF('[1]All Data '!BE1930="","",'[1]All Data '!BE1930)</f>
        <v/>
      </c>
      <c r="M1925" t="str">
        <f>IF('[1]All Data '!BF1930="","",'[1]All Data '!BF1930)</f>
        <v/>
      </c>
      <c r="N1925" s="5" t="str">
        <f>IF('[1]All Data '!BB1930="","",'[1]All Data '!BC1930/'[1]All Data '!BH1930)</f>
        <v/>
      </c>
      <c r="O1925" s="5" t="str">
        <f t="shared" si="32"/>
        <v/>
      </c>
      <c r="P1925" s="5" t="str">
        <f>IF(M1925="","",$C$2*(1-L1925)*907.2/0.621371*N1925*[1]Transportation!$M$40)</f>
        <v/>
      </c>
      <c r="Q1925" s="5" t="str">
        <f>IF(L1925="","",IF([1]Inputs_Outputs!$B$5="Herbaceous",(LCA!$E$29*'[1]LOCH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5" s="5" t="str">
        <f>IF(M1925="","",$E$2*1000*'[1]LOCH Calc COE Calc'!$C$44)</f>
        <v/>
      </c>
      <c r="S1925" s="6" t="str">
        <f>IF(N1925="","",SUM(O1925:R1925)/('[1]LOCH Calc COE Calc'!$C$28))</f>
        <v/>
      </c>
      <c r="T1925" t="str">
        <f>IF(L1925="","",O1925/'[1]LOCH Calc COE Calc'!$C$28)</f>
        <v/>
      </c>
      <c r="U1925" t="str">
        <f>IF(L1925="","",P1925/'[1]LOCH Calc COE Calc'!$C$28)</f>
        <v/>
      </c>
      <c r="V1925" t="str">
        <f>IF(L1925="","",Q1925/'[1]LOCH Calc COE Calc'!$C$28)</f>
        <v/>
      </c>
      <c r="W1925" t="str">
        <f>IF(L1925="","",R1925/'[1]LOCH Calc COE Calc'!$C$28)</f>
        <v/>
      </c>
    </row>
    <row r="1926" spans="12:23" x14ac:dyDescent="0.25">
      <c r="L1926" s="4" t="str">
        <f>IF('[1]All Data '!BE1931="","",'[1]All Data '!BE1931)</f>
        <v/>
      </c>
      <c r="M1926" t="str">
        <f>IF('[1]All Data '!BF1931="","",'[1]All Data '!BF1931)</f>
        <v/>
      </c>
      <c r="N1926" s="5" t="str">
        <f>IF('[1]All Data '!BB1931="","",'[1]All Data '!BC1931/'[1]All Data '!BH1931)</f>
        <v/>
      </c>
      <c r="O1926" s="5" t="str">
        <f t="shared" si="32"/>
        <v/>
      </c>
      <c r="P1926" s="5" t="str">
        <f>IF(M1926="","",$C$2*(1-L1926)*907.2/0.621371*N1926*[1]Transportation!$M$40)</f>
        <v/>
      </c>
      <c r="Q1926" s="5" t="str">
        <f>IF(L1926="","",IF([1]Inputs_Outputs!$B$5="Herbaceous",(LCA!$E$29*'[1]LOCH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6" s="5" t="str">
        <f>IF(M1926="","",$E$2*1000*'[1]LOCH Calc COE Calc'!$C$44)</f>
        <v/>
      </c>
      <c r="S1926" s="6" t="str">
        <f>IF(N1926="","",SUM(O1926:R1926)/('[1]LOCH Calc COE Calc'!$C$28))</f>
        <v/>
      </c>
      <c r="T1926" t="str">
        <f>IF(L1926="","",O1926/'[1]LOCH Calc COE Calc'!$C$28)</f>
        <v/>
      </c>
      <c r="U1926" t="str">
        <f>IF(L1926="","",P1926/'[1]LOCH Calc COE Calc'!$C$28)</f>
        <v/>
      </c>
      <c r="V1926" t="str">
        <f>IF(L1926="","",Q1926/'[1]LOCH Calc COE Calc'!$C$28)</f>
        <v/>
      </c>
      <c r="W1926" t="str">
        <f>IF(L1926="","",R1926/'[1]LOCH Calc COE Calc'!$C$28)</f>
        <v/>
      </c>
    </row>
    <row r="1927" spans="12:23" x14ac:dyDescent="0.25">
      <c r="L1927" s="4" t="str">
        <f>IF('[1]All Data '!BE1932="","",'[1]All Data '!BE1932)</f>
        <v/>
      </c>
      <c r="M1927" t="str">
        <f>IF('[1]All Data '!BF1932="","",'[1]All Data '!BF1932)</f>
        <v/>
      </c>
      <c r="N1927" s="5" t="str">
        <f>IF('[1]All Data '!BB1932="","",'[1]All Data '!BC1932/'[1]All Data '!BH1932)</f>
        <v/>
      </c>
      <c r="O1927" s="5" t="str">
        <f t="shared" si="32"/>
        <v/>
      </c>
      <c r="P1927" s="5" t="str">
        <f>IF(M1927="","",$C$2*(1-L1927)*907.2/0.621371*N1927*[1]Transportation!$M$40)</f>
        <v/>
      </c>
      <c r="Q1927" s="5" t="str">
        <f>IF(L1927="","",IF([1]Inputs_Outputs!$B$5="Herbaceous",(LCA!$E$29*'[1]LOCH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7" s="5" t="str">
        <f>IF(M1927="","",$E$2*1000*'[1]LOCH Calc COE Calc'!$C$44)</f>
        <v/>
      </c>
      <c r="S1927" s="6" t="str">
        <f>IF(N1927="","",SUM(O1927:R1927)/('[1]LOCH Calc COE Calc'!$C$28))</f>
        <v/>
      </c>
      <c r="T1927" t="str">
        <f>IF(L1927="","",O1927/'[1]LOCH Calc COE Calc'!$C$28)</f>
        <v/>
      </c>
      <c r="U1927" t="str">
        <f>IF(L1927="","",P1927/'[1]LOCH Calc COE Calc'!$C$28)</f>
        <v/>
      </c>
      <c r="V1927" t="str">
        <f>IF(L1927="","",Q1927/'[1]LOCH Calc COE Calc'!$C$28)</f>
        <v/>
      </c>
      <c r="W1927" t="str">
        <f>IF(L1927="","",R1927/'[1]LOCH Calc COE Calc'!$C$28)</f>
        <v/>
      </c>
    </row>
    <row r="1928" spans="12:23" x14ac:dyDescent="0.25">
      <c r="L1928" s="4" t="str">
        <f>IF('[1]All Data '!BE1933="","",'[1]All Data '!BE1933)</f>
        <v/>
      </c>
      <c r="M1928" t="str">
        <f>IF('[1]All Data '!BF1933="","",'[1]All Data '!BF1933)</f>
        <v/>
      </c>
      <c r="N1928" s="5" t="str">
        <f>IF('[1]All Data '!BB1933="","",'[1]All Data '!BC1933/'[1]All Data '!BH1933)</f>
        <v/>
      </c>
      <c r="O1928" s="5" t="str">
        <f t="shared" si="32"/>
        <v/>
      </c>
      <c r="P1928" s="5" t="str">
        <f>IF(M1928="","",$C$2*(1-L1928)*907.2/0.621371*N1928*[1]Transportation!$M$40)</f>
        <v/>
      </c>
      <c r="Q1928" s="5" t="str">
        <f>IF(L1928="","",IF([1]Inputs_Outputs!$B$5="Herbaceous",(LCA!$E$29*'[1]LOCH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8" s="5" t="str">
        <f>IF(M1928="","",$E$2*1000*'[1]LOCH Calc COE Calc'!$C$44)</f>
        <v/>
      </c>
      <c r="S1928" s="6" t="str">
        <f>IF(N1928="","",SUM(O1928:R1928)/('[1]LOCH Calc COE Calc'!$C$28))</f>
        <v/>
      </c>
      <c r="T1928" t="str">
        <f>IF(L1928="","",O1928/'[1]LOCH Calc COE Calc'!$C$28)</f>
        <v/>
      </c>
      <c r="U1928" t="str">
        <f>IF(L1928="","",P1928/'[1]LOCH Calc COE Calc'!$C$28)</f>
        <v/>
      </c>
      <c r="V1928" t="str">
        <f>IF(L1928="","",Q1928/'[1]LOCH Calc COE Calc'!$C$28)</f>
        <v/>
      </c>
      <c r="W1928" t="str">
        <f>IF(L1928="","",R1928/'[1]LOCH Calc COE Calc'!$C$28)</f>
        <v/>
      </c>
    </row>
    <row r="1929" spans="12:23" x14ac:dyDescent="0.25">
      <c r="L1929" s="4" t="str">
        <f>IF('[1]All Data '!BE1934="","",'[1]All Data '!BE1934)</f>
        <v/>
      </c>
      <c r="M1929" t="str">
        <f>IF('[1]All Data '!BF1934="","",'[1]All Data '!BF1934)</f>
        <v/>
      </c>
      <c r="N1929" s="5" t="str">
        <f>IF('[1]All Data '!BB1934="","",'[1]All Data '!BC1934/'[1]All Data '!BH1934)</f>
        <v/>
      </c>
      <c r="O1929" s="5" t="str">
        <f t="shared" si="32"/>
        <v/>
      </c>
      <c r="P1929" s="5" t="str">
        <f>IF(M1929="","",$C$2*(1-L1929)*907.2/0.621371*N1929*[1]Transportation!$M$40)</f>
        <v/>
      </c>
      <c r="Q1929" s="5" t="str">
        <f>IF(L1929="","",IF([1]Inputs_Outputs!$B$5="Herbaceous",(LCA!$E$29*'[1]LOCH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29" s="5" t="str">
        <f>IF(M1929="","",$E$2*1000*'[1]LOCH Calc COE Calc'!$C$44)</f>
        <v/>
      </c>
      <c r="S1929" s="6" t="str">
        <f>IF(N1929="","",SUM(O1929:R1929)/('[1]LOCH Calc COE Calc'!$C$28))</f>
        <v/>
      </c>
      <c r="T1929" t="str">
        <f>IF(L1929="","",O1929/'[1]LOCH Calc COE Calc'!$C$28)</f>
        <v/>
      </c>
      <c r="U1929" t="str">
        <f>IF(L1929="","",P1929/'[1]LOCH Calc COE Calc'!$C$28)</f>
        <v/>
      </c>
      <c r="V1929" t="str">
        <f>IF(L1929="","",Q1929/'[1]LOCH Calc COE Calc'!$C$28)</f>
        <v/>
      </c>
      <c r="W1929" t="str">
        <f>IF(L1929="","",R1929/'[1]LOCH Calc COE Calc'!$C$28)</f>
        <v/>
      </c>
    </row>
    <row r="1930" spans="12:23" x14ac:dyDescent="0.25">
      <c r="L1930" s="4" t="str">
        <f>IF('[1]All Data '!BE1935="","",'[1]All Data '!BE1935)</f>
        <v/>
      </c>
      <c r="M1930" t="str">
        <f>IF('[1]All Data '!BF1935="","",'[1]All Data '!BF1935)</f>
        <v/>
      </c>
      <c r="N1930" s="5" t="str">
        <f>IF('[1]All Data '!BB1935="","",'[1]All Data '!BC1935/'[1]All Data '!BH1935)</f>
        <v/>
      </c>
      <c r="O1930" s="5" t="str">
        <f t="shared" si="32"/>
        <v/>
      </c>
      <c r="P1930" s="5" t="str">
        <f>IF(M1930="","",$C$2*(1-L1930)*907.2/0.621371*N1930*[1]Transportation!$M$40)</f>
        <v/>
      </c>
      <c r="Q1930" s="5" t="str">
        <f>IF(L1930="","",IF([1]Inputs_Outputs!$B$5="Herbaceous",(LCA!$E$29*'[1]LOCH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0" s="5" t="str">
        <f>IF(M1930="","",$E$2*1000*'[1]LOCH Calc COE Calc'!$C$44)</f>
        <v/>
      </c>
      <c r="S1930" s="6" t="str">
        <f>IF(N1930="","",SUM(O1930:R1930)/('[1]LOCH Calc COE Calc'!$C$28))</f>
        <v/>
      </c>
      <c r="T1930" t="str">
        <f>IF(L1930="","",O1930/'[1]LOCH Calc COE Calc'!$C$28)</f>
        <v/>
      </c>
      <c r="U1930" t="str">
        <f>IF(L1930="","",P1930/'[1]LOCH Calc COE Calc'!$C$28)</f>
        <v/>
      </c>
      <c r="V1930" t="str">
        <f>IF(L1930="","",Q1930/'[1]LOCH Calc COE Calc'!$C$28)</f>
        <v/>
      </c>
      <c r="W1930" t="str">
        <f>IF(L1930="","",R1930/'[1]LOCH Calc COE Calc'!$C$28)</f>
        <v/>
      </c>
    </row>
    <row r="1931" spans="12:23" x14ac:dyDescent="0.25">
      <c r="L1931" s="4" t="str">
        <f>IF('[1]All Data '!BE1936="","",'[1]All Data '!BE1936)</f>
        <v/>
      </c>
      <c r="M1931" t="str">
        <f>IF('[1]All Data '!BF1936="","",'[1]All Data '!BF1936)</f>
        <v/>
      </c>
      <c r="N1931" s="5" t="str">
        <f>IF('[1]All Data '!BB1936="","",'[1]All Data '!BC1936/'[1]All Data '!BH1936)</f>
        <v/>
      </c>
      <c r="O1931" s="5" t="str">
        <f t="shared" si="32"/>
        <v/>
      </c>
      <c r="P1931" s="5" t="str">
        <f>IF(M1931="","",$C$2*(1-L1931)*907.2/0.621371*N1931*[1]Transportation!$M$40)</f>
        <v/>
      </c>
      <c r="Q1931" s="5" t="str">
        <f>IF(L1931="","",IF([1]Inputs_Outputs!$B$5="Herbaceous",(LCA!$E$29*'[1]LOCH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1" s="5" t="str">
        <f>IF(M1931="","",$E$2*1000*'[1]LOCH Calc COE Calc'!$C$44)</f>
        <v/>
      </c>
      <c r="S1931" s="6" t="str">
        <f>IF(N1931="","",SUM(O1931:R1931)/('[1]LOCH Calc COE Calc'!$C$28))</f>
        <v/>
      </c>
      <c r="T1931" t="str">
        <f>IF(L1931="","",O1931/'[1]LOCH Calc COE Calc'!$C$28)</f>
        <v/>
      </c>
      <c r="U1931" t="str">
        <f>IF(L1931="","",P1931/'[1]LOCH Calc COE Calc'!$C$28)</f>
        <v/>
      </c>
      <c r="V1931" t="str">
        <f>IF(L1931="","",Q1931/'[1]LOCH Calc COE Calc'!$C$28)</f>
        <v/>
      </c>
      <c r="W1931" t="str">
        <f>IF(L1931="","",R1931/'[1]LOCH Calc COE Calc'!$C$28)</f>
        <v/>
      </c>
    </row>
    <row r="1932" spans="12:23" x14ac:dyDescent="0.25">
      <c r="L1932" s="4" t="str">
        <f>IF('[1]All Data '!BE1937="","",'[1]All Data '!BE1937)</f>
        <v/>
      </c>
      <c r="M1932" t="str">
        <f>IF('[1]All Data '!BF1937="","",'[1]All Data '!BF1937)</f>
        <v/>
      </c>
      <c r="N1932" s="5" t="str">
        <f>IF('[1]All Data '!BB1937="","",'[1]All Data '!BC1937/'[1]All Data '!BH1937)</f>
        <v/>
      </c>
      <c r="O1932" s="5" t="str">
        <f t="shared" si="32"/>
        <v/>
      </c>
      <c r="P1932" s="5" t="str">
        <f>IF(M1932="","",$C$2*(1-L1932)*907.2/0.621371*N1932*[1]Transportation!$M$40)</f>
        <v/>
      </c>
      <c r="Q1932" s="5" t="str">
        <f>IF(L1932="","",IF([1]Inputs_Outputs!$B$5="Herbaceous",(LCA!$E$29*'[1]LOCH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2" s="5" t="str">
        <f>IF(M1932="","",$E$2*1000*'[1]LOCH Calc COE Calc'!$C$44)</f>
        <v/>
      </c>
      <c r="S1932" s="6" t="str">
        <f>IF(N1932="","",SUM(O1932:R1932)/('[1]LOCH Calc COE Calc'!$C$28))</f>
        <v/>
      </c>
      <c r="T1932" t="str">
        <f>IF(L1932="","",O1932/'[1]LOCH Calc COE Calc'!$C$28)</f>
        <v/>
      </c>
      <c r="U1932" t="str">
        <f>IF(L1932="","",P1932/'[1]LOCH Calc COE Calc'!$C$28)</f>
        <v/>
      </c>
      <c r="V1932" t="str">
        <f>IF(L1932="","",Q1932/'[1]LOCH Calc COE Calc'!$C$28)</f>
        <v/>
      </c>
      <c r="W1932" t="str">
        <f>IF(L1932="","",R1932/'[1]LOCH Calc COE Calc'!$C$28)</f>
        <v/>
      </c>
    </row>
    <row r="1933" spans="12:23" x14ac:dyDescent="0.25">
      <c r="L1933" s="4" t="str">
        <f>IF('[1]All Data '!BE1938="","",'[1]All Data '!BE1938)</f>
        <v/>
      </c>
      <c r="M1933" t="str">
        <f>IF('[1]All Data '!BF1938="","",'[1]All Data '!BF1938)</f>
        <v/>
      </c>
      <c r="N1933" s="5" t="str">
        <f>IF('[1]All Data '!BB1938="","",'[1]All Data '!BC1938/'[1]All Data '!BH1938)</f>
        <v/>
      </c>
      <c r="O1933" s="5" t="str">
        <f t="shared" si="32"/>
        <v/>
      </c>
      <c r="P1933" s="5" t="str">
        <f>IF(M1933="","",$C$2*(1-L1933)*907.2/0.621371*N1933*[1]Transportation!$M$40)</f>
        <v/>
      </c>
      <c r="Q1933" s="5" t="str">
        <f>IF(L1933="","",IF([1]Inputs_Outputs!$B$5="Herbaceous",(LCA!$E$29*'[1]LOCH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3" s="5" t="str">
        <f>IF(M1933="","",$E$2*1000*'[1]LOCH Calc COE Calc'!$C$44)</f>
        <v/>
      </c>
      <c r="S1933" s="6" t="str">
        <f>IF(N1933="","",SUM(O1933:R1933)/('[1]LOCH Calc COE Calc'!$C$28))</f>
        <v/>
      </c>
      <c r="T1933" t="str">
        <f>IF(L1933="","",O1933/'[1]LOCH Calc COE Calc'!$C$28)</f>
        <v/>
      </c>
      <c r="U1933" t="str">
        <f>IF(L1933="","",P1933/'[1]LOCH Calc COE Calc'!$C$28)</f>
        <v/>
      </c>
      <c r="V1933" t="str">
        <f>IF(L1933="","",Q1933/'[1]LOCH Calc COE Calc'!$C$28)</f>
        <v/>
      </c>
      <c r="W1933" t="str">
        <f>IF(L1933="","",R1933/'[1]LOCH Calc COE Calc'!$C$28)</f>
        <v/>
      </c>
    </row>
    <row r="1934" spans="12:23" x14ac:dyDescent="0.25">
      <c r="L1934" s="4" t="str">
        <f>IF('[1]All Data '!BE1939="","",'[1]All Data '!BE1939)</f>
        <v/>
      </c>
      <c r="M1934" t="str">
        <f>IF('[1]All Data '!BF1939="","",'[1]All Data '!BF1939)</f>
        <v/>
      </c>
      <c r="N1934" s="5" t="str">
        <f>IF('[1]All Data '!BB1939="","",'[1]All Data '!BC1939/'[1]All Data '!BH1939)</f>
        <v/>
      </c>
      <c r="O1934" s="5" t="str">
        <f t="shared" si="32"/>
        <v/>
      </c>
      <c r="P1934" s="5" t="str">
        <f>IF(M1934="","",$C$2*(1-L1934)*907.2/0.621371*N1934*[1]Transportation!$M$40)</f>
        <v/>
      </c>
      <c r="Q1934" s="5" t="str">
        <f>IF(L1934="","",IF([1]Inputs_Outputs!$B$5="Herbaceous",(LCA!$E$29*'[1]LOCH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4" s="5" t="str">
        <f>IF(M1934="","",$E$2*1000*'[1]LOCH Calc COE Calc'!$C$44)</f>
        <v/>
      </c>
      <c r="S1934" s="6" t="str">
        <f>IF(N1934="","",SUM(O1934:R1934)/('[1]LOCH Calc COE Calc'!$C$28))</f>
        <v/>
      </c>
      <c r="T1934" t="str">
        <f>IF(L1934="","",O1934/'[1]LOCH Calc COE Calc'!$C$28)</f>
        <v/>
      </c>
      <c r="U1934" t="str">
        <f>IF(L1934="","",P1934/'[1]LOCH Calc COE Calc'!$C$28)</f>
        <v/>
      </c>
      <c r="V1934" t="str">
        <f>IF(L1934="","",Q1934/'[1]LOCH Calc COE Calc'!$C$28)</f>
        <v/>
      </c>
      <c r="W1934" t="str">
        <f>IF(L1934="","",R1934/'[1]LOCH Calc COE Calc'!$C$28)</f>
        <v/>
      </c>
    </row>
    <row r="1935" spans="12:23" x14ac:dyDescent="0.25">
      <c r="L1935" s="4" t="str">
        <f>IF('[1]All Data '!BE1940="","",'[1]All Data '!BE1940)</f>
        <v/>
      </c>
      <c r="M1935" t="str">
        <f>IF('[1]All Data '!BF1940="","",'[1]All Data '!BF1940)</f>
        <v/>
      </c>
      <c r="N1935" s="5" t="str">
        <f>IF('[1]All Data '!BB1940="","",'[1]All Data '!BC1940/'[1]All Data '!BH1940)</f>
        <v/>
      </c>
      <c r="O1935" s="5" t="str">
        <f t="shared" si="32"/>
        <v/>
      </c>
      <c r="P1935" s="5" t="str">
        <f>IF(M1935="","",$C$2*(1-L1935)*907.2/0.621371*N1935*[1]Transportation!$M$40)</f>
        <v/>
      </c>
      <c r="Q1935" s="5" t="str">
        <f>IF(L1935="","",IF([1]Inputs_Outputs!$B$5="Herbaceous",(LCA!$E$29*'[1]LOCH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5" s="5" t="str">
        <f>IF(M1935="","",$E$2*1000*'[1]LOCH Calc COE Calc'!$C$44)</f>
        <v/>
      </c>
      <c r="S1935" s="6" t="str">
        <f>IF(N1935="","",SUM(O1935:R1935)/('[1]LOCH Calc COE Calc'!$C$28))</f>
        <v/>
      </c>
      <c r="T1935" t="str">
        <f>IF(L1935="","",O1935/'[1]LOCH Calc COE Calc'!$C$28)</f>
        <v/>
      </c>
      <c r="U1935" t="str">
        <f>IF(L1935="","",P1935/'[1]LOCH Calc COE Calc'!$C$28)</f>
        <v/>
      </c>
      <c r="V1935" t="str">
        <f>IF(L1935="","",Q1935/'[1]LOCH Calc COE Calc'!$C$28)</f>
        <v/>
      </c>
      <c r="W1935" t="str">
        <f>IF(L1935="","",R1935/'[1]LOCH Calc COE Calc'!$C$28)</f>
        <v/>
      </c>
    </row>
    <row r="1936" spans="12:23" x14ac:dyDescent="0.25">
      <c r="L1936" s="4" t="str">
        <f>IF('[1]All Data '!BE1941="","",'[1]All Data '!BE1941)</f>
        <v/>
      </c>
      <c r="M1936" t="str">
        <f>IF('[1]All Data '!BF1941="","",'[1]All Data '!BF1941)</f>
        <v/>
      </c>
      <c r="N1936" s="5" t="str">
        <f>IF('[1]All Data '!BB1941="","",'[1]All Data '!BC1941/'[1]All Data '!BH1941)</f>
        <v/>
      </c>
      <c r="O1936" s="5" t="str">
        <f t="shared" si="32"/>
        <v/>
      </c>
      <c r="P1936" s="5" t="str">
        <f>IF(M1936="","",$C$2*(1-L1936)*907.2/0.621371*N1936*[1]Transportation!$M$40)</f>
        <v/>
      </c>
      <c r="Q1936" s="5" t="str">
        <f>IF(L1936="","",IF([1]Inputs_Outputs!$B$5="Herbaceous",(LCA!$E$29*'[1]LOCH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6" s="5" t="str">
        <f>IF(M1936="","",$E$2*1000*'[1]LOCH Calc COE Calc'!$C$44)</f>
        <v/>
      </c>
      <c r="S1936" s="6" t="str">
        <f>IF(N1936="","",SUM(O1936:R1936)/('[1]LOCH Calc COE Calc'!$C$28))</f>
        <v/>
      </c>
      <c r="T1936" t="str">
        <f>IF(L1936="","",O1936/'[1]LOCH Calc COE Calc'!$C$28)</f>
        <v/>
      </c>
      <c r="U1936" t="str">
        <f>IF(L1936="","",P1936/'[1]LOCH Calc COE Calc'!$C$28)</f>
        <v/>
      </c>
      <c r="V1936" t="str">
        <f>IF(L1936="","",Q1936/'[1]LOCH Calc COE Calc'!$C$28)</f>
        <v/>
      </c>
      <c r="W1936" t="str">
        <f>IF(L1936="","",R1936/'[1]LOCH Calc COE Calc'!$C$28)</f>
        <v/>
      </c>
    </row>
    <row r="1937" spans="12:23" x14ac:dyDescent="0.25">
      <c r="L1937" s="4" t="str">
        <f>IF('[1]All Data '!BE1942="","",'[1]All Data '!BE1942)</f>
        <v/>
      </c>
      <c r="M1937" t="str">
        <f>IF('[1]All Data '!BF1942="","",'[1]All Data '!BF1942)</f>
        <v/>
      </c>
      <c r="N1937" s="5" t="str">
        <f>IF('[1]All Data '!BB1942="","",'[1]All Data '!BC1942/'[1]All Data '!BH1942)</f>
        <v/>
      </c>
      <c r="O1937" s="5" t="str">
        <f t="shared" si="32"/>
        <v/>
      </c>
      <c r="P1937" s="5" t="str">
        <f>IF(M1937="","",$C$2*(1-L1937)*907.2/0.621371*N1937*[1]Transportation!$M$40)</f>
        <v/>
      </c>
      <c r="Q1937" s="5" t="str">
        <f>IF(L1937="","",IF([1]Inputs_Outputs!$B$5="Herbaceous",(LCA!$E$29*'[1]LOCH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7" s="5" t="str">
        <f>IF(M1937="","",$E$2*1000*'[1]LOCH Calc COE Calc'!$C$44)</f>
        <v/>
      </c>
      <c r="S1937" s="6" t="str">
        <f>IF(N1937="","",SUM(O1937:R1937)/('[1]LOCH Calc COE Calc'!$C$28))</f>
        <v/>
      </c>
      <c r="T1937" t="str">
        <f>IF(L1937="","",O1937/'[1]LOCH Calc COE Calc'!$C$28)</f>
        <v/>
      </c>
      <c r="U1937" t="str">
        <f>IF(L1937="","",P1937/'[1]LOCH Calc COE Calc'!$C$28)</f>
        <v/>
      </c>
      <c r="V1937" t="str">
        <f>IF(L1937="","",Q1937/'[1]LOCH Calc COE Calc'!$C$28)</f>
        <v/>
      </c>
      <c r="W1937" t="str">
        <f>IF(L1937="","",R1937/'[1]LOCH Calc COE Calc'!$C$28)</f>
        <v/>
      </c>
    </row>
    <row r="1938" spans="12:23" x14ac:dyDescent="0.25">
      <c r="L1938" s="4" t="str">
        <f>IF('[1]All Data '!BE1943="","",'[1]All Data '!BE1943)</f>
        <v/>
      </c>
      <c r="M1938" t="str">
        <f>IF('[1]All Data '!BF1943="","",'[1]All Data '!BF1943)</f>
        <v/>
      </c>
      <c r="N1938" s="5" t="str">
        <f>IF('[1]All Data '!BB1943="","",'[1]All Data '!BC1943/'[1]All Data '!BH1943)</f>
        <v/>
      </c>
      <c r="O1938" s="5" t="str">
        <f t="shared" si="32"/>
        <v/>
      </c>
      <c r="P1938" s="5" t="str">
        <f>IF(M1938="","",$C$2*(1-L1938)*907.2/0.621371*N1938*[1]Transportation!$M$40)</f>
        <v/>
      </c>
      <c r="Q1938" s="5" t="str">
        <f>IF(L1938="","",IF([1]Inputs_Outputs!$B$5="Herbaceous",(LCA!$E$29*'[1]LOCH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8" s="5" t="str">
        <f>IF(M1938="","",$E$2*1000*'[1]LOCH Calc COE Calc'!$C$44)</f>
        <v/>
      </c>
      <c r="S1938" s="6" t="str">
        <f>IF(N1938="","",SUM(O1938:R1938)/('[1]LOCH Calc COE Calc'!$C$28))</f>
        <v/>
      </c>
      <c r="T1938" t="str">
        <f>IF(L1938="","",O1938/'[1]LOCH Calc COE Calc'!$C$28)</f>
        <v/>
      </c>
      <c r="U1938" t="str">
        <f>IF(L1938="","",P1938/'[1]LOCH Calc COE Calc'!$C$28)</f>
        <v/>
      </c>
      <c r="V1938" t="str">
        <f>IF(L1938="","",Q1938/'[1]LOCH Calc COE Calc'!$C$28)</f>
        <v/>
      </c>
      <c r="W1938" t="str">
        <f>IF(L1938="","",R1938/'[1]LOCH Calc COE Calc'!$C$28)</f>
        <v/>
      </c>
    </row>
    <row r="1939" spans="12:23" x14ac:dyDescent="0.25">
      <c r="L1939" s="4" t="str">
        <f>IF('[1]All Data '!BE1944="","",'[1]All Data '!BE1944)</f>
        <v/>
      </c>
      <c r="M1939" t="str">
        <f>IF('[1]All Data '!BF1944="","",'[1]All Data '!BF1944)</f>
        <v/>
      </c>
      <c r="N1939" s="5" t="str">
        <f>IF('[1]All Data '!BB1944="","",'[1]All Data '!BC1944/'[1]All Data '!BH1944)</f>
        <v/>
      </c>
      <c r="O1939" s="5" t="str">
        <f t="shared" si="32"/>
        <v/>
      </c>
      <c r="P1939" s="5" t="str">
        <f>IF(M1939="","",$C$2*(1-L1939)*907.2/0.621371*N1939*[1]Transportation!$M$40)</f>
        <v/>
      </c>
      <c r="Q1939" s="5" t="str">
        <f>IF(L1939="","",IF([1]Inputs_Outputs!$B$5="Herbaceous",(LCA!$E$29*'[1]LOCH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39" s="5" t="str">
        <f>IF(M1939="","",$E$2*1000*'[1]LOCH Calc COE Calc'!$C$44)</f>
        <v/>
      </c>
      <c r="S1939" s="6" t="str">
        <f>IF(N1939="","",SUM(O1939:R1939)/('[1]LOCH Calc COE Calc'!$C$28))</f>
        <v/>
      </c>
      <c r="T1939" t="str">
        <f>IF(L1939="","",O1939/'[1]LOCH Calc COE Calc'!$C$28)</f>
        <v/>
      </c>
      <c r="U1939" t="str">
        <f>IF(L1939="","",P1939/'[1]LOCH Calc COE Calc'!$C$28)</f>
        <v/>
      </c>
      <c r="V1939" t="str">
        <f>IF(L1939="","",Q1939/'[1]LOCH Calc COE Calc'!$C$28)</f>
        <v/>
      </c>
      <c r="W1939" t="str">
        <f>IF(L1939="","",R1939/'[1]LOCH Calc COE Calc'!$C$28)</f>
        <v/>
      </c>
    </row>
    <row r="1940" spans="12:23" x14ac:dyDescent="0.25">
      <c r="L1940" s="4" t="str">
        <f>IF('[1]All Data '!BE1945="","",'[1]All Data '!BE1945)</f>
        <v/>
      </c>
      <c r="M1940" t="str">
        <f>IF('[1]All Data '!BF1945="","",'[1]All Data '!BF1945)</f>
        <v/>
      </c>
      <c r="N1940" s="5" t="str">
        <f>IF('[1]All Data '!BB1945="","",'[1]All Data '!BC1945/'[1]All Data '!BH1945)</f>
        <v/>
      </c>
      <c r="O1940" s="5" t="str">
        <f t="shared" si="32"/>
        <v/>
      </c>
      <c r="P1940" s="5" t="str">
        <f>IF(M1940="","",$C$2*(1-L1940)*907.2/0.621371*N1940*[1]Transportation!$M$40)</f>
        <v/>
      </c>
      <c r="Q1940" s="5" t="str">
        <f>IF(L1940="","",IF([1]Inputs_Outputs!$B$5="Herbaceous",(LCA!$E$29*'[1]LOCH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0" s="5" t="str">
        <f>IF(M1940="","",$E$2*1000*'[1]LOCH Calc COE Calc'!$C$44)</f>
        <v/>
      </c>
      <c r="S1940" s="6" t="str">
        <f>IF(N1940="","",SUM(O1940:R1940)/('[1]LOCH Calc COE Calc'!$C$28))</f>
        <v/>
      </c>
      <c r="T1940" t="str">
        <f>IF(L1940="","",O1940/'[1]LOCH Calc COE Calc'!$C$28)</f>
        <v/>
      </c>
      <c r="U1940" t="str">
        <f>IF(L1940="","",P1940/'[1]LOCH Calc COE Calc'!$C$28)</f>
        <v/>
      </c>
      <c r="V1940" t="str">
        <f>IF(L1940="","",Q1940/'[1]LOCH Calc COE Calc'!$C$28)</f>
        <v/>
      </c>
      <c r="W1940" t="str">
        <f>IF(L1940="","",R1940/'[1]LOCH Calc COE Calc'!$C$28)</f>
        <v/>
      </c>
    </row>
    <row r="1941" spans="12:23" x14ac:dyDescent="0.25">
      <c r="L1941" s="4" t="str">
        <f>IF('[1]All Data '!BE1946="","",'[1]All Data '!BE1946)</f>
        <v/>
      </c>
      <c r="M1941" t="str">
        <f>IF('[1]All Data '!BF1946="","",'[1]All Data '!BF1946)</f>
        <v/>
      </c>
      <c r="N1941" s="5" t="str">
        <f>IF('[1]All Data '!BB1946="","",'[1]All Data '!BC1946/'[1]All Data '!BH1946)</f>
        <v/>
      </c>
      <c r="O1941" s="5" t="str">
        <f t="shared" si="32"/>
        <v/>
      </c>
      <c r="P1941" s="5" t="str">
        <f>IF(M1941="","",$C$2*(1-L1941)*907.2/0.621371*N1941*[1]Transportation!$M$40)</f>
        <v/>
      </c>
      <c r="Q1941" s="5" t="str">
        <f>IF(L1941="","",IF([1]Inputs_Outputs!$B$5="Herbaceous",(LCA!$E$29*'[1]LOCH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1" s="5" t="str">
        <f>IF(M1941="","",$E$2*1000*'[1]LOCH Calc COE Calc'!$C$44)</f>
        <v/>
      </c>
      <c r="S1941" s="6" t="str">
        <f>IF(N1941="","",SUM(O1941:R1941)/('[1]LOCH Calc COE Calc'!$C$28))</f>
        <v/>
      </c>
      <c r="T1941" t="str">
        <f>IF(L1941="","",O1941/'[1]LOCH Calc COE Calc'!$C$28)</f>
        <v/>
      </c>
      <c r="U1941" t="str">
        <f>IF(L1941="","",P1941/'[1]LOCH Calc COE Calc'!$C$28)</f>
        <v/>
      </c>
      <c r="V1941" t="str">
        <f>IF(L1941="","",Q1941/'[1]LOCH Calc COE Calc'!$C$28)</f>
        <v/>
      </c>
      <c r="W1941" t="str">
        <f>IF(L1941="","",R1941/'[1]LOCH Calc COE Calc'!$C$28)</f>
        <v/>
      </c>
    </row>
    <row r="1942" spans="12:23" x14ac:dyDescent="0.25">
      <c r="L1942" s="4" t="str">
        <f>IF('[1]All Data '!BE1947="","",'[1]All Data '!BE1947)</f>
        <v/>
      </c>
      <c r="M1942" t="str">
        <f>IF('[1]All Data '!BF1947="","",'[1]All Data '!BF1947)</f>
        <v/>
      </c>
      <c r="N1942" s="5" t="str">
        <f>IF('[1]All Data '!BB1947="","",'[1]All Data '!BC1947/'[1]All Data '!BH1947)</f>
        <v/>
      </c>
      <c r="O1942" s="5" t="str">
        <f t="shared" si="32"/>
        <v/>
      </c>
      <c r="P1942" s="5" t="str">
        <f>IF(M1942="","",$C$2*(1-L1942)*907.2/0.621371*N1942*[1]Transportation!$M$40)</f>
        <v/>
      </c>
      <c r="Q1942" s="5" t="str">
        <f>IF(L1942="","",IF([1]Inputs_Outputs!$B$5="Herbaceous",(LCA!$E$29*'[1]LOCH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2" s="5" t="str">
        <f>IF(M1942="","",$E$2*1000*'[1]LOCH Calc COE Calc'!$C$44)</f>
        <v/>
      </c>
      <c r="S1942" s="6" t="str">
        <f>IF(N1942="","",SUM(O1942:R1942)/('[1]LOCH Calc COE Calc'!$C$28))</f>
        <v/>
      </c>
      <c r="T1942" t="str">
        <f>IF(L1942="","",O1942/'[1]LOCH Calc COE Calc'!$C$28)</f>
        <v/>
      </c>
      <c r="U1942" t="str">
        <f>IF(L1942="","",P1942/'[1]LOCH Calc COE Calc'!$C$28)</f>
        <v/>
      </c>
      <c r="V1942" t="str">
        <f>IF(L1942="","",Q1942/'[1]LOCH Calc COE Calc'!$C$28)</f>
        <v/>
      </c>
      <c r="W1942" t="str">
        <f>IF(L1942="","",R1942/'[1]LOCH Calc COE Calc'!$C$28)</f>
        <v/>
      </c>
    </row>
    <row r="1943" spans="12:23" x14ac:dyDescent="0.25">
      <c r="L1943" s="4" t="str">
        <f>IF('[1]All Data '!BE1948="","",'[1]All Data '!BE1948)</f>
        <v/>
      </c>
      <c r="M1943" t="str">
        <f>IF('[1]All Data '!BF1948="","",'[1]All Data '!BF1948)</f>
        <v/>
      </c>
      <c r="N1943" s="5" t="str">
        <f>IF('[1]All Data '!BB1948="","",'[1]All Data '!BC1948/'[1]All Data '!BH1948)</f>
        <v/>
      </c>
      <c r="O1943" s="5" t="str">
        <f t="shared" si="32"/>
        <v/>
      </c>
      <c r="P1943" s="5" t="str">
        <f>IF(M1943="","",$C$2*(1-L1943)*907.2/0.621371*N1943*[1]Transportation!$M$40)</f>
        <v/>
      </c>
      <c r="Q1943" s="5" t="str">
        <f>IF(L1943="","",IF([1]Inputs_Outputs!$B$5="Herbaceous",(LCA!$E$29*'[1]LOCH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3" s="5" t="str">
        <f>IF(M1943="","",$E$2*1000*'[1]LOCH Calc COE Calc'!$C$44)</f>
        <v/>
      </c>
      <c r="S1943" s="6" t="str">
        <f>IF(N1943="","",SUM(O1943:R1943)/('[1]LOCH Calc COE Calc'!$C$28))</f>
        <v/>
      </c>
      <c r="T1943" t="str">
        <f>IF(L1943="","",O1943/'[1]LOCH Calc COE Calc'!$C$28)</f>
        <v/>
      </c>
      <c r="U1943" t="str">
        <f>IF(L1943="","",P1943/'[1]LOCH Calc COE Calc'!$C$28)</f>
        <v/>
      </c>
      <c r="V1943" t="str">
        <f>IF(L1943="","",Q1943/'[1]LOCH Calc COE Calc'!$C$28)</f>
        <v/>
      </c>
      <c r="W1943" t="str">
        <f>IF(L1943="","",R1943/'[1]LOCH Calc COE Calc'!$C$28)</f>
        <v/>
      </c>
    </row>
    <row r="1944" spans="12:23" x14ac:dyDescent="0.25">
      <c r="L1944" s="4" t="str">
        <f>IF('[1]All Data '!BE1949="","",'[1]All Data '!BE1949)</f>
        <v/>
      </c>
      <c r="M1944" t="str">
        <f>IF('[1]All Data '!BF1949="","",'[1]All Data '!BF1949)</f>
        <v/>
      </c>
      <c r="N1944" s="5" t="str">
        <f>IF('[1]All Data '!BB1949="","",'[1]All Data '!BC1949/'[1]All Data '!BH1949)</f>
        <v/>
      </c>
      <c r="O1944" s="5" t="str">
        <f t="shared" si="32"/>
        <v/>
      </c>
      <c r="P1944" s="5" t="str">
        <f>IF(M1944="","",$C$2*(1-L1944)*907.2/0.621371*N1944*[1]Transportation!$M$40)</f>
        <v/>
      </c>
      <c r="Q1944" s="5" t="str">
        <f>IF(L1944="","",IF([1]Inputs_Outputs!$B$5="Herbaceous",(LCA!$E$29*'[1]LOCH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4" s="5" t="str">
        <f>IF(M1944="","",$E$2*1000*'[1]LOCH Calc COE Calc'!$C$44)</f>
        <v/>
      </c>
      <c r="S1944" s="6" t="str">
        <f>IF(N1944="","",SUM(O1944:R1944)/('[1]LOCH Calc COE Calc'!$C$28))</f>
        <v/>
      </c>
      <c r="T1944" t="str">
        <f>IF(L1944="","",O1944/'[1]LOCH Calc COE Calc'!$C$28)</f>
        <v/>
      </c>
      <c r="U1944" t="str">
        <f>IF(L1944="","",P1944/'[1]LOCH Calc COE Calc'!$C$28)</f>
        <v/>
      </c>
      <c r="V1944" t="str">
        <f>IF(L1944="","",Q1944/'[1]LOCH Calc COE Calc'!$C$28)</f>
        <v/>
      </c>
      <c r="W1944" t="str">
        <f>IF(L1944="","",R1944/'[1]LOCH Calc COE Calc'!$C$28)</f>
        <v/>
      </c>
    </row>
    <row r="1945" spans="12:23" x14ac:dyDescent="0.25">
      <c r="L1945" s="4" t="str">
        <f>IF('[1]All Data '!BE1950="","",'[1]All Data '!BE1950)</f>
        <v/>
      </c>
      <c r="M1945" t="str">
        <f>IF('[1]All Data '!BF1950="","",'[1]All Data '!BF1950)</f>
        <v/>
      </c>
      <c r="N1945" s="5" t="str">
        <f>IF('[1]All Data '!BB1950="","",'[1]All Data '!BC1950/'[1]All Data '!BH1950)</f>
        <v/>
      </c>
      <c r="O1945" s="5" t="str">
        <f t="shared" si="32"/>
        <v/>
      </c>
      <c r="P1945" s="5" t="str">
        <f>IF(M1945="","",$C$2*(1-L1945)*907.2/0.621371*N1945*[1]Transportation!$M$40)</f>
        <v/>
      </c>
      <c r="Q1945" s="5" t="str">
        <f>IF(L1945="","",IF([1]Inputs_Outputs!$B$5="Herbaceous",(LCA!$E$29*'[1]LOCH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5" s="5" t="str">
        <f>IF(M1945="","",$E$2*1000*'[1]LOCH Calc COE Calc'!$C$44)</f>
        <v/>
      </c>
      <c r="S1945" s="6" t="str">
        <f>IF(N1945="","",SUM(O1945:R1945)/('[1]LOCH Calc COE Calc'!$C$28))</f>
        <v/>
      </c>
      <c r="T1945" t="str">
        <f>IF(L1945="","",O1945/'[1]LOCH Calc COE Calc'!$C$28)</f>
        <v/>
      </c>
      <c r="U1945" t="str">
        <f>IF(L1945="","",P1945/'[1]LOCH Calc COE Calc'!$C$28)</f>
        <v/>
      </c>
      <c r="V1945" t="str">
        <f>IF(L1945="","",Q1945/'[1]LOCH Calc COE Calc'!$C$28)</f>
        <v/>
      </c>
      <c r="W1945" t="str">
        <f>IF(L1945="","",R1945/'[1]LOCH Calc COE Calc'!$C$28)</f>
        <v/>
      </c>
    </row>
    <row r="1946" spans="12:23" x14ac:dyDescent="0.25">
      <c r="L1946" s="4" t="str">
        <f>IF('[1]All Data '!BE1951="","",'[1]All Data '!BE1951)</f>
        <v/>
      </c>
      <c r="M1946" t="str">
        <f>IF('[1]All Data '!BF1951="","",'[1]All Data '!BF1951)</f>
        <v/>
      </c>
      <c r="N1946" s="5" t="str">
        <f>IF('[1]All Data '!BB1951="","",'[1]All Data '!BC1951/'[1]All Data '!BH1951)</f>
        <v/>
      </c>
      <c r="O1946" s="5" t="str">
        <f t="shared" si="32"/>
        <v/>
      </c>
      <c r="P1946" s="5" t="str">
        <f>IF(M1946="","",$C$2*(1-L1946)*907.2/0.621371*N1946*[1]Transportation!$M$40)</f>
        <v/>
      </c>
      <c r="Q1946" s="5" t="str">
        <f>IF(L1946="","",IF([1]Inputs_Outputs!$B$5="Herbaceous",(LCA!$E$29*'[1]LOCH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6" s="5" t="str">
        <f>IF(M1946="","",$E$2*1000*'[1]LOCH Calc COE Calc'!$C$44)</f>
        <v/>
      </c>
      <c r="S1946" s="6" t="str">
        <f>IF(N1946="","",SUM(O1946:R1946)/('[1]LOCH Calc COE Calc'!$C$28))</f>
        <v/>
      </c>
      <c r="T1946" t="str">
        <f>IF(L1946="","",O1946/'[1]LOCH Calc COE Calc'!$C$28)</f>
        <v/>
      </c>
      <c r="U1946" t="str">
        <f>IF(L1946="","",P1946/'[1]LOCH Calc COE Calc'!$C$28)</f>
        <v/>
      </c>
      <c r="V1946" t="str">
        <f>IF(L1946="","",Q1946/'[1]LOCH Calc COE Calc'!$C$28)</f>
        <v/>
      </c>
      <c r="W1946" t="str">
        <f>IF(L1946="","",R1946/'[1]LOCH Calc COE Calc'!$C$28)</f>
        <v/>
      </c>
    </row>
    <row r="1947" spans="12:23" x14ac:dyDescent="0.25">
      <c r="L1947" s="4" t="str">
        <f>IF('[1]All Data '!BE1952="","",'[1]All Data '!BE1952)</f>
        <v/>
      </c>
      <c r="M1947" t="str">
        <f>IF('[1]All Data '!BF1952="","",'[1]All Data '!BF1952)</f>
        <v/>
      </c>
      <c r="N1947" s="5" t="str">
        <f>IF('[1]All Data '!BB1952="","",'[1]All Data '!BC1952/'[1]All Data '!BH1952)</f>
        <v/>
      </c>
      <c r="O1947" s="5" t="str">
        <f t="shared" si="32"/>
        <v/>
      </c>
      <c r="P1947" s="5" t="str">
        <f>IF(M1947="","",$C$2*(1-L1947)*907.2/0.621371*N1947*[1]Transportation!$M$40)</f>
        <v/>
      </c>
      <c r="Q1947" s="5" t="str">
        <f>IF(L1947="","",IF([1]Inputs_Outputs!$B$5="Herbaceous",(LCA!$E$29*'[1]LOCH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7" s="5" t="str">
        <f>IF(M1947="","",$E$2*1000*'[1]LOCH Calc COE Calc'!$C$44)</f>
        <v/>
      </c>
      <c r="S1947" s="6" t="str">
        <f>IF(N1947="","",SUM(O1947:R1947)/('[1]LOCH Calc COE Calc'!$C$28))</f>
        <v/>
      </c>
      <c r="T1947" t="str">
        <f>IF(L1947="","",O1947/'[1]LOCH Calc COE Calc'!$C$28)</f>
        <v/>
      </c>
      <c r="U1947" t="str">
        <f>IF(L1947="","",P1947/'[1]LOCH Calc COE Calc'!$C$28)</f>
        <v/>
      </c>
      <c r="V1947" t="str">
        <f>IF(L1947="","",Q1947/'[1]LOCH Calc COE Calc'!$C$28)</f>
        <v/>
      </c>
      <c r="W1947" t="str">
        <f>IF(L1947="","",R1947/'[1]LOCH Calc COE Calc'!$C$28)</f>
        <v/>
      </c>
    </row>
    <row r="1948" spans="12:23" x14ac:dyDescent="0.25">
      <c r="L1948" s="4" t="str">
        <f>IF('[1]All Data '!BE1953="","",'[1]All Data '!BE1953)</f>
        <v/>
      </c>
      <c r="M1948" t="str">
        <f>IF('[1]All Data '!BF1953="","",'[1]All Data '!BF1953)</f>
        <v/>
      </c>
      <c r="N1948" s="5" t="str">
        <f>IF('[1]All Data '!BB1953="","",'[1]All Data '!BC1953/'[1]All Data '!BH1953)</f>
        <v/>
      </c>
      <c r="O1948" s="5" t="str">
        <f t="shared" si="32"/>
        <v/>
      </c>
      <c r="P1948" s="5" t="str">
        <f>IF(M1948="","",$C$2*(1-L1948)*907.2/0.621371*N1948*[1]Transportation!$M$40)</f>
        <v/>
      </c>
      <c r="Q1948" s="5" t="str">
        <f>IF(L1948="","",IF([1]Inputs_Outputs!$B$5="Herbaceous",(LCA!$E$29*'[1]LOCH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8" s="5" t="str">
        <f>IF(M1948="","",$E$2*1000*'[1]LOCH Calc COE Calc'!$C$44)</f>
        <v/>
      </c>
      <c r="S1948" s="6" t="str">
        <f>IF(N1948="","",SUM(O1948:R1948)/('[1]LOCH Calc COE Calc'!$C$28))</f>
        <v/>
      </c>
      <c r="T1948" t="str">
        <f>IF(L1948="","",O1948/'[1]LOCH Calc COE Calc'!$C$28)</f>
        <v/>
      </c>
      <c r="U1948" t="str">
        <f>IF(L1948="","",P1948/'[1]LOCH Calc COE Calc'!$C$28)</f>
        <v/>
      </c>
      <c r="V1948" t="str">
        <f>IF(L1948="","",Q1948/'[1]LOCH Calc COE Calc'!$C$28)</f>
        <v/>
      </c>
      <c r="W1948" t="str">
        <f>IF(L1948="","",R1948/'[1]LOCH Calc COE Calc'!$C$28)</f>
        <v/>
      </c>
    </row>
    <row r="1949" spans="12:23" x14ac:dyDescent="0.25">
      <c r="L1949" s="4" t="str">
        <f>IF('[1]All Data '!BE1954="","",'[1]All Data '!BE1954)</f>
        <v/>
      </c>
      <c r="M1949" t="str">
        <f>IF('[1]All Data '!BF1954="","",'[1]All Data '!BF1954)</f>
        <v/>
      </c>
      <c r="N1949" s="5" t="str">
        <f>IF('[1]All Data '!BB1954="","",'[1]All Data '!BC1954/'[1]All Data '!BH1954)</f>
        <v/>
      </c>
      <c r="O1949" s="5" t="str">
        <f t="shared" si="32"/>
        <v/>
      </c>
      <c r="P1949" s="5" t="str">
        <f>IF(M1949="","",$C$2*(1-L1949)*907.2/0.621371*N1949*[1]Transportation!$M$40)</f>
        <v/>
      </c>
      <c r="Q1949" s="5" t="str">
        <f>IF(L1949="","",IF([1]Inputs_Outputs!$B$5="Herbaceous",(LCA!$E$29*'[1]LOCH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49" s="5" t="str">
        <f>IF(M1949="","",$E$2*1000*'[1]LOCH Calc COE Calc'!$C$44)</f>
        <v/>
      </c>
      <c r="S1949" s="6" t="str">
        <f>IF(N1949="","",SUM(O1949:R1949)/('[1]LOCH Calc COE Calc'!$C$28))</f>
        <v/>
      </c>
      <c r="T1949" t="str">
        <f>IF(L1949="","",O1949/'[1]LOCH Calc COE Calc'!$C$28)</f>
        <v/>
      </c>
      <c r="U1949" t="str">
        <f>IF(L1949="","",P1949/'[1]LOCH Calc COE Calc'!$C$28)</f>
        <v/>
      </c>
      <c r="V1949" t="str">
        <f>IF(L1949="","",Q1949/'[1]LOCH Calc COE Calc'!$C$28)</f>
        <v/>
      </c>
      <c r="W1949" t="str">
        <f>IF(L1949="","",R1949/'[1]LOCH Calc COE Calc'!$C$28)</f>
        <v/>
      </c>
    </row>
    <row r="1950" spans="12:23" x14ac:dyDescent="0.25">
      <c r="L1950" s="4" t="str">
        <f>IF('[1]All Data '!BE1955="","",'[1]All Data '!BE1955)</f>
        <v/>
      </c>
      <c r="M1950" t="str">
        <f>IF('[1]All Data '!BF1955="","",'[1]All Data '!BF1955)</f>
        <v/>
      </c>
      <c r="N1950" s="5" t="str">
        <f>IF('[1]All Data '!BB1955="","",'[1]All Data '!BC1955/'[1]All Data '!BH1955)</f>
        <v/>
      </c>
      <c r="O1950" s="5" t="str">
        <f t="shared" si="32"/>
        <v/>
      </c>
      <c r="P1950" s="5" t="str">
        <f>IF(M1950="","",$C$2*(1-L1950)*907.2/0.621371*N1950*[1]Transportation!$M$40)</f>
        <v/>
      </c>
      <c r="Q1950" s="5" t="str">
        <f>IF(L1950="","",IF([1]Inputs_Outputs!$B$5="Herbaceous",(LCA!$E$29*'[1]LOCH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0" s="5" t="str">
        <f>IF(M1950="","",$E$2*1000*'[1]LOCH Calc COE Calc'!$C$44)</f>
        <v/>
      </c>
      <c r="S1950" s="6" t="str">
        <f>IF(N1950="","",SUM(O1950:R1950)/('[1]LOCH Calc COE Calc'!$C$28))</f>
        <v/>
      </c>
      <c r="T1950" t="str">
        <f>IF(L1950="","",O1950/'[1]LOCH Calc COE Calc'!$C$28)</f>
        <v/>
      </c>
      <c r="U1950" t="str">
        <f>IF(L1950="","",P1950/'[1]LOCH Calc COE Calc'!$C$28)</f>
        <v/>
      </c>
      <c r="V1950" t="str">
        <f>IF(L1950="","",Q1950/'[1]LOCH Calc COE Calc'!$C$28)</f>
        <v/>
      </c>
      <c r="W1950" t="str">
        <f>IF(L1950="","",R1950/'[1]LOCH Calc COE Calc'!$C$28)</f>
        <v/>
      </c>
    </row>
    <row r="1951" spans="12:23" x14ac:dyDescent="0.25">
      <c r="L1951" s="4" t="str">
        <f>IF('[1]All Data '!BE1956="","",'[1]All Data '!BE1956)</f>
        <v/>
      </c>
      <c r="M1951" t="str">
        <f>IF('[1]All Data '!BF1956="","",'[1]All Data '!BF1956)</f>
        <v/>
      </c>
      <c r="N1951" s="5" t="str">
        <f>IF('[1]All Data '!BB1956="","",'[1]All Data '!BC1956/'[1]All Data '!BH1956)</f>
        <v/>
      </c>
      <c r="O1951" s="5" t="str">
        <f t="shared" si="32"/>
        <v/>
      </c>
      <c r="P1951" s="5" t="str">
        <f>IF(M1951="","",$C$2*(1-L1951)*907.2/0.621371*N1951*[1]Transportation!$M$40)</f>
        <v/>
      </c>
      <c r="Q1951" s="5" t="str">
        <f>IF(L1951="","",IF([1]Inputs_Outputs!$B$5="Herbaceous",(LCA!$E$29*'[1]LOCH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1" s="5" t="str">
        <f>IF(M1951="","",$E$2*1000*'[1]LOCH Calc COE Calc'!$C$44)</f>
        <v/>
      </c>
      <c r="S1951" s="6" t="str">
        <f>IF(N1951="","",SUM(O1951:R1951)/('[1]LOCH Calc COE Calc'!$C$28))</f>
        <v/>
      </c>
      <c r="T1951" t="str">
        <f>IF(L1951="","",O1951/'[1]LOCH Calc COE Calc'!$C$28)</f>
        <v/>
      </c>
      <c r="U1951" t="str">
        <f>IF(L1951="","",P1951/'[1]LOCH Calc COE Calc'!$C$28)</f>
        <v/>
      </c>
      <c r="V1951" t="str">
        <f>IF(L1951="","",Q1951/'[1]LOCH Calc COE Calc'!$C$28)</f>
        <v/>
      </c>
      <c r="W1951" t="str">
        <f>IF(L1951="","",R1951/'[1]LOCH Calc COE Calc'!$C$28)</f>
        <v/>
      </c>
    </row>
    <row r="1952" spans="12:23" x14ac:dyDescent="0.25">
      <c r="L1952" s="4" t="str">
        <f>IF('[1]All Data '!BE1957="","",'[1]All Data '!BE1957)</f>
        <v/>
      </c>
      <c r="M1952" t="str">
        <f>IF('[1]All Data '!BF1957="","",'[1]All Data '!BF1957)</f>
        <v/>
      </c>
      <c r="N1952" s="5" t="str">
        <f>IF('[1]All Data '!BB1957="","",'[1]All Data '!BC1957/'[1]All Data '!BH1957)</f>
        <v/>
      </c>
      <c r="O1952" s="5" t="str">
        <f t="shared" si="32"/>
        <v/>
      </c>
      <c r="P1952" s="5" t="str">
        <f>IF(M1952="","",$C$2*(1-L1952)*907.2/0.621371*N1952*[1]Transportation!$M$40)</f>
        <v/>
      </c>
      <c r="Q1952" s="5" t="str">
        <f>IF(L1952="","",IF([1]Inputs_Outputs!$B$5="Herbaceous",(LCA!$E$29*'[1]LOCH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2" s="5" t="str">
        <f>IF(M1952="","",$E$2*1000*'[1]LOCH Calc COE Calc'!$C$44)</f>
        <v/>
      </c>
      <c r="S1952" s="6" t="str">
        <f>IF(N1952="","",SUM(O1952:R1952)/('[1]LOCH Calc COE Calc'!$C$28))</f>
        <v/>
      </c>
      <c r="T1952" t="str">
        <f>IF(L1952="","",O1952/'[1]LOCH Calc COE Calc'!$C$28)</f>
        <v/>
      </c>
      <c r="U1952" t="str">
        <f>IF(L1952="","",P1952/'[1]LOCH Calc COE Calc'!$C$28)</f>
        <v/>
      </c>
      <c r="V1952" t="str">
        <f>IF(L1952="","",Q1952/'[1]LOCH Calc COE Calc'!$C$28)</f>
        <v/>
      </c>
      <c r="W1952" t="str">
        <f>IF(L1952="","",R1952/'[1]LOCH Calc COE Calc'!$C$28)</f>
        <v/>
      </c>
    </row>
    <row r="1953" spans="12:23" x14ac:dyDescent="0.25">
      <c r="L1953" s="4" t="str">
        <f>IF('[1]All Data '!BE1958="","",'[1]All Data '!BE1958)</f>
        <v/>
      </c>
      <c r="M1953" t="str">
        <f>IF('[1]All Data '!BF1958="","",'[1]All Data '!BF1958)</f>
        <v/>
      </c>
      <c r="N1953" s="5" t="str">
        <f>IF('[1]All Data '!BB1958="","",'[1]All Data '!BC1958/'[1]All Data '!BH1958)</f>
        <v/>
      </c>
      <c r="O1953" s="5" t="str">
        <f t="shared" si="32"/>
        <v/>
      </c>
      <c r="P1953" s="5" t="str">
        <f>IF(M1953="","",$C$2*(1-L1953)*907.2/0.621371*N1953*[1]Transportation!$M$40)</f>
        <v/>
      </c>
      <c r="Q1953" s="5" t="str">
        <f>IF(L1953="","",IF([1]Inputs_Outputs!$B$5="Herbaceous",(LCA!$E$29*'[1]LOCH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3" s="5" t="str">
        <f>IF(M1953="","",$E$2*1000*'[1]LOCH Calc COE Calc'!$C$44)</f>
        <v/>
      </c>
      <c r="S1953" s="6" t="str">
        <f>IF(N1953="","",SUM(O1953:R1953)/('[1]LOCH Calc COE Calc'!$C$28))</f>
        <v/>
      </c>
      <c r="T1953" t="str">
        <f>IF(L1953="","",O1953/'[1]LOCH Calc COE Calc'!$C$28)</f>
        <v/>
      </c>
      <c r="U1953" t="str">
        <f>IF(L1953="","",P1953/'[1]LOCH Calc COE Calc'!$C$28)</f>
        <v/>
      </c>
      <c r="V1953" t="str">
        <f>IF(L1953="","",Q1953/'[1]LOCH Calc COE Calc'!$C$28)</f>
        <v/>
      </c>
      <c r="W1953" t="str">
        <f>IF(L1953="","",R1953/'[1]LOCH Calc COE Calc'!$C$28)</f>
        <v/>
      </c>
    </row>
    <row r="1954" spans="12:23" x14ac:dyDescent="0.25">
      <c r="L1954" s="4" t="str">
        <f>IF('[1]All Data '!BE1959="","",'[1]All Data '!BE1959)</f>
        <v/>
      </c>
      <c r="M1954" t="str">
        <f>IF('[1]All Data '!BF1959="","",'[1]All Data '!BF1959)</f>
        <v/>
      </c>
      <c r="N1954" s="5" t="str">
        <f>IF('[1]All Data '!BB1959="","",'[1]All Data '!BC1959/'[1]All Data '!BH1959)</f>
        <v/>
      </c>
      <c r="O1954" s="5" t="str">
        <f t="shared" si="32"/>
        <v/>
      </c>
      <c r="P1954" s="5" t="str">
        <f>IF(M1954="","",$C$2*(1-L1954)*907.2/0.621371*N1954*[1]Transportation!$M$40)</f>
        <v/>
      </c>
      <c r="Q1954" s="5" t="str">
        <f>IF(L1954="","",IF([1]Inputs_Outputs!$B$5="Herbaceous",(LCA!$E$29*'[1]LOCH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4" s="5" t="str">
        <f>IF(M1954="","",$E$2*1000*'[1]LOCH Calc COE Calc'!$C$44)</f>
        <v/>
      </c>
      <c r="S1954" s="6" t="str">
        <f>IF(N1954="","",SUM(O1954:R1954)/('[1]LOCH Calc COE Calc'!$C$28))</f>
        <v/>
      </c>
      <c r="T1954" t="str">
        <f>IF(L1954="","",O1954/'[1]LOCH Calc COE Calc'!$C$28)</f>
        <v/>
      </c>
      <c r="U1954" t="str">
        <f>IF(L1954="","",P1954/'[1]LOCH Calc COE Calc'!$C$28)</f>
        <v/>
      </c>
      <c r="V1954" t="str">
        <f>IF(L1954="","",Q1954/'[1]LOCH Calc COE Calc'!$C$28)</f>
        <v/>
      </c>
      <c r="W1954" t="str">
        <f>IF(L1954="","",R1954/'[1]LOCH Calc COE Calc'!$C$28)</f>
        <v/>
      </c>
    </row>
    <row r="1955" spans="12:23" x14ac:dyDescent="0.25">
      <c r="L1955" s="4" t="str">
        <f>IF('[1]All Data '!BE1960="","",'[1]All Data '!BE1960)</f>
        <v/>
      </c>
      <c r="M1955" t="str">
        <f>IF('[1]All Data '!BF1960="","",'[1]All Data '!BF1960)</f>
        <v/>
      </c>
      <c r="N1955" s="5" t="str">
        <f>IF('[1]All Data '!BB1960="","",'[1]All Data '!BC1960/'[1]All Data '!BH1960)</f>
        <v/>
      </c>
      <c r="O1955" s="5" t="str">
        <f t="shared" si="32"/>
        <v/>
      </c>
      <c r="P1955" s="5" t="str">
        <f>IF(M1955="","",$C$2*(1-L1955)*907.2/0.621371*N1955*[1]Transportation!$M$40)</f>
        <v/>
      </c>
      <c r="Q1955" s="5" t="str">
        <f>IF(L1955="","",IF([1]Inputs_Outputs!$B$5="Herbaceous",(LCA!$E$29*'[1]LOCH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5" s="5" t="str">
        <f>IF(M1955="","",$E$2*1000*'[1]LOCH Calc COE Calc'!$C$44)</f>
        <v/>
      </c>
      <c r="S1955" s="6" t="str">
        <f>IF(N1955="","",SUM(O1955:R1955)/('[1]LOCH Calc COE Calc'!$C$28))</f>
        <v/>
      </c>
      <c r="T1955" t="str">
        <f>IF(L1955="","",O1955/'[1]LOCH Calc COE Calc'!$C$28)</f>
        <v/>
      </c>
      <c r="U1955" t="str">
        <f>IF(L1955="","",P1955/'[1]LOCH Calc COE Calc'!$C$28)</f>
        <v/>
      </c>
      <c r="V1955" t="str">
        <f>IF(L1955="","",Q1955/'[1]LOCH Calc COE Calc'!$C$28)</f>
        <v/>
      </c>
      <c r="W1955" t="str">
        <f>IF(L1955="","",R1955/'[1]LOCH Calc COE Calc'!$C$28)</f>
        <v/>
      </c>
    </row>
    <row r="1956" spans="12:23" x14ac:dyDescent="0.25">
      <c r="L1956" s="4" t="str">
        <f>IF('[1]All Data '!BE1961="","",'[1]All Data '!BE1961)</f>
        <v/>
      </c>
      <c r="M1956" t="str">
        <f>IF('[1]All Data '!BF1961="","",'[1]All Data '!BF1961)</f>
        <v/>
      </c>
      <c r="N1956" s="5" t="str">
        <f>IF('[1]All Data '!BB1961="","",'[1]All Data '!BC1961/'[1]All Data '!BH1961)</f>
        <v/>
      </c>
      <c r="O1956" s="5" t="str">
        <f t="shared" si="32"/>
        <v/>
      </c>
      <c r="P1956" s="5" t="str">
        <f>IF(M1956="","",$C$2*(1-L1956)*907.2/0.621371*N1956*[1]Transportation!$M$40)</f>
        <v/>
      </c>
      <c r="Q1956" s="5" t="str">
        <f>IF(L1956="","",IF([1]Inputs_Outputs!$B$5="Herbaceous",(LCA!$E$29*'[1]LOCH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6" s="5" t="str">
        <f>IF(M1956="","",$E$2*1000*'[1]LOCH Calc COE Calc'!$C$44)</f>
        <v/>
      </c>
      <c r="S1956" s="6" t="str">
        <f>IF(N1956="","",SUM(O1956:R1956)/('[1]LOCH Calc COE Calc'!$C$28))</f>
        <v/>
      </c>
      <c r="T1956" t="str">
        <f>IF(L1956="","",O1956/'[1]LOCH Calc COE Calc'!$C$28)</f>
        <v/>
      </c>
      <c r="U1956" t="str">
        <f>IF(L1956="","",P1956/'[1]LOCH Calc COE Calc'!$C$28)</f>
        <v/>
      </c>
      <c r="V1956" t="str">
        <f>IF(L1956="","",Q1956/'[1]LOCH Calc COE Calc'!$C$28)</f>
        <v/>
      </c>
      <c r="W1956" t="str">
        <f>IF(L1956="","",R1956/'[1]LOCH Calc COE Calc'!$C$28)</f>
        <v/>
      </c>
    </row>
    <row r="1957" spans="12:23" x14ac:dyDescent="0.25">
      <c r="L1957" s="4" t="str">
        <f>IF('[1]All Data '!BE1962="","",'[1]All Data '!BE1962)</f>
        <v/>
      </c>
      <c r="M1957" t="str">
        <f>IF('[1]All Data '!BF1962="","",'[1]All Data '!BF1962)</f>
        <v/>
      </c>
      <c r="N1957" s="5" t="str">
        <f>IF('[1]All Data '!BB1962="","",'[1]All Data '!BC1962/'[1]All Data '!BH1962)</f>
        <v/>
      </c>
      <c r="O1957" s="5" t="str">
        <f t="shared" si="32"/>
        <v/>
      </c>
      <c r="P1957" s="5" t="str">
        <f>IF(M1957="","",$C$2*(1-L1957)*907.2/0.621371*N1957*[1]Transportation!$M$40)</f>
        <v/>
      </c>
      <c r="Q1957" s="5" t="str">
        <f>IF(L1957="","",IF([1]Inputs_Outputs!$B$5="Herbaceous",(LCA!$E$29*'[1]LOCH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7" s="5" t="str">
        <f>IF(M1957="","",$E$2*1000*'[1]LOCH Calc COE Calc'!$C$44)</f>
        <v/>
      </c>
      <c r="S1957" s="6" t="str">
        <f>IF(N1957="","",SUM(O1957:R1957)/('[1]LOCH Calc COE Calc'!$C$28))</f>
        <v/>
      </c>
      <c r="T1957" t="str">
        <f>IF(L1957="","",O1957/'[1]LOCH Calc COE Calc'!$C$28)</f>
        <v/>
      </c>
      <c r="U1957" t="str">
        <f>IF(L1957="","",P1957/'[1]LOCH Calc COE Calc'!$C$28)</f>
        <v/>
      </c>
      <c r="V1957" t="str">
        <f>IF(L1957="","",Q1957/'[1]LOCH Calc COE Calc'!$C$28)</f>
        <v/>
      </c>
      <c r="W1957" t="str">
        <f>IF(L1957="","",R1957/'[1]LOCH Calc COE Calc'!$C$28)</f>
        <v/>
      </c>
    </row>
    <row r="1958" spans="12:23" x14ac:dyDescent="0.25">
      <c r="L1958" s="4" t="str">
        <f>IF('[1]All Data '!BE1963="","",'[1]All Data '!BE1963)</f>
        <v/>
      </c>
      <c r="M1958" t="str">
        <f>IF('[1]All Data '!BF1963="","",'[1]All Data '!BF1963)</f>
        <v/>
      </c>
      <c r="N1958" s="5" t="str">
        <f>IF('[1]All Data '!BB1963="","",'[1]All Data '!BC1963/'[1]All Data '!BH1963)</f>
        <v/>
      </c>
      <c r="O1958" s="5" t="str">
        <f t="shared" si="32"/>
        <v/>
      </c>
      <c r="P1958" s="5" t="str">
        <f>IF(M1958="","",$C$2*(1-L1958)*907.2/0.621371*N1958*[1]Transportation!$M$40)</f>
        <v/>
      </c>
      <c r="Q1958" s="5" t="str">
        <f>IF(L1958="","",IF([1]Inputs_Outputs!$B$5="Herbaceous",(LCA!$E$29*'[1]LOCH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8" s="5" t="str">
        <f>IF(M1958="","",$E$2*1000*'[1]LOCH Calc COE Calc'!$C$44)</f>
        <v/>
      </c>
      <c r="S1958" s="6" t="str">
        <f>IF(N1958="","",SUM(O1958:R1958)/('[1]LOCH Calc COE Calc'!$C$28))</f>
        <v/>
      </c>
      <c r="T1958" t="str">
        <f>IF(L1958="","",O1958/'[1]LOCH Calc COE Calc'!$C$28)</f>
        <v/>
      </c>
      <c r="U1958" t="str">
        <f>IF(L1958="","",P1958/'[1]LOCH Calc COE Calc'!$C$28)</f>
        <v/>
      </c>
      <c r="V1958" t="str">
        <f>IF(L1958="","",Q1958/'[1]LOCH Calc COE Calc'!$C$28)</f>
        <v/>
      </c>
      <c r="W1958" t="str">
        <f>IF(L1958="","",R1958/'[1]LOCH Calc COE Calc'!$C$28)</f>
        <v/>
      </c>
    </row>
    <row r="1959" spans="12:23" x14ac:dyDescent="0.25">
      <c r="L1959" s="4" t="str">
        <f>IF('[1]All Data '!BE1964="","",'[1]All Data '!BE1964)</f>
        <v/>
      </c>
      <c r="M1959" t="str">
        <f>IF('[1]All Data '!BF1964="","",'[1]All Data '!BF1964)</f>
        <v/>
      </c>
      <c r="N1959" s="5" t="str">
        <f>IF('[1]All Data '!BB1964="","",'[1]All Data '!BC1964/'[1]All Data '!BH1964)</f>
        <v/>
      </c>
      <c r="O1959" s="5" t="str">
        <f t="shared" si="32"/>
        <v/>
      </c>
      <c r="P1959" s="5" t="str">
        <f>IF(M1959="","",$C$2*(1-L1959)*907.2/0.621371*N1959*[1]Transportation!$M$40)</f>
        <v/>
      </c>
      <c r="Q1959" s="5" t="str">
        <f>IF(L1959="","",IF([1]Inputs_Outputs!$B$5="Herbaceous",(LCA!$E$29*'[1]LOCH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59" s="5" t="str">
        <f>IF(M1959="","",$E$2*1000*'[1]LOCH Calc COE Calc'!$C$44)</f>
        <v/>
      </c>
      <c r="S1959" s="6" t="str">
        <f>IF(N1959="","",SUM(O1959:R1959)/('[1]LOCH Calc COE Calc'!$C$28))</f>
        <v/>
      </c>
      <c r="T1959" t="str">
        <f>IF(L1959="","",O1959/'[1]LOCH Calc COE Calc'!$C$28)</f>
        <v/>
      </c>
      <c r="U1959" t="str">
        <f>IF(L1959="","",P1959/'[1]LOCH Calc COE Calc'!$C$28)</f>
        <v/>
      </c>
      <c r="V1959" t="str">
        <f>IF(L1959="","",Q1959/'[1]LOCH Calc COE Calc'!$C$28)</f>
        <v/>
      </c>
      <c r="W1959" t="str">
        <f>IF(L1959="","",R1959/'[1]LOCH Calc COE Calc'!$C$28)</f>
        <v/>
      </c>
    </row>
    <row r="1960" spans="12:23" x14ac:dyDescent="0.25">
      <c r="L1960" s="4" t="str">
        <f>IF('[1]All Data '!BE1965="","",'[1]All Data '!BE1965)</f>
        <v/>
      </c>
      <c r="M1960" t="str">
        <f>IF('[1]All Data '!BF1965="","",'[1]All Data '!BF1965)</f>
        <v/>
      </c>
      <c r="N1960" s="5" t="str">
        <f>IF('[1]All Data '!BB1965="","",'[1]All Data '!BC1965/'[1]All Data '!BH1965)</f>
        <v/>
      </c>
      <c r="O1960" s="5" t="str">
        <f t="shared" si="32"/>
        <v/>
      </c>
      <c r="P1960" s="5" t="str">
        <f>IF(M1960="","",$C$2*(1-L1960)*907.2/0.621371*N1960*[1]Transportation!$M$40)</f>
        <v/>
      </c>
      <c r="Q1960" s="5" t="str">
        <f>IF(L1960="","",IF([1]Inputs_Outputs!$B$5="Herbaceous",(LCA!$E$29*'[1]LOCH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0" s="5" t="str">
        <f>IF(M1960="","",$E$2*1000*'[1]LOCH Calc COE Calc'!$C$44)</f>
        <v/>
      </c>
      <c r="S1960" s="6" t="str">
        <f>IF(N1960="","",SUM(O1960:R1960)/('[1]LOCH Calc COE Calc'!$C$28))</f>
        <v/>
      </c>
      <c r="T1960" t="str">
        <f>IF(L1960="","",O1960/'[1]LOCH Calc COE Calc'!$C$28)</f>
        <v/>
      </c>
      <c r="U1960" t="str">
        <f>IF(L1960="","",P1960/'[1]LOCH Calc COE Calc'!$C$28)</f>
        <v/>
      </c>
      <c r="V1960" t="str">
        <f>IF(L1960="","",Q1960/'[1]LOCH Calc COE Calc'!$C$28)</f>
        <v/>
      </c>
      <c r="W1960" t="str">
        <f>IF(L1960="","",R1960/'[1]LOCH Calc COE Calc'!$C$28)</f>
        <v/>
      </c>
    </row>
    <row r="1961" spans="12:23" x14ac:dyDescent="0.25">
      <c r="L1961" s="4" t="str">
        <f>IF('[1]All Data '!BE1966="","",'[1]All Data '!BE1966)</f>
        <v/>
      </c>
      <c r="M1961" t="str">
        <f>IF('[1]All Data '!BF1966="","",'[1]All Data '!BF1966)</f>
        <v/>
      </c>
      <c r="N1961" s="5" t="str">
        <f>IF('[1]All Data '!BB1966="","",'[1]All Data '!BC1966/'[1]All Data '!BH1966)</f>
        <v/>
      </c>
      <c r="O1961" s="5" t="str">
        <f t="shared" si="32"/>
        <v/>
      </c>
      <c r="P1961" s="5" t="str">
        <f>IF(M1961="","",$C$2*(1-L1961)*907.2/0.621371*N1961*[1]Transportation!$M$40)</f>
        <v/>
      </c>
      <c r="Q1961" s="5" t="str">
        <f>IF(L1961="","",IF([1]Inputs_Outputs!$B$5="Herbaceous",(LCA!$E$29*'[1]LOCH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1" s="5" t="str">
        <f>IF(M1961="","",$E$2*1000*'[1]LOCH Calc COE Calc'!$C$44)</f>
        <v/>
      </c>
      <c r="S1961" s="6" t="str">
        <f>IF(N1961="","",SUM(O1961:R1961)/('[1]LOCH Calc COE Calc'!$C$28))</f>
        <v/>
      </c>
      <c r="T1961" t="str">
        <f>IF(L1961="","",O1961/'[1]LOCH Calc COE Calc'!$C$28)</f>
        <v/>
      </c>
      <c r="U1961" t="str">
        <f>IF(L1961="","",P1961/'[1]LOCH Calc COE Calc'!$C$28)</f>
        <v/>
      </c>
      <c r="V1961" t="str">
        <f>IF(L1961="","",Q1961/'[1]LOCH Calc COE Calc'!$C$28)</f>
        <v/>
      </c>
      <c r="W1961" t="str">
        <f>IF(L1961="","",R1961/'[1]LOCH Calc COE Calc'!$C$28)</f>
        <v/>
      </c>
    </row>
    <row r="1962" spans="12:23" x14ac:dyDescent="0.25">
      <c r="L1962" s="4" t="str">
        <f>IF('[1]All Data '!BE1967="","",'[1]All Data '!BE1967)</f>
        <v/>
      </c>
      <c r="M1962" t="str">
        <f>IF('[1]All Data '!BF1967="","",'[1]All Data '!BF1967)</f>
        <v/>
      </c>
      <c r="N1962" s="5" t="str">
        <f>IF('[1]All Data '!BB1967="","",'[1]All Data '!BC1967/'[1]All Data '!BH1967)</f>
        <v/>
      </c>
      <c r="O1962" s="5" t="str">
        <f t="shared" si="32"/>
        <v/>
      </c>
      <c r="P1962" s="5" t="str">
        <f>IF(M1962="","",$C$2*(1-L1962)*907.2/0.621371*N1962*[1]Transportation!$M$40)</f>
        <v/>
      </c>
      <c r="Q1962" s="5" t="str">
        <f>IF(L1962="","",IF([1]Inputs_Outputs!$B$5="Herbaceous",(LCA!$E$29*'[1]LOCH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2" s="5" t="str">
        <f>IF(M1962="","",$E$2*1000*'[1]LOCH Calc COE Calc'!$C$44)</f>
        <v/>
      </c>
      <c r="S1962" s="6" t="str">
        <f>IF(N1962="","",SUM(O1962:R1962)/('[1]LOCH Calc COE Calc'!$C$28))</f>
        <v/>
      </c>
      <c r="T1962" t="str">
        <f>IF(L1962="","",O1962/'[1]LOCH Calc COE Calc'!$C$28)</f>
        <v/>
      </c>
      <c r="U1962" t="str">
        <f>IF(L1962="","",P1962/'[1]LOCH Calc COE Calc'!$C$28)</f>
        <v/>
      </c>
      <c r="V1962" t="str">
        <f>IF(L1962="","",Q1962/'[1]LOCH Calc COE Calc'!$C$28)</f>
        <v/>
      </c>
      <c r="W1962" t="str">
        <f>IF(L1962="","",R1962/'[1]LOCH Calc COE Calc'!$C$28)</f>
        <v/>
      </c>
    </row>
    <row r="1963" spans="12:23" x14ac:dyDescent="0.25">
      <c r="L1963" s="4" t="str">
        <f>IF('[1]All Data '!BE1968="","",'[1]All Data '!BE1968)</f>
        <v/>
      </c>
      <c r="M1963" t="str">
        <f>IF('[1]All Data '!BF1968="","",'[1]All Data '!BF1968)</f>
        <v/>
      </c>
      <c r="N1963" s="5" t="str">
        <f>IF('[1]All Data '!BB1968="","",'[1]All Data '!BC1968/'[1]All Data '!BH1968)</f>
        <v/>
      </c>
      <c r="O1963" s="5" t="str">
        <f t="shared" si="32"/>
        <v/>
      </c>
      <c r="P1963" s="5" t="str">
        <f>IF(M1963="","",$C$2*(1-L1963)*907.2/0.621371*N1963*[1]Transportation!$M$40)</f>
        <v/>
      </c>
      <c r="Q1963" s="5" t="str">
        <f>IF(L1963="","",IF([1]Inputs_Outputs!$B$5="Herbaceous",(LCA!$E$29*'[1]LOCH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3" s="5" t="str">
        <f>IF(M1963="","",$E$2*1000*'[1]LOCH Calc COE Calc'!$C$44)</f>
        <v/>
      </c>
      <c r="S1963" s="6" t="str">
        <f>IF(N1963="","",SUM(O1963:R1963)/('[1]LOCH Calc COE Calc'!$C$28))</f>
        <v/>
      </c>
      <c r="T1963" t="str">
        <f>IF(L1963="","",O1963/'[1]LOCH Calc COE Calc'!$C$28)</f>
        <v/>
      </c>
      <c r="U1963" t="str">
        <f>IF(L1963="","",P1963/'[1]LOCH Calc COE Calc'!$C$28)</f>
        <v/>
      </c>
      <c r="V1963" t="str">
        <f>IF(L1963="","",Q1963/'[1]LOCH Calc COE Calc'!$C$28)</f>
        <v/>
      </c>
      <c r="W1963" t="str">
        <f>IF(L1963="","",R1963/'[1]LOCH Calc COE Calc'!$C$28)</f>
        <v/>
      </c>
    </row>
    <row r="1964" spans="12:23" x14ac:dyDescent="0.25">
      <c r="L1964" s="4" t="str">
        <f>IF('[1]All Data '!BE1969="","",'[1]All Data '!BE1969)</f>
        <v/>
      </c>
      <c r="M1964" t="str">
        <f>IF('[1]All Data '!BF1969="","",'[1]All Data '!BF1969)</f>
        <v/>
      </c>
      <c r="N1964" s="5" t="str">
        <f>IF('[1]All Data '!BB1969="","",'[1]All Data '!BC1969/'[1]All Data '!BH1969)</f>
        <v/>
      </c>
      <c r="O1964" s="5" t="str">
        <f t="shared" si="32"/>
        <v/>
      </c>
      <c r="P1964" s="5" t="str">
        <f>IF(M1964="","",$C$2*(1-L1964)*907.2/0.621371*N1964*[1]Transportation!$M$40)</f>
        <v/>
      </c>
      <c r="Q1964" s="5" t="str">
        <f>IF(L1964="","",IF([1]Inputs_Outputs!$B$5="Herbaceous",(LCA!$E$29*'[1]LOCH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4" s="5" t="str">
        <f>IF(M1964="","",$E$2*1000*'[1]LOCH Calc COE Calc'!$C$44)</f>
        <v/>
      </c>
      <c r="S1964" s="6" t="str">
        <f>IF(N1964="","",SUM(O1964:R1964)/('[1]LOCH Calc COE Calc'!$C$28))</f>
        <v/>
      </c>
      <c r="T1964" t="str">
        <f>IF(L1964="","",O1964/'[1]LOCH Calc COE Calc'!$C$28)</f>
        <v/>
      </c>
      <c r="U1964" t="str">
        <f>IF(L1964="","",P1964/'[1]LOCH Calc COE Calc'!$C$28)</f>
        <v/>
      </c>
      <c r="V1964" t="str">
        <f>IF(L1964="","",Q1964/'[1]LOCH Calc COE Calc'!$C$28)</f>
        <v/>
      </c>
      <c r="W1964" t="str">
        <f>IF(L1964="","",R1964/'[1]LOCH Calc COE Calc'!$C$28)</f>
        <v/>
      </c>
    </row>
    <row r="1965" spans="12:23" x14ac:dyDescent="0.25">
      <c r="L1965" s="4" t="str">
        <f>IF('[1]All Data '!BE1970="","",'[1]All Data '!BE1970)</f>
        <v/>
      </c>
      <c r="M1965" t="str">
        <f>IF('[1]All Data '!BF1970="","",'[1]All Data '!BF1970)</f>
        <v/>
      </c>
      <c r="N1965" s="5" t="str">
        <f>IF('[1]All Data '!BB1970="","",'[1]All Data '!BC1970/'[1]All Data '!BH1970)</f>
        <v/>
      </c>
      <c r="O1965" s="5" t="str">
        <f t="shared" si="32"/>
        <v/>
      </c>
      <c r="P1965" s="5" t="str">
        <f>IF(M1965="","",$C$2*(1-L1965)*907.2/0.621371*N1965*[1]Transportation!$M$40)</f>
        <v/>
      </c>
      <c r="Q1965" s="5" t="str">
        <f>IF(L1965="","",IF([1]Inputs_Outputs!$B$5="Herbaceous",(LCA!$E$29*'[1]LOCH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5" s="5" t="str">
        <f>IF(M1965="","",$E$2*1000*'[1]LOCH Calc COE Calc'!$C$44)</f>
        <v/>
      </c>
      <c r="S1965" s="6" t="str">
        <f>IF(N1965="","",SUM(O1965:R1965)/('[1]LOCH Calc COE Calc'!$C$28))</f>
        <v/>
      </c>
      <c r="T1965" t="str">
        <f>IF(L1965="","",O1965/'[1]LOCH Calc COE Calc'!$C$28)</f>
        <v/>
      </c>
      <c r="U1965" t="str">
        <f>IF(L1965="","",P1965/'[1]LOCH Calc COE Calc'!$C$28)</f>
        <v/>
      </c>
      <c r="V1965" t="str">
        <f>IF(L1965="","",Q1965/'[1]LOCH Calc COE Calc'!$C$28)</f>
        <v/>
      </c>
      <c r="W1965" t="str">
        <f>IF(L1965="","",R1965/'[1]LOCH Calc COE Calc'!$C$28)</f>
        <v/>
      </c>
    </row>
    <row r="1966" spans="12:23" x14ac:dyDescent="0.25">
      <c r="L1966" s="4" t="str">
        <f>IF('[1]All Data '!BE1971="","",'[1]All Data '!BE1971)</f>
        <v/>
      </c>
      <c r="M1966" t="str">
        <f>IF('[1]All Data '!BF1971="","",'[1]All Data '!BF1971)</f>
        <v/>
      </c>
      <c r="N1966" s="5" t="str">
        <f>IF('[1]All Data '!BB1971="","",'[1]All Data '!BC1971/'[1]All Data '!BH1971)</f>
        <v/>
      </c>
      <c r="O1966" s="5" t="str">
        <f t="shared" si="32"/>
        <v/>
      </c>
      <c r="P1966" s="5" t="str">
        <f>IF(M1966="","",$C$2*(1-L1966)*907.2/0.621371*N1966*[1]Transportation!$M$40)</f>
        <v/>
      </c>
      <c r="Q1966" s="5" t="str">
        <f>IF(L1966="","",IF([1]Inputs_Outputs!$B$5="Herbaceous",(LCA!$E$29*'[1]LOCH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6" s="5" t="str">
        <f>IF(M1966="","",$E$2*1000*'[1]LOCH Calc COE Calc'!$C$44)</f>
        <v/>
      </c>
      <c r="S1966" s="6" t="str">
        <f>IF(N1966="","",SUM(O1966:R1966)/('[1]LOCH Calc COE Calc'!$C$28))</f>
        <v/>
      </c>
      <c r="T1966" t="str">
        <f>IF(L1966="","",O1966/'[1]LOCH Calc COE Calc'!$C$28)</f>
        <v/>
      </c>
      <c r="U1966" t="str">
        <f>IF(L1966="","",P1966/'[1]LOCH Calc COE Calc'!$C$28)</f>
        <v/>
      </c>
      <c r="V1966" t="str">
        <f>IF(L1966="","",Q1966/'[1]LOCH Calc COE Calc'!$C$28)</f>
        <v/>
      </c>
      <c r="W1966" t="str">
        <f>IF(L1966="","",R1966/'[1]LOCH Calc COE Calc'!$C$28)</f>
        <v/>
      </c>
    </row>
    <row r="1967" spans="12:23" x14ac:dyDescent="0.25">
      <c r="L1967" s="4" t="str">
        <f>IF('[1]All Data '!BE1972="","",'[1]All Data '!BE1972)</f>
        <v/>
      </c>
      <c r="M1967" t="str">
        <f>IF('[1]All Data '!BF1972="","",'[1]All Data '!BF1972)</f>
        <v/>
      </c>
      <c r="N1967" s="5" t="str">
        <f>IF('[1]All Data '!BB1972="","",'[1]All Data '!BC1972/'[1]All Data '!BH1972)</f>
        <v/>
      </c>
      <c r="O1967" s="5" t="str">
        <f t="shared" si="32"/>
        <v/>
      </c>
      <c r="P1967" s="5" t="str">
        <f>IF(M1967="","",$C$2*(1-L1967)*907.2/0.621371*N1967*[1]Transportation!$M$40)</f>
        <v/>
      </c>
      <c r="Q1967" s="5" t="str">
        <f>IF(L1967="","",IF([1]Inputs_Outputs!$B$5="Herbaceous",(LCA!$E$29*'[1]LOCH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7" s="5" t="str">
        <f>IF(M1967="","",$E$2*1000*'[1]LOCH Calc COE Calc'!$C$44)</f>
        <v/>
      </c>
      <c r="S1967" s="6" t="str">
        <f>IF(N1967="","",SUM(O1967:R1967)/('[1]LOCH Calc COE Calc'!$C$28))</f>
        <v/>
      </c>
      <c r="T1967" t="str">
        <f>IF(L1967="","",O1967/'[1]LOCH Calc COE Calc'!$C$28)</f>
        <v/>
      </c>
      <c r="U1967" t="str">
        <f>IF(L1967="","",P1967/'[1]LOCH Calc COE Calc'!$C$28)</f>
        <v/>
      </c>
      <c r="V1967" t="str">
        <f>IF(L1967="","",Q1967/'[1]LOCH Calc COE Calc'!$C$28)</f>
        <v/>
      </c>
      <c r="W1967" t="str">
        <f>IF(L1967="","",R1967/'[1]LOCH Calc COE Calc'!$C$28)</f>
        <v/>
      </c>
    </row>
    <row r="1968" spans="12:23" x14ac:dyDescent="0.25">
      <c r="L1968" s="4" t="str">
        <f>IF('[1]All Data '!BE1973="","",'[1]All Data '!BE1973)</f>
        <v/>
      </c>
      <c r="M1968" t="str">
        <f>IF('[1]All Data '!BF1973="","",'[1]All Data '!BF1973)</f>
        <v/>
      </c>
      <c r="N1968" s="5" t="str">
        <f>IF('[1]All Data '!BB1973="","",'[1]All Data '!BC1973/'[1]All Data '!BH1973)</f>
        <v/>
      </c>
      <c r="O1968" s="5" t="str">
        <f t="shared" si="32"/>
        <v/>
      </c>
      <c r="P1968" s="5" t="str">
        <f>IF(M1968="","",$C$2*(1-L1968)*907.2/0.621371*N1968*[1]Transportation!$M$40)</f>
        <v/>
      </c>
      <c r="Q1968" s="5" t="str">
        <f>IF(L1968="","",IF([1]Inputs_Outputs!$B$5="Herbaceous",(LCA!$E$29*'[1]LOCH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8" s="5" t="str">
        <f>IF(M1968="","",$E$2*1000*'[1]LOCH Calc COE Calc'!$C$44)</f>
        <v/>
      </c>
      <c r="S1968" s="6" t="str">
        <f>IF(N1968="","",SUM(O1968:R1968)/('[1]LOCH Calc COE Calc'!$C$28))</f>
        <v/>
      </c>
      <c r="T1968" t="str">
        <f>IF(L1968="","",O1968/'[1]LOCH Calc COE Calc'!$C$28)</f>
        <v/>
      </c>
      <c r="U1968" t="str">
        <f>IF(L1968="","",P1968/'[1]LOCH Calc COE Calc'!$C$28)</f>
        <v/>
      </c>
      <c r="V1968" t="str">
        <f>IF(L1968="","",Q1968/'[1]LOCH Calc COE Calc'!$C$28)</f>
        <v/>
      </c>
      <c r="W1968" t="str">
        <f>IF(L1968="","",R1968/'[1]LOCH Calc COE Calc'!$C$28)</f>
        <v/>
      </c>
    </row>
    <row r="1969" spans="12:23" x14ac:dyDescent="0.25">
      <c r="L1969" s="4" t="str">
        <f>IF('[1]All Data '!BE1974="","",'[1]All Data '!BE1974)</f>
        <v/>
      </c>
      <c r="M1969" t="str">
        <f>IF('[1]All Data '!BF1974="","",'[1]All Data '!BF1974)</f>
        <v/>
      </c>
      <c r="N1969" s="5" t="str">
        <f>IF('[1]All Data '!BB1974="","",'[1]All Data '!BC1974/'[1]All Data '!BH1974)</f>
        <v/>
      </c>
      <c r="O1969" s="5" t="str">
        <f t="shared" si="32"/>
        <v/>
      </c>
      <c r="P1969" s="5" t="str">
        <f>IF(M1969="","",$C$2*(1-L1969)*907.2/0.621371*N1969*[1]Transportation!$M$40)</f>
        <v/>
      </c>
      <c r="Q1969" s="5" t="str">
        <f>IF(L1969="","",IF([1]Inputs_Outputs!$B$5="Herbaceous",(LCA!$E$29*'[1]LOCH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69" s="5" t="str">
        <f>IF(M1969="","",$E$2*1000*'[1]LOCH Calc COE Calc'!$C$44)</f>
        <v/>
      </c>
      <c r="S1969" s="6" t="str">
        <f>IF(N1969="","",SUM(O1969:R1969)/('[1]LOCH Calc COE Calc'!$C$28))</f>
        <v/>
      </c>
      <c r="T1969" t="str">
        <f>IF(L1969="","",O1969/'[1]LOCH Calc COE Calc'!$C$28)</f>
        <v/>
      </c>
      <c r="U1969" t="str">
        <f>IF(L1969="","",P1969/'[1]LOCH Calc COE Calc'!$C$28)</f>
        <v/>
      </c>
      <c r="V1969" t="str">
        <f>IF(L1969="","",Q1969/'[1]LOCH Calc COE Calc'!$C$28)</f>
        <v/>
      </c>
      <c r="W1969" t="str">
        <f>IF(L1969="","",R1969/'[1]LOCH Calc COE Calc'!$C$28)</f>
        <v/>
      </c>
    </row>
    <row r="1970" spans="12:23" x14ac:dyDescent="0.25">
      <c r="L1970" s="4" t="str">
        <f>IF('[1]All Data '!BE1975="","",'[1]All Data '!BE1975)</f>
        <v/>
      </c>
      <c r="M1970" t="str">
        <f>IF('[1]All Data '!BF1975="","",'[1]All Data '!BF1975)</f>
        <v/>
      </c>
      <c r="N1970" s="5" t="str">
        <f>IF('[1]All Data '!BB1975="","",'[1]All Data '!BC1975/'[1]All Data '!BH1975)</f>
        <v/>
      </c>
      <c r="O1970" s="5" t="str">
        <f t="shared" si="32"/>
        <v/>
      </c>
      <c r="P1970" s="5" t="str">
        <f>IF(M1970="","",$C$2*(1-L1970)*907.2/0.621371*N1970*[1]Transportation!$M$40)</f>
        <v/>
      </c>
      <c r="Q1970" s="5" t="str">
        <f>IF(L1970="","",IF([1]Inputs_Outputs!$B$5="Herbaceous",(LCA!$E$29*'[1]LOCH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0" s="5" t="str">
        <f>IF(M1970="","",$E$2*1000*'[1]LOCH Calc COE Calc'!$C$44)</f>
        <v/>
      </c>
      <c r="S1970" s="6" t="str">
        <f>IF(N1970="","",SUM(O1970:R1970)/('[1]LOCH Calc COE Calc'!$C$28))</f>
        <v/>
      </c>
      <c r="T1970" t="str">
        <f>IF(L1970="","",O1970/'[1]LOCH Calc COE Calc'!$C$28)</f>
        <v/>
      </c>
      <c r="U1970" t="str">
        <f>IF(L1970="","",P1970/'[1]LOCH Calc COE Calc'!$C$28)</f>
        <v/>
      </c>
      <c r="V1970" t="str">
        <f>IF(L1970="","",Q1970/'[1]LOCH Calc COE Calc'!$C$28)</f>
        <v/>
      </c>
      <c r="W1970" t="str">
        <f>IF(L1970="","",R1970/'[1]LOCH Calc COE Calc'!$C$28)</f>
        <v/>
      </c>
    </row>
    <row r="1971" spans="12:23" x14ac:dyDescent="0.25">
      <c r="L1971" s="4" t="str">
        <f>IF('[1]All Data '!BE1976="","",'[1]All Data '!BE1976)</f>
        <v/>
      </c>
      <c r="M1971" t="str">
        <f>IF('[1]All Data '!BF1976="","",'[1]All Data '!BF1976)</f>
        <v/>
      </c>
      <c r="N1971" s="5" t="str">
        <f>IF('[1]All Data '!BB1976="","",'[1]All Data '!BC1976/'[1]All Data '!BH1976)</f>
        <v/>
      </c>
      <c r="O1971" s="5" t="str">
        <f t="shared" si="32"/>
        <v/>
      </c>
      <c r="P1971" s="5" t="str">
        <f>IF(M1971="","",$C$2*(1-L1971)*907.2/0.621371*N1971*[1]Transportation!$M$40)</f>
        <v/>
      </c>
      <c r="Q1971" s="5" t="str">
        <f>IF(L1971="","",IF([1]Inputs_Outputs!$B$5="Herbaceous",(LCA!$E$29*'[1]LOCH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1" s="5" t="str">
        <f>IF(M1971="","",$E$2*1000*'[1]LOCH Calc COE Calc'!$C$44)</f>
        <v/>
      </c>
      <c r="S1971" s="6" t="str">
        <f>IF(N1971="","",SUM(O1971:R1971)/('[1]LOCH Calc COE Calc'!$C$28))</f>
        <v/>
      </c>
      <c r="T1971" t="str">
        <f>IF(L1971="","",O1971/'[1]LOCH Calc COE Calc'!$C$28)</f>
        <v/>
      </c>
      <c r="U1971" t="str">
        <f>IF(L1971="","",P1971/'[1]LOCH Calc COE Calc'!$C$28)</f>
        <v/>
      </c>
      <c r="V1971" t="str">
        <f>IF(L1971="","",Q1971/'[1]LOCH Calc COE Calc'!$C$28)</f>
        <v/>
      </c>
      <c r="W1971" t="str">
        <f>IF(L1971="","",R1971/'[1]LOCH Calc COE Calc'!$C$28)</f>
        <v/>
      </c>
    </row>
    <row r="1972" spans="12:23" x14ac:dyDescent="0.25">
      <c r="L1972" s="4" t="str">
        <f>IF('[1]All Data '!BE1977="","",'[1]All Data '!BE1977)</f>
        <v/>
      </c>
      <c r="M1972" t="str">
        <f>IF('[1]All Data '!BF1977="","",'[1]All Data '!BF1977)</f>
        <v/>
      </c>
      <c r="N1972" s="5" t="str">
        <f>IF('[1]All Data '!BB1977="","",'[1]All Data '!BC1977/'[1]All Data '!BH1977)</f>
        <v/>
      </c>
      <c r="O1972" s="5" t="str">
        <f t="shared" si="32"/>
        <v/>
      </c>
      <c r="P1972" s="5" t="str">
        <f>IF(M1972="","",$C$2*(1-L1972)*907.2/0.621371*N1972*[1]Transportation!$M$40)</f>
        <v/>
      </c>
      <c r="Q1972" s="5" t="str">
        <f>IF(L1972="","",IF([1]Inputs_Outputs!$B$5="Herbaceous",(LCA!$E$29*'[1]LOCH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2" s="5" t="str">
        <f>IF(M1972="","",$E$2*1000*'[1]LOCH Calc COE Calc'!$C$44)</f>
        <v/>
      </c>
      <c r="S1972" s="6" t="str">
        <f>IF(N1972="","",SUM(O1972:R1972)/('[1]LOCH Calc COE Calc'!$C$28))</f>
        <v/>
      </c>
      <c r="T1972" t="str">
        <f>IF(L1972="","",O1972/'[1]LOCH Calc COE Calc'!$C$28)</f>
        <v/>
      </c>
      <c r="U1972" t="str">
        <f>IF(L1972="","",P1972/'[1]LOCH Calc COE Calc'!$C$28)</f>
        <v/>
      </c>
      <c r="V1972" t="str">
        <f>IF(L1972="","",Q1972/'[1]LOCH Calc COE Calc'!$C$28)</f>
        <v/>
      </c>
      <c r="W1972" t="str">
        <f>IF(L1972="","",R1972/'[1]LOCH Calc COE Calc'!$C$28)</f>
        <v/>
      </c>
    </row>
    <row r="1973" spans="12:23" x14ac:dyDescent="0.25">
      <c r="L1973" s="4" t="str">
        <f>IF('[1]All Data '!BE1978="","",'[1]All Data '!BE1978)</f>
        <v/>
      </c>
      <c r="M1973" t="str">
        <f>IF('[1]All Data '!BF1978="","",'[1]All Data '!BF1978)</f>
        <v/>
      </c>
      <c r="N1973" s="5" t="str">
        <f>IF('[1]All Data '!BB1978="","",'[1]All Data '!BC1978/'[1]All Data '!BH1978)</f>
        <v/>
      </c>
      <c r="O1973" s="5" t="str">
        <f t="shared" si="32"/>
        <v/>
      </c>
      <c r="P1973" s="5" t="str">
        <f>IF(M1973="","",$C$2*(1-L1973)*907.2/0.621371*N1973*[1]Transportation!$M$40)</f>
        <v/>
      </c>
      <c r="Q1973" s="5" t="str">
        <f>IF(L1973="","",IF([1]Inputs_Outputs!$B$5="Herbaceous",(LCA!$E$29*'[1]LOCH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3" s="5" t="str">
        <f>IF(M1973="","",$E$2*1000*'[1]LOCH Calc COE Calc'!$C$44)</f>
        <v/>
      </c>
      <c r="S1973" s="6" t="str">
        <f>IF(N1973="","",SUM(O1973:R1973)/('[1]LOCH Calc COE Calc'!$C$28))</f>
        <v/>
      </c>
      <c r="T1973" t="str">
        <f>IF(L1973="","",O1973/'[1]LOCH Calc COE Calc'!$C$28)</f>
        <v/>
      </c>
      <c r="U1973" t="str">
        <f>IF(L1973="","",P1973/'[1]LOCH Calc COE Calc'!$C$28)</f>
        <v/>
      </c>
      <c r="V1973" t="str">
        <f>IF(L1973="","",Q1973/'[1]LOCH Calc COE Calc'!$C$28)</f>
        <v/>
      </c>
      <c r="W1973" t="str">
        <f>IF(L1973="","",R1973/'[1]LOCH Calc COE Calc'!$C$28)</f>
        <v/>
      </c>
    </row>
    <row r="1974" spans="12:23" x14ac:dyDescent="0.25">
      <c r="L1974" s="4" t="str">
        <f>IF('[1]All Data '!BE1979="","",'[1]All Data '!BE1979)</f>
        <v/>
      </c>
      <c r="M1974" t="str">
        <f>IF('[1]All Data '!BF1979="","",'[1]All Data '!BF1979)</f>
        <v/>
      </c>
      <c r="N1974" s="5" t="str">
        <f>IF('[1]All Data '!BB1979="","",'[1]All Data '!BC1979/'[1]All Data '!BH1979)</f>
        <v/>
      </c>
      <c r="O1974" s="5" t="str">
        <f t="shared" si="32"/>
        <v/>
      </c>
      <c r="P1974" s="5" t="str">
        <f>IF(M1974="","",$C$2*(1-L1974)*907.2/0.621371*N1974*[1]Transportation!$M$40)</f>
        <v/>
      </c>
      <c r="Q1974" s="5" t="str">
        <f>IF(L1974="","",IF([1]Inputs_Outputs!$B$5="Herbaceous",(LCA!$E$29*'[1]LOCH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4" s="5" t="str">
        <f>IF(M1974="","",$E$2*1000*'[1]LOCH Calc COE Calc'!$C$44)</f>
        <v/>
      </c>
      <c r="S1974" s="6" t="str">
        <f>IF(N1974="","",SUM(O1974:R1974)/('[1]LOCH Calc COE Calc'!$C$28))</f>
        <v/>
      </c>
      <c r="T1974" t="str">
        <f>IF(L1974="","",O1974/'[1]LOCH Calc COE Calc'!$C$28)</f>
        <v/>
      </c>
      <c r="U1974" t="str">
        <f>IF(L1974="","",P1974/'[1]LOCH Calc COE Calc'!$C$28)</f>
        <v/>
      </c>
      <c r="V1974" t="str">
        <f>IF(L1974="","",Q1974/'[1]LOCH Calc COE Calc'!$C$28)</f>
        <v/>
      </c>
      <c r="W1974" t="str">
        <f>IF(L1974="","",R1974/'[1]LOCH Calc COE Calc'!$C$28)</f>
        <v/>
      </c>
    </row>
    <row r="1975" spans="12:23" x14ac:dyDescent="0.25">
      <c r="L1975" s="4" t="str">
        <f>IF('[1]All Data '!BE1980="","",'[1]All Data '!BE1980)</f>
        <v/>
      </c>
      <c r="M1975" t="str">
        <f>IF('[1]All Data '!BF1980="","",'[1]All Data '!BF1980)</f>
        <v/>
      </c>
      <c r="N1975" s="5" t="str">
        <f>IF('[1]All Data '!BB1980="","",'[1]All Data '!BC1980/'[1]All Data '!BH1980)</f>
        <v/>
      </c>
      <c r="O1975" s="5" t="str">
        <f t="shared" si="32"/>
        <v/>
      </c>
      <c r="P1975" s="5" t="str">
        <f>IF(M1975="","",$C$2*(1-L1975)*907.2/0.621371*N1975*[1]Transportation!$M$40)</f>
        <v/>
      </c>
      <c r="Q1975" s="5" t="str">
        <f>IF(L1975="","",IF([1]Inputs_Outputs!$B$5="Herbaceous",(LCA!$E$29*'[1]LOCH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5" s="5" t="str">
        <f>IF(M1975="","",$E$2*1000*'[1]LOCH Calc COE Calc'!$C$44)</f>
        <v/>
      </c>
      <c r="S1975" s="6" t="str">
        <f>IF(N1975="","",SUM(O1975:R1975)/('[1]LOCH Calc COE Calc'!$C$28))</f>
        <v/>
      </c>
      <c r="T1975" t="str">
        <f>IF(L1975="","",O1975/'[1]LOCH Calc COE Calc'!$C$28)</f>
        <v/>
      </c>
      <c r="U1975" t="str">
        <f>IF(L1975="","",P1975/'[1]LOCH Calc COE Calc'!$C$28)</f>
        <v/>
      </c>
      <c r="V1975" t="str">
        <f>IF(L1975="","",Q1975/'[1]LOCH Calc COE Calc'!$C$28)</f>
        <v/>
      </c>
      <c r="W1975" t="str">
        <f>IF(L1975="","",R1975/'[1]LOCH Calc COE Calc'!$C$28)</f>
        <v/>
      </c>
    </row>
    <row r="1976" spans="12:23" x14ac:dyDescent="0.25">
      <c r="L1976" s="4" t="str">
        <f>IF('[1]All Data '!BE1981="","",'[1]All Data '!BE1981)</f>
        <v/>
      </c>
      <c r="M1976" t="str">
        <f>IF('[1]All Data '!BF1981="","",'[1]All Data '!BF1981)</f>
        <v/>
      </c>
      <c r="N1976" s="5" t="str">
        <f>IF('[1]All Data '!BB1981="","",'[1]All Data '!BC1981/'[1]All Data '!BH1981)</f>
        <v/>
      </c>
      <c r="O1976" s="5" t="str">
        <f t="shared" si="32"/>
        <v/>
      </c>
      <c r="P1976" s="5" t="str">
        <f>IF(M1976="","",$C$2*(1-L1976)*907.2/0.621371*N1976*[1]Transportation!$M$40)</f>
        <v/>
      </c>
      <c r="Q1976" s="5" t="str">
        <f>IF(L1976="","",IF([1]Inputs_Outputs!$B$5="Herbaceous",(LCA!$E$29*'[1]LOCH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6" s="5" t="str">
        <f>IF(M1976="","",$E$2*1000*'[1]LOCH Calc COE Calc'!$C$44)</f>
        <v/>
      </c>
      <c r="S1976" s="6" t="str">
        <f>IF(N1976="","",SUM(O1976:R1976)/('[1]LOCH Calc COE Calc'!$C$28))</f>
        <v/>
      </c>
      <c r="T1976" t="str">
        <f>IF(L1976="","",O1976/'[1]LOCH Calc COE Calc'!$C$28)</f>
        <v/>
      </c>
      <c r="U1976" t="str">
        <f>IF(L1976="","",P1976/'[1]LOCH Calc COE Calc'!$C$28)</f>
        <v/>
      </c>
      <c r="V1976" t="str">
        <f>IF(L1976="","",Q1976/'[1]LOCH Calc COE Calc'!$C$28)</f>
        <v/>
      </c>
      <c r="W1976" t="str">
        <f>IF(L1976="","",R1976/'[1]LOCH Calc COE Calc'!$C$28)</f>
        <v/>
      </c>
    </row>
    <row r="1977" spans="12:23" x14ac:dyDescent="0.25">
      <c r="L1977" s="4" t="str">
        <f>IF('[1]All Data '!BE1982="","",'[1]All Data '!BE1982)</f>
        <v/>
      </c>
      <c r="M1977" t="str">
        <f>IF('[1]All Data '!BF1982="","",'[1]All Data '!BF1982)</f>
        <v/>
      </c>
      <c r="N1977" s="5" t="str">
        <f>IF('[1]All Data '!BB1982="","",'[1]All Data '!BC1982/'[1]All Data '!BH1982)</f>
        <v/>
      </c>
      <c r="O1977" s="5" t="str">
        <f t="shared" si="32"/>
        <v/>
      </c>
      <c r="P1977" s="5" t="str">
        <f>IF(M1977="","",$C$2*(1-L1977)*907.2/0.621371*N1977*[1]Transportation!$M$40)</f>
        <v/>
      </c>
      <c r="Q1977" s="5" t="str">
        <f>IF(L1977="","",IF([1]Inputs_Outputs!$B$5="Herbaceous",(LCA!$E$29*'[1]LOCH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7" s="5" t="str">
        <f>IF(M1977="","",$E$2*1000*'[1]LOCH Calc COE Calc'!$C$44)</f>
        <v/>
      </c>
      <c r="S1977" s="6" t="str">
        <f>IF(N1977="","",SUM(O1977:R1977)/('[1]LOCH Calc COE Calc'!$C$28))</f>
        <v/>
      </c>
      <c r="T1977" t="str">
        <f>IF(L1977="","",O1977/'[1]LOCH Calc COE Calc'!$C$28)</f>
        <v/>
      </c>
      <c r="U1977" t="str">
        <f>IF(L1977="","",P1977/'[1]LOCH Calc COE Calc'!$C$28)</f>
        <v/>
      </c>
      <c r="V1977" t="str">
        <f>IF(L1977="","",Q1977/'[1]LOCH Calc COE Calc'!$C$28)</f>
        <v/>
      </c>
      <c r="W1977" t="str">
        <f>IF(L1977="","",R1977/'[1]LOCH Calc COE Calc'!$C$28)</f>
        <v/>
      </c>
    </row>
    <row r="1978" spans="12:23" x14ac:dyDescent="0.25">
      <c r="L1978" s="4" t="str">
        <f>IF('[1]All Data '!BE1983="","",'[1]All Data '!BE1983)</f>
        <v/>
      </c>
      <c r="M1978" t="str">
        <f>IF('[1]All Data '!BF1983="","",'[1]All Data '!BF1983)</f>
        <v/>
      </c>
      <c r="N1978" s="5" t="str">
        <f>IF('[1]All Data '!BB1983="","",'[1]All Data '!BC1983/'[1]All Data '!BH1983)</f>
        <v/>
      </c>
      <c r="O1978" s="5" t="str">
        <f t="shared" si="32"/>
        <v/>
      </c>
      <c r="P1978" s="5" t="str">
        <f>IF(M1978="","",$C$2*(1-L1978)*907.2/0.621371*N1978*[1]Transportation!$M$40)</f>
        <v/>
      </c>
      <c r="Q1978" s="5" t="str">
        <f>IF(L1978="","",IF([1]Inputs_Outputs!$B$5="Herbaceous",(LCA!$E$29*'[1]LOCH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8" s="5" t="str">
        <f>IF(M1978="","",$E$2*1000*'[1]LOCH Calc COE Calc'!$C$44)</f>
        <v/>
      </c>
      <c r="S1978" s="6" t="str">
        <f>IF(N1978="","",SUM(O1978:R1978)/('[1]LOCH Calc COE Calc'!$C$28))</f>
        <v/>
      </c>
      <c r="T1978" t="str">
        <f>IF(L1978="","",O1978/'[1]LOCH Calc COE Calc'!$C$28)</f>
        <v/>
      </c>
      <c r="U1978" t="str">
        <f>IF(L1978="","",P1978/'[1]LOCH Calc COE Calc'!$C$28)</f>
        <v/>
      </c>
      <c r="V1978" t="str">
        <f>IF(L1978="","",Q1978/'[1]LOCH Calc COE Calc'!$C$28)</f>
        <v/>
      </c>
      <c r="W1978" t="str">
        <f>IF(L1978="","",R1978/'[1]LOCH Calc COE Calc'!$C$28)</f>
        <v/>
      </c>
    </row>
    <row r="1979" spans="12:23" x14ac:dyDescent="0.25">
      <c r="L1979" s="4" t="str">
        <f>IF('[1]All Data '!BE1984="","",'[1]All Data '!BE1984)</f>
        <v/>
      </c>
      <c r="M1979" t="str">
        <f>IF('[1]All Data '!BF1984="","",'[1]All Data '!BF1984)</f>
        <v/>
      </c>
      <c r="N1979" s="5" t="str">
        <f>IF('[1]All Data '!BB1984="","",'[1]All Data '!BC1984/'[1]All Data '!BH1984)</f>
        <v/>
      </c>
      <c r="O1979" s="5" t="str">
        <f t="shared" si="32"/>
        <v/>
      </c>
      <c r="P1979" s="5" t="str">
        <f>IF(M1979="","",$C$2*(1-L1979)*907.2/0.621371*N1979*[1]Transportation!$M$40)</f>
        <v/>
      </c>
      <c r="Q1979" s="5" t="str">
        <f>IF(L1979="","",IF([1]Inputs_Outputs!$B$5="Herbaceous",(LCA!$E$29*'[1]LOCH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79" s="5" t="str">
        <f>IF(M1979="","",$E$2*1000*'[1]LOCH Calc COE Calc'!$C$44)</f>
        <v/>
      </c>
      <c r="S1979" s="6" t="str">
        <f>IF(N1979="","",SUM(O1979:R1979)/('[1]LOCH Calc COE Calc'!$C$28))</f>
        <v/>
      </c>
      <c r="T1979" t="str">
        <f>IF(L1979="","",O1979/'[1]LOCH Calc COE Calc'!$C$28)</f>
        <v/>
      </c>
      <c r="U1979" t="str">
        <f>IF(L1979="","",P1979/'[1]LOCH Calc COE Calc'!$C$28)</f>
        <v/>
      </c>
      <c r="V1979" t="str">
        <f>IF(L1979="","",Q1979/'[1]LOCH Calc COE Calc'!$C$28)</f>
        <v/>
      </c>
      <c r="W1979" t="str">
        <f>IF(L1979="","",R1979/'[1]LOCH Calc COE Calc'!$C$28)</f>
        <v/>
      </c>
    </row>
    <row r="1980" spans="12:23" x14ac:dyDescent="0.25">
      <c r="L1980" s="4" t="str">
        <f>IF('[1]All Data '!BE1985="","",'[1]All Data '!BE1985)</f>
        <v/>
      </c>
      <c r="M1980" t="str">
        <f>IF('[1]All Data '!BF1985="","",'[1]All Data '!BF1985)</f>
        <v/>
      </c>
      <c r="N1980" s="5" t="str">
        <f>IF('[1]All Data '!BB1985="","",'[1]All Data '!BC1985/'[1]All Data '!BH1985)</f>
        <v/>
      </c>
      <c r="O1980" s="5" t="str">
        <f t="shared" si="32"/>
        <v/>
      </c>
      <c r="P1980" s="5" t="str">
        <f>IF(M1980="","",$C$2*(1-L1980)*907.2/0.621371*N1980*[1]Transportation!$M$40)</f>
        <v/>
      </c>
      <c r="Q1980" s="5" t="str">
        <f>IF(L1980="","",IF([1]Inputs_Outputs!$B$5="Herbaceous",(LCA!$E$29*'[1]LOCH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0" s="5" t="str">
        <f>IF(M1980="","",$E$2*1000*'[1]LOCH Calc COE Calc'!$C$44)</f>
        <v/>
      </c>
      <c r="S1980" s="6" t="str">
        <f>IF(N1980="","",SUM(O1980:R1980)/('[1]LOCH Calc COE Calc'!$C$28))</f>
        <v/>
      </c>
      <c r="T1980" t="str">
        <f>IF(L1980="","",O1980/'[1]LOCH Calc COE Calc'!$C$28)</f>
        <v/>
      </c>
      <c r="U1980" t="str">
        <f>IF(L1980="","",P1980/'[1]LOCH Calc COE Calc'!$C$28)</f>
        <v/>
      </c>
      <c r="V1980" t="str">
        <f>IF(L1980="","",Q1980/'[1]LOCH Calc COE Calc'!$C$28)</f>
        <v/>
      </c>
      <c r="W1980" t="str">
        <f>IF(L1980="","",R1980/'[1]LOCH Calc COE Calc'!$C$28)</f>
        <v/>
      </c>
    </row>
    <row r="1981" spans="12:23" x14ac:dyDescent="0.25">
      <c r="L1981" s="4" t="str">
        <f>IF('[1]All Data '!BE1986="","",'[1]All Data '!BE1986)</f>
        <v/>
      </c>
      <c r="M1981" t="str">
        <f>IF('[1]All Data '!BF1986="","",'[1]All Data '!BF1986)</f>
        <v/>
      </c>
      <c r="N1981" s="5" t="str">
        <f>IF('[1]All Data '!BB1986="","",'[1]All Data '!BC1986/'[1]All Data '!BH1986)</f>
        <v/>
      </c>
      <c r="O1981" s="5" t="str">
        <f t="shared" si="32"/>
        <v/>
      </c>
      <c r="P1981" s="5" t="str">
        <f>IF(M1981="","",$C$2*(1-L1981)*907.2/0.621371*N1981*[1]Transportation!$M$40)</f>
        <v/>
      </c>
      <c r="Q1981" s="5" t="str">
        <f>IF(L1981="","",IF([1]Inputs_Outputs!$B$5="Herbaceous",(LCA!$E$29*'[1]LOCH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1" s="5" t="str">
        <f>IF(M1981="","",$E$2*1000*'[1]LOCH Calc COE Calc'!$C$44)</f>
        <v/>
      </c>
      <c r="S1981" s="6" t="str">
        <f>IF(N1981="","",SUM(O1981:R1981)/('[1]LOCH Calc COE Calc'!$C$28))</f>
        <v/>
      </c>
      <c r="T1981" t="str">
        <f>IF(L1981="","",O1981/'[1]LOCH Calc COE Calc'!$C$28)</f>
        <v/>
      </c>
      <c r="U1981" t="str">
        <f>IF(L1981="","",P1981/'[1]LOCH Calc COE Calc'!$C$28)</f>
        <v/>
      </c>
      <c r="V1981" t="str">
        <f>IF(L1981="","",Q1981/'[1]LOCH Calc COE Calc'!$C$28)</f>
        <v/>
      </c>
      <c r="W1981" t="str">
        <f>IF(L1981="","",R1981/'[1]LOCH Calc COE Calc'!$C$28)</f>
        <v/>
      </c>
    </row>
    <row r="1982" spans="12:23" x14ac:dyDescent="0.25">
      <c r="L1982" s="4" t="str">
        <f>IF('[1]All Data '!BE1987="","",'[1]All Data '!BE1987)</f>
        <v/>
      </c>
      <c r="M1982" t="str">
        <f>IF('[1]All Data '!BF1987="","",'[1]All Data '!BF1987)</f>
        <v/>
      </c>
      <c r="N1982" s="5" t="str">
        <f>IF('[1]All Data '!BB1987="","",'[1]All Data '!BC1987/'[1]All Data '!BH1987)</f>
        <v/>
      </c>
      <c r="O1982" s="5" t="str">
        <f t="shared" si="32"/>
        <v/>
      </c>
      <c r="P1982" s="5" t="str">
        <f>IF(M1982="","",$C$2*(1-L1982)*907.2/0.621371*N1982*[1]Transportation!$M$40)</f>
        <v/>
      </c>
      <c r="Q1982" s="5" t="str">
        <f>IF(L1982="","",IF([1]Inputs_Outputs!$B$5="Herbaceous",(LCA!$E$29*'[1]LOCH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2" s="5" t="str">
        <f>IF(M1982="","",$E$2*1000*'[1]LOCH Calc COE Calc'!$C$44)</f>
        <v/>
      </c>
      <c r="S1982" s="6" t="str">
        <f>IF(N1982="","",SUM(O1982:R1982)/('[1]LOCH Calc COE Calc'!$C$28))</f>
        <v/>
      </c>
      <c r="T1982" t="str">
        <f>IF(L1982="","",O1982/'[1]LOCH Calc COE Calc'!$C$28)</f>
        <v/>
      </c>
      <c r="U1982" t="str">
        <f>IF(L1982="","",P1982/'[1]LOCH Calc COE Calc'!$C$28)</f>
        <v/>
      </c>
      <c r="V1982" t="str">
        <f>IF(L1982="","",Q1982/'[1]LOCH Calc COE Calc'!$C$28)</f>
        <v/>
      </c>
      <c r="W1982" t="str">
        <f>IF(L1982="","",R1982/'[1]LOCH Calc COE Calc'!$C$28)</f>
        <v/>
      </c>
    </row>
    <row r="1983" spans="12:23" x14ac:dyDescent="0.25">
      <c r="L1983" s="4" t="str">
        <f>IF('[1]All Data '!BE1988="","",'[1]All Data '!BE1988)</f>
        <v/>
      </c>
      <c r="M1983" t="str">
        <f>IF('[1]All Data '!BF1988="","",'[1]All Data '!BF1988)</f>
        <v/>
      </c>
      <c r="N1983" s="5" t="str">
        <f>IF('[1]All Data '!BB1988="","",'[1]All Data '!BC1988/'[1]All Data '!BH1988)</f>
        <v/>
      </c>
      <c r="O1983" s="5" t="str">
        <f t="shared" si="32"/>
        <v/>
      </c>
      <c r="P1983" s="5" t="str">
        <f>IF(M1983="","",$C$2*(1-L1983)*907.2/0.621371*N1983*[1]Transportation!$M$40)</f>
        <v/>
      </c>
      <c r="Q1983" s="5" t="str">
        <f>IF(L1983="","",IF([1]Inputs_Outputs!$B$5="Herbaceous",(LCA!$E$29*'[1]LOCH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3" s="5" t="str">
        <f>IF(M1983="","",$E$2*1000*'[1]LOCH Calc COE Calc'!$C$44)</f>
        <v/>
      </c>
      <c r="S1983" s="6" t="str">
        <f>IF(N1983="","",SUM(O1983:R1983)/('[1]LOCH Calc COE Calc'!$C$28))</f>
        <v/>
      </c>
      <c r="T1983" t="str">
        <f>IF(L1983="","",O1983/'[1]LOCH Calc COE Calc'!$C$28)</f>
        <v/>
      </c>
      <c r="U1983" t="str">
        <f>IF(L1983="","",P1983/'[1]LOCH Calc COE Calc'!$C$28)</f>
        <v/>
      </c>
      <c r="V1983" t="str">
        <f>IF(L1983="","",Q1983/'[1]LOCH Calc COE Calc'!$C$28)</f>
        <v/>
      </c>
      <c r="W1983" t="str">
        <f>IF(L1983="","",R1983/'[1]LOCH Calc COE Calc'!$C$28)</f>
        <v/>
      </c>
    </row>
    <row r="1984" spans="12:23" x14ac:dyDescent="0.25">
      <c r="L1984" s="4" t="str">
        <f>IF('[1]All Data '!BE1989="","",'[1]All Data '!BE1989)</f>
        <v/>
      </c>
      <c r="M1984" t="str">
        <f>IF('[1]All Data '!BF1989="","",'[1]All Data '!BF1989)</f>
        <v/>
      </c>
      <c r="N1984" s="5" t="str">
        <f>IF('[1]All Data '!BB1989="","",'[1]All Data '!BC1989/'[1]All Data '!BH1989)</f>
        <v/>
      </c>
      <c r="O1984" s="5" t="str">
        <f t="shared" si="32"/>
        <v/>
      </c>
      <c r="P1984" s="5" t="str">
        <f>IF(M1984="","",$C$2*(1-L1984)*907.2/0.621371*N1984*[1]Transportation!$M$40)</f>
        <v/>
      </c>
      <c r="Q1984" s="5" t="str">
        <f>IF(L1984="","",IF([1]Inputs_Outputs!$B$5="Herbaceous",(LCA!$E$29*'[1]LOCH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4" s="5" t="str">
        <f>IF(M1984="","",$E$2*1000*'[1]LOCH Calc COE Calc'!$C$44)</f>
        <v/>
      </c>
      <c r="S1984" s="6" t="str">
        <f>IF(N1984="","",SUM(O1984:R1984)/('[1]LOCH Calc COE Calc'!$C$28))</f>
        <v/>
      </c>
      <c r="T1984" t="str">
        <f>IF(L1984="","",O1984/'[1]LOCH Calc COE Calc'!$C$28)</f>
        <v/>
      </c>
      <c r="U1984" t="str">
        <f>IF(L1984="","",P1984/'[1]LOCH Calc COE Calc'!$C$28)</f>
        <v/>
      </c>
      <c r="V1984" t="str">
        <f>IF(L1984="","",Q1984/'[1]LOCH Calc COE Calc'!$C$28)</f>
        <v/>
      </c>
      <c r="W1984" t="str">
        <f>IF(L1984="","",R1984/'[1]LOCH Calc COE Calc'!$C$28)</f>
        <v/>
      </c>
    </row>
    <row r="1985" spans="12:23" x14ac:dyDescent="0.25">
      <c r="L1985" s="4" t="str">
        <f>IF('[1]All Data '!BE1990="","",'[1]All Data '!BE1990)</f>
        <v/>
      </c>
      <c r="M1985" t="str">
        <f>IF('[1]All Data '!BF1990="","",'[1]All Data '!BF1990)</f>
        <v/>
      </c>
      <c r="N1985" s="5" t="str">
        <f>IF('[1]All Data '!BB1990="","",'[1]All Data '!BC1990/'[1]All Data '!BH1990)</f>
        <v/>
      </c>
      <c r="O1985" s="5" t="str">
        <f t="shared" si="32"/>
        <v/>
      </c>
      <c r="P1985" s="5" t="str">
        <f>IF(M1985="","",$C$2*(1-L1985)*907.2/0.621371*N1985*[1]Transportation!$M$40)</f>
        <v/>
      </c>
      <c r="Q1985" s="5" t="str">
        <f>IF(L1985="","",IF([1]Inputs_Outputs!$B$5="Herbaceous",(LCA!$E$29*'[1]LOCH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5" s="5" t="str">
        <f>IF(M1985="","",$E$2*1000*'[1]LOCH Calc COE Calc'!$C$44)</f>
        <v/>
      </c>
      <c r="S1985" s="6" t="str">
        <f>IF(N1985="","",SUM(O1985:R1985)/('[1]LOCH Calc COE Calc'!$C$28))</f>
        <v/>
      </c>
      <c r="T1985" t="str">
        <f>IF(L1985="","",O1985/'[1]LOCH Calc COE Calc'!$C$28)</f>
        <v/>
      </c>
      <c r="U1985" t="str">
        <f>IF(L1985="","",P1985/'[1]LOCH Calc COE Calc'!$C$28)</f>
        <v/>
      </c>
      <c r="V1985" t="str">
        <f>IF(L1985="","",Q1985/'[1]LOCH Calc COE Calc'!$C$28)</f>
        <v/>
      </c>
      <c r="W1985" t="str">
        <f>IF(L1985="","",R1985/'[1]LOCH Calc COE Calc'!$C$28)</f>
        <v/>
      </c>
    </row>
    <row r="1986" spans="12:23" x14ac:dyDescent="0.25">
      <c r="L1986" s="4" t="str">
        <f>IF('[1]All Data '!BE1991="","",'[1]All Data '!BE1991)</f>
        <v/>
      </c>
      <c r="M1986" t="str">
        <f>IF('[1]All Data '!BF1991="","",'[1]All Data '!BF1991)</f>
        <v/>
      </c>
      <c r="N1986" s="5" t="str">
        <f>IF('[1]All Data '!BB1991="","",'[1]All Data '!BC1991/'[1]All Data '!BH1991)</f>
        <v/>
      </c>
      <c r="O1986" s="5" t="str">
        <f t="shared" si="32"/>
        <v/>
      </c>
      <c r="P1986" s="5" t="str">
        <f>IF(M1986="","",$C$2*(1-L1986)*907.2/0.621371*N1986*[1]Transportation!$M$40)</f>
        <v/>
      </c>
      <c r="Q1986" s="5" t="str">
        <f>IF(L1986="","",IF([1]Inputs_Outputs!$B$5="Herbaceous",(LCA!$E$29*'[1]LOCH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6" s="5" t="str">
        <f>IF(M1986="","",$E$2*1000*'[1]LOCH Calc COE Calc'!$C$44)</f>
        <v/>
      </c>
      <c r="S1986" s="6" t="str">
        <f>IF(N1986="","",SUM(O1986:R1986)/('[1]LOCH Calc COE Calc'!$C$28))</f>
        <v/>
      </c>
      <c r="T1986" t="str">
        <f>IF(L1986="","",O1986/'[1]LOCH Calc COE Calc'!$C$28)</f>
        <v/>
      </c>
      <c r="U1986" t="str">
        <f>IF(L1986="","",P1986/'[1]LOCH Calc COE Calc'!$C$28)</f>
        <v/>
      </c>
      <c r="V1986" t="str">
        <f>IF(L1986="","",Q1986/'[1]LOCH Calc COE Calc'!$C$28)</f>
        <v/>
      </c>
      <c r="W1986" t="str">
        <f>IF(L1986="","",R1986/'[1]LOCH Calc COE Calc'!$C$28)</f>
        <v/>
      </c>
    </row>
    <row r="1987" spans="12:23" x14ac:dyDescent="0.25">
      <c r="L1987" s="4" t="str">
        <f>IF('[1]All Data '!BE1992="","",'[1]All Data '!BE1992)</f>
        <v/>
      </c>
      <c r="M1987" t="str">
        <f>IF('[1]All Data '!BF1992="","",'[1]All Data '!BF1992)</f>
        <v/>
      </c>
      <c r="N1987" s="5" t="str">
        <f>IF('[1]All Data '!BB1992="","",'[1]All Data '!BC1992/'[1]All Data '!BH1992)</f>
        <v/>
      </c>
      <c r="O1987" s="5" t="str">
        <f t="shared" si="32"/>
        <v/>
      </c>
      <c r="P1987" s="5" t="str">
        <f>IF(M1987="","",$C$2*(1-L1987)*907.2/0.621371*N1987*[1]Transportation!$M$40)</f>
        <v/>
      </c>
      <c r="Q1987" s="5" t="str">
        <f>IF(L1987="","",IF([1]Inputs_Outputs!$B$5="Herbaceous",(LCA!$E$29*'[1]LOCH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7" s="5" t="str">
        <f>IF(M1987="","",$E$2*1000*'[1]LOCH Calc COE Calc'!$C$44)</f>
        <v/>
      </c>
      <c r="S1987" s="6" t="str">
        <f>IF(N1987="","",SUM(O1987:R1987)/('[1]LOCH Calc COE Calc'!$C$28))</f>
        <v/>
      </c>
      <c r="T1987" t="str">
        <f>IF(L1987="","",O1987/'[1]LOCH Calc COE Calc'!$C$28)</f>
        <v/>
      </c>
      <c r="U1987" t="str">
        <f>IF(L1987="","",P1987/'[1]LOCH Calc COE Calc'!$C$28)</f>
        <v/>
      </c>
      <c r="V1987" t="str">
        <f>IF(L1987="","",Q1987/'[1]LOCH Calc COE Calc'!$C$28)</f>
        <v/>
      </c>
      <c r="W1987" t="str">
        <f>IF(L1987="","",R1987/'[1]LOCH Calc COE Calc'!$C$28)</f>
        <v/>
      </c>
    </row>
    <row r="1988" spans="12:23" x14ac:dyDescent="0.25">
      <c r="L1988" s="4" t="str">
        <f>IF('[1]All Data '!BE1993="","",'[1]All Data '!BE1993)</f>
        <v/>
      </c>
      <c r="M1988" t="str">
        <f>IF('[1]All Data '!BF1993="","",'[1]All Data '!BF1993)</f>
        <v/>
      </c>
      <c r="N1988" s="5" t="str">
        <f>IF('[1]All Data '!BB1993="","",'[1]All Data '!BC1993/'[1]All Data '!BH1993)</f>
        <v/>
      </c>
      <c r="O1988" s="5" t="str">
        <f t="shared" ref="O1988:O2051" si="33">IF(N1988="","",M1988*N1988)</f>
        <v/>
      </c>
      <c r="P1988" s="5" t="str">
        <f>IF(M1988="","",$C$2*(1-L1988)*907.2/0.621371*N1988*[1]Transportation!$M$40)</f>
        <v/>
      </c>
      <c r="Q1988" s="5" t="str">
        <f>IF(L1988="","",IF([1]Inputs_Outputs!$B$5="Herbaceous",(LCA!$E$29*'[1]LOCH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8" s="5" t="str">
        <f>IF(M1988="","",$E$2*1000*'[1]LOCH Calc COE Calc'!$C$44)</f>
        <v/>
      </c>
      <c r="S1988" s="6" t="str">
        <f>IF(N1988="","",SUM(O1988:R1988)/('[1]LOCH Calc COE Calc'!$C$28))</f>
        <v/>
      </c>
      <c r="T1988" t="str">
        <f>IF(L1988="","",O1988/'[1]LOCH Calc COE Calc'!$C$28)</f>
        <v/>
      </c>
      <c r="U1988" t="str">
        <f>IF(L1988="","",P1988/'[1]LOCH Calc COE Calc'!$C$28)</f>
        <v/>
      </c>
      <c r="V1988" t="str">
        <f>IF(L1988="","",Q1988/'[1]LOCH Calc COE Calc'!$C$28)</f>
        <v/>
      </c>
      <c r="W1988" t="str">
        <f>IF(L1988="","",R1988/'[1]LOCH Calc COE Calc'!$C$28)</f>
        <v/>
      </c>
    </row>
    <row r="1989" spans="12:23" x14ac:dyDescent="0.25">
      <c r="L1989" s="4" t="str">
        <f>IF('[1]All Data '!BE1994="","",'[1]All Data '!BE1994)</f>
        <v/>
      </c>
      <c r="M1989" t="str">
        <f>IF('[1]All Data '!BF1994="","",'[1]All Data '!BF1994)</f>
        <v/>
      </c>
      <c r="N1989" s="5" t="str">
        <f>IF('[1]All Data '!BB1994="","",'[1]All Data '!BC1994/'[1]All Data '!BH1994)</f>
        <v/>
      </c>
      <c r="O1989" s="5" t="str">
        <f t="shared" si="33"/>
        <v/>
      </c>
      <c r="P1989" s="5" t="str">
        <f>IF(M1989="","",$C$2*(1-L1989)*907.2/0.621371*N1989*[1]Transportation!$M$40)</f>
        <v/>
      </c>
      <c r="Q1989" s="5" t="str">
        <f>IF(L1989="","",IF([1]Inputs_Outputs!$B$5="Herbaceous",(LCA!$E$29*'[1]LOCH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89" s="5" t="str">
        <f>IF(M1989="","",$E$2*1000*'[1]LOCH Calc COE Calc'!$C$44)</f>
        <v/>
      </c>
      <c r="S1989" s="6" t="str">
        <f>IF(N1989="","",SUM(O1989:R1989)/('[1]LOCH Calc COE Calc'!$C$28))</f>
        <v/>
      </c>
      <c r="T1989" t="str">
        <f>IF(L1989="","",O1989/'[1]LOCH Calc COE Calc'!$C$28)</f>
        <v/>
      </c>
      <c r="U1989" t="str">
        <f>IF(L1989="","",P1989/'[1]LOCH Calc COE Calc'!$C$28)</f>
        <v/>
      </c>
      <c r="V1989" t="str">
        <f>IF(L1989="","",Q1989/'[1]LOCH Calc COE Calc'!$C$28)</f>
        <v/>
      </c>
      <c r="W1989" t="str">
        <f>IF(L1989="","",R1989/'[1]LOCH Calc COE Calc'!$C$28)</f>
        <v/>
      </c>
    </row>
    <row r="1990" spans="12:23" x14ac:dyDescent="0.25">
      <c r="L1990" s="4" t="str">
        <f>IF('[1]All Data '!BE1995="","",'[1]All Data '!BE1995)</f>
        <v/>
      </c>
      <c r="M1990" t="str">
        <f>IF('[1]All Data '!BF1995="","",'[1]All Data '!BF1995)</f>
        <v/>
      </c>
      <c r="N1990" s="5" t="str">
        <f>IF('[1]All Data '!BB1995="","",'[1]All Data '!BC1995/'[1]All Data '!BH1995)</f>
        <v/>
      </c>
      <c r="O1990" s="5" t="str">
        <f t="shared" si="33"/>
        <v/>
      </c>
      <c r="P1990" s="5" t="str">
        <f>IF(M1990="","",$C$2*(1-L1990)*907.2/0.621371*N1990*[1]Transportation!$M$40)</f>
        <v/>
      </c>
      <c r="Q1990" s="5" t="str">
        <f>IF(L1990="","",IF([1]Inputs_Outputs!$B$5="Herbaceous",(LCA!$E$29*'[1]LOCH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0" s="5" t="str">
        <f>IF(M1990="","",$E$2*1000*'[1]LOCH Calc COE Calc'!$C$44)</f>
        <v/>
      </c>
      <c r="S1990" s="6" t="str">
        <f>IF(N1990="","",SUM(O1990:R1990)/('[1]LOCH Calc COE Calc'!$C$28))</f>
        <v/>
      </c>
      <c r="T1990" t="str">
        <f>IF(L1990="","",O1990/'[1]LOCH Calc COE Calc'!$C$28)</f>
        <v/>
      </c>
      <c r="U1990" t="str">
        <f>IF(L1990="","",P1990/'[1]LOCH Calc COE Calc'!$C$28)</f>
        <v/>
      </c>
      <c r="V1990" t="str">
        <f>IF(L1990="","",Q1990/'[1]LOCH Calc COE Calc'!$C$28)</f>
        <v/>
      </c>
      <c r="W1990" t="str">
        <f>IF(L1990="","",R1990/'[1]LOCH Calc COE Calc'!$C$28)</f>
        <v/>
      </c>
    </row>
    <row r="1991" spans="12:23" x14ac:dyDescent="0.25">
      <c r="L1991" s="4" t="str">
        <f>IF('[1]All Data '!BE1996="","",'[1]All Data '!BE1996)</f>
        <v/>
      </c>
      <c r="M1991" t="str">
        <f>IF('[1]All Data '!BF1996="","",'[1]All Data '!BF1996)</f>
        <v/>
      </c>
      <c r="N1991" s="5" t="str">
        <f>IF('[1]All Data '!BB1996="","",'[1]All Data '!BC1996/'[1]All Data '!BH1996)</f>
        <v/>
      </c>
      <c r="O1991" s="5" t="str">
        <f t="shared" si="33"/>
        <v/>
      </c>
      <c r="P1991" s="5" t="str">
        <f>IF(M1991="","",$C$2*(1-L1991)*907.2/0.621371*N1991*[1]Transportation!$M$40)</f>
        <v/>
      </c>
      <c r="Q1991" s="5" t="str">
        <f>IF(L1991="","",IF([1]Inputs_Outputs!$B$5="Herbaceous",(LCA!$E$29*'[1]LOCH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1" s="5" t="str">
        <f>IF(M1991="","",$E$2*1000*'[1]LOCH Calc COE Calc'!$C$44)</f>
        <v/>
      </c>
      <c r="S1991" s="6" t="str">
        <f>IF(N1991="","",SUM(O1991:R1991)/('[1]LOCH Calc COE Calc'!$C$28))</f>
        <v/>
      </c>
      <c r="T1991" t="str">
        <f>IF(L1991="","",O1991/'[1]LOCH Calc COE Calc'!$C$28)</f>
        <v/>
      </c>
      <c r="U1991" t="str">
        <f>IF(L1991="","",P1991/'[1]LOCH Calc COE Calc'!$C$28)</f>
        <v/>
      </c>
      <c r="V1991" t="str">
        <f>IF(L1991="","",Q1991/'[1]LOCH Calc COE Calc'!$C$28)</f>
        <v/>
      </c>
      <c r="W1991" t="str">
        <f>IF(L1991="","",R1991/'[1]LOCH Calc COE Calc'!$C$28)</f>
        <v/>
      </c>
    </row>
    <row r="1992" spans="12:23" x14ac:dyDescent="0.25">
      <c r="L1992" s="4" t="str">
        <f>IF('[1]All Data '!BE1997="","",'[1]All Data '!BE1997)</f>
        <v/>
      </c>
      <c r="M1992" t="str">
        <f>IF('[1]All Data '!BF1997="","",'[1]All Data '!BF1997)</f>
        <v/>
      </c>
      <c r="N1992" s="5" t="str">
        <f>IF('[1]All Data '!BB1997="","",'[1]All Data '!BC1997/'[1]All Data '!BH1997)</f>
        <v/>
      </c>
      <c r="O1992" s="5" t="str">
        <f t="shared" si="33"/>
        <v/>
      </c>
      <c r="P1992" s="5" t="str">
        <f>IF(M1992="","",$C$2*(1-L1992)*907.2/0.621371*N1992*[1]Transportation!$M$40)</f>
        <v/>
      </c>
      <c r="Q1992" s="5" t="str">
        <f>IF(L1992="","",IF([1]Inputs_Outputs!$B$5="Herbaceous",(LCA!$E$29*'[1]LOCH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2" s="5" t="str">
        <f>IF(M1992="","",$E$2*1000*'[1]LOCH Calc COE Calc'!$C$44)</f>
        <v/>
      </c>
      <c r="S1992" s="6" t="str">
        <f>IF(N1992="","",SUM(O1992:R1992)/('[1]LOCH Calc COE Calc'!$C$28))</f>
        <v/>
      </c>
      <c r="T1992" t="str">
        <f>IF(L1992="","",O1992/'[1]LOCH Calc COE Calc'!$C$28)</f>
        <v/>
      </c>
      <c r="U1992" t="str">
        <f>IF(L1992="","",P1992/'[1]LOCH Calc COE Calc'!$C$28)</f>
        <v/>
      </c>
      <c r="V1992" t="str">
        <f>IF(L1992="","",Q1992/'[1]LOCH Calc COE Calc'!$C$28)</f>
        <v/>
      </c>
      <c r="W1992" t="str">
        <f>IF(L1992="","",R1992/'[1]LOCH Calc COE Calc'!$C$28)</f>
        <v/>
      </c>
    </row>
    <row r="1993" spans="12:23" x14ac:dyDescent="0.25">
      <c r="L1993" s="4" t="str">
        <f>IF('[1]All Data '!BE1998="","",'[1]All Data '!BE1998)</f>
        <v/>
      </c>
      <c r="M1993" t="str">
        <f>IF('[1]All Data '!BF1998="","",'[1]All Data '!BF1998)</f>
        <v/>
      </c>
      <c r="N1993" s="5" t="str">
        <f>IF('[1]All Data '!BB1998="","",'[1]All Data '!BC1998/'[1]All Data '!BH1998)</f>
        <v/>
      </c>
      <c r="O1993" s="5" t="str">
        <f t="shared" si="33"/>
        <v/>
      </c>
      <c r="P1993" s="5" t="str">
        <f>IF(M1993="","",$C$2*(1-L1993)*907.2/0.621371*N1993*[1]Transportation!$M$40)</f>
        <v/>
      </c>
      <c r="Q1993" s="5" t="str">
        <f>IF(L1993="","",IF([1]Inputs_Outputs!$B$5="Herbaceous",(LCA!$E$29*'[1]LOCH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3" s="5" t="str">
        <f>IF(M1993="","",$E$2*1000*'[1]LOCH Calc COE Calc'!$C$44)</f>
        <v/>
      </c>
      <c r="S1993" s="6" t="str">
        <f>IF(N1993="","",SUM(O1993:R1993)/('[1]LOCH Calc COE Calc'!$C$28))</f>
        <v/>
      </c>
      <c r="T1993" t="str">
        <f>IF(L1993="","",O1993/'[1]LOCH Calc COE Calc'!$C$28)</f>
        <v/>
      </c>
      <c r="U1993" t="str">
        <f>IF(L1993="","",P1993/'[1]LOCH Calc COE Calc'!$C$28)</f>
        <v/>
      </c>
      <c r="V1993" t="str">
        <f>IF(L1993="","",Q1993/'[1]LOCH Calc COE Calc'!$C$28)</f>
        <v/>
      </c>
      <c r="W1993" t="str">
        <f>IF(L1993="","",R1993/'[1]LOCH Calc COE Calc'!$C$28)</f>
        <v/>
      </c>
    </row>
    <row r="1994" spans="12:23" x14ac:dyDescent="0.25">
      <c r="L1994" s="4" t="str">
        <f>IF('[1]All Data '!BE1999="","",'[1]All Data '!BE1999)</f>
        <v/>
      </c>
      <c r="M1994" t="str">
        <f>IF('[1]All Data '!BF1999="","",'[1]All Data '!BF1999)</f>
        <v/>
      </c>
      <c r="N1994" s="5" t="str">
        <f>IF('[1]All Data '!BB1999="","",'[1]All Data '!BC1999/'[1]All Data '!BH1999)</f>
        <v/>
      </c>
      <c r="O1994" s="5" t="str">
        <f t="shared" si="33"/>
        <v/>
      </c>
      <c r="P1994" s="5" t="str">
        <f>IF(M1994="","",$C$2*(1-L1994)*907.2/0.621371*N1994*[1]Transportation!$M$40)</f>
        <v/>
      </c>
      <c r="Q1994" s="5" t="str">
        <f>IF(L1994="","",IF([1]Inputs_Outputs!$B$5="Herbaceous",(LCA!$E$29*'[1]LOCH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4" s="5" t="str">
        <f>IF(M1994="","",$E$2*1000*'[1]LOCH Calc COE Calc'!$C$44)</f>
        <v/>
      </c>
      <c r="S1994" s="6" t="str">
        <f>IF(N1994="","",SUM(O1994:R1994)/('[1]LOCH Calc COE Calc'!$C$28))</f>
        <v/>
      </c>
      <c r="T1994" t="str">
        <f>IF(L1994="","",O1994/'[1]LOCH Calc COE Calc'!$C$28)</f>
        <v/>
      </c>
      <c r="U1994" t="str">
        <f>IF(L1994="","",P1994/'[1]LOCH Calc COE Calc'!$C$28)</f>
        <v/>
      </c>
      <c r="V1994" t="str">
        <f>IF(L1994="","",Q1994/'[1]LOCH Calc COE Calc'!$C$28)</f>
        <v/>
      </c>
      <c r="W1994" t="str">
        <f>IF(L1994="","",R1994/'[1]LOCH Calc COE Calc'!$C$28)</f>
        <v/>
      </c>
    </row>
    <row r="1995" spans="12:23" x14ac:dyDescent="0.25">
      <c r="L1995" s="4" t="str">
        <f>IF('[1]All Data '!BE2000="","",'[1]All Data '!BE2000)</f>
        <v/>
      </c>
      <c r="M1995" t="str">
        <f>IF('[1]All Data '!BF2000="","",'[1]All Data '!BF2000)</f>
        <v/>
      </c>
      <c r="N1995" s="5" t="str">
        <f>IF('[1]All Data '!BB2000="","",'[1]All Data '!BC2000/'[1]All Data '!BH2000)</f>
        <v/>
      </c>
      <c r="O1995" s="5" t="str">
        <f t="shared" si="33"/>
        <v/>
      </c>
      <c r="P1995" s="5" t="str">
        <f>IF(M1995="","",$C$2*(1-L1995)*907.2/0.621371*N1995*[1]Transportation!$M$40)</f>
        <v/>
      </c>
      <c r="Q1995" s="5" t="str">
        <f>IF(L1995="","",IF([1]Inputs_Outputs!$B$5="Herbaceous",(LCA!$E$29*'[1]LOCH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5" s="5" t="str">
        <f>IF(M1995="","",$E$2*1000*'[1]LOCH Calc COE Calc'!$C$44)</f>
        <v/>
      </c>
      <c r="S1995" s="6" t="str">
        <f>IF(N1995="","",SUM(O1995:R1995)/('[1]LOCH Calc COE Calc'!$C$28))</f>
        <v/>
      </c>
      <c r="T1995" t="str">
        <f>IF(L1995="","",O1995/'[1]LOCH Calc COE Calc'!$C$28)</f>
        <v/>
      </c>
      <c r="U1995" t="str">
        <f>IF(L1995="","",P1995/'[1]LOCH Calc COE Calc'!$C$28)</f>
        <v/>
      </c>
      <c r="V1995" t="str">
        <f>IF(L1995="","",Q1995/'[1]LOCH Calc COE Calc'!$C$28)</f>
        <v/>
      </c>
      <c r="W1995" t="str">
        <f>IF(L1995="","",R1995/'[1]LOCH Calc COE Calc'!$C$28)</f>
        <v/>
      </c>
    </row>
    <row r="1996" spans="12:23" x14ac:dyDescent="0.25">
      <c r="L1996" s="4" t="str">
        <f>IF('[1]All Data '!BE2001="","",'[1]All Data '!BE2001)</f>
        <v/>
      </c>
      <c r="M1996" t="str">
        <f>IF('[1]All Data '!BF2001="","",'[1]All Data '!BF2001)</f>
        <v/>
      </c>
      <c r="N1996" s="5" t="str">
        <f>IF('[1]All Data '!BB2001="","",'[1]All Data '!BC2001/'[1]All Data '!BH2001)</f>
        <v/>
      </c>
      <c r="O1996" s="5" t="str">
        <f t="shared" si="33"/>
        <v/>
      </c>
      <c r="P1996" s="5" t="str">
        <f>IF(M1996="","",$C$2*(1-L1996)*907.2/0.621371*N1996*[1]Transportation!$M$40)</f>
        <v/>
      </c>
      <c r="Q1996" s="5" t="str">
        <f>IF(L1996="","",IF([1]Inputs_Outputs!$B$5="Herbaceous",(LCA!$E$29*'[1]LOCH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6" s="5" t="str">
        <f>IF(M1996="","",$E$2*1000*'[1]LOCH Calc COE Calc'!$C$44)</f>
        <v/>
      </c>
      <c r="S1996" s="6" t="str">
        <f>IF(N1996="","",SUM(O1996:R1996)/('[1]LOCH Calc COE Calc'!$C$28))</f>
        <v/>
      </c>
      <c r="T1996" t="str">
        <f>IF(L1996="","",O1996/'[1]LOCH Calc COE Calc'!$C$28)</f>
        <v/>
      </c>
      <c r="U1996" t="str">
        <f>IF(L1996="","",P1996/'[1]LOCH Calc COE Calc'!$C$28)</f>
        <v/>
      </c>
      <c r="V1996" t="str">
        <f>IF(L1996="","",Q1996/'[1]LOCH Calc COE Calc'!$C$28)</f>
        <v/>
      </c>
      <c r="W1996" t="str">
        <f>IF(L1996="","",R1996/'[1]LOCH Calc COE Calc'!$C$28)</f>
        <v/>
      </c>
    </row>
    <row r="1997" spans="12:23" x14ac:dyDescent="0.25">
      <c r="L1997" s="4" t="str">
        <f>IF('[1]All Data '!BE2002="","",'[1]All Data '!BE2002)</f>
        <v/>
      </c>
      <c r="M1997" t="str">
        <f>IF('[1]All Data '!BF2002="","",'[1]All Data '!BF2002)</f>
        <v/>
      </c>
      <c r="N1997" s="5" t="str">
        <f>IF('[1]All Data '!BB2002="","",'[1]All Data '!BC2002/'[1]All Data '!BH2002)</f>
        <v/>
      </c>
      <c r="O1997" s="5" t="str">
        <f t="shared" si="33"/>
        <v/>
      </c>
      <c r="P1997" s="5" t="str">
        <f>IF(M1997="","",$C$2*(1-L1997)*907.2/0.621371*N1997*[1]Transportation!$M$40)</f>
        <v/>
      </c>
      <c r="Q1997" s="5" t="str">
        <f>IF(L1997="","",IF([1]Inputs_Outputs!$B$5="Herbaceous",(LCA!$E$29*'[1]LOCH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7" s="5" t="str">
        <f>IF(M1997="","",$E$2*1000*'[1]LOCH Calc COE Calc'!$C$44)</f>
        <v/>
      </c>
      <c r="S1997" s="6" t="str">
        <f>IF(N1997="","",SUM(O1997:R1997)/('[1]LOCH Calc COE Calc'!$C$28))</f>
        <v/>
      </c>
      <c r="T1997" t="str">
        <f>IF(L1997="","",O1997/'[1]LOCH Calc COE Calc'!$C$28)</f>
        <v/>
      </c>
      <c r="U1997" t="str">
        <f>IF(L1997="","",P1997/'[1]LOCH Calc COE Calc'!$C$28)</f>
        <v/>
      </c>
      <c r="V1997" t="str">
        <f>IF(L1997="","",Q1997/'[1]LOCH Calc COE Calc'!$C$28)</f>
        <v/>
      </c>
      <c r="W1997" t="str">
        <f>IF(L1997="","",R1997/'[1]LOCH Calc COE Calc'!$C$28)</f>
        <v/>
      </c>
    </row>
    <row r="1998" spans="12:23" x14ac:dyDescent="0.25">
      <c r="L1998" s="4" t="str">
        <f>IF('[1]All Data '!BE2003="","",'[1]All Data '!BE2003)</f>
        <v/>
      </c>
      <c r="M1998" t="str">
        <f>IF('[1]All Data '!BF2003="","",'[1]All Data '!BF2003)</f>
        <v/>
      </c>
      <c r="N1998" s="5" t="str">
        <f>IF('[1]All Data '!BB2003="","",'[1]All Data '!BC2003/'[1]All Data '!BH2003)</f>
        <v/>
      </c>
      <c r="O1998" s="5" t="str">
        <f t="shared" si="33"/>
        <v/>
      </c>
      <c r="P1998" s="5" t="str">
        <f>IF(M1998="","",$C$2*(1-L1998)*907.2/0.621371*N1998*[1]Transportation!$M$40)</f>
        <v/>
      </c>
      <c r="Q1998" s="5" t="str">
        <f>IF(L1998="","",IF([1]Inputs_Outputs!$B$5="Herbaceous",(LCA!$E$29*'[1]LOCH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8" s="5" t="str">
        <f>IF(M1998="","",$E$2*1000*'[1]LOCH Calc COE Calc'!$C$44)</f>
        <v/>
      </c>
      <c r="S1998" s="6" t="str">
        <f>IF(N1998="","",SUM(O1998:R1998)/('[1]LOCH Calc COE Calc'!$C$28))</f>
        <v/>
      </c>
      <c r="T1998" t="str">
        <f>IF(L1998="","",O1998/'[1]LOCH Calc COE Calc'!$C$28)</f>
        <v/>
      </c>
      <c r="U1998" t="str">
        <f>IF(L1998="","",P1998/'[1]LOCH Calc COE Calc'!$C$28)</f>
        <v/>
      </c>
      <c r="V1998" t="str">
        <f>IF(L1998="","",Q1998/'[1]LOCH Calc COE Calc'!$C$28)</f>
        <v/>
      </c>
      <c r="W1998" t="str">
        <f>IF(L1998="","",R1998/'[1]LOCH Calc COE Calc'!$C$28)</f>
        <v/>
      </c>
    </row>
    <row r="1999" spans="12:23" x14ac:dyDescent="0.25">
      <c r="L1999" s="4" t="str">
        <f>IF('[1]All Data '!BE2004="","",'[1]All Data '!BE2004)</f>
        <v/>
      </c>
      <c r="M1999" t="str">
        <f>IF('[1]All Data '!BF2004="","",'[1]All Data '!BF2004)</f>
        <v/>
      </c>
      <c r="N1999" s="5" t="str">
        <f>IF('[1]All Data '!BB2004="","",'[1]All Data '!BC2004/'[1]All Data '!BH2004)</f>
        <v/>
      </c>
      <c r="O1999" s="5" t="str">
        <f t="shared" si="33"/>
        <v/>
      </c>
      <c r="P1999" s="5" t="str">
        <f>IF(M1999="","",$C$2*(1-L1999)*907.2/0.621371*N1999*[1]Transportation!$M$40)</f>
        <v/>
      </c>
      <c r="Q1999" s="5" t="str">
        <f>IF(L1999="","",IF([1]Inputs_Outputs!$B$5="Herbaceous",(LCA!$E$29*'[1]LOCH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1999" s="5" t="str">
        <f>IF(M1999="","",$E$2*1000*'[1]LOCH Calc COE Calc'!$C$44)</f>
        <v/>
      </c>
      <c r="S1999" s="6" t="str">
        <f>IF(N1999="","",SUM(O1999:R1999)/('[1]LOCH Calc COE Calc'!$C$28))</f>
        <v/>
      </c>
      <c r="T1999" t="str">
        <f>IF(L1999="","",O1999/'[1]LOCH Calc COE Calc'!$C$28)</f>
        <v/>
      </c>
      <c r="U1999" t="str">
        <f>IF(L1999="","",P1999/'[1]LOCH Calc COE Calc'!$C$28)</f>
        <v/>
      </c>
      <c r="V1999" t="str">
        <f>IF(L1999="","",Q1999/'[1]LOCH Calc COE Calc'!$C$28)</f>
        <v/>
      </c>
      <c r="W1999" t="str">
        <f>IF(L1999="","",R1999/'[1]LOCH Calc COE Calc'!$C$28)</f>
        <v/>
      </c>
    </row>
    <row r="2000" spans="12:23" x14ac:dyDescent="0.25">
      <c r="L2000" s="4" t="str">
        <f>IF('[1]All Data '!BE2005="","",'[1]All Data '!BE2005)</f>
        <v/>
      </c>
      <c r="M2000" t="str">
        <f>IF('[1]All Data '!BF2005="","",'[1]All Data '!BF2005)</f>
        <v/>
      </c>
      <c r="N2000" s="5" t="str">
        <f>IF('[1]All Data '!BB2005="","",'[1]All Data '!BC2005/'[1]All Data '!BH2005)</f>
        <v/>
      </c>
      <c r="O2000" s="5" t="str">
        <f t="shared" si="33"/>
        <v/>
      </c>
      <c r="P2000" s="5" t="str">
        <f>IF(M2000="","",$C$2*(1-L2000)*907.2/0.621371*N2000*[1]Transportation!$M$40)</f>
        <v/>
      </c>
      <c r="Q2000" s="5" t="str">
        <f>IF(L2000="","",IF([1]Inputs_Outputs!$B$5="Herbaceous",(LCA!$E$29*'[1]LOCH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0" s="5" t="str">
        <f>IF(M2000="","",$E$2*1000*'[1]LOCH Calc COE Calc'!$C$44)</f>
        <v/>
      </c>
      <c r="S2000" s="6" t="str">
        <f>IF(N2000="","",SUM(O2000:R2000)/('[1]LOCH Calc COE Calc'!$C$28))</f>
        <v/>
      </c>
      <c r="T2000" t="str">
        <f>IF(L2000="","",O2000/'[1]LOCH Calc COE Calc'!$C$28)</f>
        <v/>
      </c>
      <c r="U2000" t="str">
        <f>IF(L2000="","",P2000/'[1]LOCH Calc COE Calc'!$C$28)</f>
        <v/>
      </c>
      <c r="V2000" t="str">
        <f>IF(L2000="","",Q2000/'[1]LOCH Calc COE Calc'!$C$28)</f>
        <v/>
      </c>
      <c r="W2000" t="str">
        <f>IF(L2000="","",R2000/'[1]LOCH Calc COE Calc'!$C$28)</f>
        <v/>
      </c>
    </row>
    <row r="2001" spans="12:23" x14ac:dyDescent="0.25">
      <c r="L2001" s="4" t="str">
        <f>IF('[1]All Data '!BE2006="","",'[1]All Data '!BE2006)</f>
        <v/>
      </c>
      <c r="M2001" t="str">
        <f>IF('[1]All Data '!BF2006="","",'[1]All Data '!BF2006)</f>
        <v/>
      </c>
      <c r="N2001" s="5" t="str">
        <f>IF('[1]All Data '!BB2006="","",'[1]All Data '!BC2006/'[1]All Data '!BH2006)</f>
        <v/>
      </c>
      <c r="O2001" s="5" t="str">
        <f t="shared" si="33"/>
        <v/>
      </c>
      <c r="P2001" s="5" t="str">
        <f>IF(M2001="","",$C$2*(1-L2001)*907.2/0.621371*N2001*[1]Transportation!$M$40)</f>
        <v/>
      </c>
      <c r="Q2001" s="5" t="str">
        <f>IF(L2001="","",IF([1]Inputs_Outputs!$B$5="Herbaceous",(LCA!$E$29*'[1]LOCH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1" s="5" t="str">
        <f>IF(M2001="","",$E$2*1000*'[1]LOCH Calc COE Calc'!$C$44)</f>
        <v/>
      </c>
      <c r="S2001" s="6" t="str">
        <f>IF(N2001="","",SUM(O2001:R2001)/('[1]LOCH Calc COE Calc'!$C$28))</f>
        <v/>
      </c>
      <c r="T2001" t="str">
        <f>IF(L2001="","",O2001/'[1]LOCH Calc COE Calc'!$C$28)</f>
        <v/>
      </c>
      <c r="U2001" t="str">
        <f>IF(L2001="","",P2001/'[1]LOCH Calc COE Calc'!$C$28)</f>
        <v/>
      </c>
      <c r="V2001" t="str">
        <f>IF(L2001="","",Q2001/'[1]LOCH Calc COE Calc'!$C$28)</f>
        <v/>
      </c>
      <c r="W2001" t="str">
        <f>IF(L2001="","",R2001/'[1]LOCH Calc COE Calc'!$C$28)</f>
        <v/>
      </c>
    </row>
    <row r="2002" spans="12:23" x14ac:dyDescent="0.25">
      <c r="L2002" s="4" t="str">
        <f>IF('[1]All Data '!BE2007="","",'[1]All Data '!BE2007)</f>
        <v/>
      </c>
      <c r="M2002" t="str">
        <f>IF('[1]All Data '!BF2007="","",'[1]All Data '!BF2007)</f>
        <v/>
      </c>
      <c r="N2002" s="5" t="str">
        <f>IF('[1]All Data '!BB2007="","",'[1]All Data '!BC2007/'[1]All Data '!BH2007)</f>
        <v/>
      </c>
      <c r="O2002" s="5" t="str">
        <f t="shared" si="33"/>
        <v/>
      </c>
      <c r="P2002" s="5" t="str">
        <f>IF(M2002="","",$C$2*(1-L2002)*907.2/0.621371*N2002*[1]Transportation!$M$40)</f>
        <v/>
      </c>
      <c r="Q2002" s="5" t="str">
        <f>IF(L2002="","",IF([1]Inputs_Outputs!$B$5="Herbaceous",(LCA!$E$29*'[1]LOCH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2" s="5" t="str">
        <f>IF(M2002="","",$E$2*1000*'[1]LOCH Calc COE Calc'!$C$44)</f>
        <v/>
      </c>
      <c r="S2002" s="6" t="str">
        <f>IF(N2002="","",SUM(O2002:R2002)/('[1]LOCH Calc COE Calc'!$C$28))</f>
        <v/>
      </c>
      <c r="T2002" t="str">
        <f>IF(L2002="","",O2002/'[1]LOCH Calc COE Calc'!$C$28)</f>
        <v/>
      </c>
      <c r="U2002" t="str">
        <f>IF(L2002="","",P2002/'[1]LOCH Calc COE Calc'!$C$28)</f>
        <v/>
      </c>
      <c r="V2002" t="str">
        <f>IF(L2002="","",Q2002/'[1]LOCH Calc COE Calc'!$C$28)</f>
        <v/>
      </c>
      <c r="W2002" t="str">
        <f>IF(L2002="","",R2002/'[1]LOCH Calc COE Calc'!$C$28)</f>
        <v/>
      </c>
    </row>
    <row r="2003" spans="12:23" x14ac:dyDescent="0.25">
      <c r="L2003" s="4" t="str">
        <f>IF('[1]All Data '!BE2008="","",'[1]All Data '!BE2008)</f>
        <v/>
      </c>
      <c r="M2003" t="str">
        <f>IF('[1]All Data '!BF2008="","",'[1]All Data '!BF2008)</f>
        <v/>
      </c>
      <c r="N2003" s="5" t="str">
        <f>IF('[1]All Data '!BB2008="","",'[1]All Data '!BC2008/'[1]All Data '!BH2008)</f>
        <v/>
      </c>
      <c r="O2003" s="5" t="str">
        <f t="shared" si="33"/>
        <v/>
      </c>
      <c r="P2003" s="5" t="str">
        <f>IF(M2003="","",$C$2*(1-L2003)*907.2/0.621371*N2003*[1]Transportation!$M$40)</f>
        <v/>
      </c>
      <c r="Q2003" s="5" t="str">
        <f>IF(L2003="","",IF([1]Inputs_Outputs!$B$5="Herbaceous",(LCA!$E$29*'[1]LOCH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3" s="5" t="str">
        <f>IF(M2003="","",$E$2*1000*'[1]LOCH Calc COE Calc'!$C$44)</f>
        <v/>
      </c>
      <c r="S2003" s="6" t="str">
        <f>IF(N2003="","",SUM(O2003:R2003)/('[1]LOCH Calc COE Calc'!$C$28))</f>
        <v/>
      </c>
      <c r="T2003" t="str">
        <f>IF(L2003="","",O2003/'[1]LOCH Calc COE Calc'!$C$28)</f>
        <v/>
      </c>
      <c r="U2003" t="str">
        <f>IF(L2003="","",P2003/'[1]LOCH Calc COE Calc'!$C$28)</f>
        <v/>
      </c>
      <c r="V2003" t="str">
        <f>IF(L2003="","",Q2003/'[1]LOCH Calc COE Calc'!$C$28)</f>
        <v/>
      </c>
      <c r="W2003" t="str">
        <f>IF(L2003="","",R2003/'[1]LOCH Calc COE Calc'!$C$28)</f>
        <v/>
      </c>
    </row>
    <row r="2004" spans="12:23" x14ac:dyDescent="0.25">
      <c r="L2004" s="4" t="str">
        <f>IF('[1]All Data '!BE2009="","",'[1]All Data '!BE2009)</f>
        <v/>
      </c>
      <c r="M2004" t="str">
        <f>IF('[1]All Data '!BF2009="","",'[1]All Data '!BF2009)</f>
        <v/>
      </c>
      <c r="N2004" s="5" t="str">
        <f>IF('[1]All Data '!BB2009="","",'[1]All Data '!BC2009/'[1]All Data '!BH2009)</f>
        <v/>
      </c>
      <c r="O2004" s="5" t="str">
        <f t="shared" si="33"/>
        <v/>
      </c>
      <c r="P2004" s="5" t="str">
        <f>IF(M2004="","",$C$2*(1-L2004)*907.2/0.621371*N2004*[1]Transportation!$M$40)</f>
        <v/>
      </c>
      <c r="Q2004" s="5" t="str">
        <f>IF(L2004="","",IF([1]Inputs_Outputs!$B$5="Herbaceous",(LCA!$E$29*'[1]LOCH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4" s="5" t="str">
        <f>IF(M2004="","",$E$2*1000*'[1]LOCH Calc COE Calc'!$C$44)</f>
        <v/>
      </c>
      <c r="S2004" s="6" t="str">
        <f>IF(N2004="","",SUM(O2004:R2004)/('[1]LOCH Calc COE Calc'!$C$28))</f>
        <v/>
      </c>
      <c r="T2004" t="str">
        <f>IF(L2004="","",O2004/'[1]LOCH Calc COE Calc'!$C$28)</f>
        <v/>
      </c>
      <c r="U2004" t="str">
        <f>IF(L2004="","",P2004/'[1]LOCH Calc COE Calc'!$C$28)</f>
        <v/>
      </c>
      <c r="V2004" t="str">
        <f>IF(L2004="","",Q2004/'[1]LOCH Calc COE Calc'!$C$28)</f>
        <v/>
      </c>
      <c r="W2004" t="str">
        <f>IF(L2004="","",R2004/'[1]LOCH Calc COE Calc'!$C$28)</f>
        <v/>
      </c>
    </row>
    <row r="2005" spans="12:23" x14ac:dyDescent="0.25">
      <c r="L2005" s="4" t="str">
        <f>IF('[1]All Data '!BE2010="","",'[1]All Data '!BE2010)</f>
        <v/>
      </c>
      <c r="M2005" t="str">
        <f>IF('[1]All Data '!BF2010="","",'[1]All Data '!BF2010)</f>
        <v/>
      </c>
      <c r="N2005" s="5" t="str">
        <f>IF('[1]All Data '!BB2010="","",'[1]All Data '!BC2010/'[1]All Data '!BH2010)</f>
        <v/>
      </c>
      <c r="O2005" s="5" t="str">
        <f t="shared" si="33"/>
        <v/>
      </c>
      <c r="P2005" s="5" t="str">
        <f>IF(M2005="","",$C$2*(1-L2005)*907.2/0.621371*N2005*[1]Transportation!$M$40)</f>
        <v/>
      </c>
      <c r="Q2005" s="5" t="str">
        <f>IF(L2005="","",IF([1]Inputs_Outputs!$B$5="Herbaceous",(LCA!$E$29*'[1]LOCH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5" s="5" t="str">
        <f>IF(M2005="","",$E$2*1000*'[1]LOCH Calc COE Calc'!$C$44)</f>
        <v/>
      </c>
      <c r="S2005" s="6" t="str">
        <f>IF(N2005="","",SUM(O2005:R2005)/('[1]LOCH Calc COE Calc'!$C$28))</f>
        <v/>
      </c>
      <c r="T2005" t="str">
        <f>IF(L2005="","",O2005/'[1]LOCH Calc COE Calc'!$C$28)</f>
        <v/>
      </c>
      <c r="U2005" t="str">
        <f>IF(L2005="","",P2005/'[1]LOCH Calc COE Calc'!$C$28)</f>
        <v/>
      </c>
      <c r="V2005" t="str">
        <f>IF(L2005="","",Q2005/'[1]LOCH Calc COE Calc'!$C$28)</f>
        <v/>
      </c>
      <c r="W2005" t="str">
        <f>IF(L2005="","",R2005/'[1]LOCH Calc COE Calc'!$C$28)</f>
        <v/>
      </c>
    </row>
    <row r="2006" spans="12:23" x14ac:dyDescent="0.25">
      <c r="L2006" s="4" t="str">
        <f>IF('[1]All Data '!BE2011="","",'[1]All Data '!BE2011)</f>
        <v/>
      </c>
      <c r="M2006" t="str">
        <f>IF('[1]All Data '!BF2011="","",'[1]All Data '!BF2011)</f>
        <v/>
      </c>
      <c r="N2006" s="5" t="str">
        <f>IF('[1]All Data '!BB2011="","",'[1]All Data '!BC2011/'[1]All Data '!BH2011)</f>
        <v/>
      </c>
      <c r="O2006" s="5" t="str">
        <f t="shared" si="33"/>
        <v/>
      </c>
      <c r="P2006" s="5" t="str">
        <f>IF(M2006="","",$C$2*(1-L2006)*907.2/0.621371*N2006*[1]Transportation!$M$40)</f>
        <v/>
      </c>
      <c r="Q2006" s="5" t="str">
        <f>IF(L2006="","",IF([1]Inputs_Outputs!$B$5="Herbaceous",(LCA!$E$29*'[1]LOCH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6" s="5" t="str">
        <f>IF(M2006="","",$E$2*1000*'[1]LOCH Calc COE Calc'!$C$44)</f>
        <v/>
      </c>
      <c r="S2006" s="6" t="str">
        <f>IF(N2006="","",SUM(O2006:R2006)/('[1]LOCH Calc COE Calc'!$C$28))</f>
        <v/>
      </c>
      <c r="T2006" t="str">
        <f>IF(L2006="","",O2006/'[1]LOCH Calc COE Calc'!$C$28)</f>
        <v/>
      </c>
      <c r="U2006" t="str">
        <f>IF(L2006="","",P2006/'[1]LOCH Calc COE Calc'!$C$28)</f>
        <v/>
      </c>
      <c r="V2006" t="str">
        <f>IF(L2006="","",Q2006/'[1]LOCH Calc COE Calc'!$C$28)</f>
        <v/>
      </c>
      <c r="W2006" t="str">
        <f>IF(L2006="","",R2006/'[1]LOCH Calc COE Calc'!$C$28)</f>
        <v/>
      </c>
    </row>
    <row r="2007" spans="12:23" x14ac:dyDescent="0.25">
      <c r="L2007" s="4" t="str">
        <f>IF('[1]All Data '!BE2012="","",'[1]All Data '!BE2012)</f>
        <v/>
      </c>
      <c r="M2007" t="str">
        <f>IF('[1]All Data '!BF2012="","",'[1]All Data '!BF2012)</f>
        <v/>
      </c>
      <c r="N2007" s="5" t="str">
        <f>IF('[1]All Data '!BB2012="","",'[1]All Data '!BC2012/'[1]All Data '!BH2012)</f>
        <v/>
      </c>
      <c r="O2007" s="5" t="str">
        <f t="shared" si="33"/>
        <v/>
      </c>
      <c r="P2007" s="5" t="str">
        <f>IF(M2007="","",$C$2*(1-L2007)*907.2/0.621371*N2007*[1]Transportation!$M$40)</f>
        <v/>
      </c>
      <c r="Q2007" s="5" t="str">
        <f>IF(L2007="","",IF([1]Inputs_Outputs!$B$5="Herbaceous",(LCA!$E$29*'[1]LOCH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7" s="5" t="str">
        <f>IF(M2007="","",$E$2*1000*'[1]LOCH Calc COE Calc'!$C$44)</f>
        <v/>
      </c>
      <c r="S2007" s="6" t="str">
        <f>IF(N2007="","",SUM(O2007:R2007)/('[1]LOCH Calc COE Calc'!$C$28))</f>
        <v/>
      </c>
      <c r="T2007" t="str">
        <f>IF(L2007="","",O2007/'[1]LOCH Calc COE Calc'!$C$28)</f>
        <v/>
      </c>
      <c r="U2007" t="str">
        <f>IF(L2007="","",P2007/'[1]LOCH Calc COE Calc'!$C$28)</f>
        <v/>
      </c>
      <c r="V2007" t="str">
        <f>IF(L2007="","",Q2007/'[1]LOCH Calc COE Calc'!$C$28)</f>
        <v/>
      </c>
      <c r="W2007" t="str">
        <f>IF(L2007="","",R2007/'[1]LOCH Calc COE Calc'!$C$28)</f>
        <v/>
      </c>
    </row>
    <row r="2008" spans="12:23" x14ac:dyDescent="0.25">
      <c r="L2008" s="4" t="str">
        <f>IF('[1]All Data '!BE2013="","",'[1]All Data '!BE2013)</f>
        <v/>
      </c>
      <c r="M2008" t="str">
        <f>IF('[1]All Data '!BF2013="","",'[1]All Data '!BF2013)</f>
        <v/>
      </c>
      <c r="N2008" s="5" t="str">
        <f>IF('[1]All Data '!BB2013="","",'[1]All Data '!BC2013/'[1]All Data '!BH2013)</f>
        <v/>
      </c>
      <c r="O2008" s="5" t="str">
        <f t="shared" si="33"/>
        <v/>
      </c>
      <c r="P2008" s="5" t="str">
        <f>IF(M2008="","",$C$2*(1-L2008)*907.2/0.621371*N2008*[1]Transportation!$M$40)</f>
        <v/>
      </c>
      <c r="Q2008" s="5" t="str">
        <f>IF(L2008="","",IF([1]Inputs_Outputs!$B$5="Herbaceous",(LCA!$E$29*'[1]LOCH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8" s="5" t="str">
        <f>IF(M2008="","",$E$2*1000*'[1]LOCH Calc COE Calc'!$C$44)</f>
        <v/>
      </c>
      <c r="S2008" s="6" t="str">
        <f>IF(N2008="","",SUM(O2008:R2008)/('[1]LOCH Calc COE Calc'!$C$28))</f>
        <v/>
      </c>
      <c r="T2008" t="str">
        <f>IF(L2008="","",O2008/'[1]LOCH Calc COE Calc'!$C$28)</f>
        <v/>
      </c>
      <c r="U2008" t="str">
        <f>IF(L2008="","",P2008/'[1]LOCH Calc COE Calc'!$C$28)</f>
        <v/>
      </c>
      <c r="V2008" t="str">
        <f>IF(L2008="","",Q2008/'[1]LOCH Calc COE Calc'!$C$28)</f>
        <v/>
      </c>
      <c r="W2008" t="str">
        <f>IF(L2008="","",R2008/'[1]LOCH Calc COE Calc'!$C$28)</f>
        <v/>
      </c>
    </row>
    <row r="2009" spans="12:23" x14ac:dyDescent="0.25">
      <c r="L2009" s="4" t="str">
        <f>IF('[1]All Data '!BE2014="","",'[1]All Data '!BE2014)</f>
        <v/>
      </c>
      <c r="M2009" t="str">
        <f>IF('[1]All Data '!BF2014="","",'[1]All Data '!BF2014)</f>
        <v/>
      </c>
      <c r="N2009" s="5" t="str">
        <f>IF('[1]All Data '!BB2014="","",'[1]All Data '!BC2014/'[1]All Data '!BH2014)</f>
        <v/>
      </c>
      <c r="O2009" s="5" t="str">
        <f t="shared" si="33"/>
        <v/>
      </c>
      <c r="P2009" s="5" t="str">
        <f>IF(M2009="","",$C$2*(1-L2009)*907.2/0.621371*N2009*[1]Transportation!$M$40)</f>
        <v/>
      </c>
      <c r="Q2009" s="5" t="str">
        <f>IF(L2009="","",IF([1]Inputs_Outputs!$B$5="Herbaceous",(LCA!$E$29*'[1]LOCH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09" s="5" t="str">
        <f>IF(M2009="","",$E$2*1000*'[1]LOCH Calc COE Calc'!$C$44)</f>
        <v/>
      </c>
      <c r="S2009" s="6" t="str">
        <f>IF(N2009="","",SUM(O2009:R2009)/('[1]LOCH Calc COE Calc'!$C$28))</f>
        <v/>
      </c>
      <c r="T2009" t="str">
        <f>IF(L2009="","",O2009/'[1]LOCH Calc COE Calc'!$C$28)</f>
        <v/>
      </c>
      <c r="U2009" t="str">
        <f>IF(L2009="","",P2009/'[1]LOCH Calc COE Calc'!$C$28)</f>
        <v/>
      </c>
      <c r="V2009" t="str">
        <f>IF(L2009="","",Q2009/'[1]LOCH Calc COE Calc'!$C$28)</f>
        <v/>
      </c>
      <c r="W2009" t="str">
        <f>IF(L2009="","",R2009/'[1]LOCH Calc COE Calc'!$C$28)</f>
        <v/>
      </c>
    </row>
    <row r="2010" spans="12:23" x14ac:dyDescent="0.25">
      <c r="L2010" s="4" t="str">
        <f>IF('[1]All Data '!BE2015="","",'[1]All Data '!BE2015)</f>
        <v/>
      </c>
      <c r="M2010" t="str">
        <f>IF('[1]All Data '!BF2015="","",'[1]All Data '!BF2015)</f>
        <v/>
      </c>
      <c r="N2010" s="5" t="str">
        <f>IF('[1]All Data '!BB2015="","",'[1]All Data '!BC2015/'[1]All Data '!BH2015)</f>
        <v/>
      </c>
      <c r="O2010" s="5" t="str">
        <f t="shared" si="33"/>
        <v/>
      </c>
      <c r="P2010" s="5" t="str">
        <f>IF(M2010="","",$C$2*(1-L2010)*907.2/0.621371*N2010*[1]Transportation!$M$40)</f>
        <v/>
      </c>
      <c r="Q2010" s="5" t="str">
        <f>IF(L2010="","",IF([1]Inputs_Outputs!$B$5="Herbaceous",(LCA!$E$29*'[1]LOCH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0" s="5" t="str">
        <f>IF(M2010="","",$E$2*1000*'[1]LOCH Calc COE Calc'!$C$44)</f>
        <v/>
      </c>
      <c r="S2010" s="6" t="str">
        <f>IF(N2010="","",SUM(O2010:R2010)/('[1]LOCH Calc COE Calc'!$C$28))</f>
        <v/>
      </c>
      <c r="T2010" t="str">
        <f>IF(L2010="","",O2010/'[1]LOCH Calc COE Calc'!$C$28)</f>
        <v/>
      </c>
      <c r="U2010" t="str">
        <f>IF(L2010="","",P2010/'[1]LOCH Calc COE Calc'!$C$28)</f>
        <v/>
      </c>
      <c r="V2010" t="str">
        <f>IF(L2010="","",Q2010/'[1]LOCH Calc COE Calc'!$C$28)</f>
        <v/>
      </c>
      <c r="W2010" t="str">
        <f>IF(L2010="","",R2010/'[1]LOCH Calc COE Calc'!$C$28)</f>
        <v/>
      </c>
    </row>
    <row r="2011" spans="12:23" x14ac:dyDescent="0.25">
      <c r="L2011" s="4" t="str">
        <f>IF('[1]All Data '!BE2016="","",'[1]All Data '!BE2016)</f>
        <v/>
      </c>
      <c r="M2011" t="str">
        <f>IF('[1]All Data '!BF2016="","",'[1]All Data '!BF2016)</f>
        <v/>
      </c>
      <c r="N2011" s="5" t="str">
        <f>IF('[1]All Data '!BB2016="","",'[1]All Data '!BC2016/'[1]All Data '!BH2016)</f>
        <v/>
      </c>
      <c r="O2011" s="5" t="str">
        <f t="shared" si="33"/>
        <v/>
      </c>
      <c r="P2011" s="5" t="str">
        <f>IF(M2011="","",$C$2*(1-L2011)*907.2/0.621371*N2011*[1]Transportation!$M$40)</f>
        <v/>
      </c>
      <c r="Q2011" s="5" t="str">
        <f>IF(L2011="","",IF([1]Inputs_Outputs!$B$5="Herbaceous",(LCA!$E$29*'[1]LOCH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1" s="5" t="str">
        <f>IF(M2011="","",$E$2*1000*'[1]LOCH Calc COE Calc'!$C$44)</f>
        <v/>
      </c>
      <c r="S2011" s="6" t="str">
        <f>IF(N2011="","",SUM(O2011:R2011)/('[1]LOCH Calc COE Calc'!$C$28))</f>
        <v/>
      </c>
      <c r="T2011" t="str">
        <f>IF(L2011="","",O2011/'[1]LOCH Calc COE Calc'!$C$28)</f>
        <v/>
      </c>
      <c r="U2011" t="str">
        <f>IF(L2011="","",P2011/'[1]LOCH Calc COE Calc'!$C$28)</f>
        <v/>
      </c>
      <c r="V2011" t="str">
        <f>IF(L2011="","",Q2011/'[1]LOCH Calc COE Calc'!$C$28)</f>
        <v/>
      </c>
      <c r="W2011" t="str">
        <f>IF(L2011="","",R2011/'[1]LOCH Calc COE Calc'!$C$28)</f>
        <v/>
      </c>
    </row>
    <row r="2012" spans="12:23" x14ac:dyDescent="0.25">
      <c r="L2012" s="4" t="str">
        <f>IF('[1]All Data '!BE2017="","",'[1]All Data '!BE2017)</f>
        <v/>
      </c>
      <c r="M2012" t="str">
        <f>IF('[1]All Data '!BF2017="","",'[1]All Data '!BF2017)</f>
        <v/>
      </c>
      <c r="N2012" s="5" t="str">
        <f>IF('[1]All Data '!BB2017="","",'[1]All Data '!BC2017/'[1]All Data '!BH2017)</f>
        <v/>
      </c>
      <c r="O2012" s="5" t="str">
        <f t="shared" si="33"/>
        <v/>
      </c>
      <c r="P2012" s="5" t="str">
        <f>IF(M2012="","",$C$2*(1-L2012)*907.2/0.621371*N2012*[1]Transportation!$M$40)</f>
        <v/>
      </c>
      <c r="Q2012" s="5" t="str">
        <f>IF(L2012="","",IF([1]Inputs_Outputs!$B$5="Herbaceous",(LCA!$E$29*'[1]LOCH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2" s="5" t="str">
        <f>IF(M2012="","",$E$2*1000*'[1]LOCH Calc COE Calc'!$C$44)</f>
        <v/>
      </c>
      <c r="S2012" s="6" t="str">
        <f>IF(N2012="","",SUM(O2012:R2012)/('[1]LOCH Calc COE Calc'!$C$28))</f>
        <v/>
      </c>
      <c r="T2012" t="str">
        <f>IF(L2012="","",O2012/'[1]LOCH Calc COE Calc'!$C$28)</f>
        <v/>
      </c>
      <c r="U2012" t="str">
        <f>IF(L2012="","",P2012/'[1]LOCH Calc COE Calc'!$C$28)</f>
        <v/>
      </c>
      <c r="V2012" t="str">
        <f>IF(L2012="","",Q2012/'[1]LOCH Calc COE Calc'!$C$28)</f>
        <v/>
      </c>
      <c r="W2012" t="str">
        <f>IF(L2012="","",R2012/'[1]LOCH Calc COE Calc'!$C$28)</f>
        <v/>
      </c>
    </row>
    <row r="2013" spans="12:23" x14ac:dyDescent="0.25">
      <c r="L2013" s="4" t="str">
        <f>IF('[1]All Data '!BE2018="","",'[1]All Data '!BE2018)</f>
        <v/>
      </c>
      <c r="M2013" t="str">
        <f>IF('[1]All Data '!BF2018="","",'[1]All Data '!BF2018)</f>
        <v/>
      </c>
      <c r="N2013" s="5" t="str">
        <f>IF('[1]All Data '!BB2018="","",'[1]All Data '!BC2018/'[1]All Data '!BH2018)</f>
        <v/>
      </c>
      <c r="O2013" s="5" t="str">
        <f t="shared" si="33"/>
        <v/>
      </c>
      <c r="P2013" s="5" t="str">
        <f>IF(M2013="","",$C$2*(1-L2013)*907.2/0.621371*N2013*[1]Transportation!$M$40)</f>
        <v/>
      </c>
      <c r="Q2013" s="5" t="str">
        <f>IF(L2013="","",IF([1]Inputs_Outputs!$B$5="Herbaceous",(LCA!$E$29*'[1]LOCH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3" s="5" t="str">
        <f>IF(M2013="","",$E$2*1000*'[1]LOCH Calc COE Calc'!$C$44)</f>
        <v/>
      </c>
      <c r="S2013" s="6" t="str">
        <f>IF(N2013="","",SUM(O2013:R2013)/('[1]LOCH Calc COE Calc'!$C$28))</f>
        <v/>
      </c>
      <c r="T2013" t="str">
        <f>IF(L2013="","",O2013/'[1]LOCH Calc COE Calc'!$C$28)</f>
        <v/>
      </c>
      <c r="U2013" t="str">
        <f>IF(L2013="","",P2013/'[1]LOCH Calc COE Calc'!$C$28)</f>
        <v/>
      </c>
      <c r="V2013" t="str">
        <f>IF(L2013="","",Q2013/'[1]LOCH Calc COE Calc'!$C$28)</f>
        <v/>
      </c>
      <c r="W2013" t="str">
        <f>IF(L2013="","",R2013/'[1]LOCH Calc COE Calc'!$C$28)</f>
        <v/>
      </c>
    </row>
    <row r="2014" spans="12:23" x14ac:dyDescent="0.25">
      <c r="L2014" s="4" t="str">
        <f>IF('[1]All Data '!BE2019="","",'[1]All Data '!BE2019)</f>
        <v/>
      </c>
      <c r="M2014" t="str">
        <f>IF('[1]All Data '!BF2019="","",'[1]All Data '!BF2019)</f>
        <v/>
      </c>
      <c r="N2014" s="5" t="str">
        <f>IF('[1]All Data '!BB2019="","",'[1]All Data '!BC2019/'[1]All Data '!BH2019)</f>
        <v/>
      </c>
      <c r="O2014" s="5" t="str">
        <f t="shared" si="33"/>
        <v/>
      </c>
      <c r="P2014" s="5" t="str">
        <f>IF(M2014="","",$C$2*(1-L2014)*907.2/0.621371*N2014*[1]Transportation!$M$40)</f>
        <v/>
      </c>
      <c r="Q2014" s="5" t="str">
        <f>IF(L2014="","",IF([1]Inputs_Outputs!$B$5="Herbaceous",(LCA!$E$29*'[1]LOCH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4" s="5" t="str">
        <f>IF(M2014="","",$E$2*1000*'[1]LOCH Calc COE Calc'!$C$44)</f>
        <v/>
      </c>
      <c r="S2014" s="6" t="str">
        <f>IF(N2014="","",SUM(O2014:R2014)/('[1]LOCH Calc COE Calc'!$C$28))</f>
        <v/>
      </c>
      <c r="T2014" t="str">
        <f>IF(L2014="","",O2014/'[1]LOCH Calc COE Calc'!$C$28)</f>
        <v/>
      </c>
      <c r="U2014" t="str">
        <f>IF(L2014="","",P2014/'[1]LOCH Calc COE Calc'!$C$28)</f>
        <v/>
      </c>
      <c r="V2014" t="str">
        <f>IF(L2014="","",Q2014/'[1]LOCH Calc COE Calc'!$C$28)</f>
        <v/>
      </c>
      <c r="W2014" t="str">
        <f>IF(L2014="","",R2014/'[1]LOCH Calc COE Calc'!$C$28)</f>
        <v/>
      </c>
    </row>
    <row r="2015" spans="12:23" x14ac:dyDescent="0.25">
      <c r="L2015" s="4" t="str">
        <f>IF('[1]All Data '!BE2020="","",'[1]All Data '!BE2020)</f>
        <v/>
      </c>
      <c r="M2015" t="str">
        <f>IF('[1]All Data '!BF2020="","",'[1]All Data '!BF2020)</f>
        <v/>
      </c>
      <c r="N2015" s="5" t="str">
        <f>IF('[1]All Data '!BB2020="","",'[1]All Data '!BC2020/'[1]All Data '!BH2020)</f>
        <v/>
      </c>
      <c r="O2015" s="5" t="str">
        <f t="shared" si="33"/>
        <v/>
      </c>
      <c r="P2015" s="5" t="str">
        <f>IF(M2015="","",$C$2*(1-L2015)*907.2/0.621371*N2015*[1]Transportation!$M$40)</f>
        <v/>
      </c>
      <c r="Q2015" s="5" t="str">
        <f>IF(L2015="","",IF([1]Inputs_Outputs!$B$5="Herbaceous",(LCA!$E$29*'[1]LOCH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5" s="5" t="str">
        <f>IF(M2015="","",$E$2*1000*'[1]LOCH Calc COE Calc'!$C$44)</f>
        <v/>
      </c>
      <c r="S2015" s="6" t="str">
        <f>IF(N2015="","",SUM(O2015:R2015)/('[1]LOCH Calc COE Calc'!$C$28))</f>
        <v/>
      </c>
      <c r="T2015" t="str">
        <f>IF(L2015="","",O2015/'[1]LOCH Calc COE Calc'!$C$28)</f>
        <v/>
      </c>
      <c r="U2015" t="str">
        <f>IF(L2015="","",P2015/'[1]LOCH Calc COE Calc'!$C$28)</f>
        <v/>
      </c>
      <c r="V2015" t="str">
        <f>IF(L2015="","",Q2015/'[1]LOCH Calc COE Calc'!$C$28)</f>
        <v/>
      </c>
      <c r="W2015" t="str">
        <f>IF(L2015="","",R2015/'[1]LOCH Calc COE Calc'!$C$28)</f>
        <v/>
      </c>
    </row>
    <row r="2016" spans="12:23" x14ac:dyDescent="0.25">
      <c r="L2016" s="4" t="str">
        <f>IF('[1]All Data '!BE2021="","",'[1]All Data '!BE2021)</f>
        <v/>
      </c>
      <c r="M2016" t="str">
        <f>IF('[1]All Data '!BF2021="","",'[1]All Data '!BF2021)</f>
        <v/>
      </c>
      <c r="N2016" s="5" t="str">
        <f>IF('[1]All Data '!BB2021="","",'[1]All Data '!BC2021/'[1]All Data '!BH2021)</f>
        <v/>
      </c>
      <c r="O2016" s="5" t="str">
        <f t="shared" si="33"/>
        <v/>
      </c>
      <c r="P2016" s="5" t="str">
        <f>IF(M2016="","",$C$2*(1-L2016)*907.2/0.621371*N2016*[1]Transportation!$M$40)</f>
        <v/>
      </c>
      <c r="Q2016" s="5" t="str">
        <f>IF(L2016="","",IF([1]Inputs_Outputs!$B$5="Herbaceous",(LCA!$E$29*'[1]LOCH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6" s="5" t="str">
        <f>IF(M2016="","",$E$2*1000*'[1]LOCH Calc COE Calc'!$C$44)</f>
        <v/>
      </c>
      <c r="S2016" s="6" t="str">
        <f>IF(N2016="","",SUM(O2016:R2016)/('[1]LOCH Calc COE Calc'!$C$28))</f>
        <v/>
      </c>
      <c r="T2016" t="str">
        <f>IF(L2016="","",O2016/'[1]LOCH Calc COE Calc'!$C$28)</f>
        <v/>
      </c>
      <c r="U2016" t="str">
        <f>IF(L2016="","",P2016/'[1]LOCH Calc COE Calc'!$C$28)</f>
        <v/>
      </c>
      <c r="V2016" t="str">
        <f>IF(L2016="","",Q2016/'[1]LOCH Calc COE Calc'!$C$28)</f>
        <v/>
      </c>
      <c r="W2016" t="str">
        <f>IF(L2016="","",R2016/'[1]LOCH Calc COE Calc'!$C$28)</f>
        <v/>
      </c>
    </row>
    <row r="2017" spans="12:23" x14ac:dyDescent="0.25">
      <c r="L2017" s="4" t="str">
        <f>IF('[1]All Data '!BE2022="","",'[1]All Data '!BE2022)</f>
        <v/>
      </c>
      <c r="M2017" t="str">
        <f>IF('[1]All Data '!BF2022="","",'[1]All Data '!BF2022)</f>
        <v/>
      </c>
      <c r="N2017" s="5" t="str">
        <f>IF('[1]All Data '!BB2022="","",'[1]All Data '!BC2022/'[1]All Data '!BH2022)</f>
        <v/>
      </c>
      <c r="O2017" s="5" t="str">
        <f t="shared" si="33"/>
        <v/>
      </c>
      <c r="P2017" s="5" t="str">
        <f>IF(M2017="","",$C$2*(1-L2017)*907.2/0.621371*N2017*[1]Transportation!$M$40)</f>
        <v/>
      </c>
      <c r="Q2017" s="5" t="str">
        <f>IF(L2017="","",IF([1]Inputs_Outputs!$B$5="Herbaceous",(LCA!$E$29*'[1]LOCH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7" s="5" t="str">
        <f>IF(M2017="","",$E$2*1000*'[1]LOCH Calc COE Calc'!$C$44)</f>
        <v/>
      </c>
      <c r="S2017" s="6" t="str">
        <f>IF(N2017="","",SUM(O2017:R2017)/('[1]LOCH Calc COE Calc'!$C$28))</f>
        <v/>
      </c>
      <c r="T2017" t="str">
        <f>IF(L2017="","",O2017/'[1]LOCH Calc COE Calc'!$C$28)</f>
        <v/>
      </c>
      <c r="U2017" t="str">
        <f>IF(L2017="","",P2017/'[1]LOCH Calc COE Calc'!$C$28)</f>
        <v/>
      </c>
      <c r="V2017" t="str">
        <f>IF(L2017="","",Q2017/'[1]LOCH Calc COE Calc'!$C$28)</f>
        <v/>
      </c>
      <c r="W2017" t="str">
        <f>IF(L2017="","",R2017/'[1]LOCH Calc COE Calc'!$C$28)</f>
        <v/>
      </c>
    </row>
    <row r="2018" spans="12:23" x14ac:dyDescent="0.25">
      <c r="L2018" s="4" t="str">
        <f>IF('[1]All Data '!BE2023="","",'[1]All Data '!BE2023)</f>
        <v/>
      </c>
      <c r="M2018" t="str">
        <f>IF('[1]All Data '!BF2023="","",'[1]All Data '!BF2023)</f>
        <v/>
      </c>
      <c r="N2018" s="5" t="str">
        <f>IF('[1]All Data '!BB2023="","",'[1]All Data '!BC2023/'[1]All Data '!BH2023)</f>
        <v/>
      </c>
      <c r="O2018" s="5" t="str">
        <f t="shared" si="33"/>
        <v/>
      </c>
      <c r="P2018" s="5" t="str">
        <f>IF(M2018="","",$C$2*(1-L2018)*907.2/0.621371*N2018*[1]Transportation!$M$40)</f>
        <v/>
      </c>
      <c r="Q2018" s="5" t="str">
        <f>IF(L2018="","",IF([1]Inputs_Outputs!$B$5="Herbaceous",(LCA!$E$29*'[1]LOCH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8" s="5" t="str">
        <f>IF(M2018="","",$E$2*1000*'[1]LOCH Calc COE Calc'!$C$44)</f>
        <v/>
      </c>
      <c r="S2018" s="6" t="str">
        <f>IF(N2018="","",SUM(O2018:R2018)/('[1]LOCH Calc COE Calc'!$C$28))</f>
        <v/>
      </c>
      <c r="T2018" t="str">
        <f>IF(L2018="","",O2018/'[1]LOCH Calc COE Calc'!$C$28)</f>
        <v/>
      </c>
      <c r="U2018" t="str">
        <f>IF(L2018="","",P2018/'[1]LOCH Calc COE Calc'!$C$28)</f>
        <v/>
      </c>
      <c r="V2018" t="str">
        <f>IF(L2018="","",Q2018/'[1]LOCH Calc COE Calc'!$C$28)</f>
        <v/>
      </c>
      <c r="W2018" t="str">
        <f>IF(L2018="","",R2018/'[1]LOCH Calc COE Calc'!$C$28)</f>
        <v/>
      </c>
    </row>
    <row r="2019" spans="12:23" x14ac:dyDescent="0.25">
      <c r="L2019" s="4" t="str">
        <f>IF('[1]All Data '!BE2024="","",'[1]All Data '!BE2024)</f>
        <v/>
      </c>
      <c r="M2019" t="str">
        <f>IF('[1]All Data '!BF2024="","",'[1]All Data '!BF2024)</f>
        <v/>
      </c>
      <c r="N2019" s="5" t="str">
        <f>IF('[1]All Data '!BB2024="","",'[1]All Data '!BC2024/'[1]All Data '!BH2024)</f>
        <v/>
      </c>
      <c r="O2019" s="5" t="str">
        <f t="shared" si="33"/>
        <v/>
      </c>
      <c r="P2019" s="5" t="str">
        <f>IF(M2019="","",$C$2*(1-L2019)*907.2/0.621371*N2019*[1]Transportation!$M$40)</f>
        <v/>
      </c>
      <c r="Q2019" s="5" t="str">
        <f>IF(L2019="","",IF([1]Inputs_Outputs!$B$5="Herbaceous",(LCA!$E$29*'[1]LOCH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19" s="5" t="str">
        <f>IF(M2019="","",$E$2*1000*'[1]LOCH Calc COE Calc'!$C$44)</f>
        <v/>
      </c>
      <c r="S2019" s="6" t="str">
        <f>IF(N2019="","",SUM(O2019:R2019)/('[1]LOCH Calc COE Calc'!$C$28))</f>
        <v/>
      </c>
      <c r="T2019" t="str">
        <f>IF(L2019="","",O2019/'[1]LOCH Calc COE Calc'!$C$28)</f>
        <v/>
      </c>
      <c r="U2019" t="str">
        <f>IF(L2019="","",P2019/'[1]LOCH Calc COE Calc'!$C$28)</f>
        <v/>
      </c>
      <c r="V2019" t="str">
        <f>IF(L2019="","",Q2019/'[1]LOCH Calc COE Calc'!$C$28)</f>
        <v/>
      </c>
      <c r="W2019" t="str">
        <f>IF(L2019="","",R2019/'[1]LOCH Calc COE Calc'!$C$28)</f>
        <v/>
      </c>
    </row>
    <row r="2020" spans="12:23" x14ac:dyDescent="0.25">
      <c r="L2020" s="4" t="str">
        <f>IF('[1]All Data '!BE2025="","",'[1]All Data '!BE2025)</f>
        <v/>
      </c>
      <c r="M2020" t="str">
        <f>IF('[1]All Data '!BF2025="","",'[1]All Data '!BF2025)</f>
        <v/>
      </c>
      <c r="N2020" s="5" t="str">
        <f>IF('[1]All Data '!BB2025="","",'[1]All Data '!BC2025/'[1]All Data '!BH2025)</f>
        <v/>
      </c>
      <c r="O2020" s="5" t="str">
        <f t="shared" si="33"/>
        <v/>
      </c>
      <c r="P2020" s="5" t="str">
        <f>IF(M2020="","",$C$2*(1-L2020)*907.2/0.621371*N2020*[1]Transportation!$M$40)</f>
        <v/>
      </c>
      <c r="Q2020" s="5" t="str">
        <f>IF(L2020="","",IF([1]Inputs_Outputs!$B$5="Herbaceous",(LCA!$E$29*'[1]LOCH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0" s="5" t="str">
        <f>IF(M2020="","",$E$2*1000*'[1]LOCH Calc COE Calc'!$C$44)</f>
        <v/>
      </c>
      <c r="S2020" s="6" t="str">
        <f>IF(N2020="","",SUM(O2020:R2020)/('[1]LOCH Calc COE Calc'!$C$28))</f>
        <v/>
      </c>
      <c r="T2020" t="str">
        <f>IF(L2020="","",O2020/'[1]LOCH Calc COE Calc'!$C$28)</f>
        <v/>
      </c>
      <c r="U2020" t="str">
        <f>IF(L2020="","",P2020/'[1]LOCH Calc COE Calc'!$C$28)</f>
        <v/>
      </c>
      <c r="V2020" t="str">
        <f>IF(L2020="","",Q2020/'[1]LOCH Calc COE Calc'!$C$28)</f>
        <v/>
      </c>
      <c r="W2020" t="str">
        <f>IF(L2020="","",R2020/'[1]LOCH Calc COE Calc'!$C$28)</f>
        <v/>
      </c>
    </row>
    <row r="2021" spans="12:23" x14ac:dyDescent="0.25">
      <c r="L2021" s="4" t="str">
        <f>IF('[1]All Data '!BE2026="","",'[1]All Data '!BE2026)</f>
        <v/>
      </c>
      <c r="M2021" t="str">
        <f>IF('[1]All Data '!BF2026="","",'[1]All Data '!BF2026)</f>
        <v/>
      </c>
      <c r="N2021" s="5" t="str">
        <f>IF('[1]All Data '!BB2026="","",'[1]All Data '!BC2026/'[1]All Data '!BH2026)</f>
        <v/>
      </c>
      <c r="O2021" s="5" t="str">
        <f t="shared" si="33"/>
        <v/>
      </c>
      <c r="P2021" s="5" t="str">
        <f>IF(M2021="","",$C$2*(1-L2021)*907.2/0.621371*N2021*[1]Transportation!$M$40)</f>
        <v/>
      </c>
      <c r="Q2021" s="5" t="str">
        <f>IF(L2021="","",IF([1]Inputs_Outputs!$B$5="Herbaceous",(LCA!$E$29*'[1]LOCH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1" s="5" t="str">
        <f>IF(M2021="","",$E$2*1000*'[1]LOCH Calc COE Calc'!$C$44)</f>
        <v/>
      </c>
      <c r="S2021" s="6" t="str">
        <f>IF(N2021="","",SUM(O2021:R2021)/('[1]LOCH Calc COE Calc'!$C$28))</f>
        <v/>
      </c>
      <c r="T2021" t="str">
        <f>IF(L2021="","",O2021/'[1]LOCH Calc COE Calc'!$C$28)</f>
        <v/>
      </c>
      <c r="U2021" t="str">
        <f>IF(L2021="","",P2021/'[1]LOCH Calc COE Calc'!$C$28)</f>
        <v/>
      </c>
      <c r="V2021" t="str">
        <f>IF(L2021="","",Q2021/'[1]LOCH Calc COE Calc'!$C$28)</f>
        <v/>
      </c>
      <c r="W2021" t="str">
        <f>IF(L2021="","",R2021/'[1]LOCH Calc COE Calc'!$C$28)</f>
        <v/>
      </c>
    </row>
    <row r="2022" spans="12:23" x14ac:dyDescent="0.25">
      <c r="L2022" s="4" t="str">
        <f>IF('[1]All Data '!BE2027="","",'[1]All Data '!BE2027)</f>
        <v/>
      </c>
      <c r="M2022" t="str">
        <f>IF('[1]All Data '!BF2027="","",'[1]All Data '!BF2027)</f>
        <v/>
      </c>
      <c r="N2022" s="5" t="str">
        <f>IF('[1]All Data '!BB2027="","",'[1]All Data '!BC2027/'[1]All Data '!BH2027)</f>
        <v/>
      </c>
      <c r="O2022" s="5" t="str">
        <f t="shared" si="33"/>
        <v/>
      </c>
      <c r="P2022" s="5" t="str">
        <f>IF(M2022="","",$C$2*(1-L2022)*907.2/0.621371*N2022*[1]Transportation!$M$40)</f>
        <v/>
      </c>
      <c r="Q2022" s="5" t="str">
        <f>IF(L2022="","",IF([1]Inputs_Outputs!$B$5="Herbaceous",(LCA!$E$29*'[1]LOCH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2" s="5" t="str">
        <f>IF(M2022="","",$E$2*1000*'[1]LOCH Calc COE Calc'!$C$44)</f>
        <v/>
      </c>
      <c r="S2022" s="6" t="str">
        <f>IF(N2022="","",SUM(O2022:R2022)/('[1]LOCH Calc COE Calc'!$C$28))</f>
        <v/>
      </c>
      <c r="T2022" t="str">
        <f>IF(L2022="","",O2022/'[1]LOCH Calc COE Calc'!$C$28)</f>
        <v/>
      </c>
      <c r="U2022" t="str">
        <f>IF(L2022="","",P2022/'[1]LOCH Calc COE Calc'!$C$28)</f>
        <v/>
      </c>
      <c r="V2022" t="str">
        <f>IF(L2022="","",Q2022/'[1]LOCH Calc COE Calc'!$C$28)</f>
        <v/>
      </c>
      <c r="W2022" t="str">
        <f>IF(L2022="","",R2022/'[1]LOCH Calc COE Calc'!$C$28)</f>
        <v/>
      </c>
    </row>
    <row r="2023" spans="12:23" x14ac:dyDescent="0.25">
      <c r="L2023" s="4" t="str">
        <f>IF('[1]All Data '!BE2028="","",'[1]All Data '!BE2028)</f>
        <v/>
      </c>
      <c r="M2023" t="str">
        <f>IF('[1]All Data '!BF2028="","",'[1]All Data '!BF2028)</f>
        <v/>
      </c>
      <c r="N2023" s="5" t="str">
        <f>IF('[1]All Data '!BB2028="","",'[1]All Data '!BC2028/'[1]All Data '!BH2028)</f>
        <v/>
      </c>
      <c r="O2023" s="5" t="str">
        <f t="shared" si="33"/>
        <v/>
      </c>
      <c r="P2023" s="5" t="str">
        <f>IF(M2023="","",$C$2*(1-L2023)*907.2/0.621371*N2023*[1]Transportation!$M$40)</f>
        <v/>
      </c>
      <c r="Q2023" s="5" t="str">
        <f>IF(L2023="","",IF([1]Inputs_Outputs!$B$5="Herbaceous",(LCA!$E$29*'[1]LOCH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3" s="5" t="str">
        <f>IF(M2023="","",$E$2*1000*'[1]LOCH Calc COE Calc'!$C$44)</f>
        <v/>
      </c>
      <c r="S2023" s="6" t="str">
        <f>IF(N2023="","",SUM(O2023:R2023)/('[1]LOCH Calc COE Calc'!$C$28))</f>
        <v/>
      </c>
      <c r="T2023" t="str">
        <f>IF(L2023="","",O2023/'[1]LOCH Calc COE Calc'!$C$28)</f>
        <v/>
      </c>
      <c r="U2023" t="str">
        <f>IF(L2023="","",P2023/'[1]LOCH Calc COE Calc'!$C$28)</f>
        <v/>
      </c>
      <c r="V2023" t="str">
        <f>IF(L2023="","",Q2023/'[1]LOCH Calc COE Calc'!$C$28)</f>
        <v/>
      </c>
      <c r="W2023" t="str">
        <f>IF(L2023="","",R2023/'[1]LOCH Calc COE Calc'!$C$28)</f>
        <v/>
      </c>
    </row>
    <row r="2024" spans="12:23" x14ac:dyDescent="0.25">
      <c r="L2024" s="4" t="str">
        <f>IF('[1]All Data '!BE2029="","",'[1]All Data '!BE2029)</f>
        <v/>
      </c>
      <c r="M2024" t="str">
        <f>IF('[1]All Data '!BF2029="","",'[1]All Data '!BF2029)</f>
        <v/>
      </c>
      <c r="N2024" s="5" t="str">
        <f>IF('[1]All Data '!BB2029="","",'[1]All Data '!BC2029/'[1]All Data '!BH2029)</f>
        <v/>
      </c>
      <c r="O2024" s="5" t="str">
        <f t="shared" si="33"/>
        <v/>
      </c>
      <c r="P2024" s="5" t="str">
        <f>IF(M2024="","",$C$2*(1-L2024)*907.2/0.621371*N2024*[1]Transportation!$M$40)</f>
        <v/>
      </c>
      <c r="Q2024" s="5" t="str">
        <f>IF(L2024="","",IF([1]Inputs_Outputs!$B$5="Herbaceous",(LCA!$E$29*'[1]LOCH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4" s="5" t="str">
        <f>IF(M2024="","",$E$2*1000*'[1]LOCH Calc COE Calc'!$C$44)</f>
        <v/>
      </c>
      <c r="S2024" s="6" t="str">
        <f>IF(N2024="","",SUM(O2024:R2024)/('[1]LOCH Calc COE Calc'!$C$28))</f>
        <v/>
      </c>
      <c r="T2024" t="str">
        <f>IF(L2024="","",O2024/'[1]LOCH Calc COE Calc'!$C$28)</f>
        <v/>
      </c>
      <c r="U2024" t="str">
        <f>IF(L2024="","",P2024/'[1]LOCH Calc COE Calc'!$C$28)</f>
        <v/>
      </c>
      <c r="V2024" t="str">
        <f>IF(L2024="","",Q2024/'[1]LOCH Calc COE Calc'!$C$28)</f>
        <v/>
      </c>
      <c r="W2024" t="str">
        <f>IF(L2024="","",R2024/'[1]LOCH Calc COE Calc'!$C$28)</f>
        <v/>
      </c>
    </row>
    <row r="2025" spans="12:23" x14ac:dyDescent="0.25">
      <c r="L2025" s="4" t="str">
        <f>IF('[1]All Data '!BE2030="","",'[1]All Data '!BE2030)</f>
        <v/>
      </c>
      <c r="M2025" t="str">
        <f>IF('[1]All Data '!BF2030="","",'[1]All Data '!BF2030)</f>
        <v/>
      </c>
      <c r="N2025" s="5" t="str">
        <f>IF('[1]All Data '!BB2030="","",'[1]All Data '!BC2030/'[1]All Data '!BH2030)</f>
        <v/>
      </c>
      <c r="O2025" s="5" t="str">
        <f t="shared" si="33"/>
        <v/>
      </c>
      <c r="P2025" s="5" t="str">
        <f>IF(M2025="","",$C$2*(1-L2025)*907.2/0.621371*N2025*[1]Transportation!$M$40)</f>
        <v/>
      </c>
      <c r="Q2025" s="5" t="str">
        <f>IF(L2025="","",IF([1]Inputs_Outputs!$B$5="Herbaceous",(LCA!$E$29*'[1]LOCH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5" s="5" t="str">
        <f>IF(M2025="","",$E$2*1000*'[1]LOCH Calc COE Calc'!$C$44)</f>
        <v/>
      </c>
      <c r="S2025" s="6" t="str">
        <f>IF(N2025="","",SUM(O2025:R2025)/('[1]LOCH Calc COE Calc'!$C$28))</f>
        <v/>
      </c>
      <c r="T2025" t="str">
        <f>IF(L2025="","",O2025/'[1]LOCH Calc COE Calc'!$C$28)</f>
        <v/>
      </c>
      <c r="U2025" t="str">
        <f>IF(L2025="","",P2025/'[1]LOCH Calc COE Calc'!$C$28)</f>
        <v/>
      </c>
      <c r="V2025" t="str">
        <f>IF(L2025="","",Q2025/'[1]LOCH Calc COE Calc'!$C$28)</f>
        <v/>
      </c>
      <c r="W2025" t="str">
        <f>IF(L2025="","",R2025/'[1]LOCH Calc COE Calc'!$C$28)</f>
        <v/>
      </c>
    </row>
    <row r="2026" spans="12:23" x14ac:dyDescent="0.25">
      <c r="L2026" s="4" t="str">
        <f>IF('[1]All Data '!BE2031="","",'[1]All Data '!BE2031)</f>
        <v/>
      </c>
      <c r="M2026" t="str">
        <f>IF('[1]All Data '!BF2031="","",'[1]All Data '!BF2031)</f>
        <v/>
      </c>
      <c r="N2026" s="5" t="str">
        <f>IF('[1]All Data '!BB2031="","",'[1]All Data '!BC2031/'[1]All Data '!BH2031)</f>
        <v/>
      </c>
      <c r="O2026" s="5" t="str">
        <f t="shared" si="33"/>
        <v/>
      </c>
      <c r="P2026" s="5" t="str">
        <f>IF(M2026="","",$C$2*(1-L2026)*907.2/0.621371*N2026*[1]Transportation!$M$40)</f>
        <v/>
      </c>
      <c r="Q2026" s="5" t="str">
        <f>IF(L2026="","",IF([1]Inputs_Outputs!$B$5="Herbaceous",(LCA!$E$29*'[1]LOCH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6" s="5" t="str">
        <f>IF(M2026="","",$E$2*1000*'[1]LOCH Calc COE Calc'!$C$44)</f>
        <v/>
      </c>
      <c r="S2026" s="6" t="str">
        <f>IF(N2026="","",SUM(O2026:R2026)/('[1]LOCH Calc COE Calc'!$C$28))</f>
        <v/>
      </c>
      <c r="T2026" t="str">
        <f>IF(L2026="","",O2026/'[1]LOCH Calc COE Calc'!$C$28)</f>
        <v/>
      </c>
      <c r="U2026" t="str">
        <f>IF(L2026="","",P2026/'[1]LOCH Calc COE Calc'!$C$28)</f>
        <v/>
      </c>
      <c r="V2026" t="str">
        <f>IF(L2026="","",Q2026/'[1]LOCH Calc COE Calc'!$C$28)</f>
        <v/>
      </c>
      <c r="W2026" t="str">
        <f>IF(L2026="","",R2026/'[1]LOCH Calc COE Calc'!$C$28)</f>
        <v/>
      </c>
    </row>
    <row r="2027" spans="12:23" x14ac:dyDescent="0.25">
      <c r="L2027" s="4" t="str">
        <f>IF('[1]All Data '!BE2032="","",'[1]All Data '!BE2032)</f>
        <v/>
      </c>
      <c r="M2027" t="str">
        <f>IF('[1]All Data '!BF2032="","",'[1]All Data '!BF2032)</f>
        <v/>
      </c>
      <c r="N2027" s="5" t="str">
        <f>IF('[1]All Data '!BB2032="","",'[1]All Data '!BC2032/'[1]All Data '!BH2032)</f>
        <v/>
      </c>
      <c r="O2027" s="5" t="str">
        <f t="shared" si="33"/>
        <v/>
      </c>
      <c r="P2027" s="5" t="str">
        <f>IF(M2027="","",$C$2*(1-L2027)*907.2/0.621371*N2027*[1]Transportation!$M$40)</f>
        <v/>
      </c>
      <c r="Q2027" s="5" t="str">
        <f>IF(L2027="","",IF([1]Inputs_Outputs!$B$5="Herbaceous",(LCA!$E$29*'[1]LOCH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7" s="5" t="str">
        <f>IF(M2027="","",$E$2*1000*'[1]LOCH Calc COE Calc'!$C$44)</f>
        <v/>
      </c>
      <c r="S2027" s="6" t="str">
        <f>IF(N2027="","",SUM(O2027:R2027)/('[1]LOCH Calc COE Calc'!$C$28))</f>
        <v/>
      </c>
      <c r="T2027" t="str">
        <f>IF(L2027="","",O2027/'[1]LOCH Calc COE Calc'!$C$28)</f>
        <v/>
      </c>
      <c r="U2027" t="str">
        <f>IF(L2027="","",P2027/'[1]LOCH Calc COE Calc'!$C$28)</f>
        <v/>
      </c>
      <c r="V2027" t="str">
        <f>IF(L2027="","",Q2027/'[1]LOCH Calc COE Calc'!$C$28)</f>
        <v/>
      </c>
      <c r="W2027" t="str">
        <f>IF(L2027="","",R2027/'[1]LOCH Calc COE Calc'!$C$28)</f>
        <v/>
      </c>
    </row>
    <row r="2028" spans="12:23" x14ac:dyDescent="0.25">
      <c r="L2028" s="4" t="str">
        <f>IF('[1]All Data '!BE2033="","",'[1]All Data '!BE2033)</f>
        <v/>
      </c>
      <c r="M2028" t="str">
        <f>IF('[1]All Data '!BF2033="","",'[1]All Data '!BF2033)</f>
        <v/>
      </c>
      <c r="N2028" s="5" t="str">
        <f>IF('[1]All Data '!BB2033="","",'[1]All Data '!BC2033/'[1]All Data '!BH2033)</f>
        <v/>
      </c>
      <c r="O2028" s="5" t="str">
        <f t="shared" si="33"/>
        <v/>
      </c>
      <c r="P2028" s="5" t="str">
        <f>IF(M2028="","",$C$2*(1-L2028)*907.2/0.621371*N2028*[1]Transportation!$M$40)</f>
        <v/>
      </c>
      <c r="Q2028" s="5" t="str">
        <f>IF(L2028="","",IF([1]Inputs_Outputs!$B$5="Herbaceous",(LCA!$E$29*'[1]LOCH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8" s="5" t="str">
        <f>IF(M2028="","",$E$2*1000*'[1]LOCH Calc COE Calc'!$C$44)</f>
        <v/>
      </c>
      <c r="S2028" s="6" t="str">
        <f>IF(N2028="","",SUM(O2028:R2028)/('[1]LOCH Calc COE Calc'!$C$28))</f>
        <v/>
      </c>
      <c r="T2028" t="str">
        <f>IF(L2028="","",O2028/'[1]LOCH Calc COE Calc'!$C$28)</f>
        <v/>
      </c>
      <c r="U2028" t="str">
        <f>IF(L2028="","",P2028/'[1]LOCH Calc COE Calc'!$C$28)</f>
        <v/>
      </c>
      <c r="V2028" t="str">
        <f>IF(L2028="","",Q2028/'[1]LOCH Calc COE Calc'!$C$28)</f>
        <v/>
      </c>
      <c r="W2028" t="str">
        <f>IF(L2028="","",R2028/'[1]LOCH Calc COE Calc'!$C$28)</f>
        <v/>
      </c>
    </row>
    <row r="2029" spans="12:23" x14ac:dyDescent="0.25">
      <c r="L2029" s="4" t="str">
        <f>IF('[1]All Data '!BE2034="","",'[1]All Data '!BE2034)</f>
        <v/>
      </c>
      <c r="M2029" t="str">
        <f>IF('[1]All Data '!BF2034="","",'[1]All Data '!BF2034)</f>
        <v/>
      </c>
      <c r="N2029" s="5" t="str">
        <f>IF('[1]All Data '!BB2034="","",'[1]All Data '!BC2034/'[1]All Data '!BH2034)</f>
        <v/>
      </c>
      <c r="O2029" s="5" t="str">
        <f t="shared" si="33"/>
        <v/>
      </c>
      <c r="P2029" s="5" t="str">
        <f>IF(M2029="","",$C$2*(1-L2029)*907.2/0.621371*N2029*[1]Transportation!$M$40)</f>
        <v/>
      </c>
      <c r="Q2029" s="5" t="str">
        <f>IF(L2029="","",IF([1]Inputs_Outputs!$B$5="Herbaceous",(LCA!$E$29*'[1]LOCH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29" s="5" t="str">
        <f>IF(M2029="","",$E$2*1000*'[1]LOCH Calc COE Calc'!$C$44)</f>
        <v/>
      </c>
      <c r="S2029" s="6" t="str">
        <f>IF(N2029="","",SUM(O2029:R2029)/('[1]LOCH Calc COE Calc'!$C$28))</f>
        <v/>
      </c>
      <c r="T2029" t="str">
        <f>IF(L2029="","",O2029/'[1]LOCH Calc COE Calc'!$C$28)</f>
        <v/>
      </c>
      <c r="U2029" t="str">
        <f>IF(L2029="","",P2029/'[1]LOCH Calc COE Calc'!$C$28)</f>
        <v/>
      </c>
      <c r="V2029" t="str">
        <f>IF(L2029="","",Q2029/'[1]LOCH Calc COE Calc'!$C$28)</f>
        <v/>
      </c>
      <c r="W2029" t="str">
        <f>IF(L2029="","",R2029/'[1]LOCH Calc COE Calc'!$C$28)</f>
        <v/>
      </c>
    </row>
    <row r="2030" spans="12:23" x14ac:dyDescent="0.25">
      <c r="L2030" s="4" t="str">
        <f>IF('[1]All Data '!BE2035="","",'[1]All Data '!BE2035)</f>
        <v/>
      </c>
      <c r="M2030" t="str">
        <f>IF('[1]All Data '!BF2035="","",'[1]All Data '!BF2035)</f>
        <v/>
      </c>
      <c r="N2030" s="5" t="str">
        <f>IF('[1]All Data '!BB2035="","",'[1]All Data '!BC2035/'[1]All Data '!BH2035)</f>
        <v/>
      </c>
      <c r="O2030" s="5" t="str">
        <f t="shared" si="33"/>
        <v/>
      </c>
      <c r="P2030" s="5" t="str">
        <f>IF(M2030="","",$C$2*(1-L2030)*907.2/0.621371*N2030*[1]Transportation!$M$40)</f>
        <v/>
      </c>
      <c r="Q2030" s="5" t="str">
        <f>IF(L2030="","",IF([1]Inputs_Outputs!$B$5="Herbaceous",(LCA!$E$29*'[1]LOCH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0" s="5" t="str">
        <f>IF(M2030="","",$E$2*1000*'[1]LOCH Calc COE Calc'!$C$44)</f>
        <v/>
      </c>
      <c r="S2030" s="6" t="str">
        <f>IF(N2030="","",SUM(O2030:R2030)/('[1]LOCH Calc COE Calc'!$C$28))</f>
        <v/>
      </c>
      <c r="T2030" t="str">
        <f>IF(L2030="","",O2030/'[1]LOCH Calc COE Calc'!$C$28)</f>
        <v/>
      </c>
      <c r="U2030" t="str">
        <f>IF(L2030="","",P2030/'[1]LOCH Calc COE Calc'!$C$28)</f>
        <v/>
      </c>
      <c r="V2030" t="str">
        <f>IF(L2030="","",Q2030/'[1]LOCH Calc COE Calc'!$C$28)</f>
        <v/>
      </c>
      <c r="W2030" t="str">
        <f>IF(L2030="","",R2030/'[1]LOCH Calc COE Calc'!$C$28)</f>
        <v/>
      </c>
    </row>
    <row r="2031" spans="12:23" x14ac:dyDescent="0.25">
      <c r="L2031" s="4" t="str">
        <f>IF('[1]All Data '!BE2036="","",'[1]All Data '!BE2036)</f>
        <v/>
      </c>
      <c r="M2031" t="str">
        <f>IF('[1]All Data '!BF2036="","",'[1]All Data '!BF2036)</f>
        <v/>
      </c>
      <c r="N2031" s="5" t="str">
        <f>IF('[1]All Data '!BB2036="","",'[1]All Data '!BC2036/'[1]All Data '!BH2036)</f>
        <v/>
      </c>
      <c r="O2031" s="5" t="str">
        <f t="shared" si="33"/>
        <v/>
      </c>
      <c r="P2031" s="5" t="str">
        <f>IF(M2031="","",$C$2*(1-L2031)*907.2/0.621371*N2031*[1]Transportation!$M$40)</f>
        <v/>
      </c>
      <c r="Q2031" s="5" t="str">
        <f>IF(L2031="","",IF([1]Inputs_Outputs!$B$5="Herbaceous",(LCA!$E$29*'[1]LOCH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1" s="5" t="str">
        <f>IF(M2031="","",$E$2*1000*'[1]LOCH Calc COE Calc'!$C$44)</f>
        <v/>
      </c>
      <c r="S2031" s="6" t="str">
        <f>IF(N2031="","",SUM(O2031:R2031)/('[1]LOCH Calc COE Calc'!$C$28))</f>
        <v/>
      </c>
      <c r="T2031" t="str">
        <f>IF(L2031="","",O2031/'[1]LOCH Calc COE Calc'!$C$28)</f>
        <v/>
      </c>
      <c r="U2031" t="str">
        <f>IF(L2031="","",P2031/'[1]LOCH Calc COE Calc'!$C$28)</f>
        <v/>
      </c>
      <c r="V2031" t="str">
        <f>IF(L2031="","",Q2031/'[1]LOCH Calc COE Calc'!$C$28)</f>
        <v/>
      </c>
      <c r="W2031" t="str">
        <f>IF(L2031="","",R2031/'[1]LOCH Calc COE Calc'!$C$28)</f>
        <v/>
      </c>
    </row>
    <row r="2032" spans="12:23" x14ac:dyDescent="0.25">
      <c r="L2032" s="4" t="str">
        <f>IF('[1]All Data '!BE2037="","",'[1]All Data '!BE2037)</f>
        <v/>
      </c>
      <c r="M2032" t="str">
        <f>IF('[1]All Data '!BF2037="","",'[1]All Data '!BF2037)</f>
        <v/>
      </c>
      <c r="N2032" s="5" t="str">
        <f>IF('[1]All Data '!BB2037="","",'[1]All Data '!BC2037/'[1]All Data '!BH2037)</f>
        <v/>
      </c>
      <c r="O2032" s="5" t="str">
        <f t="shared" si="33"/>
        <v/>
      </c>
      <c r="P2032" s="5" t="str">
        <f>IF(M2032="","",$C$2*(1-L2032)*907.2/0.621371*N2032*[1]Transportation!$M$40)</f>
        <v/>
      </c>
      <c r="Q2032" s="5" t="str">
        <f>IF(L2032="","",IF([1]Inputs_Outputs!$B$5="Herbaceous",(LCA!$E$29*'[1]LOCH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2" s="5" t="str">
        <f>IF(M2032="","",$E$2*1000*'[1]LOCH Calc COE Calc'!$C$44)</f>
        <v/>
      </c>
      <c r="S2032" s="6" t="str">
        <f>IF(N2032="","",SUM(O2032:R2032)/('[1]LOCH Calc COE Calc'!$C$28))</f>
        <v/>
      </c>
      <c r="T2032" t="str">
        <f>IF(L2032="","",O2032/'[1]LOCH Calc COE Calc'!$C$28)</f>
        <v/>
      </c>
      <c r="U2032" t="str">
        <f>IF(L2032="","",P2032/'[1]LOCH Calc COE Calc'!$C$28)</f>
        <v/>
      </c>
      <c r="V2032" t="str">
        <f>IF(L2032="","",Q2032/'[1]LOCH Calc COE Calc'!$C$28)</f>
        <v/>
      </c>
      <c r="W2032" t="str">
        <f>IF(L2032="","",R2032/'[1]LOCH Calc COE Calc'!$C$28)</f>
        <v/>
      </c>
    </row>
    <row r="2033" spans="12:23" x14ac:dyDescent="0.25">
      <c r="L2033" s="4" t="str">
        <f>IF('[1]All Data '!BE2038="","",'[1]All Data '!BE2038)</f>
        <v/>
      </c>
      <c r="M2033" t="str">
        <f>IF('[1]All Data '!BF2038="","",'[1]All Data '!BF2038)</f>
        <v/>
      </c>
      <c r="N2033" s="5" t="str">
        <f>IF('[1]All Data '!BB2038="","",'[1]All Data '!BC2038/'[1]All Data '!BH2038)</f>
        <v/>
      </c>
      <c r="O2033" s="5" t="str">
        <f t="shared" si="33"/>
        <v/>
      </c>
      <c r="P2033" s="5" t="str">
        <f>IF(M2033="","",$C$2*(1-L2033)*907.2/0.621371*N2033*[1]Transportation!$M$40)</f>
        <v/>
      </c>
      <c r="Q2033" s="5" t="str">
        <f>IF(L2033="","",IF([1]Inputs_Outputs!$B$5="Herbaceous",(LCA!$E$29*'[1]LOCH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3" s="5" t="str">
        <f>IF(M2033="","",$E$2*1000*'[1]LOCH Calc COE Calc'!$C$44)</f>
        <v/>
      </c>
      <c r="S2033" s="6" t="str">
        <f>IF(N2033="","",SUM(O2033:R2033)/('[1]LOCH Calc COE Calc'!$C$28))</f>
        <v/>
      </c>
      <c r="T2033" t="str">
        <f>IF(L2033="","",O2033/'[1]LOCH Calc COE Calc'!$C$28)</f>
        <v/>
      </c>
      <c r="U2033" t="str">
        <f>IF(L2033="","",P2033/'[1]LOCH Calc COE Calc'!$C$28)</f>
        <v/>
      </c>
      <c r="V2033" t="str">
        <f>IF(L2033="","",Q2033/'[1]LOCH Calc COE Calc'!$C$28)</f>
        <v/>
      </c>
      <c r="W2033" t="str">
        <f>IF(L2033="","",R2033/'[1]LOCH Calc COE Calc'!$C$28)</f>
        <v/>
      </c>
    </row>
    <row r="2034" spans="12:23" x14ac:dyDescent="0.25">
      <c r="L2034" s="4" t="str">
        <f>IF('[1]All Data '!BE2039="","",'[1]All Data '!BE2039)</f>
        <v/>
      </c>
      <c r="M2034" t="str">
        <f>IF('[1]All Data '!BF2039="","",'[1]All Data '!BF2039)</f>
        <v/>
      </c>
      <c r="N2034" s="5" t="str">
        <f>IF('[1]All Data '!BB2039="","",'[1]All Data '!BC2039/'[1]All Data '!BH2039)</f>
        <v/>
      </c>
      <c r="O2034" s="5" t="str">
        <f t="shared" si="33"/>
        <v/>
      </c>
      <c r="P2034" s="5" t="str">
        <f>IF(M2034="","",$C$2*(1-L2034)*907.2/0.621371*N2034*[1]Transportation!$M$40)</f>
        <v/>
      </c>
      <c r="Q2034" s="5" t="str">
        <f>IF(L2034="","",IF([1]Inputs_Outputs!$B$5="Herbaceous",(LCA!$E$29*'[1]LOCH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4" s="5" t="str">
        <f>IF(M2034="","",$E$2*1000*'[1]LOCH Calc COE Calc'!$C$44)</f>
        <v/>
      </c>
      <c r="S2034" s="6" t="str">
        <f>IF(N2034="","",SUM(O2034:R2034)/('[1]LOCH Calc COE Calc'!$C$28))</f>
        <v/>
      </c>
      <c r="T2034" t="str">
        <f>IF(L2034="","",O2034/'[1]LOCH Calc COE Calc'!$C$28)</f>
        <v/>
      </c>
      <c r="U2034" t="str">
        <f>IF(L2034="","",P2034/'[1]LOCH Calc COE Calc'!$C$28)</f>
        <v/>
      </c>
      <c r="V2034" t="str">
        <f>IF(L2034="","",Q2034/'[1]LOCH Calc COE Calc'!$C$28)</f>
        <v/>
      </c>
      <c r="W2034" t="str">
        <f>IF(L2034="","",R2034/'[1]LOCH Calc COE Calc'!$C$28)</f>
        <v/>
      </c>
    </row>
    <row r="2035" spans="12:23" x14ac:dyDescent="0.25">
      <c r="L2035" s="4" t="str">
        <f>IF('[1]All Data '!BE2040="","",'[1]All Data '!BE2040)</f>
        <v/>
      </c>
      <c r="M2035" t="str">
        <f>IF('[1]All Data '!BF2040="","",'[1]All Data '!BF2040)</f>
        <v/>
      </c>
      <c r="N2035" s="5" t="str">
        <f>IF('[1]All Data '!BB2040="","",'[1]All Data '!BC2040/'[1]All Data '!BH2040)</f>
        <v/>
      </c>
      <c r="O2035" s="5" t="str">
        <f t="shared" si="33"/>
        <v/>
      </c>
      <c r="P2035" s="5" t="str">
        <f>IF(M2035="","",$C$2*(1-L2035)*907.2/0.621371*N2035*[1]Transportation!$M$40)</f>
        <v/>
      </c>
      <c r="Q2035" s="5" t="str">
        <f>IF(L2035="","",IF([1]Inputs_Outputs!$B$5="Herbaceous",(LCA!$E$29*'[1]LOCH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5" s="5" t="str">
        <f>IF(M2035="","",$E$2*1000*'[1]LOCH Calc COE Calc'!$C$44)</f>
        <v/>
      </c>
      <c r="S2035" s="6" t="str">
        <f>IF(N2035="","",SUM(O2035:R2035)/('[1]LOCH Calc COE Calc'!$C$28))</f>
        <v/>
      </c>
      <c r="T2035" t="str">
        <f>IF(L2035="","",O2035/'[1]LOCH Calc COE Calc'!$C$28)</f>
        <v/>
      </c>
      <c r="U2035" t="str">
        <f>IF(L2035="","",P2035/'[1]LOCH Calc COE Calc'!$C$28)</f>
        <v/>
      </c>
      <c r="V2035" t="str">
        <f>IF(L2035="","",Q2035/'[1]LOCH Calc COE Calc'!$C$28)</f>
        <v/>
      </c>
      <c r="W2035" t="str">
        <f>IF(L2035="","",R2035/'[1]LOCH Calc COE Calc'!$C$28)</f>
        <v/>
      </c>
    </row>
    <row r="2036" spans="12:23" x14ac:dyDescent="0.25">
      <c r="L2036" s="4" t="str">
        <f>IF('[1]All Data '!BE2041="","",'[1]All Data '!BE2041)</f>
        <v/>
      </c>
      <c r="M2036" t="str">
        <f>IF('[1]All Data '!BF2041="","",'[1]All Data '!BF2041)</f>
        <v/>
      </c>
      <c r="N2036" s="5" t="str">
        <f>IF('[1]All Data '!BB2041="","",'[1]All Data '!BC2041/'[1]All Data '!BH2041)</f>
        <v/>
      </c>
      <c r="O2036" s="5" t="str">
        <f t="shared" si="33"/>
        <v/>
      </c>
      <c r="P2036" s="5" t="str">
        <f>IF(M2036="","",$C$2*(1-L2036)*907.2/0.621371*N2036*[1]Transportation!$M$40)</f>
        <v/>
      </c>
      <c r="Q2036" s="5" t="str">
        <f>IF(L2036="","",IF([1]Inputs_Outputs!$B$5="Herbaceous",(LCA!$E$29*'[1]LOCH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6" s="5" t="str">
        <f>IF(M2036="","",$E$2*1000*'[1]LOCH Calc COE Calc'!$C$44)</f>
        <v/>
      </c>
      <c r="S2036" s="6" t="str">
        <f>IF(N2036="","",SUM(O2036:R2036)/('[1]LOCH Calc COE Calc'!$C$28))</f>
        <v/>
      </c>
      <c r="T2036" t="str">
        <f>IF(L2036="","",O2036/'[1]LOCH Calc COE Calc'!$C$28)</f>
        <v/>
      </c>
      <c r="U2036" t="str">
        <f>IF(L2036="","",P2036/'[1]LOCH Calc COE Calc'!$C$28)</f>
        <v/>
      </c>
      <c r="V2036" t="str">
        <f>IF(L2036="","",Q2036/'[1]LOCH Calc COE Calc'!$C$28)</f>
        <v/>
      </c>
      <c r="W2036" t="str">
        <f>IF(L2036="","",R2036/'[1]LOCH Calc COE Calc'!$C$28)</f>
        <v/>
      </c>
    </row>
    <row r="2037" spans="12:23" x14ac:dyDescent="0.25">
      <c r="L2037" s="4" t="str">
        <f>IF('[1]All Data '!BE2042="","",'[1]All Data '!BE2042)</f>
        <v/>
      </c>
      <c r="M2037" t="str">
        <f>IF('[1]All Data '!BF2042="","",'[1]All Data '!BF2042)</f>
        <v/>
      </c>
      <c r="N2037" s="5" t="str">
        <f>IF('[1]All Data '!BB2042="","",'[1]All Data '!BC2042/'[1]All Data '!BH2042)</f>
        <v/>
      </c>
      <c r="O2037" s="5" t="str">
        <f t="shared" si="33"/>
        <v/>
      </c>
      <c r="P2037" s="5" t="str">
        <f>IF(M2037="","",$C$2*(1-L2037)*907.2/0.621371*N2037*[1]Transportation!$M$40)</f>
        <v/>
      </c>
      <c r="Q2037" s="5" t="str">
        <f>IF(L2037="","",IF([1]Inputs_Outputs!$B$5="Herbaceous",(LCA!$E$29*'[1]LOCH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7" s="5" t="str">
        <f>IF(M2037="","",$E$2*1000*'[1]LOCH Calc COE Calc'!$C$44)</f>
        <v/>
      </c>
      <c r="S2037" s="6" t="str">
        <f>IF(N2037="","",SUM(O2037:R2037)/('[1]LOCH Calc COE Calc'!$C$28))</f>
        <v/>
      </c>
      <c r="T2037" t="str">
        <f>IF(L2037="","",O2037/'[1]LOCH Calc COE Calc'!$C$28)</f>
        <v/>
      </c>
      <c r="U2037" t="str">
        <f>IF(L2037="","",P2037/'[1]LOCH Calc COE Calc'!$C$28)</f>
        <v/>
      </c>
      <c r="V2037" t="str">
        <f>IF(L2037="","",Q2037/'[1]LOCH Calc COE Calc'!$C$28)</f>
        <v/>
      </c>
      <c r="W2037" t="str">
        <f>IF(L2037="","",R2037/'[1]LOCH Calc COE Calc'!$C$28)</f>
        <v/>
      </c>
    </row>
    <row r="2038" spans="12:23" x14ac:dyDescent="0.25">
      <c r="L2038" s="4" t="str">
        <f>IF('[1]All Data '!BE2043="","",'[1]All Data '!BE2043)</f>
        <v/>
      </c>
      <c r="M2038" t="str">
        <f>IF('[1]All Data '!BF2043="","",'[1]All Data '!BF2043)</f>
        <v/>
      </c>
      <c r="N2038" s="5" t="str">
        <f>IF('[1]All Data '!BB2043="","",'[1]All Data '!BC2043/'[1]All Data '!BH2043)</f>
        <v/>
      </c>
      <c r="O2038" s="5" t="str">
        <f t="shared" si="33"/>
        <v/>
      </c>
      <c r="P2038" s="5" t="str">
        <f>IF(M2038="","",$C$2*(1-L2038)*907.2/0.621371*N2038*[1]Transportation!$M$40)</f>
        <v/>
      </c>
      <c r="Q2038" s="5" t="str">
        <f>IF(L2038="","",IF([1]Inputs_Outputs!$B$5="Herbaceous",(LCA!$E$29*'[1]LOCH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8" s="5" t="str">
        <f>IF(M2038="","",$E$2*1000*'[1]LOCH Calc COE Calc'!$C$44)</f>
        <v/>
      </c>
      <c r="S2038" s="6" t="str">
        <f>IF(N2038="","",SUM(O2038:R2038)/('[1]LOCH Calc COE Calc'!$C$28))</f>
        <v/>
      </c>
      <c r="T2038" t="str">
        <f>IF(L2038="","",O2038/'[1]LOCH Calc COE Calc'!$C$28)</f>
        <v/>
      </c>
      <c r="U2038" t="str">
        <f>IF(L2038="","",P2038/'[1]LOCH Calc COE Calc'!$C$28)</f>
        <v/>
      </c>
      <c r="V2038" t="str">
        <f>IF(L2038="","",Q2038/'[1]LOCH Calc COE Calc'!$C$28)</f>
        <v/>
      </c>
      <c r="W2038" t="str">
        <f>IF(L2038="","",R2038/'[1]LOCH Calc COE Calc'!$C$28)</f>
        <v/>
      </c>
    </row>
    <row r="2039" spans="12:23" x14ac:dyDescent="0.25">
      <c r="L2039" s="4" t="str">
        <f>IF('[1]All Data '!BE2044="","",'[1]All Data '!BE2044)</f>
        <v/>
      </c>
      <c r="M2039" t="str">
        <f>IF('[1]All Data '!BF2044="","",'[1]All Data '!BF2044)</f>
        <v/>
      </c>
      <c r="N2039" s="5" t="str">
        <f>IF('[1]All Data '!BB2044="","",'[1]All Data '!BC2044/'[1]All Data '!BH2044)</f>
        <v/>
      </c>
      <c r="O2039" s="5" t="str">
        <f t="shared" si="33"/>
        <v/>
      </c>
      <c r="P2039" s="5" t="str">
        <f>IF(M2039="","",$C$2*(1-L2039)*907.2/0.621371*N2039*[1]Transportation!$M$40)</f>
        <v/>
      </c>
      <c r="Q2039" s="5" t="str">
        <f>IF(L2039="","",IF([1]Inputs_Outputs!$B$5="Herbaceous",(LCA!$E$29*'[1]LOCH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39" s="5" t="str">
        <f>IF(M2039="","",$E$2*1000*'[1]LOCH Calc COE Calc'!$C$44)</f>
        <v/>
      </c>
      <c r="S2039" s="6" t="str">
        <f>IF(N2039="","",SUM(O2039:R2039)/('[1]LOCH Calc COE Calc'!$C$28))</f>
        <v/>
      </c>
      <c r="T2039" t="str">
        <f>IF(L2039="","",O2039/'[1]LOCH Calc COE Calc'!$C$28)</f>
        <v/>
      </c>
      <c r="U2039" t="str">
        <f>IF(L2039="","",P2039/'[1]LOCH Calc COE Calc'!$C$28)</f>
        <v/>
      </c>
      <c r="V2039" t="str">
        <f>IF(L2039="","",Q2039/'[1]LOCH Calc COE Calc'!$C$28)</f>
        <v/>
      </c>
      <c r="W2039" t="str">
        <f>IF(L2039="","",R2039/'[1]LOCH Calc COE Calc'!$C$28)</f>
        <v/>
      </c>
    </row>
    <row r="2040" spans="12:23" x14ac:dyDescent="0.25">
      <c r="L2040" s="4" t="str">
        <f>IF('[1]All Data '!BE2045="","",'[1]All Data '!BE2045)</f>
        <v/>
      </c>
      <c r="M2040" t="str">
        <f>IF('[1]All Data '!BF2045="","",'[1]All Data '!BF2045)</f>
        <v/>
      </c>
      <c r="N2040" s="5" t="str">
        <f>IF('[1]All Data '!BB2045="","",'[1]All Data '!BC2045/'[1]All Data '!BH2045)</f>
        <v/>
      </c>
      <c r="O2040" s="5" t="str">
        <f t="shared" si="33"/>
        <v/>
      </c>
      <c r="P2040" s="5" t="str">
        <f>IF(M2040="","",$C$2*(1-L2040)*907.2/0.621371*N2040*[1]Transportation!$M$40)</f>
        <v/>
      </c>
      <c r="Q2040" s="5" t="str">
        <f>IF(L2040="","",IF([1]Inputs_Outputs!$B$5="Herbaceous",(LCA!$E$29*'[1]LOCH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0" s="5" t="str">
        <f>IF(M2040="","",$E$2*1000*'[1]LOCH Calc COE Calc'!$C$44)</f>
        <v/>
      </c>
      <c r="S2040" s="6" t="str">
        <f>IF(N2040="","",SUM(O2040:R2040)/('[1]LOCH Calc COE Calc'!$C$28))</f>
        <v/>
      </c>
      <c r="T2040" t="str">
        <f>IF(L2040="","",O2040/'[1]LOCH Calc COE Calc'!$C$28)</f>
        <v/>
      </c>
      <c r="U2040" t="str">
        <f>IF(L2040="","",P2040/'[1]LOCH Calc COE Calc'!$C$28)</f>
        <v/>
      </c>
      <c r="V2040" t="str">
        <f>IF(L2040="","",Q2040/'[1]LOCH Calc COE Calc'!$C$28)</f>
        <v/>
      </c>
      <c r="W2040" t="str">
        <f>IF(L2040="","",R2040/'[1]LOCH Calc COE Calc'!$C$28)</f>
        <v/>
      </c>
    </row>
    <row r="2041" spans="12:23" x14ac:dyDescent="0.25">
      <c r="L2041" s="4" t="str">
        <f>IF('[1]All Data '!BE2046="","",'[1]All Data '!BE2046)</f>
        <v/>
      </c>
      <c r="M2041" t="str">
        <f>IF('[1]All Data '!BF2046="","",'[1]All Data '!BF2046)</f>
        <v/>
      </c>
      <c r="N2041" s="5" t="str">
        <f>IF('[1]All Data '!BB2046="","",'[1]All Data '!BC2046/'[1]All Data '!BH2046)</f>
        <v/>
      </c>
      <c r="O2041" s="5" t="str">
        <f t="shared" si="33"/>
        <v/>
      </c>
      <c r="P2041" s="5" t="str">
        <f>IF(M2041="","",$C$2*(1-L2041)*907.2/0.621371*N2041*[1]Transportation!$M$40)</f>
        <v/>
      </c>
      <c r="Q2041" s="5" t="str">
        <f>IF(L2041="","",IF([1]Inputs_Outputs!$B$5="Herbaceous",(LCA!$E$29*'[1]LOCH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1" s="5" t="str">
        <f>IF(M2041="","",$E$2*1000*'[1]LOCH Calc COE Calc'!$C$44)</f>
        <v/>
      </c>
      <c r="S2041" s="6" t="str">
        <f>IF(N2041="","",SUM(O2041:R2041)/('[1]LOCH Calc COE Calc'!$C$28))</f>
        <v/>
      </c>
      <c r="T2041" t="str">
        <f>IF(L2041="","",O2041/'[1]LOCH Calc COE Calc'!$C$28)</f>
        <v/>
      </c>
      <c r="U2041" t="str">
        <f>IF(L2041="","",P2041/'[1]LOCH Calc COE Calc'!$C$28)</f>
        <v/>
      </c>
      <c r="V2041" t="str">
        <f>IF(L2041="","",Q2041/'[1]LOCH Calc COE Calc'!$C$28)</f>
        <v/>
      </c>
      <c r="W2041" t="str">
        <f>IF(L2041="","",R2041/'[1]LOCH Calc COE Calc'!$C$28)</f>
        <v/>
      </c>
    </row>
    <row r="2042" spans="12:23" x14ac:dyDescent="0.25">
      <c r="L2042" s="4" t="str">
        <f>IF('[1]All Data '!BE2047="","",'[1]All Data '!BE2047)</f>
        <v/>
      </c>
      <c r="M2042" t="str">
        <f>IF('[1]All Data '!BF2047="","",'[1]All Data '!BF2047)</f>
        <v/>
      </c>
      <c r="N2042" s="5" t="str">
        <f>IF('[1]All Data '!BB2047="","",'[1]All Data '!BC2047/'[1]All Data '!BH2047)</f>
        <v/>
      </c>
      <c r="O2042" s="5" t="str">
        <f t="shared" si="33"/>
        <v/>
      </c>
      <c r="P2042" s="5" t="str">
        <f>IF(M2042="","",$C$2*(1-L2042)*907.2/0.621371*N2042*[1]Transportation!$M$40)</f>
        <v/>
      </c>
      <c r="Q2042" s="5" t="str">
        <f>IF(L2042="","",IF([1]Inputs_Outputs!$B$5="Herbaceous",(LCA!$E$29*'[1]LOCH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2" s="5" t="str">
        <f>IF(M2042="","",$E$2*1000*'[1]LOCH Calc COE Calc'!$C$44)</f>
        <v/>
      </c>
      <c r="S2042" s="6" t="str">
        <f>IF(N2042="","",SUM(O2042:R2042)/('[1]LOCH Calc COE Calc'!$C$28))</f>
        <v/>
      </c>
      <c r="T2042" t="str">
        <f>IF(L2042="","",O2042/'[1]LOCH Calc COE Calc'!$C$28)</f>
        <v/>
      </c>
      <c r="U2042" t="str">
        <f>IF(L2042="","",P2042/'[1]LOCH Calc COE Calc'!$C$28)</f>
        <v/>
      </c>
      <c r="V2042" t="str">
        <f>IF(L2042="","",Q2042/'[1]LOCH Calc COE Calc'!$C$28)</f>
        <v/>
      </c>
      <c r="W2042" t="str">
        <f>IF(L2042="","",R2042/'[1]LOCH Calc COE Calc'!$C$28)</f>
        <v/>
      </c>
    </row>
    <row r="2043" spans="12:23" x14ac:dyDescent="0.25">
      <c r="L2043" s="4" t="str">
        <f>IF('[1]All Data '!BE2048="","",'[1]All Data '!BE2048)</f>
        <v/>
      </c>
      <c r="M2043" t="str">
        <f>IF('[1]All Data '!BF2048="","",'[1]All Data '!BF2048)</f>
        <v/>
      </c>
      <c r="N2043" s="5" t="str">
        <f>IF('[1]All Data '!BB2048="","",'[1]All Data '!BC2048/'[1]All Data '!BH2048)</f>
        <v/>
      </c>
      <c r="O2043" s="5" t="str">
        <f t="shared" si="33"/>
        <v/>
      </c>
      <c r="P2043" s="5" t="str">
        <f>IF(M2043="","",$C$2*(1-L2043)*907.2/0.621371*N2043*[1]Transportation!$M$40)</f>
        <v/>
      </c>
      <c r="Q2043" s="5" t="str">
        <f>IF(L2043="","",IF([1]Inputs_Outputs!$B$5="Herbaceous",(LCA!$E$29*'[1]LOCH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3" s="5" t="str">
        <f>IF(M2043="","",$E$2*1000*'[1]LOCH Calc COE Calc'!$C$44)</f>
        <v/>
      </c>
      <c r="S2043" s="6" t="str">
        <f>IF(N2043="","",SUM(O2043:R2043)/('[1]LOCH Calc COE Calc'!$C$28))</f>
        <v/>
      </c>
      <c r="T2043" t="str">
        <f>IF(L2043="","",O2043/'[1]LOCH Calc COE Calc'!$C$28)</f>
        <v/>
      </c>
      <c r="U2043" t="str">
        <f>IF(L2043="","",P2043/'[1]LOCH Calc COE Calc'!$C$28)</f>
        <v/>
      </c>
      <c r="V2043" t="str">
        <f>IF(L2043="","",Q2043/'[1]LOCH Calc COE Calc'!$C$28)</f>
        <v/>
      </c>
      <c r="W2043" t="str">
        <f>IF(L2043="","",R2043/'[1]LOCH Calc COE Calc'!$C$28)</f>
        <v/>
      </c>
    </row>
    <row r="2044" spans="12:23" x14ac:dyDescent="0.25">
      <c r="L2044" s="4" t="str">
        <f>IF('[1]All Data '!BE2049="","",'[1]All Data '!BE2049)</f>
        <v/>
      </c>
      <c r="M2044" t="str">
        <f>IF('[1]All Data '!BF2049="","",'[1]All Data '!BF2049)</f>
        <v/>
      </c>
      <c r="N2044" s="5" t="str">
        <f>IF('[1]All Data '!BB2049="","",'[1]All Data '!BC2049/'[1]All Data '!BH2049)</f>
        <v/>
      </c>
      <c r="O2044" s="5" t="str">
        <f t="shared" si="33"/>
        <v/>
      </c>
      <c r="P2044" s="5" t="str">
        <f>IF(M2044="","",$C$2*(1-L2044)*907.2/0.621371*N2044*[1]Transportation!$M$40)</f>
        <v/>
      </c>
      <c r="Q2044" s="5" t="str">
        <f>IF(L2044="","",IF([1]Inputs_Outputs!$B$5="Herbaceous",(LCA!$E$29*'[1]LOCH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4" s="5" t="str">
        <f>IF(M2044="","",$E$2*1000*'[1]LOCH Calc COE Calc'!$C$44)</f>
        <v/>
      </c>
      <c r="S2044" s="6" t="str">
        <f>IF(N2044="","",SUM(O2044:R2044)/('[1]LOCH Calc COE Calc'!$C$28))</f>
        <v/>
      </c>
      <c r="T2044" t="str">
        <f>IF(L2044="","",O2044/'[1]LOCH Calc COE Calc'!$C$28)</f>
        <v/>
      </c>
      <c r="U2044" t="str">
        <f>IF(L2044="","",P2044/'[1]LOCH Calc COE Calc'!$C$28)</f>
        <v/>
      </c>
      <c r="V2044" t="str">
        <f>IF(L2044="","",Q2044/'[1]LOCH Calc COE Calc'!$C$28)</f>
        <v/>
      </c>
      <c r="W2044" t="str">
        <f>IF(L2044="","",R2044/'[1]LOCH Calc COE Calc'!$C$28)</f>
        <v/>
      </c>
    </row>
    <row r="2045" spans="12:23" x14ac:dyDescent="0.25">
      <c r="L2045" s="4" t="str">
        <f>IF('[1]All Data '!BE2050="","",'[1]All Data '!BE2050)</f>
        <v/>
      </c>
      <c r="M2045" t="str">
        <f>IF('[1]All Data '!BF2050="","",'[1]All Data '!BF2050)</f>
        <v/>
      </c>
      <c r="N2045" s="5" t="str">
        <f>IF('[1]All Data '!BB2050="","",'[1]All Data '!BC2050/'[1]All Data '!BH2050)</f>
        <v/>
      </c>
      <c r="O2045" s="5" t="str">
        <f t="shared" si="33"/>
        <v/>
      </c>
      <c r="P2045" s="5" t="str">
        <f>IF(M2045="","",$C$2*(1-L2045)*907.2/0.621371*N2045*[1]Transportation!$M$40)</f>
        <v/>
      </c>
      <c r="Q2045" s="5" t="str">
        <f>IF(L2045="","",IF([1]Inputs_Outputs!$B$5="Herbaceous",(LCA!$E$29*'[1]LOCH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5" s="5" t="str">
        <f>IF(M2045="","",$E$2*1000*'[1]LOCH Calc COE Calc'!$C$44)</f>
        <v/>
      </c>
      <c r="S2045" s="6" t="str">
        <f>IF(N2045="","",SUM(O2045:R2045)/('[1]LOCH Calc COE Calc'!$C$28))</f>
        <v/>
      </c>
      <c r="T2045" t="str">
        <f>IF(L2045="","",O2045/'[1]LOCH Calc COE Calc'!$C$28)</f>
        <v/>
      </c>
      <c r="U2045" t="str">
        <f>IF(L2045="","",P2045/'[1]LOCH Calc COE Calc'!$C$28)</f>
        <v/>
      </c>
      <c r="V2045" t="str">
        <f>IF(L2045="","",Q2045/'[1]LOCH Calc COE Calc'!$C$28)</f>
        <v/>
      </c>
      <c r="W2045" t="str">
        <f>IF(L2045="","",R2045/'[1]LOCH Calc COE Calc'!$C$28)</f>
        <v/>
      </c>
    </row>
    <row r="2046" spans="12:23" x14ac:dyDescent="0.25">
      <c r="L2046" s="4" t="str">
        <f>IF('[1]All Data '!BE2051="","",'[1]All Data '!BE2051)</f>
        <v/>
      </c>
      <c r="M2046" t="str">
        <f>IF('[1]All Data '!BF2051="","",'[1]All Data '!BF2051)</f>
        <v/>
      </c>
      <c r="N2046" s="5" t="str">
        <f>IF('[1]All Data '!BB2051="","",'[1]All Data '!BC2051/'[1]All Data '!BH2051)</f>
        <v/>
      </c>
      <c r="O2046" s="5" t="str">
        <f t="shared" si="33"/>
        <v/>
      </c>
      <c r="P2046" s="5" t="str">
        <f>IF(M2046="","",$C$2*(1-L2046)*907.2/0.621371*N2046*[1]Transportation!$M$40)</f>
        <v/>
      </c>
      <c r="Q2046" s="5" t="str">
        <f>IF(L2046="","",IF([1]Inputs_Outputs!$B$5="Herbaceous",(LCA!$E$29*'[1]LOCH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6" s="5" t="str">
        <f>IF(M2046="","",$E$2*1000*'[1]LOCH Calc COE Calc'!$C$44)</f>
        <v/>
      </c>
      <c r="S2046" s="6" t="str">
        <f>IF(N2046="","",SUM(O2046:R2046)/('[1]LOCH Calc COE Calc'!$C$28))</f>
        <v/>
      </c>
      <c r="T2046" t="str">
        <f>IF(L2046="","",O2046/'[1]LOCH Calc COE Calc'!$C$28)</f>
        <v/>
      </c>
      <c r="U2046" t="str">
        <f>IF(L2046="","",P2046/'[1]LOCH Calc COE Calc'!$C$28)</f>
        <v/>
      </c>
      <c r="V2046" t="str">
        <f>IF(L2046="","",Q2046/'[1]LOCH Calc COE Calc'!$C$28)</f>
        <v/>
      </c>
      <c r="W2046" t="str">
        <f>IF(L2046="","",R2046/'[1]LOCH Calc COE Calc'!$C$28)</f>
        <v/>
      </c>
    </row>
    <row r="2047" spans="12:23" x14ac:dyDescent="0.25">
      <c r="L2047" s="4" t="str">
        <f>IF('[1]All Data '!BE2052="","",'[1]All Data '!BE2052)</f>
        <v/>
      </c>
      <c r="M2047" t="str">
        <f>IF('[1]All Data '!BF2052="","",'[1]All Data '!BF2052)</f>
        <v/>
      </c>
      <c r="N2047" s="5" t="str">
        <f>IF('[1]All Data '!BB2052="","",'[1]All Data '!BC2052/'[1]All Data '!BH2052)</f>
        <v/>
      </c>
      <c r="O2047" s="5" t="str">
        <f t="shared" si="33"/>
        <v/>
      </c>
      <c r="P2047" s="5" t="str">
        <f>IF(M2047="","",$C$2*(1-L2047)*907.2/0.621371*N2047*[1]Transportation!$M$40)</f>
        <v/>
      </c>
      <c r="Q2047" s="5" t="str">
        <f>IF(L2047="","",IF([1]Inputs_Outputs!$B$5="Herbaceous",(LCA!$E$29*'[1]LOCH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7" s="5" t="str">
        <f>IF(M2047="","",$E$2*1000*'[1]LOCH Calc COE Calc'!$C$44)</f>
        <v/>
      </c>
      <c r="S2047" s="6" t="str">
        <f>IF(N2047="","",SUM(O2047:R2047)/('[1]LOCH Calc COE Calc'!$C$28))</f>
        <v/>
      </c>
      <c r="T2047" t="str">
        <f>IF(L2047="","",O2047/'[1]LOCH Calc COE Calc'!$C$28)</f>
        <v/>
      </c>
      <c r="U2047" t="str">
        <f>IF(L2047="","",P2047/'[1]LOCH Calc COE Calc'!$C$28)</f>
        <v/>
      </c>
      <c r="V2047" t="str">
        <f>IF(L2047="","",Q2047/'[1]LOCH Calc COE Calc'!$C$28)</f>
        <v/>
      </c>
      <c r="W2047" t="str">
        <f>IF(L2047="","",R2047/'[1]LOCH Calc COE Calc'!$C$28)</f>
        <v/>
      </c>
    </row>
    <row r="2048" spans="12:23" x14ac:dyDescent="0.25">
      <c r="L2048" s="4" t="str">
        <f>IF('[1]All Data '!BE2053="","",'[1]All Data '!BE2053)</f>
        <v/>
      </c>
      <c r="M2048" t="str">
        <f>IF('[1]All Data '!BF2053="","",'[1]All Data '!BF2053)</f>
        <v/>
      </c>
      <c r="N2048" s="5" t="str">
        <f>IF('[1]All Data '!BB2053="","",'[1]All Data '!BC2053/'[1]All Data '!BH2053)</f>
        <v/>
      </c>
      <c r="O2048" s="5" t="str">
        <f t="shared" si="33"/>
        <v/>
      </c>
      <c r="P2048" s="5" t="str">
        <f>IF(M2048="","",$C$2*(1-L2048)*907.2/0.621371*N2048*[1]Transportation!$M$40)</f>
        <v/>
      </c>
      <c r="Q2048" s="5" t="str">
        <f>IF(L2048="","",IF([1]Inputs_Outputs!$B$5="Herbaceous",(LCA!$E$29*'[1]LOCH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8" s="5" t="str">
        <f>IF(M2048="","",$E$2*1000*'[1]LOCH Calc COE Calc'!$C$44)</f>
        <v/>
      </c>
      <c r="S2048" s="6" t="str">
        <f>IF(N2048="","",SUM(O2048:R2048)/('[1]LOCH Calc COE Calc'!$C$28))</f>
        <v/>
      </c>
      <c r="T2048" t="str">
        <f>IF(L2048="","",O2048/'[1]LOCH Calc COE Calc'!$C$28)</f>
        <v/>
      </c>
      <c r="U2048" t="str">
        <f>IF(L2048="","",P2048/'[1]LOCH Calc COE Calc'!$C$28)</f>
        <v/>
      </c>
      <c r="V2048" t="str">
        <f>IF(L2048="","",Q2048/'[1]LOCH Calc COE Calc'!$C$28)</f>
        <v/>
      </c>
      <c r="W2048" t="str">
        <f>IF(L2048="","",R2048/'[1]LOCH Calc COE Calc'!$C$28)</f>
        <v/>
      </c>
    </row>
    <row r="2049" spans="12:23" x14ac:dyDescent="0.25">
      <c r="L2049" s="4" t="str">
        <f>IF('[1]All Data '!BE2054="","",'[1]All Data '!BE2054)</f>
        <v/>
      </c>
      <c r="M2049" t="str">
        <f>IF('[1]All Data '!BF2054="","",'[1]All Data '!BF2054)</f>
        <v/>
      </c>
      <c r="N2049" s="5" t="str">
        <f>IF('[1]All Data '!BB2054="","",'[1]All Data '!BC2054/'[1]All Data '!BH2054)</f>
        <v/>
      </c>
      <c r="O2049" s="5" t="str">
        <f t="shared" si="33"/>
        <v/>
      </c>
      <c r="P2049" s="5" t="str">
        <f>IF(M2049="","",$C$2*(1-L2049)*907.2/0.621371*N2049*[1]Transportation!$M$40)</f>
        <v/>
      </c>
      <c r="Q2049" s="5" t="str">
        <f>IF(L2049="","",IF([1]Inputs_Outputs!$B$5="Herbaceous",(LCA!$E$29*'[1]LOCH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49" s="5" t="str">
        <f>IF(M2049="","",$E$2*1000*'[1]LOCH Calc COE Calc'!$C$44)</f>
        <v/>
      </c>
      <c r="S2049" s="6" t="str">
        <f>IF(N2049="","",SUM(O2049:R2049)/('[1]LOCH Calc COE Calc'!$C$28))</f>
        <v/>
      </c>
      <c r="T2049" t="str">
        <f>IF(L2049="","",O2049/'[1]LOCH Calc COE Calc'!$C$28)</f>
        <v/>
      </c>
      <c r="U2049" t="str">
        <f>IF(L2049="","",P2049/'[1]LOCH Calc COE Calc'!$C$28)</f>
        <v/>
      </c>
      <c r="V2049" t="str">
        <f>IF(L2049="","",Q2049/'[1]LOCH Calc COE Calc'!$C$28)</f>
        <v/>
      </c>
      <c r="W2049" t="str">
        <f>IF(L2049="","",R2049/'[1]LOCH Calc COE Calc'!$C$28)</f>
        <v/>
      </c>
    </row>
    <row r="2050" spans="12:23" x14ac:dyDescent="0.25">
      <c r="L2050" s="4" t="str">
        <f>IF('[1]All Data '!BE2055="","",'[1]All Data '!BE2055)</f>
        <v/>
      </c>
      <c r="M2050" t="str">
        <f>IF('[1]All Data '!BF2055="","",'[1]All Data '!BF2055)</f>
        <v/>
      </c>
      <c r="N2050" s="5" t="str">
        <f>IF('[1]All Data '!BB2055="","",'[1]All Data '!BC2055/'[1]All Data '!BH2055)</f>
        <v/>
      </c>
      <c r="O2050" s="5" t="str">
        <f t="shared" si="33"/>
        <v/>
      </c>
      <c r="P2050" s="5" t="str">
        <f>IF(M2050="","",$C$2*(1-L2050)*907.2/0.621371*N2050*[1]Transportation!$M$40)</f>
        <v/>
      </c>
      <c r="Q2050" s="5" t="str">
        <f>IF(L2050="","",IF([1]Inputs_Outputs!$B$5="Herbaceous",(LCA!$E$29*'[1]LOCH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0" s="5" t="str">
        <f>IF(M2050="","",$E$2*1000*'[1]LOCH Calc COE Calc'!$C$44)</f>
        <v/>
      </c>
      <c r="S2050" s="6" t="str">
        <f>IF(N2050="","",SUM(O2050:R2050)/('[1]LOCH Calc COE Calc'!$C$28))</f>
        <v/>
      </c>
      <c r="T2050" t="str">
        <f>IF(L2050="","",O2050/'[1]LOCH Calc COE Calc'!$C$28)</f>
        <v/>
      </c>
      <c r="U2050" t="str">
        <f>IF(L2050="","",P2050/'[1]LOCH Calc COE Calc'!$C$28)</f>
        <v/>
      </c>
      <c r="V2050" t="str">
        <f>IF(L2050="","",Q2050/'[1]LOCH Calc COE Calc'!$C$28)</f>
        <v/>
      </c>
      <c r="W2050" t="str">
        <f>IF(L2050="","",R2050/'[1]LOCH Calc COE Calc'!$C$28)</f>
        <v/>
      </c>
    </row>
    <row r="2051" spans="12:23" x14ac:dyDescent="0.25">
      <c r="L2051" s="4" t="str">
        <f>IF('[1]All Data '!BE2056="","",'[1]All Data '!BE2056)</f>
        <v/>
      </c>
      <c r="M2051" t="str">
        <f>IF('[1]All Data '!BF2056="","",'[1]All Data '!BF2056)</f>
        <v/>
      </c>
      <c r="N2051" s="5" t="str">
        <f>IF('[1]All Data '!BB2056="","",'[1]All Data '!BC2056/'[1]All Data '!BH2056)</f>
        <v/>
      </c>
      <c r="O2051" s="5" t="str">
        <f t="shared" si="33"/>
        <v/>
      </c>
      <c r="P2051" s="5" t="str">
        <f>IF(M2051="","",$C$2*(1-L2051)*907.2/0.621371*N2051*[1]Transportation!$M$40)</f>
        <v/>
      </c>
      <c r="Q2051" s="5" t="str">
        <f>IF(L2051="","",IF([1]Inputs_Outputs!$B$5="Herbaceous",(LCA!$E$29*'[1]LOCH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1" s="5" t="str">
        <f>IF(M2051="","",$E$2*1000*'[1]LOCH Calc COE Calc'!$C$44)</f>
        <v/>
      </c>
      <c r="S2051" s="6" t="str">
        <f>IF(N2051="","",SUM(O2051:R2051)/('[1]LOCH Calc COE Calc'!$C$28))</f>
        <v/>
      </c>
      <c r="T2051" t="str">
        <f>IF(L2051="","",O2051/'[1]LOCH Calc COE Calc'!$C$28)</f>
        <v/>
      </c>
      <c r="U2051" t="str">
        <f>IF(L2051="","",P2051/'[1]LOCH Calc COE Calc'!$C$28)</f>
        <v/>
      </c>
      <c r="V2051" t="str">
        <f>IF(L2051="","",Q2051/'[1]LOCH Calc COE Calc'!$C$28)</f>
        <v/>
      </c>
      <c r="W2051" t="str">
        <f>IF(L2051="","",R2051/'[1]LOCH Calc COE Calc'!$C$28)</f>
        <v/>
      </c>
    </row>
    <row r="2052" spans="12:23" x14ac:dyDescent="0.25">
      <c r="L2052" s="4" t="str">
        <f>IF('[1]All Data '!BE2057="","",'[1]All Data '!BE2057)</f>
        <v/>
      </c>
      <c r="M2052" t="str">
        <f>IF('[1]All Data '!BF2057="","",'[1]All Data '!BF2057)</f>
        <v/>
      </c>
      <c r="N2052" s="5" t="str">
        <f>IF('[1]All Data '!BB2057="","",'[1]All Data '!BC2057/'[1]All Data '!BH2057)</f>
        <v/>
      </c>
      <c r="O2052" s="5" t="str">
        <f t="shared" ref="O2052:O2115" si="34">IF(N2052="","",M2052*N2052)</f>
        <v/>
      </c>
      <c r="P2052" s="5" t="str">
        <f>IF(M2052="","",$C$2*(1-L2052)*907.2/0.621371*N2052*[1]Transportation!$M$40)</f>
        <v/>
      </c>
      <c r="Q2052" s="5" t="str">
        <f>IF(L2052="","",IF([1]Inputs_Outputs!$B$5="Herbaceous",(LCA!$E$29*'[1]LOCH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2" s="5" t="str">
        <f>IF(M2052="","",$E$2*1000*'[1]LOCH Calc COE Calc'!$C$44)</f>
        <v/>
      </c>
      <c r="S2052" s="6" t="str">
        <f>IF(N2052="","",SUM(O2052:R2052)/('[1]LOCH Calc COE Calc'!$C$28))</f>
        <v/>
      </c>
      <c r="T2052" t="str">
        <f>IF(L2052="","",O2052/'[1]LOCH Calc COE Calc'!$C$28)</f>
        <v/>
      </c>
      <c r="U2052" t="str">
        <f>IF(L2052="","",P2052/'[1]LOCH Calc COE Calc'!$C$28)</f>
        <v/>
      </c>
      <c r="V2052" t="str">
        <f>IF(L2052="","",Q2052/'[1]LOCH Calc COE Calc'!$C$28)</f>
        <v/>
      </c>
      <c r="W2052" t="str">
        <f>IF(L2052="","",R2052/'[1]LOCH Calc COE Calc'!$C$28)</f>
        <v/>
      </c>
    </row>
    <row r="2053" spans="12:23" x14ac:dyDescent="0.25">
      <c r="L2053" s="4" t="str">
        <f>IF('[1]All Data '!BE2058="","",'[1]All Data '!BE2058)</f>
        <v/>
      </c>
      <c r="M2053" t="str">
        <f>IF('[1]All Data '!BF2058="","",'[1]All Data '!BF2058)</f>
        <v/>
      </c>
      <c r="N2053" s="5" t="str">
        <f>IF('[1]All Data '!BB2058="","",'[1]All Data '!BC2058/'[1]All Data '!BH2058)</f>
        <v/>
      </c>
      <c r="O2053" s="5" t="str">
        <f t="shared" si="34"/>
        <v/>
      </c>
      <c r="P2053" s="5" t="str">
        <f>IF(M2053="","",$C$2*(1-L2053)*907.2/0.621371*N2053*[1]Transportation!$M$40)</f>
        <v/>
      </c>
      <c r="Q2053" s="5" t="str">
        <f>IF(L2053="","",IF([1]Inputs_Outputs!$B$5="Herbaceous",(LCA!$E$29*'[1]LOCH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3" s="5" t="str">
        <f>IF(M2053="","",$E$2*1000*'[1]LOCH Calc COE Calc'!$C$44)</f>
        <v/>
      </c>
      <c r="S2053" s="6" t="str">
        <f>IF(N2053="","",SUM(O2053:R2053)/('[1]LOCH Calc COE Calc'!$C$28))</f>
        <v/>
      </c>
      <c r="T2053" t="str">
        <f>IF(L2053="","",O2053/'[1]LOCH Calc COE Calc'!$C$28)</f>
        <v/>
      </c>
      <c r="U2053" t="str">
        <f>IF(L2053="","",P2053/'[1]LOCH Calc COE Calc'!$C$28)</f>
        <v/>
      </c>
      <c r="V2053" t="str">
        <f>IF(L2053="","",Q2053/'[1]LOCH Calc COE Calc'!$C$28)</f>
        <v/>
      </c>
      <c r="W2053" t="str">
        <f>IF(L2053="","",R2053/'[1]LOCH Calc COE Calc'!$C$28)</f>
        <v/>
      </c>
    </row>
    <row r="2054" spans="12:23" x14ac:dyDescent="0.25">
      <c r="L2054" s="4" t="str">
        <f>IF('[1]All Data '!BE2059="","",'[1]All Data '!BE2059)</f>
        <v/>
      </c>
      <c r="M2054" t="str">
        <f>IF('[1]All Data '!BF2059="","",'[1]All Data '!BF2059)</f>
        <v/>
      </c>
      <c r="N2054" s="5" t="str">
        <f>IF('[1]All Data '!BB2059="","",'[1]All Data '!BC2059/'[1]All Data '!BH2059)</f>
        <v/>
      </c>
      <c r="O2054" s="5" t="str">
        <f t="shared" si="34"/>
        <v/>
      </c>
      <c r="P2054" s="5" t="str">
        <f>IF(M2054="","",$C$2*(1-L2054)*907.2/0.621371*N2054*[1]Transportation!$M$40)</f>
        <v/>
      </c>
      <c r="Q2054" s="5" t="str">
        <f>IF(L2054="","",IF([1]Inputs_Outputs!$B$5="Herbaceous",(LCA!$E$29*'[1]LOCH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4" s="5" t="str">
        <f>IF(M2054="","",$E$2*1000*'[1]LOCH Calc COE Calc'!$C$44)</f>
        <v/>
      </c>
      <c r="S2054" s="6" t="str">
        <f>IF(N2054="","",SUM(O2054:R2054)/('[1]LOCH Calc COE Calc'!$C$28))</f>
        <v/>
      </c>
      <c r="T2054" t="str">
        <f>IF(L2054="","",O2054/'[1]LOCH Calc COE Calc'!$C$28)</f>
        <v/>
      </c>
      <c r="U2054" t="str">
        <f>IF(L2054="","",P2054/'[1]LOCH Calc COE Calc'!$C$28)</f>
        <v/>
      </c>
      <c r="V2054" t="str">
        <f>IF(L2054="","",Q2054/'[1]LOCH Calc COE Calc'!$C$28)</f>
        <v/>
      </c>
      <c r="W2054" t="str">
        <f>IF(L2054="","",R2054/'[1]LOCH Calc COE Calc'!$C$28)</f>
        <v/>
      </c>
    </row>
    <row r="2055" spans="12:23" x14ac:dyDescent="0.25">
      <c r="L2055" s="4" t="str">
        <f>IF('[1]All Data '!BE2060="","",'[1]All Data '!BE2060)</f>
        <v/>
      </c>
      <c r="M2055" t="str">
        <f>IF('[1]All Data '!BF2060="","",'[1]All Data '!BF2060)</f>
        <v/>
      </c>
      <c r="N2055" s="5" t="str">
        <f>IF('[1]All Data '!BB2060="","",'[1]All Data '!BC2060/'[1]All Data '!BH2060)</f>
        <v/>
      </c>
      <c r="O2055" s="5" t="str">
        <f t="shared" si="34"/>
        <v/>
      </c>
      <c r="P2055" s="5" t="str">
        <f>IF(M2055="","",$C$2*(1-L2055)*907.2/0.621371*N2055*[1]Transportation!$M$40)</f>
        <v/>
      </c>
      <c r="Q2055" s="5" t="str">
        <f>IF(L2055="","",IF([1]Inputs_Outputs!$B$5="Herbaceous",(LCA!$E$29*'[1]LOCH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5" s="5" t="str">
        <f>IF(M2055="","",$E$2*1000*'[1]LOCH Calc COE Calc'!$C$44)</f>
        <v/>
      </c>
      <c r="S2055" s="6" t="str">
        <f>IF(N2055="","",SUM(O2055:R2055)/('[1]LOCH Calc COE Calc'!$C$28))</f>
        <v/>
      </c>
      <c r="T2055" t="str">
        <f>IF(L2055="","",O2055/'[1]LOCH Calc COE Calc'!$C$28)</f>
        <v/>
      </c>
      <c r="U2055" t="str">
        <f>IF(L2055="","",P2055/'[1]LOCH Calc COE Calc'!$C$28)</f>
        <v/>
      </c>
      <c r="V2055" t="str">
        <f>IF(L2055="","",Q2055/'[1]LOCH Calc COE Calc'!$C$28)</f>
        <v/>
      </c>
      <c r="W2055" t="str">
        <f>IF(L2055="","",R2055/'[1]LOCH Calc COE Calc'!$C$28)</f>
        <v/>
      </c>
    </row>
    <row r="2056" spans="12:23" x14ac:dyDescent="0.25">
      <c r="L2056" s="4" t="str">
        <f>IF('[1]All Data '!BE2061="","",'[1]All Data '!BE2061)</f>
        <v/>
      </c>
      <c r="M2056" t="str">
        <f>IF('[1]All Data '!BF2061="","",'[1]All Data '!BF2061)</f>
        <v/>
      </c>
      <c r="N2056" s="5" t="str">
        <f>IF('[1]All Data '!BB2061="","",'[1]All Data '!BC2061/'[1]All Data '!BH2061)</f>
        <v/>
      </c>
      <c r="O2056" s="5" t="str">
        <f t="shared" si="34"/>
        <v/>
      </c>
      <c r="P2056" s="5" t="str">
        <f>IF(M2056="","",$C$2*(1-L2056)*907.2/0.621371*N2056*[1]Transportation!$M$40)</f>
        <v/>
      </c>
      <c r="Q2056" s="5" t="str">
        <f>IF(L2056="","",IF([1]Inputs_Outputs!$B$5="Herbaceous",(LCA!$E$29*'[1]LOCH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6" s="5" t="str">
        <f>IF(M2056="","",$E$2*1000*'[1]LOCH Calc COE Calc'!$C$44)</f>
        <v/>
      </c>
      <c r="S2056" s="6" t="str">
        <f>IF(N2056="","",SUM(O2056:R2056)/('[1]LOCH Calc COE Calc'!$C$28))</f>
        <v/>
      </c>
      <c r="T2056" t="str">
        <f>IF(L2056="","",O2056/'[1]LOCH Calc COE Calc'!$C$28)</f>
        <v/>
      </c>
      <c r="U2056" t="str">
        <f>IF(L2056="","",P2056/'[1]LOCH Calc COE Calc'!$C$28)</f>
        <v/>
      </c>
      <c r="V2056" t="str">
        <f>IF(L2056="","",Q2056/'[1]LOCH Calc COE Calc'!$C$28)</f>
        <v/>
      </c>
      <c r="W2056" t="str">
        <f>IF(L2056="","",R2056/'[1]LOCH Calc COE Calc'!$C$28)</f>
        <v/>
      </c>
    </row>
    <row r="2057" spans="12:23" x14ac:dyDescent="0.25">
      <c r="L2057" s="4" t="str">
        <f>IF('[1]All Data '!BE2062="","",'[1]All Data '!BE2062)</f>
        <v/>
      </c>
      <c r="M2057" t="str">
        <f>IF('[1]All Data '!BF2062="","",'[1]All Data '!BF2062)</f>
        <v/>
      </c>
      <c r="N2057" s="5" t="str">
        <f>IF('[1]All Data '!BB2062="","",'[1]All Data '!BC2062/'[1]All Data '!BH2062)</f>
        <v/>
      </c>
      <c r="O2057" s="5" t="str">
        <f t="shared" si="34"/>
        <v/>
      </c>
      <c r="P2057" s="5" t="str">
        <f>IF(M2057="","",$C$2*(1-L2057)*907.2/0.621371*N2057*[1]Transportation!$M$40)</f>
        <v/>
      </c>
      <c r="Q2057" s="5" t="str">
        <f>IF(L2057="","",IF([1]Inputs_Outputs!$B$5="Herbaceous",(LCA!$E$29*'[1]LOCH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7" s="5" t="str">
        <f>IF(M2057="","",$E$2*1000*'[1]LOCH Calc COE Calc'!$C$44)</f>
        <v/>
      </c>
      <c r="S2057" s="6" t="str">
        <f>IF(N2057="","",SUM(O2057:R2057)/('[1]LOCH Calc COE Calc'!$C$28))</f>
        <v/>
      </c>
      <c r="T2057" t="str">
        <f>IF(L2057="","",O2057/'[1]LOCH Calc COE Calc'!$C$28)</f>
        <v/>
      </c>
      <c r="U2057" t="str">
        <f>IF(L2057="","",P2057/'[1]LOCH Calc COE Calc'!$C$28)</f>
        <v/>
      </c>
      <c r="V2057" t="str">
        <f>IF(L2057="","",Q2057/'[1]LOCH Calc COE Calc'!$C$28)</f>
        <v/>
      </c>
      <c r="W2057" t="str">
        <f>IF(L2057="","",R2057/'[1]LOCH Calc COE Calc'!$C$28)</f>
        <v/>
      </c>
    </row>
    <row r="2058" spans="12:23" x14ac:dyDescent="0.25">
      <c r="L2058" s="4" t="str">
        <f>IF('[1]All Data '!BE2063="","",'[1]All Data '!BE2063)</f>
        <v/>
      </c>
      <c r="M2058" t="str">
        <f>IF('[1]All Data '!BF2063="","",'[1]All Data '!BF2063)</f>
        <v/>
      </c>
      <c r="N2058" s="5" t="str">
        <f>IF('[1]All Data '!BB2063="","",'[1]All Data '!BC2063/'[1]All Data '!BH2063)</f>
        <v/>
      </c>
      <c r="O2058" s="5" t="str">
        <f t="shared" si="34"/>
        <v/>
      </c>
      <c r="P2058" s="5" t="str">
        <f>IF(M2058="","",$C$2*(1-L2058)*907.2/0.621371*N2058*[1]Transportation!$M$40)</f>
        <v/>
      </c>
      <c r="Q2058" s="5" t="str">
        <f>IF(L2058="","",IF([1]Inputs_Outputs!$B$5="Herbaceous",(LCA!$E$29*'[1]LOCH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8" s="5" t="str">
        <f>IF(M2058="","",$E$2*1000*'[1]LOCH Calc COE Calc'!$C$44)</f>
        <v/>
      </c>
      <c r="S2058" s="6" t="str">
        <f>IF(N2058="","",SUM(O2058:R2058)/('[1]LOCH Calc COE Calc'!$C$28))</f>
        <v/>
      </c>
      <c r="T2058" t="str">
        <f>IF(L2058="","",O2058/'[1]LOCH Calc COE Calc'!$C$28)</f>
        <v/>
      </c>
      <c r="U2058" t="str">
        <f>IF(L2058="","",P2058/'[1]LOCH Calc COE Calc'!$C$28)</f>
        <v/>
      </c>
      <c r="V2058" t="str">
        <f>IF(L2058="","",Q2058/'[1]LOCH Calc COE Calc'!$C$28)</f>
        <v/>
      </c>
      <c r="W2058" t="str">
        <f>IF(L2058="","",R2058/'[1]LOCH Calc COE Calc'!$C$28)</f>
        <v/>
      </c>
    </row>
    <row r="2059" spans="12:23" x14ac:dyDescent="0.25">
      <c r="L2059" s="4" t="str">
        <f>IF('[1]All Data '!BE2064="","",'[1]All Data '!BE2064)</f>
        <v/>
      </c>
      <c r="M2059" t="str">
        <f>IF('[1]All Data '!BF2064="","",'[1]All Data '!BF2064)</f>
        <v/>
      </c>
      <c r="N2059" s="5" t="str">
        <f>IF('[1]All Data '!BB2064="","",'[1]All Data '!BC2064/'[1]All Data '!BH2064)</f>
        <v/>
      </c>
      <c r="O2059" s="5" t="str">
        <f t="shared" si="34"/>
        <v/>
      </c>
      <c r="P2059" s="5" t="str">
        <f>IF(M2059="","",$C$2*(1-L2059)*907.2/0.621371*N2059*[1]Transportation!$M$40)</f>
        <v/>
      </c>
      <c r="Q2059" s="5" t="str">
        <f>IF(L2059="","",IF([1]Inputs_Outputs!$B$5="Herbaceous",(LCA!$E$29*'[1]LOCH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59" s="5" t="str">
        <f>IF(M2059="","",$E$2*1000*'[1]LOCH Calc COE Calc'!$C$44)</f>
        <v/>
      </c>
      <c r="S2059" s="6" t="str">
        <f>IF(N2059="","",SUM(O2059:R2059)/('[1]LOCH Calc COE Calc'!$C$28))</f>
        <v/>
      </c>
      <c r="T2059" t="str">
        <f>IF(L2059="","",O2059/'[1]LOCH Calc COE Calc'!$C$28)</f>
        <v/>
      </c>
      <c r="U2059" t="str">
        <f>IF(L2059="","",P2059/'[1]LOCH Calc COE Calc'!$C$28)</f>
        <v/>
      </c>
      <c r="V2059" t="str">
        <f>IF(L2059="","",Q2059/'[1]LOCH Calc COE Calc'!$C$28)</f>
        <v/>
      </c>
      <c r="W2059" t="str">
        <f>IF(L2059="","",R2059/'[1]LOCH Calc COE Calc'!$C$28)</f>
        <v/>
      </c>
    </row>
    <row r="2060" spans="12:23" x14ac:dyDescent="0.25">
      <c r="L2060" s="4" t="str">
        <f>IF('[1]All Data '!BE2065="","",'[1]All Data '!BE2065)</f>
        <v/>
      </c>
      <c r="M2060" t="str">
        <f>IF('[1]All Data '!BF2065="","",'[1]All Data '!BF2065)</f>
        <v/>
      </c>
      <c r="N2060" s="5" t="str">
        <f>IF('[1]All Data '!BB2065="","",'[1]All Data '!BC2065/'[1]All Data '!BH2065)</f>
        <v/>
      </c>
      <c r="O2060" s="5" t="str">
        <f t="shared" si="34"/>
        <v/>
      </c>
      <c r="P2060" s="5" t="str">
        <f>IF(M2060="","",$C$2*(1-L2060)*907.2/0.621371*N2060*[1]Transportation!$M$40)</f>
        <v/>
      </c>
      <c r="Q2060" s="5" t="str">
        <f>IF(L2060="","",IF([1]Inputs_Outputs!$B$5="Herbaceous",(LCA!$E$29*'[1]LOCH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0" s="5" t="str">
        <f>IF(M2060="","",$E$2*1000*'[1]LOCH Calc COE Calc'!$C$44)</f>
        <v/>
      </c>
      <c r="S2060" s="6" t="str">
        <f>IF(N2060="","",SUM(O2060:R2060)/('[1]LOCH Calc COE Calc'!$C$28))</f>
        <v/>
      </c>
      <c r="T2060" t="str">
        <f>IF(L2060="","",O2060/'[1]LOCH Calc COE Calc'!$C$28)</f>
        <v/>
      </c>
      <c r="U2060" t="str">
        <f>IF(L2060="","",P2060/'[1]LOCH Calc COE Calc'!$C$28)</f>
        <v/>
      </c>
      <c r="V2060" t="str">
        <f>IF(L2060="","",Q2060/'[1]LOCH Calc COE Calc'!$C$28)</f>
        <v/>
      </c>
      <c r="W2060" t="str">
        <f>IF(L2060="","",R2060/'[1]LOCH Calc COE Calc'!$C$28)</f>
        <v/>
      </c>
    </row>
    <row r="2061" spans="12:23" x14ac:dyDescent="0.25">
      <c r="L2061" s="4" t="str">
        <f>IF('[1]All Data '!BE2066="","",'[1]All Data '!BE2066)</f>
        <v/>
      </c>
      <c r="M2061" t="str">
        <f>IF('[1]All Data '!BF2066="","",'[1]All Data '!BF2066)</f>
        <v/>
      </c>
      <c r="N2061" s="5" t="str">
        <f>IF('[1]All Data '!BB2066="","",'[1]All Data '!BC2066/'[1]All Data '!BH2066)</f>
        <v/>
      </c>
      <c r="O2061" s="5" t="str">
        <f t="shared" si="34"/>
        <v/>
      </c>
      <c r="P2061" s="5" t="str">
        <f>IF(M2061="","",$C$2*(1-L2061)*907.2/0.621371*N2061*[1]Transportation!$M$40)</f>
        <v/>
      </c>
      <c r="Q2061" s="5" t="str">
        <f>IF(L2061="","",IF([1]Inputs_Outputs!$B$5="Herbaceous",(LCA!$E$29*'[1]LOCH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1" s="5" t="str">
        <f>IF(M2061="","",$E$2*1000*'[1]LOCH Calc COE Calc'!$C$44)</f>
        <v/>
      </c>
      <c r="S2061" s="6" t="str">
        <f>IF(N2061="","",SUM(O2061:R2061)/('[1]LOCH Calc COE Calc'!$C$28))</f>
        <v/>
      </c>
      <c r="T2061" t="str">
        <f>IF(L2061="","",O2061/'[1]LOCH Calc COE Calc'!$C$28)</f>
        <v/>
      </c>
      <c r="U2061" t="str">
        <f>IF(L2061="","",P2061/'[1]LOCH Calc COE Calc'!$C$28)</f>
        <v/>
      </c>
      <c r="V2061" t="str">
        <f>IF(L2061="","",Q2061/'[1]LOCH Calc COE Calc'!$C$28)</f>
        <v/>
      </c>
      <c r="W2061" t="str">
        <f>IF(L2061="","",R2061/'[1]LOCH Calc COE Calc'!$C$28)</f>
        <v/>
      </c>
    </row>
    <row r="2062" spans="12:23" x14ac:dyDescent="0.25">
      <c r="L2062" s="4" t="str">
        <f>IF('[1]All Data '!BE2067="","",'[1]All Data '!BE2067)</f>
        <v/>
      </c>
      <c r="M2062" t="str">
        <f>IF('[1]All Data '!BF2067="","",'[1]All Data '!BF2067)</f>
        <v/>
      </c>
      <c r="N2062" s="5" t="str">
        <f>IF('[1]All Data '!BB2067="","",'[1]All Data '!BC2067/'[1]All Data '!BH2067)</f>
        <v/>
      </c>
      <c r="O2062" s="5" t="str">
        <f t="shared" si="34"/>
        <v/>
      </c>
      <c r="P2062" s="5" t="str">
        <f>IF(M2062="","",$C$2*(1-L2062)*907.2/0.621371*N2062*[1]Transportation!$M$40)</f>
        <v/>
      </c>
      <c r="Q2062" s="5" t="str">
        <f>IF(L2062="","",IF([1]Inputs_Outputs!$B$5="Herbaceous",(LCA!$E$29*'[1]LOCH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2" s="5" t="str">
        <f>IF(M2062="","",$E$2*1000*'[1]LOCH Calc COE Calc'!$C$44)</f>
        <v/>
      </c>
      <c r="S2062" s="6" t="str">
        <f>IF(N2062="","",SUM(O2062:R2062)/('[1]LOCH Calc COE Calc'!$C$28))</f>
        <v/>
      </c>
      <c r="T2062" t="str">
        <f>IF(L2062="","",O2062/'[1]LOCH Calc COE Calc'!$C$28)</f>
        <v/>
      </c>
      <c r="U2062" t="str">
        <f>IF(L2062="","",P2062/'[1]LOCH Calc COE Calc'!$C$28)</f>
        <v/>
      </c>
      <c r="V2062" t="str">
        <f>IF(L2062="","",Q2062/'[1]LOCH Calc COE Calc'!$C$28)</f>
        <v/>
      </c>
      <c r="W2062" t="str">
        <f>IF(L2062="","",R2062/'[1]LOCH Calc COE Calc'!$C$28)</f>
        <v/>
      </c>
    </row>
    <row r="2063" spans="12:23" x14ac:dyDescent="0.25">
      <c r="L2063" s="4" t="str">
        <f>IF('[1]All Data '!BE2068="","",'[1]All Data '!BE2068)</f>
        <v/>
      </c>
      <c r="M2063" t="str">
        <f>IF('[1]All Data '!BF2068="","",'[1]All Data '!BF2068)</f>
        <v/>
      </c>
      <c r="N2063" s="5" t="str">
        <f>IF('[1]All Data '!BB2068="","",'[1]All Data '!BC2068/'[1]All Data '!BH2068)</f>
        <v/>
      </c>
      <c r="O2063" s="5" t="str">
        <f t="shared" si="34"/>
        <v/>
      </c>
      <c r="P2063" s="5" t="str">
        <f>IF(M2063="","",$C$2*(1-L2063)*907.2/0.621371*N2063*[1]Transportation!$M$40)</f>
        <v/>
      </c>
      <c r="Q2063" s="5" t="str">
        <f>IF(L2063="","",IF([1]Inputs_Outputs!$B$5="Herbaceous",(LCA!$E$29*'[1]LOCH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3" s="5" t="str">
        <f>IF(M2063="","",$E$2*1000*'[1]LOCH Calc COE Calc'!$C$44)</f>
        <v/>
      </c>
      <c r="S2063" s="6" t="str">
        <f>IF(N2063="","",SUM(O2063:R2063)/('[1]LOCH Calc COE Calc'!$C$28))</f>
        <v/>
      </c>
      <c r="T2063" t="str">
        <f>IF(L2063="","",O2063/'[1]LOCH Calc COE Calc'!$C$28)</f>
        <v/>
      </c>
      <c r="U2063" t="str">
        <f>IF(L2063="","",P2063/'[1]LOCH Calc COE Calc'!$C$28)</f>
        <v/>
      </c>
      <c r="V2063" t="str">
        <f>IF(L2063="","",Q2063/'[1]LOCH Calc COE Calc'!$C$28)</f>
        <v/>
      </c>
      <c r="W2063" t="str">
        <f>IF(L2063="","",R2063/'[1]LOCH Calc COE Calc'!$C$28)</f>
        <v/>
      </c>
    </row>
    <row r="2064" spans="12:23" x14ac:dyDescent="0.25">
      <c r="L2064" s="4" t="str">
        <f>IF('[1]All Data '!BE2069="","",'[1]All Data '!BE2069)</f>
        <v/>
      </c>
      <c r="M2064" t="str">
        <f>IF('[1]All Data '!BF2069="","",'[1]All Data '!BF2069)</f>
        <v/>
      </c>
      <c r="N2064" s="5" t="str">
        <f>IF('[1]All Data '!BB2069="","",'[1]All Data '!BC2069/'[1]All Data '!BH2069)</f>
        <v/>
      </c>
      <c r="O2064" s="5" t="str">
        <f t="shared" si="34"/>
        <v/>
      </c>
      <c r="P2064" s="5" t="str">
        <f>IF(M2064="","",$C$2*(1-L2064)*907.2/0.621371*N2064*[1]Transportation!$M$40)</f>
        <v/>
      </c>
      <c r="Q2064" s="5" t="str">
        <f>IF(L2064="","",IF([1]Inputs_Outputs!$B$5="Herbaceous",(LCA!$E$29*'[1]LOCH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4" s="5" t="str">
        <f>IF(M2064="","",$E$2*1000*'[1]LOCH Calc COE Calc'!$C$44)</f>
        <v/>
      </c>
      <c r="S2064" s="6" t="str">
        <f>IF(N2064="","",SUM(O2064:R2064)/('[1]LOCH Calc COE Calc'!$C$28))</f>
        <v/>
      </c>
      <c r="T2064" t="str">
        <f>IF(L2064="","",O2064/'[1]LOCH Calc COE Calc'!$C$28)</f>
        <v/>
      </c>
      <c r="U2064" t="str">
        <f>IF(L2064="","",P2064/'[1]LOCH Calc COE Calc'!$C$28)</f>
        <v/>
      </c>
      <c r="V2064" t="str">
        <f>IF(L2064="","",Q2064/'[1]LOCH Calc COE Calc'!$C$28)</f>
        <v/>
      </c>
      <c r="W2064" t="str">
        <f>IF(L2064="","",R2064/'[1]LOCH Calc COE Calc'!$C$28)</f>
        <v/>
      </c>
    </row>
    <row r="2065" spans="12:23" x14ac:dyDescent="0.25">
      <c r="L2065" s="4" t="str">
        <f>IF('[1]All Data '!BE2070="","",'[1]All Data '!BE2070)</f>
        <v/>
      </c>
      <c r="M2065" t="str">
        <f>IF('[1]All Data '!BF2070="","",'[1]All Data '!BF2070)</f>
        <v/>
      </c>
      <c r="N2065" s="5" t="str">
        <f>IF('[1]All Data '!BB2070="","",'[1]All Data '!BC2070/'[1]All Data '!BH2070)</f>
        <v/>
      </c>
      <c r="O2065" s="5" t="str">
        <f t="shared" si="34"/>
        <v/>
      </c>
      <c r="P2065" s="5" t="str">
        <f>IF(M2065="","",$C$2*(1-L2065)*907.2/0.621371*N2065*[1]Transportation!$M$40)</f>
        <v/>
      </c>
      <c r="Q2065" s="5" t="str">
        <f>IF(L2065="","",IF([1]Inputs_Outputs!$B$5="Herbaceous",(LCA!$E$29*'[1]LOCH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5" s="5" t="str">
        <f>IF(M2065="","",$E$2*1000*'[1]LOCH Calc COE Calc'!$C$44)</f>
        <v/>
      </c>
      <c r="S2065" s="6" t="str">
        <f>IF(N2065="","",SUM(O2065:R2065)/('[1]LOCH Calc COE Calc'!$C$28))</f>
        <v/>
      </c>
      <c r="T2065" t="str">
        <f>IF(L2065="","",O2065/'[1]LOCH Calc COE Calc'!$C$28)</f>
        <v/>
      </c>
      <c r="U2065" t="str">
        <f>IF(L2065="","",P2065/'[1]LOCH Calc COE Calc'!$C$28)</f>
        <v/>
      </c>
      <c r="V2065" t="str">
        <f>IF(L2065="","",Q2065/'[1]LOCH Calc COE Calc'!$C$28)</f>
        <v/>
      </c>
      <c r="W2065" t="str">
        <f>IF(L2065="","",R2065/'[1]LOCH Calc COE Calc'!$C$28)</f>
        <v/>
      </c>
    </row>
    <row r="2066" spans="12:23" x14ac:dyDescent="0.25">
      <c r="L2066" s="4" t="str">
        <f>IF('[1]All Data '!BE2071="","",'[1]All Data '!BE2071)</f>
        <v/>
      </c>
      <c r="M2066" t="str">
        <f>IF('[1]All Data '!BF2071="","",'[1]All Data '!BF2071)</f>
        <v/>
      </c>
      <c r="N2066" s="5" t="str">
        <f>IF('[1]All Data '!BB2071="","",'[1]All Data '!BC2071/'[1]All Data '!BH2071)</f>
        <v/>
      </c>
      <c r="O2066" s="5" t="str">
        <f t="shared" si="34"/>
        <v/>
      </c>
      <c r="P2066" s="5" t="str">
        <f>IF(M2066="","",$C$2*(1-L2066)*907.2/0.621371*N2066*[1]Transportation!$M$40)</f>
        <v/>
      </c>
      <c r="Q2066" s="5" t="str">
        <f>IF(L2066="","",IF([1]Inputs_Outputs!$B$5="Herbaceous",(LCA!$E$29*'[1]LOCH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6" s="5" t="str">
        <f>IF(M2066="","",$E$2*1000*'[1]LOCH Calc COE Calc'!$C$44)</f>
        <v/>
      </c>
      <c r="S2066" s="6" t="str">
        <f>IF(N2066="","",SUM(O2066:R2066)/('[1]LOCH Calc COE Calc'!$C$28))</f>
        <v/>
      </c>
      <c r="T2066" t="str">
        <f>IF(L2066="","",O2066/'[1]LOCH Calc COE Calc'!$C$28)</f>
        <v/>
      </c>
      <c r="U2066" t="str">
        <f>IF(L2066="","",P2066/'[1]LOCH Calc COE Calc'!$C$28)</f>
        <v/>
      </c>
      <c r="V2066" t="str">
        <f>IF(L2066="","",Q2066/'[1]LOCH Calc COE Calc'!$C$28)</f>
        <v/>
      </c>
      <c r="W2066" t="str">
        <f>IF(L2066="","",R2066/'[1]LOCH Calc COE Calc'!$C$28)</f>
        <v/>
      </c>
    </row>
    <row r="2067" spans="12:23" x14ac:dyDescent="0.25">
      <c r="L2067" s="4" t="str">
        <f>IF('[1]All Data '!BE2072="","",'[1]All Data '!BE2072)</f>
        <v/>
      </c>
      <c r="M2067" t="str">
        <f>IF('[1]All Data '!BF2072="","",'[1]All Data '!BF2072)</f>
        <v/>
      </c>
      <c r="N2067" s="5" t="str">
        <f>IF('[1]All Data '!BB2072="","",'[1]All Data '!BC2072/'[1]All Data '!BH2072)</f>
        <v/>
      </c>
      <c r="O2067" s="5" t="str">
        <f t="shared" si="34"/>
        <v/>
      </c>
      <c r="P2067" s="5" t="str">
        <f>IF(M2067="","",$C$2*(1-L2067)*907.2/0.621371*N2067*[1]Transportation!$M$40)</f>
        <v/>
      </c>
      <c r="Q2067" s="5" t="str">
        <f>IF(L2067="","",IF([1]Inputs_Outputs!$B$5="Herbaceous",(LCA!$E$29*'[1]LOCH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7" s="5" t="str">
        <f>IF(M2067="","",$E$2*1000*'[1]LOCH Calc COE Calc'!$C$44)</f>
        <v/>
      </c>
      <c r="S2067" s="6" t="str">
        <f>IF(N2067="","",SUM(O2067:R2067)/('[1]LOCH Calc COE Calc'!$C$28))</f>
        <v/>
      </c>
      <c r="T2067" t="str">
        <f>IF(L2067="","",O2067/'[1]LOCH Calc COE Calc'!$C$28)</f>
        <v/>
      </c>
      <c r="U2067" t="str">
        <f>IF(L2067="","",P2067/'[1]LOCH Calc COE Calc'!$C$28)</f>
        <v/>
      </c>
      <c r="V2067" t="str">
        <f>IF(L2067="","",Q2067/'[1]LOCH Calc COE Calc'!$C$28)</f>
        <v/>
      </c>
      <c r="W2067" t="str">
        <f>IF(L2067="","",R2067/'[1]LOCH Calc COE Calc'!$C$28)</f>
        <v/>
      </c>
    </row>
    <row r="2068" spans="12:23" x14ac:dyDescent="0.25">
      <c r="L2068" s="4" t="str">
        <f>IF('[1]All Data '!BE2073="","",'[1]All Data '!BE2073)</f>
        <v/>
      </c>
      <c r="M2068" t="str">
        <f>IF('[1]All Data '!BF2073="","",'[1]All Data '!BF2073)</f>
        <v/>
      </c>
      <c r="N2068" s="5" t="str">
        <f>IF('[1]All Data '!BB2073="","",'[1]All Data '!BC2073/'[1]All Data '!BH2073)</f>
        <v/>
      </c>
      <c r="O2068" s="5" t="str">
        <f t="shared" si="34"/>
        <v/>
      </c>
      <c r="P2068" s="5" t="str">
        <f>IF(M2068="","",$C$2*(1-L2068)*907.2/0.621371*N2068*[1]Transportation!$M$40)</f>
        <v/>
      </c>
      <c r="Q2068" s="5" t="str">
        <f>IF(L2068="","",IF([1]Inputs_Outputs!$B$5="Herbaceous",(LCA!$E$29*'[1]LOCH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8" s="5" t="str">
        <f>IF(M2068="","",$E$2*1000*'[1]LOCH Calc COE Calc'!$C$44)</f>
        <v/>
      </c>
      <c r="S2068" s="6" t="str">
        <f>IF(N2068="","",SUM(O2068:R2068)/('[1]LOCH Calc COE Calc'!$C$28))</f>
        <v/>
      </c>
      <c r="T2068" t="str">
        <f>IF(L2068="","",O2068/'[1]LOCH Calc COE Calc'!$C$28)</f>
        <v/>
      </c>
      <c r="U2068" t="str">
        <f>IF(L2068="","",P2068/'[1]LOCH Calc COE Calc'!$C$28)</f>
        <v/>
      </c>
      <c r="V2068" t="str">
        <f>IF(L2068="","",Q2068/'[1]LOCH Calc COE Calc'!$C$28)</f>
        <v/>
      </c>
      <c r="W2068" t="str">
        <f>IF(L2068="","",R2068/'[1]LOCH Calc COE Calc'!$C$28)</f>
        <v/>
      </c>
    </row>
    <row r="2069" spans="12:23" x14ac:dyDescent="0.25">
      <c r="L2069" s="4" t="str">
        <f>IF('[1]All Data '!BE2074="","",'[1]All Data '!BE2074)</f>
        <v/>
      </c>
      <c r="M2069" t="str">
        <f>IF('[1]All Data '!BF2074="","",'[1]All Data '!BF2074)</f>
        <v/>
      </c>
      <c r="N2069" s="5" t="str">
        <f>IF('[1]All Data '!BB2074="","",'[1]All Data '!BC2074/'[1]All Data '!BH2074)</f>
        <v/>
      </c>
      <c r="O2069" s="5" t="str">
        <f t="shared" si="34"/>
        <v/>
      </c>
      <c r="P2069" s="5" t="str">
        <f>IF(M2069="","",$C$2*(1-L2069)*907.2/0.621371*N2069*[1]Transportation!$M$40)</f>
        <v/>
      </c>
      <c r="Q2069" s="5" t="str">
        <f>IF(L2069="","",IF([1]Inputs_Outputs!$B$5="Herbaceous",(LCA!$E$29*'[1]LOCH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69" s="5" t="str">
        <f>IF(M2069="","",$E$2*1000*'[1]LOCH Calc COE Calc'!$C$44)</f>
        <v/>
      </c>
      <c r="S2069" s="6" t="str">
        <f>IF(N2069="","",SUM(O2069:R2069)/('[1]LOCH Calc COE Calc'!$C$28))</f>
        <v/>
      </c>
      <c r="T2069" t="str">
        <f>IF(L2069="","",O2069/'[1]LOCH Calc COE Calc'!$C$28)</f>
        <v/>
      </c>
      <c r="U2069" t="str">
        <f>IF(L2069="","",P2069/'[1]LOCH Calc COE Calc'!$C$28)</f>
        <v/>
      </c>
      <c r="V2069" t="str">
        <f>IF(L2069="","",Q2069/'[1]LOCH Calc COE Calc'!$C$28)</f>
        <v/>
      </c>
      <c r="W2069" t="str">
        <f>IF(L2069="","",R2069/'[1]LOCH Calc COE Calc'!$C$28)</f>
        <v/>
      </c>
    </row>
    <row r="2070" spans="12:23" x14ac:dyDescent="0.25">
      <c r="L2070" s="4" t="str">
        <f>IF('[1]All Data '!BE2075="","",'[1]All Data '!BE2075)</f>
        <v/>
      </c>
      <c r="M2070" t="str">
        <f>IF('[1]All Data '!BF2075="","",'[1]All Data '!BF2075)</f>
        <v/>
      </c>
      <c r="N2070" s="5" t="str">
        <f>IF('[1]All Data '!BB2075="","",'[1]All Data '!BC2075/'[1]All Data '!BH2075)</f>
        <v/>
      </c>
      <c r="O2070" s="5" t="str">
        <f t="shared" si="34"/>
        <v/>
      </c>
      <c r="P2070" s="5" t="str">
        <f>IF(M2070="","",$C$2*(1-L2070)*907.2/0.621371*N2070*[1]Transportation!$M$40)</f>
        <v/>
      </c>
      <c r="Q2070" s="5" t="str">
        <f>IF(L2070="","",IF([1]Inputs_Outputs!$B$5="Herbaceous",(LCA!$E$29*'[1]LOCH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0" s="5" t="str">
        <f>IF(M2070="","",$E$2*1000*'[1]LOCH Calc COE Calc'!$C$44)</f>
        <v/>
      </c>
      <c r="S2070" s="6" t="str">
        <f>IF(N2070="","",SUM(O2070:R2070)/('[1]LOCH Calc COE Calc'!$C$28))</f>
        <v/>
      </c>
      <c r="T2070" t="str">
        <f>IF(L2070="","",O2070/'[1]LOCH Calc COE Calc'!$C$28)</f>
        <v/>
      </c>
      <c r="U2070" t="str">
        <f>IF(L2070="","",P2070/'[1]LOCH Calc COE Calc'!$C$28)</f>
        <v/>
      </c>
      <c r="V2070" t="str">
        <f>IF(L2070="","",Q2070/'[1]LOCH Calc COE Calc'!$C$28)</f>
        <v/>
      </c>
      <c r="W2070" t="str">
        <f>IF(L2070="","",R2070/'[1]LOCH Calc COE Calc'!$C$28)</f>
        <v/>
      </c>
    </row>
    <row r="2071" spans="12:23" x14ac:dyDescent="0.25">
      <c r="L2071" s="4" t="str">
        <f>IF('[1]All Data '!BE2076="","",'[1]All Data '!BE2076)</f>
        <v/>
      </c>
      <c r="M2071" t="str">
        <f>IF('[1]All Data '!BF2076="","",'[1]All Data '!BF2076)</f>
        <v/>
      </c>
      <c r="N2071" s="5" t="str">
        <f>IF('[1]All Data '!BB2076="","",'[1]All Data '!BC2076/'[1]All Data '!BH2076)</f>
        <v/>
      </c>
      <c r="O2071" s="5" t="str">
        <f t="shared" si="34"/>
        <v/>
      </c>
      <c r="P2071" s="5" t="str">
        <f>IF(M2071="","",$C$2*(1-L2071)*907.2/0.621371*N2071*[1]Transportation!$M$40)</f>
        <v/>
      </c>
      <c r="Q2071" s="5" t="str">
        <f>IF(L2071="","",IF([1]Inputs_Outputs!$B$5="Herbaceous",(LCA!$E$29*'[1]LOCH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1" s="5" t="str">
        <f>IF(M2071="","",$E$2*1000*'[1]LOCH Calc COE Calc'!$C$44)</f>
        <v/>
      </c>
      <c r="S2071" s="6" t="str">
        <f>IF(N2071="","",SUM(O2071:R2071)/('[1]LOCH Calc COE Calc'!$C$28))</f>
        <v/>
      </c>
      <c r="T2071" t="str">
        <f>IF(L2071="","",O2071/'[1]LOCH Calc COE Calc'!$C$28)</f>
        <v/>
      </c>
      <c r="U2071" t="str">
        <f>IF(L2071="","",P2071/'[1]LOCH Calc COE Calc'!$C$28)</f>
        <v/>
      </c>
      <c r="V2071" t="str">
        <f>IF(L2071="","",Q2071/'[1]LOCH Calc COE Calc'!$C$28)</f>
        <v/>
      </c>
      <c r="W2071" t="str">
        <f>IF(L2071="","",R2071/'[1]LOCH Calc COE Calc'!$C$28)</f>
        <v/>
      </c>
    </row>
    <row r="2072" spans="12:23" x14ac:dyDescent="0.25">
      <c r="L2072" s="4" t="str">
        <f>IF('[1]All Data '!BE2077="","",'[1]All Data '!BE2077)</f>
        <v/>
      </c>
      <c r="M2072" t="str">
        <f>IF('[1]All Data '!BF2077="","",'[1]All Data '!BF2077)</f>
        <v/>
      </c>
      <c r="N2072" s="5" t="str">
        <f>IF('[1]All Data '!BB2077="","",'[1]All Data '!BC2077/'[1]All Data '!BH2077)</f>
        <v/>
      </c>
      <c r="O2072" s="5" t="str">
        <f t="shared" si="34"/>
        <v/>
      </c>
      <c r="P2072" s="5" t="str">
        <f>IF(M2072="","",$C$2*(1-L2072)*907.2/0.621371*N2072*[1]Transportation!$M$40)</f>
        <v/>
      </c>
      <c r="Q2072" s="5" t="str">
        <f>IF(L2072="","",IF([1]Inputs_Outputs!$B$5="Herbaceous",(LCA!$E$29*'[1]LOCH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2" s="5" t="str">
        <f>IF(M2072="","",$E$2*1000*'[1]LOCH Calc COE Calc'!$C$44)</f>
        <v/>
      </c>
      <c r="S2072" s="6" t="str">
        <f>IF(N2072="","",SUM(O2072:R2072)/('[1]LOCH Calc COE Calc'!$C$28))</f>
        <v/>
      </c>
      <c r="T2072" t="str">
        <f>IF(L2072="","",O2072/'[1]LOCH Calc COE Calc'!$C$28)</f>
        <v/>
      </c>
      <c r="U2072" t="str">
        <f>IF(L2072="","",P2072/'[1]LOCH Calc COE Calc'!$C$28)</f>
        <v/>
      </c>
      <c r="V2072" t="str">
        <f>IF(L2072="","",Q2072/'[1]LOCH Calc COE Calc'!$C$28)</f>
        <v/>
      </c>
      <c r="W2072" t="str">
        <f>IF(L2072="","",R2072/'[1]LOCH Calc COE Calc'!$C$28)</f>
        <v/>
      </c>
    </row>
    <row r="2073" spans="12:23" x14ac:dyDescent="0.25">
      <c r="L2073" s="4" t="str">
        <f>IF('[1]All Data '!BE2078="","",'[1]All Data '!BE2078)</f>
        <v/>
      </c>
      <c r="M2073" t="str">
        <f>IF('[1]All Data '!BF2078="","",'[1]All Data '!BF2078)</f>
        <v/>
      </c>
      <c r="N2073" s="5" t="str">
        <f>IF('[1]All Data '!BB2078="","",'[1]All Data '!BC2078/'[1]All Data '!BH2078)</f>
        <v/>
      </c>
      <c r="O2073" s="5" t="str">
        <f t="shared" si="34"/>
        <v/>
      </c>
      <c r="P2073" s="5" t="str">
        <f>IF(M2073="","",$C$2*(1-L2073)*907.2/0.621371*N2073*[1]Transportation!$M$40)</f>
        <v/>
      </c>
      <c r="Q2073" s="5" t="str">
        <f>IF(L2073="","",IF([1]Inputs_Outputs!$B$5="Herbaceous",(LCA!$E$29*'[1]LOCH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3" s="5" t="str">
        <f>IF(M2073="","",$E$2*1000*'[1]LOCH Calc COE Calc'!$C$44)</f>
        <v/>
      </c>
      <c r="S2073" s="6" t="str">
        <f>IF(N2073="","",SUM(O2073:R2073)/('[1]LOCH Calc COE Calc'!$C$28))</f>
        <v/>
      </c>
      <c r="T2073" t="str">
        <f>IF(L2073="","",O2073/'[1]LOCH Calc COE Calc'!$C$28)</f>
        <v/>
      </c>
      <c r="U2073" t="str">
        <f>IF(L2073="","",P2073/'[1]LOCH Calc COE Calc'!$C$28)</f>
        <v/>
      </c>
      <c r="V2073" t="str">
        <f>IF(L2073="","",Q2073/'[1]LOCH Calc COE Calc'!$C$28)</f>
        <v/>
      </c>
      <c r="W2073" t="str">
        <f>IF(L2073="","",R2073/'[1]LOCH Calc COE Calc'!$C$28)</f>
        <v/>
      </c>
    </row>
    <row r="2074" spans="12:23" x14ac:dyDescent="0.25">
      <c r="L2074" s="4" t="str">
        <f>IF('[1]All Data '!BE2079="","",'[1]All Data '!BE2079)</f>
        <v/>
      </c>
      <c r="M2074" t="str">
        <f>IF('[1]All Data '!BF2079="","",'[1]All Data '!BF2079)</f>
        <v/>
      </c>
      <c r="N2074" s="5" t="str">
        <f>IF('[1]All Data '!BB2079="","",'[1]All Data '!BC2079/'[1]All Data '!BH2079)</f>
        <v/>
      </c>
      <c r="O2074" s="5" t="str">
        <f t="shared" si="34"/>
        <v/>
      </c>
      <c r="P2074" s="5" t="str">
        <f>IF(M2074="","",$C$2*(1-L2074)*907.2/0.621371*N2074*[1]Transportation!$M$40)</f>
        <v/>
      </c>
      <c r="Q2074" s="5" t="str">
        <f>IF(L2074="","",IF([1]Inputs_Outputs!$B$5="Herbaceous",(LCA!$E$29*'[1]LOCH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4" s="5" t="str">
        <f>IF(M2074="","",$E$2*1000*'[1]LOCH Calc COE Calc'!$C$44)</f>
        <v/>
      </c>
      <c r="S2074" s="6" t="str">
        <f>IF(N2074="","",SUM(O2074:R2074)/('[1]LOCH Calc COE Calc'!$C$28))</f>
        <v/>
      </c>
      <c r="T2074" t="str">
        <f>IF(L2074="","",O2074/'[1]LOCH Calc COE Calc'!$C$28)</f>
        <v/>
      </c>
      <c r="U2074" t="str">
        <f>IF(L2074="","",P2074/'[1]LOCH Calc COE Calc'!$C$28)</f>
        <v/>
      </c>
      <c r="V2074" t="str">
        <f>IF(L2074="","",Q2074/'[1]LOCH Calc COE Calc'!$C$28)</f>
        <v/>
      </c>
      <c r="W2074" t="str">
        <f>IF(L2074="","",R2074/'[1]LOCH Calc COE Calc'!$C$28)</f>
        <v/>
      </c>
    </row>
    <row r="2075" spans="12:23" x14ac:dyDescent="0.25">
      <c r="L2075" s="4" t="str">
        <f>IF('[1]All Data '!BE2080="","",'[1]All Data '!BE2080)</f>
        <v/>
      </c>
      <c r="M2075" t="str">
        <f>IF('[1]All Data '!BF2080="","",'[1]All Data '!BF2080)</f>
        <v/>
      </c>
      <c r="N2075" s="5" t="str">
        <f>IF('[1]All Data '!BB2080="","",'[1]All Data '!BC2080/'[1]All Data '!BH2080)</f>
        <v/>
      </c>
      <c r="O2075" s="5" t="str">
        <f t="shared" si="34"/>
        <v/>
      </c>
      <c r="P2075" s="5" t="str">
        <f>IF(M2075="","",$C$2*(1-L2075)*907.2/0.621371*N2075*[1]Transportation!$M$40)</f>
        <v/>
      </c>
      <c r="Q2075" s="5" t="str">
        <f>IF(L2075="","",IF([1]Inputs_Outputs!$B$5="Herbaceous",(LCA!$E$29*'[1]LOCH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5" s="5" t="str">
        <f>IF(M2075="","",$E$2*1000*'[1]LOCH Calc COE Calc'!$C$44)</f>
        <v/>
      </c>
      <c r="S2075" s="6" t="str">
        <f>IF(N2075="","",SUM(O2075:R2075)/('[1]LOCH Calc COE Calc'!$C$28))</f>
        <v/>
      </c>
      <c r="T2075" t="str">
        <f>IF(L2075="","",O2075/'[1]LOCH Calc COE Calc'!$C$28)</f>
        <v/>
      </c>
      <c r="U2075" t="str">
        <f>IF(L2075="","",P2075/'[1]LOCH Calc COE Calc'!$C$28)</f>
        <v/>
      </c>
      <c r="V2075" t="str">
        <f>IF(L2075="","",Q2075/'[1]LOCH Calc COE Calc'!$C$28)</f>
        <v/>
      </c>
      <c r="W2075" t="str">
        <f>IF(L2075="","",R2075/'[1]LOCH Calc COE Calc'!$C$28)</f>
        <v/>
      </c>
    </row>
    <row r="2076" spans="12:23" x14ac:dyDescent="0.25">
      <c r="L2076" s="4" t="str">
        <f>IF('[1]All Data '!BE2081="","",'[1]All Data '!BE2081)</f>
        <v/>
      </c>
      <c r="M2076" t="str">
        <f>IF('[1]All Data '!BF2081="","",'[1]All Data '!BF2081)</f>
        <v/>
      </c>
      <c r="N2076" s="5" t="str">
        <f>IF('[1]All Data '!BB2081="","",'[1]All Data '!BC2081/'[1]All Data '!BH2081)</f>
        <v/>
      </c>
      <c r="O2076" s="5" t="str">
        <f t="shared" si="34"/>
        <v/>
      </c>
      <c r="P2076" s="5" t="str">
        <f>IF(M2076="","",$C$2*(1-L2076)*907.2/0.621371*N2076*[1]Transportation!$M$40)</f>
        <v/>
      </c>
      <c r="Q2076" s="5" t="str">
        <f>IF(L2076="","",IF([1]Inputs_Outputs!$B$5="Herbaceous",(LCA!$E$29*'[1]LOCH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6" s="5" t="str">
        <f>IF(M2076="","",$E$2*1000*'[1]LOCH Calc COE Calc'!$C$44)</f>
        <v/>
      </c>
      <c r="S2076" s="6" t="str">
        <f>IF(N2076="","",SUM(O2076:R2076)/('[1]LOCH Calc COE Calc'!$C$28))</f>
        <v/>
      </c>
      <c r="T2076" t="str">
        <f>IF(L2076="","",O2076/'[1]LOCH Calc COE Calc'!$C$28)</f>
        <v/>
      </c>
      <c r="U2076" t="str">
        <f>IF(L2076="","",P2076/'[1]LOCH Calc COE Calc'!$C$28)</f>
        <v/>
      </c>
      <c r="V2076" t="str">
        <f>IF(L2076="","",Q2076/'[1]LOCH Calc COE Calc'!$C$28)</f>
        <v/>
      </c>
      <c r="W2076" t="str">
        <f>IF(L2076="","",R2076/'[1]LOCH Calc COE Calc'!$C$28)</f>
        <v/>
      </c>
    </row>
    <row r="2077" spans="12:23" x14ac:dyDescent="0.25">
      <c r="L2077" s="4" t="str">
        <f>IF('[1]All Data '!BE2082="","",'[1]All Data '!BE2082)</f>
        <v/>
      </c>
      <c r="M2077" t="str">
        <f>IF('[1]All Data '!BF2082="","",'[1]All Data '!BF2082)</f>
        <v/>
      </c>
      <c r="N2077" s="5" t="str">
        <f>IF('[1]All Data '!BB2082="","",'[1]All Data '!BC2082/'[1]All Data '!BH2082)</f>
        <v/>
      </c>
      <c r="O2077" s="5" t="str">
        <f t="shared" si="34"/>
        <v/>
      </c>
      <c r="P2077" s="5" t="str">
        <f>IF(M2077="","",$C$2*(1-L2077)*907.2/0.621371*N2077*[1]Transportation!$M$40)</f>
        <v/>
      </c>
      <c r="Q2077" s="5" t="str">
        <f>IF(L2077="","",IF([1]Inputs_Outputs!$B$5="Herbaceous",(LCA!$E$29*'[1]LOCH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7" s="5" t="str">
        <f>IF(M2077="","",$E$2*1000*'[1]LOCH Calc COE Calc'!$C$44)</f>
        <v/>
      </c>
      <c r="S2077" s="6" t="str">
        <f>IF(N2077="","",SUM(O2077:R2077)/('[1]LOCH Calc COE Calc'!$C$28))</f>
        <v/>
      </c>
      <c r="T2077" t="str">
        <f>IF(L2077="","",O2077/'[1]LOCH Calc COE Calc'!$C$28)</f>
        <v/>
      </c>
      <c r="U2077" t="str">
        <f>IF(L2077="","",P2077/'[1]LOCH Calc COE Calc'!$C$28)</f>
        <v/>
      </c>
      <c r="V2077" t="str">
        <f>IF(L2077="","",Q2077/'[1]LOCH Calc COE Calc'!$C$28)</f>
        <v/>
      </c>
      <c r="W2077" t="str">
        <f>IF(L2077="","",R2077/'[1]LOCH Calc COE Calc'!$C$28)</f>
        <v/>
      </c>
    </row>
    <row r="2078" spans="12:23" x14ac:dyDescent="0.25">
      <c r="L2078" s="4" t="str">
        <f>IF('[1]All Data '!BE2083="","",'[1]All Data '!BE2083)</f>
        <v/>
      </c>
      <c r="M2078" t="str">
        <f>IF('[1]All Data '!BF2083="","",'[1]All Data '!BF2083)</f>
        <v/>
      </c>
      <c r="N2078" s="5" t="str">
        <f>IF('[1]All Data '!BB2083="","",'[1]All Data '!BC2083/'[1]All Data '!BH2083)</f>
        <v/>
      </c>
      <c r="O2078" s="5" t="str">
        <f t="shared" si="34"/>
        <v/>
      </c>
      <c r="P2078" s="5" t="str">
        <f>IF(M2078="","",$C$2*(1-L2078)*907.2/0.621371*N2078*[1]Transportation!$M$40)</f>
        <v/>
      </c>
      <c r="Q2078" s="5" t="str">
        <f>IF(L2078="","",IF([1]Inputs_Outputs!$B$5="Herbaceous",(LCA!$E$29*'[1]LOCH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8" s="5" t="str">
        <f>IF(M2078="","",$E$2*1000*'[1]LOCH Calc COE Calc'!$C$44)</f>
        <v/>
      </c>
      <c r="S2078" s="6" t="str">
        <f>IF(N2078="","",SUM(O2078:R2078)/('[1]LOCH Calc COE Calc'!$C$28))</f>
        <v/>
      </c>
      <c r="T2078" t="str">
        <f>IF(L2078="","",O2078/'[1]LOCH Calc COE Calc'!$C$28)</f>
        <v/>
      </c>
      <c r="U2078" t="str">
        <f>IF(L2078="","",P2078/'[1]LOCH Calc COE Calc'!$C$28)</f>
        <v/>
      </c>
      <c r="V2078" t="str">
        <f>IF(L2078="","",Q2078/'[1]LOCH Calc COE Calc'!$C$28)</f>
        <v/>
      </c>
      <c r="W2078" t="str">
        <f>IF(L2078="","",R2078/'[1]LOCH Calc COE Calc'!$C$28)</f>
        <v/>
      </c>
    </row>
    <row r="2079" spans="12:23" x14ac:dyDescent="0.25">
      <c r="L2079" s="4" t="str">
        <f>IF('[1]All Data '!BE2084="","",'[1]All Data '!BE2084)</f>
        <v/>
      </c>
      <c r="M2079" t="str">
        <f>IF('[1]All Data '!BF2084="","",'[1]All Data '!BF2084)</f>
        <v/>
      </c>
      <c r="N2079" s="5" t="str">
        <f>IF('[1]All Data '!BB2084="","",'[1]All Data '!BC2084/'[1]All Data '!BH2084)</f>
        <v/>
      </c>
      <c r="O2079" s="5" t="str">
        <f t="shared" si="34"/>
        <v/>
      </c>
      <c r="P2079" s="5" t="str">
        <f>IF(M2079="","",$C$2*(1-L2079)*907.2/0.621371*N2079*[1]Transportation!$M$40)</f>
        <v/>
      </c>
      <c r="Q2079" s="5" t="str">
        <f>IF(L2079="","",IF([1]Inputs_Outputs!$B$5="Herbaceous",(LCA!$E$29*'[1]LOCH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79" s="5" t="str">
        <f>IF(M2079="","",$E$2*1000*'[1]LOCH Calc COE Calc'!$C$44)</f>
        <v/>
      </c>
      <c r="S2079" s="6" t="str">
        <f>IF(N2079="","",SUM(O2079:R2079)/('[1]LOCH Calc COE Calc'!$C$28))</f>
        <v/>
      </c>
      <c r="T2079" t="str">
        <f>IF(L2079="","",O2079/'[1]LOCH Calc COE Calc'!$C$28)</f>
        <v/>
      </c>
      <c r="U2079" t="str">
        <f>IF(L2079="","",P2079/'[1]LOCH Calc COE Calc'!$C$28)</f>
        <v/>
      </c>
      <c r="V2079" t="str">
        <f>IF(L2079="","",Q2079/'[1]LOCH Calc COE Calc'!$C$28)</f>
        <v/>
      </c>
      <c r="W2079" t="str">
        <f>IF(L2079="","",R2079/'[1]LOCH Calc COE Calc'!$C$28)</f>
        <v/>
      </c>
    </row>
    <row r="2080" spans="12:23" x14ac:dyDescent="0.25">
      <c r="L2080" s="4" t="str">
        <f>IF('[1]All Data '!BE2085="","",'[1]All Data '!BE2085)</f>
        <v/>
      </c>
      <c r="M2080" t="str">
        <f>IF('[1]All Data '!BF2085="","",'[1]All Data '!BF2085)</f>
        <v/>
      </c>
      <c r="N2080" s="5" t="str">
        <f>IF('[1]All Data '!BB2085="","",'[1]All Data '!BC2085/'[1]All Data '!BH2085)</f>
        <v/>
      </c>
      <c r="O2080" s="5" t="str">
        <f t="shared" si="34"/>
        <v/>
      </c>
      <c r="P2080" s="5" t="str">
        <f>IF(M2080="","",$C$2*(1-L2080)*907.2/0.621371*N2080*[1]Transportation!$M$40)</f>
        <v/>
      </c>
      <c r="Q2080" s="5" t="str">
        <f>IF(L2080="","",IF([1]Inputs_Outputs!$B$5="Herbaceous",(LCA!$E$29*'[1]LOCH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0" s="5" t="str">
        <f>IF(M2080="","",$E$2*1000*'[1]LOCH Calc COE Calc'!$C$44)</f>
        <v/>
      </c>
      <c r="S2080" s="6" t="str">
        <f>IF(N2080="","",SUM(O2080:R2080)/('[1]LOCH Calc COE Calc'!$C$28))</f>
        <v/>
      </c>
      <c r="T2080" t="str">
        <f>IF(L2080="","",O2080/'[1]LOCH Calc COE Calc'!$C$28)</f>
        <v/>
      </c>
      <c r="U2080" t="str">
        <f>IF(L2080="","",P2080/'[1]LOCH Calc COE Calc'!$C$28)</f>
        <v/>
      </c>
      <c r="V2080" t="str">
        <f>IF(L2080="","",Q2080/'[1]LOCH Calc COE Calc'!$C$28)</f>
        <v/>
      </c>
      <c r="W2080" t="str">
        <f>IF(L2080="","",R2080/'[1]LOCH Calc COE Calc'!$C$28)</f>
        <v/>
      </c>
    </row>
    <row r="2081" spans="12:23" x14ac:dyDescent="0.25">
      <c r="L2081" s="4" t="str">
        <f>IF('[1]All Data '!BE2086="","",'[1]All Data '!BE2086)</f>
        <v/>
      </c>
      <c r="M2081" t="str">
        <f>IF('[1]All Data '!BF2086="","",'[1]All Data '!BF2086)</f>
        <v/>
      </c>
      <c r="N2081" s="5" t="str">
        <f>IF('[1]All Data '!BB2086="","",'[1]All Data '!BC2086/'[1]All Data '!BH2086)</f>
        <v/>
      </c>
      <c r="O2081" s="5" t="str">
        <f t="shared" si="34"/>
        <v/>
      </c>
      <c r="P2081" s="5" t="str">
        <f>IF(M2081="","",$C$2*(1-L2081)*907.2/0.621371*N2081*[1]Transportation!$M$40)</f>
        <v/>
      </c>
      <c r="Q2081" s="5" t="str">
        <f>IF(L2081="","",IF([1]Inputs_Outputs!$B$5="Herbaceous",(LCA!$E$29*'[1]LOCH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1" s="5" t="str">
        <f>IF(M2081="","",$E$2*1000*'[1]LOCH Calc COE Calc'!$C$44)</f>
        <v/>
      </c>
      <c r="S2081" s="6" t="str">
        <f>IF(N2081="","",SUM(O2081:R2081)/('[1]LOCH Calc COE Calc'!$C$28))</f>
        <v/>
      </c>
      <c r="T2081" t="str">
        <f>IF(L2081="","",O2081/'[1]LOCH Calc COE Calc'!$C$28)</f>
        <v/>
      </c>
      <c r="U2081" t="str">
        <f>IF(L2081="","",P2081/'[1]LOCH Calc COE Calc'!$C$28)</f>
        <v/>
      </c>
      <c r="V2081" t="str">
        <f>IF(L2081="","",Q2081/'[1]LOCH Calc COE Calc'!$C$28)</f>
        <v/>
      </c>
      <c r="W2081" t="str">
        <f>IF(L2081="","",R2081/'[1]LOCH Calc COE Calc'!$C$28)</f>
        <v/>
      </c>
    </row>
    <row r="2082" spans="12:23" x14ac:dyDescent="0.25">
      <c r="L2082" s="4" t="str">
        <f>IF('[1]All Data '!BE2087="","",'[1]All Data '!BE2087)</f>
        <v/>
      </c>
      <c r="M2082" t="str">
        <f>IF('[1]All Data '!BF2087="","",'[1]All Data '!BF2087)</f>
        <v/>
      </c>
      <c r="N2082" s="5" t="str">
        <f>IF('[1]All Data '!BB2087="","",'[1]All Data '!BC2087/'[1]All Data '!BH2087)</f>
        <v/>
      </c>
      <c r="O2082" s="5" t="str">
        <f t="shared" si="34"/>
        <v/>
      </c>
      <c r="P2082" s="5" t="str">
        <f>IF(M2082="","",$C$2*(1-L2082)*907.2/0.621371*N2082*[1]Transportation!$M$40)</f>
        <v/>
      </c>
      <c r="Q2082" s="5" t="str">
        <f>IF(L2082="","",IF([1]Inputs_Outputs!$B$5="Herbaceous",(LCA!$E$29*'[1]LOCH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2" s="5" t="str">
        <f>IF(M2082="","",$E$2*1000*'[1]LOCH Calc COE Calc'!$C$44)</f>
        <v/>
      </c>
      <c r="S2082" s="6" t="str">
        <f>IF(N2082="","",SUM(O2082:R2082)/('[1]LOCH Calc COE Calc'!$C$28))</f>
        <v/>
      </c>
      <c r="T2082" t="str">
        <f>IF(L2082="","",O2082/'[1]LOCH Calc COE Calc'!$C$28)</f>
        <v/>
      </c>
      <c r="U2082" t="str">
        <f>IF(L2082="","",P2082/'[1]LOCH Calc COE Calc'!$C$28)</f>
        <v/>
      </c>
      <c r="V2082" t="str">
        <f>IF(L2082="","",Q2082/'[1]LOCH Calc COE Calc'!$C$28)</f>
        <v/>
      </c>
      <c r="W2082" t="str">
        <f>IF(L2082="","",R2082/'[1]LOCH Calc COE Calc'!$C$28)</f>
        <v/>
      </c>
    </row>
    <row r="2083" spans="12:23" x14ac:dyDescent="0.25">
      <c r="L2083" s="4" t="str">
        <f>IF('[1]All Data '!BE2088="","",'[1]All Data '!BE2088)</f>
        <v/>
      </c>
      <c r="M2083" t="str">
        <f>IF('[1]All Data '!BF2088="","",'[1]All Data '!BF2088)</f>
        <v/>
      </c>
      <c r="N2083" s="5" t="str">
        <f>IF('[1]All Data '!BB2088="","",'[1]All Data '!BC2088/'[1]All Data '!BH2088)</f>
        <v/>
      </c>
      <c r="O2083" s="5" t="str">
        <f t="shared" si="34"/>
        <v/>
      </c>
      <c r="P2083" s="5" t="str">
        <f>IF(M2083="","",$C$2*(1-L2083)*907.2/0.621371*N2083*[1]Transportation!$M$40)</f>
        <v/>
      </c>
      <c r="Q2083" s="5" t="str">
        <f>IF(L2083="","",IF([1]Inputs_Outputs!$B$5="Herbaceous",(LCA!$E$29*'[1]LOCH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3" s="5" t="str">
        <f>IF(M2083="","",$E$2*1000*'[1]LOCH Calc COE Calc'!$C$44)</f>
        <v/>
      </c>
      <c r="S2083" s="6" t="str">
        <f>IF(N2083="","",SUM(O2083:R2083)/('[1]LOCH Calc COE Calc'!$C$28))</f>
        <v/>
      </c>
      <c r="T2083" t="str">
        <f>IF(L2083="","",O2083/'[1]LOCH Calc COE Calc'!$C$28)</f>
        <v/>
      </c>
      <c r="U2083" t="str">
        <f>IF(L2083="","",P2083/'[1]LOCH Calc COE Calc'!$C$28)</f>
        <v/>
      </c>
      <c r="V2083" t="str">
        <f>IF(L2083="","",Q2083/'[1]LOCH Calc COE Calc'!$C$28)</f>
        <v/>
      </c>
      <c r="W2083" t="str">
        <f>IF(L2083="","",R2083/'[1]LOCH Calc COE Calc'!$C$28)</f>
        <v/>
      </c>
    </row>
    <row r="2084" spans="12:23" x14ac:dyDescent="0.25">
      <c r="L2084" s="4" t="str">
        <f>IF('[1]All Data '!BE2089="","",'[1]All Data '!BE2089)</f>
        <v/>
      </c>
      <c r="M2084" t="str">
        <f>IF('[1]All Data '!BF2089="","",'[1]All Data '!BF2089)</f>
        <v/>
      </c>
      <c r="N2084" s="5" t="str">
        <f>IF('[1]All Data '!BB2089="","",'[1]All Data '!BC2089/'[1]All Data '!BH2089)</f>
        <v/>
      </c>
      <c r="O2084" s="5" t="str">
        <f t="shared" si="34"/>
        <v/>
      </c>
      <c r="P2084" s="5" t="str">
        <f>IF(M2084="","",$C$2*(1-L2084)*907.2/0.621371*N2084*[1]Transportation!$M$40)</f>
        <v/>
      </c>
      <c r="Q2084" s="5" t="str">
        <f>IF(L2084="","",IF([1]Inputs_Outputs!$B$5="Herbaceous",(LCA!$E$29*'[1]LOCH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4" s="5" t="str">
        <f>IF(M2084="","",$E$2*1000*'[1]LOCH Calc COE Calc'!$C$44)</f>
        <v/>
      </c>
      <c r="S2084" s="6" t="str">
        <f>IF(N2084="","",SUM(O2084:R2084)/('[1]LOCH Calc COE Calc'!$C$28))</f>
        <v/>
      </c>
      <c r="T2084" t="str">
        <f>IF(L2084="","",O2084/'[1]LOCH Calc COE Calc'!$C$28)</f>
        <v/>
      </c>
      <c r="U2084" t="str">
        <f>IF(L2084="","",P2084/'[1]LOCH Calc COE Calc'!$C$28)</f>
        <v/>
      </c>
      <c r="V2084" t="str">
        <f>IF(L2084="","",Q2084/'[1]LOCH Calc COE Calc'!$C$28)</f>
        <v/>
      </c>
      <c r="W2084" t="str">
        <f>IF(L2084="","",R2084/'[1]LOCH Calc COE Calc'!$C$28)</f>
        <v/>
      </c>
    </row>
    <row r="2085" spans="12:23" x14ac:dyDescent="0.25">
      <c r="L2085" s="4" t="str">
        <f>IF('[1]All Data '!BE2090="","",'[1]All Data '!BE2090)</f>
        <v/>
      </c>
      <c r="M2085" t="str">
        <f>IF('[1]All Data '!BF2090="","",'[1]All Data '!BF2090)</f>
        <v/>
      </c>
      <c r="N2085" s="5" t="str">
        <f>IF('[1]All Data '!BB2090="","",'[1]All Data '!BC2090/'[1]All Data '!BH2090)</f>
        <v/>
      </c>
      <c r="O2085" s="5" t="str">
        <f t="shared" si="34"/>
        <v/>
      </c>
      <c r="P2085" s="5" t="str">
        <f>IF(M2085="","",$C$2*(1-L2085)*907.2/0.621371*N2085*[1]Transportation!$M$40)</f>
        <v/>
      </c>
      <c r="Q2085" s="5" t="str">
        <f>IF(L2085="","",IF([1]Inputs_Outputs!$B$5="Herbaceous",(LCA!$E$29*'[1]LOCH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5" s="5" t="str">
        <f>IF(M2085="","",$E$2*1000*'[1]LOCH Calc COE Calc'!$C$44)</f>
        <v/>
      </c>
      <c r="S2085" s="6" t="str">
        <f>IF(N2085="","",SUM(O2085:R2085)/('[1]LOCH Calc COE Calc'!$C$28))</f>
        <v/>
      </c>
      <c r="T2085" t="str">
        <f>IF(L2085="","",O2085/'[1]LOCH Calc COE Calc'!$C$28)</f>
        <v/>
      </c>
      <c r="U2085" t="str">
        <f>IF(L2085="","",P2085/'[1]LOCH Calc COE Calc'!$C$28)</f>
        <v/>
      </c>
      <c r="V2085" t="str">
        <f>IF(L2085="","",Q2085/'[1]LOCH Calc COE Calc'!$C$28)</f>
        <v/>
      </c>
      <c r="W2085" t="str">
        <f>IF(L2085="","",R2085/'[1]LOCH Calc COE Calc'!$C$28)</f>
        <v/>
      </c>
    </row>
    <row r="2086" spans="12:23" x14ac:dyDescent="0.25">
      <c r="L2086" s="4" t="str">
        <f>IF('[1]All Data '!BE2091="","",'[1]All Data '!BE2091)</f>
        <v/>
      </c>
      <c r="M2086" t="str">
        <f>IF('[1]All Data '!BF2091="","",'[1]All Data '!BF2091)</f>
        <v/>
      </c>
      <c r="N2086" s="5" t="str">
        <f>IF('[1]All Data '!BB2091="","",'[1]All Data '!BC2091/'[1]All Data '!BH2091)</f>
        <v/>
      </c>
      <c r="O2086" s="5" t="str">
        <f t="shared" si="34"/>
        <v/>
      </c>
      <c r="P2086" s="5" t="str">
        <f>IF(M2086="","",$C$2*(1-L2086)*907.2/0.621371*N2086*[1]Transportation!$M$40)</f>
        <v/>
      </c>
      <c r="Q2086" s="5" t="str">
        <f>IF(L2086="","",IF([1]Inputs_Outputs!$B$5="Herbaceous",(LCA!$E$29*'[1]LOCH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6" s="5" t="str">
        <f>IF(M2086="","",$E$2*1000*'[1]LOCH Calc COE Calc'!$C$44)</f>
        <v/>
      </c>
      <c r="S2086" s="6" t="str">
        <f>IF(N2086="","",SUM(O2086:R2086)/('[1]LOCH Calc COE Calc'!$C$28))</f>
        <v/>
      </c>
      <c r="T2086" t="str">
        <f>IF(L2086="","",O2086/'[1]LOCH Calc COE Calc'!$C$28)</f>
        <v/>
      </c>
      <c r="U2086" t="str">
        <f>IF(L2086="","",P2086/'[1]LOCH Calc COE Calc'!$C$28)</f>
        <v/>
      </c>
      <c r="V2086" t="str">
        <f>IF(L2086="","",Q2086/'[1]LOCH Calc COE Calc'!$C$28)</f>
        <v/>
      </c>
      <c r="W2086" t="str">
        <f>IF(L2086="","",R2086/'[1]LOCH Calc COE Calc'!$C$28)</f>
        <v/>
      </c>
    </row>
    <row r="2087" spans="12:23" x14ac:dyDescent="0.25">
      <c r="L2087" s="4" t="str">
        <f>IF('[1]All Data '!BE2092="","",'[1]All Data '!BE2092)</f>
        <v/>
      </c>
      <c r="M2087" t="str">
        <f>IF('[1]All Data '!BF2092="","",'[1]All Data '!BF2092)</f>
        <v/>
      </c>
      <c r="N2087" s="5" t="str">
        <f>IF('[1]All Data '!BB2092="","",'[1]All Data '!BC2092/'[1]All Data '!BH2092)</f>
        <v/>
      </c>
      <c r="O2087" s="5" t="str">
        <f t="shared" si="34"/>
        <v/>
      </c>
      <c r="P2087" s="5" t="str">
        <f>IF(M2087="","",$C$2*(1-L2087)*907.2/0.621371*N2087*[1]Transportation!$M$40)</f>
        <v/>
      </c>
      <c r="Q2087" s="5" t="str">
        <f>IF(L2087="","",IF([1]Inputs_Outputs!$B$5="Herbaceous",(LCA!$E$29*'[1]LOCH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7" s="5" t="str">
        <f>IF(M2087="","",$E$2*1000*'[1]LOCH Calc COE Calc'!$C$44)</f>
        <v/>
      </c>
      <c r="S2087" s="6" t="str">
        <f>IF(N2087="","",SUM(O2087:R2087)/('[1]LOCH Calc COE Calc'!$C$28))</f>
        <v/>
      </c>
      <c r="T2087" t="str">
        <f>IF(L2087="","",O2087/'[1]LOCH Calc COE Calc'!$C$28)</f>
        <v/>
      </c>
      <c r="U2087" t="str">
        <f>IF(L2087="","",P2087/'[1]LOCH Calc COE Calc'!$C$28)</f>
        <v/>
      </c>
      <c r="V2087" t="str">
        <f>IF(L2087="","",Q2087/'[1]LOCH Calc COE Calc'!$C$28)</f>
        <v/>
      </c>
      <c r="W2087" t="str">
        <f>IF(L2087="","",R2087/'[1]LOCH Calc COE Calc'!$C$28)</f>
        <v/>
      </c>
    </row>
    <row r="2088" spans="12:23" x14ac:dyDescent="0.25">
      <c r="L2088" s="4" t="str">
        <f>IF('[1]All Data '!BE2093="","",'[1]All Data '!BE2093)</f>
        <v/>
      </c>
      <c r="M2088" t="str">
        <f>IF('[1]All Data '!BF2093="","",'[1]All Data '!BF2093)</f>
        <v/>
      </c>
      <c r="N2088" s="5" t="str">
        <f>IF('[1]All Data '!BB2093="","",'[1]All Data '!BC2093/'[1]All Data '!BH2093)</f>
        <v/>
      </c>
      <c r="O2088" s="5" t="str">
        <f t="shared" si="34"/>
        <v/>
      </c>
      <c r="P2088" s="5" t="str">
        <f>IF(M2088="","",$C$2*(1-L2088)*907.2/0.621371*N2088*[1]Transportation!$M$40)</f>
        <v/>
      </c>
      <c r="Q2088" s="5" t="str">
        <f>IF(L2088="","",IF([1]Inputs_Outputs!$B$5="Herbaceous",(LCA!$E$29*'[1]LOCH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8" s="5" t="str">
        <f>IF(M2088="","",$E$2*1000*'[1]LOCH Calc COE Calc'!$C$44)</f>
        <v/>
      </c>
      <c r="S2088" s="6" t="str">
        <f>IF(N2088="","",SUM(O2088:R2088)/('[1]LOCH Calc COE Calc'!$C$28))</f>
        <v/>
      </c>
      <c r="T2088" t="str">
        <f>IF(L2088="","",O2088/'[1]LOCH Calc COE Calc'!$C$28)</f>
        <v/>
      </c>
      <c r="U2088" t="str">
        <f>IF(L2088="","",P2088/'[1]LOCH Calc COE Calc'!$C$28)</f>
        <v/>
      </c>
      <c r="V2088" t="str">
        <f>IF(L2088="","",Q2088/'[1]LOCH Calc COE Calc'!$C$28)</f>
        <v/>
      </c>
      <c r="W2088" t="str">
        <f>IF(L2088="","",R2088/'[1]LOCH Calc COE Calc'!$C$28)</f>
        <v/>
      </c>
    </row>
    <row r="2089" spans="12:23" x14ac:dyDescent="0.25">
      <c r="L2089" s="4" t="str">
        <f>IF('[1]All Data '!BE2094="","",'[1]All Data '!BE2094)</f>
        <v/>
      </c>
      <c r="M2089" t="str">
        <f>IF('[1]All Data '!BF2094="","",'[1]All Data '!BF2094)</f>
        <v/>
      </c>
      <c r="N2089" s="5" t="str">
        <f>IF('[1]All Data '!BB2094="","",'[1]All Data '!BC2094/'[1]All Data '!BH2094)</f>
        <v/>
      </c>
      <c r="O2089" s="5" t="str">
        <f t="shared" si="34"/>
        <v/>
      </c>
      <c r="P2089" s="5" t="str">
        <f>IF(M2089="","",$C$2*(1-L2089)*907.2/0.621371*N2089*[1]Transportation!$M$40)</f>
        <v/>
      </c>
      <c r="Q2089" s="5" t="str">
        <f>IF(L2089="","",IF([1]Inputs_Outputs!$B$5="Herbaceous",(LCA!$E$29*'[1]LOCH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89" s="5" t="str">
        <f>IF(M2089="","",$E$2*1000*'[1]LOCH Calc COE Calc'!$C$44)</f>
        <v/>
      </c>
      <c r="S2089" s="6" t="str">
        <f>IF(N2089="","",SUM(O2089:R2089)/('[1]LOCH Calc COE Calc'!$C$28))</f>
        <v/>
      </c>
      <c r="T2089" t="str">
        <f>IF(L2089="","",O2089/'[1]LOCH Calc COE Calc'!$C$28)</f>
        <v/>
      </c>
      <c r="U2089" t="str">
        <f>IF(L2089="","",P2089/'[1]LOCH Calc COE Calc'!$C$28)</f>
        <v/>
      </c>
      <c r="V2089" t="str">
        <f>IF(L2089="","",Q2089/'[1]LOCH Calc COE Calc'!$C$28)</f>
        <v/>
      </c>
      <c r="W2089" t="str">
        <f>IF(L2089="","",R2089/'[1]LOCH Calc COE Calc'!$C$28)</f>
        <v/>
      </c>
    </row>
    <row r="2090" spans="12:23" x14ac:dyDescent="0.25">
      <c r="L2090" s="4" t="str">
        <f>IF('[1]All Data '!BE2095="","",'[1]All Data '!BE2095)</f>
        <v/>
      </c>
      <c r="M2090" t="str">
        <f>IF('[1]All Data '!BF2095="","",'[1]All Data '!BF2095)</f>
        <v/>
      </c>
      <c r="N2090" s="5" t="str">
        <f>IF('[1]All Data '!BB2095="","",'[1]All Data '!BC2095/'[1]All Data '!BH2095)</f>
        <v/>
      </c>
      <c r="O2090" s="5" t="str">
        <f t="shared" si="34"/>
        <v/>
      </c>
      <c r="P2090" s="5" t="str">
        <f>IF(M2090="","",$C$2*(1-L2090)*907.2/0.621371*N2090*[1]Transportation!$M$40)</f>
        <v/>
      </c>
      <c r="Q2090" s="5" t="str">
        <f>IF(L2090="","",IF([1]Inputs_Outputs!$B$5="Herbaceous",(LCA!$E$29*'[1]LOCH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0" s="5" t="str">
        <f>IF(M2090="","",$E$2*1000*'[1]LOCH Calc COE Calc'!$C$44)</f>
        <v/>
      </c>
      <c r="S2090" s="6" t="str">
        <f>IF(N2090="","",SUM(O2090:R2090)/('[1]LOCH Calc COE Calc'!$C$28))</f>
        <v/>
      </c>
      <c r="T2090" t="str">
        <f>IF(L2090="","",O2090/'[1]LOCH Calc COE Calc'!$C$28)</f>
        <v/>
      </c>
      <c r="U2090" t="str">
        <f>IF(L2090="","",P2090/'[1]LOCH Calc COE Calc'!$C$28)</f>
        <v/>
      </c>
      <c r="V2090" t="str">
        <f>IF(L2090="","",Q2090/'[1]LOCH Calc COE Calc'!$C$28)</f>
        <v/>
      </c>
      <c r="W2090" t="str">
        <f>IF(L2090="","",R2090/'[1]LOCH Calc COE Calc'!$C$28)</f>
        <v/>
      </c>
    </row>
    <row r="2091" spans="12:23" x14ac:dyDescent="0.25">
      <c r="L2091" s="4" t="str">
        <f>IF('[1]All Data '!BE2096="","",'[1]All Data '!BE2096)</f>
        <v/>
      </c>
      <c r="M2091" t="str">
        <f>IF('[1]All Data '!BF2096="","",'[1]All Data '!BF2096)</f>
        <v/>
      </c>
      <c r="N2091" s="5" t="str">
        <f>IF('[1]All Data '!BB2096="","",'[1]All Data '!BC2096/'[1]All Data '!BH2096)</f>
        <v/>
      </c>
      <c r="O2091" s="5" t="str">
        <f t="shared" si="34"/>
        <v/>
      </c>
      <c r="P2091" s="5" t="str">
        <f>IF(M2091="","",$C$2*(1-L2091)*907.2/0.621371*N2091*[1]Transportation!$M$40)</f>
        <v/>
      </c>
      <c r="Q2091" s="5" t="str">
        <f>IF(L2091="","",IF([1]Inputs_Outputs!$B$5="Herbaceous",(LCA!$E$29*'[1]LOCH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1" s="5" t="str">
        <f>IF(M2091="","",$E$2*1000*'[1]LOCH Calc COE Calc'!$C$44)</f>
        <v/>
      </c>
      <c r="S2091" s="6" t="str">
        <f>IF(N2091="","",SUM(O2091:R2091)/('[1]LOCH Calc COE Calc'!$C$28))</f>
        <v/>
      </c>
      <c r="T2091" t="str">
        <f>IF(L2091="","",O2091/'[1]LOCH Calc COE Calc'!$C$28)</f>
        <v/>
      </c>
      <c r="U2091" t="str">
        <f>IF(L2091="","",P2091/'[1]LOCH Calc COE Calc'!$C$28)</f>
        <v/>
      </c>
      <c r="V2091" t="str">
        <f>IF(L2091="","",Q2091/'[1]LOCH Calc COE Calc'!$C$28)</f>
        <v/>
      </c>
      <c r="W2091" t="str">
        <f>IF(L2091="","",R2091/'[1]LOCH Calc COE Calc'!$C$28)</f>
        <v/>
      </c>
    </row>
    <row r="2092" spans="12:23" x14ac:dyDescent="0.25">
      <c r="L2092" s="4" t="str">
        <f>IF('[1]All Data '!BE2097="","",'[1]All Data '!BE2097)</f>
        <v/>
      </c>
      <c r="M2092" t="str">
        <f>IF('[1]All Data '!BF2097="","",'[1]All Data '!BF2097)</f>
        <v/>
      </c>
      <c r="N2092" s="5" t="str">
        <f>IF('[1]All Data '!BB2097="","",'[1]All Data '!BC2097/'[1]All Data '!BH2097)</f>
        <v/>
      </c>
      <c r="O2092" s="5" t="str">
        <f t="shared" si="34"/>
        <v/>
      </c>
      <c r="P2092" s="5" t="str">
        <f>IF(M2092="","",$C$2*(1-L2092)*907.2/0.621371*N2092*[1]Transportation!$M$40)</f>
        <v/>
      </c>
      <c r="Q2092" s="5" t="str">
        <f>IF(L2092="","",IF([1]Inputs_Outputs!$B$5="Herbaceous",(LCA!$E$29*'[1]LOCH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2" s="5" t="str">
        <f>IF(M2092="","",$E$2*1000*'[1]LOCH Calc COE Calc'!$C$44)</f>
        <v/>
      </c>
      <c r="S2092" s="6" t="str">
        <f>IF(N2092="","",SUM(O2092:R2092)/('[1]LOCH Calc COE Calc'!$C$28))</f>
        <v/>
      </c>
      <c r="T2092" t="str">
        <f>IF(L2092="","",O2092/'[1]LOCH Calc COE Calc'!$C$28)</f>
        <v/>
      </c>
      <c r="U2092" t="str">
        <f>IF(L2092="","",P2092/'[1]LOCH Calc COE Calc'!$C$28)</f>
        <v/>
      </c>
      <c r="V2092" t="str">
        <f>IF(L2092="","",Q2092/'[1]LOCH Calc COE Calc'!$C$28)</f>
        <v/>
      </c>
      <c r="W2092" t="str">
        <f>IF(L2092="","",R2092/'[1]LOCH Calc COE Calc'!$C$28)</f>
        <v/>
      </c>
    </row>
    <row r="2093" spans="12:23" x14ac:dyDescent="0.25">
      <c r="L2093" s="4" t="str">
        <f>IF('[1]All Data '!BE2098="","",'[1]All Data '!BE2098)</f>
        <v/>
      </c>
      <c r="M2093" t="str">
        <f>IF('[1]All Data '!BF2098="","",'[1]All Data '!BF2098)</f>
        <v/>
      </c>
      <c r="N2093" s="5" t="str">
        <f>IF('[1]All Data '!BB2098="","",'[1]All Data '!BC2098/'[1]All Data '!BH2098)</f>
        <v/>
      </c>
      <c r="O2093" s="5" t="str">
        <f t="shared" si="34"/>
        <v/>
      </c>
      <c r="P2093" s="5" t="str">
        <f>IF(M2093="","",$C$2*(1-L2093)*907.2/0.621371*N2093*[1]Transportation!$M$40)</f>
        <v/>
      </c>
      <c r="Q2093" s="5" t="str">
        <f>IF(L2093="","",IF([1]Inputs_Outputs!$B$5="Herbaceous",(LCA!$E$29*'[1]LOCH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3" s="5" t="str">
        <f>IF(M2093="","",$E$2*1000*'[1]LOCH Calc COE Calc'!$C$44)</f>
        <v/>
      </c>
      <c r="S2093" s="6" t="str">
        <f>IF(N2093="","",SUM(O2093:R2093)/('[1]LOCH Calc COE Calc'!$C$28))</f>
        <v/>
      </c>
      <c r="T2093" t="str">
        <f>IF(L2093="","",O2093/'[1]LOCH Calc COE Calc'!$C$28)</f>
        <v/>
      </c>
      <c r="U2093" t="str">
        <f>IF(L2093="","",P2093/'[1]LOCH Calc COE Calc'!$C$28)</f>
        <v/>
      </c>
      <c r="V2093" t="str">
        <f>IF(L2093="","",Q2093/'[1]LOCH Calc COE Calc'!$C$28)</f>
        <v/>
      </c>
      <c r="W2093" t="str">
        <f>IF(L2093="","",R2093/'[1]LOCH Calc COE Calc'!$C$28)</f>
        <v/>
      </c>
    </row>
    <row r="2094" spans="12:23" x14ac:dyDescent="0.25">
      <c r="L2094" s="4" t="str">
        <f>IF('[1]All Data '!BE2099="","",'[1]All Data '!BE2099)</f>
        <v/>
      </c>
      <c r="M2094" t="str">
        <f>IF('[1]All Data '!BF2099="","",'[1]All Data '!BF2099)</f>
        <v/>
      </c>
      <c r="N2094" s="5" t="str">
        <f>IF('[1]All Data '!BB2099="","",'[1]All Data '!BC2099/'[1]All Data '!BH2099)</f>
        <v/>
      </c>
      <c r="O2094" s="5" t="str">
        <f t="shared" si="34"/>
        <v/>
      </c>
      <c r="P2094" s="5" t="str">
        <f>IF(M2094="","",$C$2*(1-L2094)*907.2/0.621371*N2094*[1]Transportation!$M$40)</f>
        <v/>
      </c>
      <c r="Q2094" s="5" t="str">
        <f>IF(L2094="","",IF([1]Inputs_Outputs!$B$5="Herbaceous",(LCA!$E$29*'[1]LOCH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4" s="5" t="str">
        <f>IF(M2094="","",$E$2*1000*'[1]LOCH Calc COE Calc'!$C$44)</f>
        <v/>
      </c>
      <c r="S2094" s="6" t="str">
        <f>IF(N2094="","",SUM(O2094:R2094)/('[1]LOCH Calc COE Calc'!$C$28))</f>
        <v/>
      </c>
      <c r="T2094" t="str">
        <f>IF(L2094="","",O2094/'[1]LOCH Calc COE Calc'!$C$28)</f>
        <v/>
      </c>
      <c r="U2094" t="str">
        <f>IF(L2094="","",P2094/'[1]LOCH Calc COE Calc'!$C$28)</f>
        <v/>
      </c>
      <c r="V2094" t="str">
        <f>IF(L2094="","",Q2094/'[1]LOCH Calc COE Calc'!$C$28)</f>
        <v/>
      </c>
      <c r="W2094" t="str">
        <f>IF(L2094="","",R2094/'[1]LOCH Calc COE Calc'!$C$28)</f>
        <v/>
      </c>
    </row>
    <row r="2095" spans="12:23" x14ac:dyDescent="0.25">
      <c r="L2095" s="4" t="str">
        <f>IF('[1]All Data '!BE2100="","",'[1]All Data '!BE2100)</f>
        <v/>
      </c>
      <c r="M2095" t="str">
        <f>IF('[1]All Data '!BF2100="","",'[1]All Data '!BF2100)</f>
        <v/>
      </c>
      <c r="N2095" s="5" t="str">
        <f>IF('[1]All Data '!BB2100="","",'[1]All Data '!BC2100/'[1]All Data '!BH2100)</f>
        <v/>
      </c>
      <c r="O2095" s="5" t="str">
        <f t="shared" si="34"/>
        <v/>
      </c>
      <c r="P2095" s="5" t="str">
        <f>IF(M2095="","",$C$2*(1-L2095)*907.2/0.621371*N2095*[1]Transportation!$M$40)</f>
        <v/>
      </c>
      <c r="Q2095" s="5" t="str">
        <f>IF(L2095="","",IF([1]Inputs_Outputs!$B$5="Herbaceous",(LCA!$E$29*'[1]LOCH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5" s="5" t="str">
        <f>IF(M2095="","",$E$2*1000*'[1]LOCH Calc COE Calc'!$C$44)</f>
        <v/>
      </c>
      <c r="S2095" s="6" t="str">
        <f>IF(N2095="","",SUM(O2095:R2095)/('[1]LOCH Calc COE Calc'!$C$28))</f>
        <v/>
      </c>
      <c r="T2095" t="str">
        <f>IF(L2095="","",O2095/'[1]LOCH Calc COE Calc'!$C$28)</f>
        <v/>
      </c>
      <c r="U2095" t="str">
        <f>IF(L2095="","",P2095/'[1]LOCH Calc COE Calc'!$C$28)</f>
        <v/>
      </c>
      <c r="V2095" t="str">
        <f>IF(L2095="","",Q2095/'[1]LOCH Calc COE Calc'!$C$28)</f>
        <v/>
      </c>
      <c r="W2095" t="str">
        <f>IF(L2095="","",R2095/'[1]LOCH Calc COE Calc'!$C$28)</f>
        <v/>
      </c>
    </row>
    <row r="2096" spans="12:23" x14ac:dyDescent="0.25">
      <c r="L2096" s="4" t="str">
        <f>IF('[1]All Data '!BE2101="","",'[1]All Data '!BE2101)</f>
        <v/>
      </c>
      <c r="M2096" t="str">
        <f>IF('[1]All Data '!BF2101="","",'[1]All Data '!BF2101)</f>
        <v/>
      </c>
      <c r="N2096" s="5" t="str">
        <f>IF('[1]All Data '!BB2101="","",'[1]All Data '!BC2101/'[1]All Data '!BH2101)</f>
        <v/>
      </c>
      <c r="O2096" s="5" t="str">
        <f t="shared" si="34"/>
        <v/>
      </c>
      <c r="P2096" s="5" t="str">
        <f>IF(M2096="","",$C$2*(1-L2096)*907.2/0.621371*N2096*[1]Transportation!$M$40)</f>
        <v/>
      </c>
      <c r="Q2096" s="5" t="str">
        <f>IF(L2096="","",IF([1]Inputs_Outputs!$B$5="Herbaceous",(LCA!$E$29*'[1]LOCH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6" s="5" t="str">
        <f>IF(M2096="","",$E$2*1000*'[1]LOCH Calc COE Calc'!$C$44)</f>
        <v/>
      </c>
      <c r="S2096" s="6" t="str">
        <f>IF(N2096="","",SUM(O2096:R2096)/('[1]LOCH Calc COE Calc'!$C$28))</f>
        <v/>
      </c>
      <c r="T2096" t="str">
        <f>IF(L2096="","",O2096/'[1]LOCH Calc COE Calc'!$C$28)</f>
        <v/>
      </c>
      <c r="U2096" t="str">
        <f>IF(L2096="","",P2096/'[1]LOCH Calc COE Calc'!$C$28)</f>
        <v/>
      </c>
      <c r="V2096" t="str">
        <f>IF(L2096="","",Q2096/'[1]LOCH Calc COE Calc'!$C$28)</f>
        <v/>
      </c>
      <c r="W2096" t="str">
        <f>IF(L2096="","",R2096/'[1]LOCH Calc COE Calc'!$C$28)</f>
        <v/>
      </c>
    </row>
    <row r="2097" spans="12:23" x14ac:dyDescent="0.25">
      <c r="L2097" s="4" t="str">
        <f>IF('[1]All Data '!BE2102="","",'[1]All Data '!BE2102)</f>
        <v/>
      </c>
      <c r="M2097" t="str">
        <f>IF('[1]All Data '!BF2102="","",'[1]All Data '!BF2102)</f>
        <v/>
      </c>
      <c r="N2097" s="5" t="str">
        <f>IF('[1]All Data '!BB2102="","",'[1]All Data '!BC2102/'[1]All Data '!BH2102)</f>
        <v/>
      </c>
      <c r="O2097" s="5" t="str">
        <f t="shared" si="34"/>
        <v/>
      </c>
      <c r="P2097" s="5" t="str">
        <f>IF(M2097="","",$C$2*(1-L2097)*907.2/0.621371*N2097*[1]Transportation!$M$40)</f>
        <v/>
      </c>
      <c r="Q2097" s="5" t="str">
        <f>IF(L2097="","",IF([1]Inputs_Outputs!$B$5="Herbaceous",(LCA!$E$29*'[1]LOCH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7" s="5" t="str">
        <f>IF(M2097="","",$E$2*1000*'[1]LOCH Calc COE Calc'!$C$44)</f>
        <v/>
      </c>
      <c r="S2097" s="6" t="str">
        <f>IF(N2097="","",SUM(O2097:R2097)/('[1]LOCH Calc COE Calc'!$C$28))</f>
        <v/>
      </c>
      <c r="T2097" t="str">
        <f>IF(L2097="","",O2097/'[1]LOCH Calc COE Calc'!$C$28)</f>
        <v/>
      </c>
      <c r="U2097" t="str">
        <f>IF(L2097="","",P2097/'[1]LOCH Calc COE Calc'!$C$28)</f>
        <v/>
      </c>
      <c r="V2097" t="str">
        <f>IF(L2097="","",Q2097/'[1]LOCH Calc COE Calc'!$C$28)</f>
        <v/>
      </c>
      <c r="W2097" t="str">
        <f>IF(L2097="","",R2097/'[1]LOCH Calc COE Calc'!$C$28)</f>
        <v/>
      </c>
    </row>
    <row r="2098" spans="12:23" x14ac:dyDescent="0.25">
      <c r="L2098" s="4" t="str">
        <f>IF('[1]All Data '!BE2103="","",'[1]All Data '!BE2103)</f>
        <v/>
      </c>
      <c r="M2098" t="str">
        <f>IF('[1]All Data '!BF2103="","",'[1]All Data '!BF2103)</f>
        <v/>
      </c>
      <c r="N2098" s="5" t="str">
        <f>IF('[1]All Data '!BB2103="","",'[1]All Data '!BC2103/'[1]All Data '!BH2103)</f>
        <v/>
      </c>
      <c r="O2098" s="5" t="str">
        <f t="shared" si="34"/>
        <v/>
      </c>
      <c r="P2098" s="5" t="str">
        <f>IF(M2098="","",$C$2*(1-L2098)*907.2/0.621371*N2098*[1]Transportation!$M$40)</f>
        <v/>
      </c>
      <c r="Q2098" s="5" t="str">
        <f>IF(L2098="","",IF([1]Inputs_Outputs!$B$5="Herbaceous",(LCA!$E$29*'[1]LOCH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8" s="5" t="str">
        <f>IF(M2098="","",$E$2*1000*'[1]LOCH Calc COE Calc'!$C$44)</f>
        <v/>
      </c>
      <c r="S2098" s="6" t="str">
        <f>IF(N2098="","",SUM(O2098:R2098)/('[1]LOCH Calc COE Calc'!$C$28))</f>
        <v/>
      </c>
      <c r="T2098" t="str">
        <f>IF(L2098="","",O2098/'[1]LOCH Calc COE Calc'!$C$28)</f>
        <v/>
      </c>
      <c r="U2098" t="str">
        <f>IF(L2098="","",P2098/'[1]LOCH Calc COE Calc'!$C$28)</f>
        <v/>
      </c>
      <c r="V2098" t="str">
        <f>IF(L2098="","",Q2098/'[1]LOCH Calc COE Calc'!$C$28)</f>
        <v/>
      </c>
      <c r="W2098" t="str">
        <f>IF(L2098="","",R2098/'[1]LOCH Calc COE Calc'!$C$28)</f>
        <v/>
      </c>
    </row>
    <row r="2099" spans="12:23" x14ac:dyDescent="0.25">
      <c r="L2099" s="4" t="str">
        <f>IF('[1]All Data '!BE2104="","",'[1]All Data '!BE2104)</f>
        <v/>
      </c>
      <c r="M2099" t="str">
        <f>IF('[1]All Data '!BF2104="","",'[1]All Data '!BF2104)</f>
        <v/>
      </c>
      <c r="N2099" s="5" t="str">
        <f>IF('[1]All Data '!BB2104="","",'[1]All Data '!BC2104/'[1]All Data '!BH2104)</f>
        <v/>
      </c>
      <c r="O2099" s="5" t="str">
        <f t="shared" si="34"/>
        <v/>
      </c>
      <c r="P2099" s="5" t="str">
        <f>IF(M2099="","",$C$2*(1-L2099)*907.2/0.621371*N2099*[1]Transportation!$M$40)</f>
        <v/>
      </c>
      <c r="Q2099" s="5" t="str">
        <f>IF(L2099="","",IF([1]Inputs_Outputs!$B$5="Herbaceous",(LCA!$E$29*'[1]LOCH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099" s="5" t="str">
        <f>IF(M2099="","",$E$2*1000*'[1]LOCH Calc COE Calc'!$C$44)</f>
        <v/>
      </c>
      <c r="S2099" s="6" t="str">
        <f>IF(N2099="","",SUM(O2099:R2099)/('[1]LOCH Calc COE Calc'!$C$28))</f>
        <v/>
      </c>
      <c r="T2099" t="str">
        <f>IF(L2099="","",O2099/'[1]LOCH Calc COE Calc'!$C$28)</f>
        <v/>
      </c>
      <c r="U2099" t="str">
        <f>IF(L2099="","",P2099/'[1]LOCH Calc COE Calc'!$C$28)</f>
        <v/>
      </c>
      <c r="V2099" t="str">
        <f>IF(L2099="","",Q2099/'[1]LOCH Calc COE Calc'!$C$28)</f>
        <v/>
      </c>
      <c r="W2099" t="str">
        <f>IF(L2099="","",R2099/'[1]LOCH Calc COE Calc'!$C$28)</f>
        <v/>
      </c>
    </row>
    <row r="2100" spans="12:23" x14ac:dyDescent="0.25">
      <c r="L2100" s="4" t="str">
        <f>IF('[1]All Data '!BE2105="","",'[1]All Data '!BE2105)</f>
        <v/>
      </c>
      <c r="M2100" t="str">
        <f>IF('[1]All Data '!BF2105="","",'[1]All Data '!BF2105)</f>
        <v/>
      </c>
      <c r="N2100" s="5" t="str">
        <f>IF('[1]All Data '!BB2105="","",'[1]All Data '!BC2105/'[1]All Data '!BH2105)</f>
        <v/>
      </c>
      <c r="O2100" s="5" t="str">
        <f t="shared" si="34"/>
        <v/>
      </c>
      <c r="P2100" s="5" t="str">
        <f>IF(M2100="","",$C$2*(1-L2100)*907.2/0.621371*N2100*[1]Transportation!$M$40)</f>
        <v/>
      </c>
      <c r="Q2100" s="5" t="str">
        <f>IF(L2100="","",IF([1]Inputs_Outputs!$B$5="Herbaceous",(LCA!$E$29*'[1]LOCH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0" s="5" t="str">
        <f>IF(M2100="","",$E$2*1000*'[1]LOCH Calc COE Calc'!$C$44)</f>
        <v/>
      </c>
      <c r="S2100" s="6" t="str">
        <f>IF(N2100="","",SUM(O2100:R2100)/('[1]LOCH Calc COE Calc'!$C$28))</f>
        <v/>
      </c>
      <c r="T2100" t="str">
        <f>IF(L2100="","",O2100/'[1]LOCH Calc COE Calc'!$C$28)</f>
        <v/>
      </c>
      <c r="U2100" t="str">
        <f>IF(L2100="","",P2100/'[1]LOCH Calc COE Calc'!$C$28)</f>
        <v/>
      </c>
      <c r="V2100" t="str">
        <f>IF(L2100="","",Q2100/'[1]LOCH Calc COE Calc'!$C$28)</f>
        <v/>
      </c>
      <c r="W2100" t="str">
        <f>IF(L2100="","",R2100/'[1]LOCH Calc COE Calc'!$C$28)</f>
        <v/>
      </c>
    </row>
    <row r="2101" spans="12:23" x14ac:dyDescent="0.25">
      <c r="L2101" s="4" t="str">
        <f>IF('[1]All Data '!BE2106="","",'[1]All Data '!BE2106)</f>
        <v/>
      </c>
      <c r="M2101" t="str">
        <f>IF('[1]All Data '!BF2106="","",'[1]All Data '!BF2106)</f>
        <v/>
      </c>
      <c r="N2101" s="5" t="str">
        <f>IF('[1]All Data '!BB2106="","",'[1]All Data '!BC2106/'[1]All Data '!BH2106)</f>
        <v/>
      </c>
      <c r="O2101" s="5" t="str">
        <f t="shared" si="34"/>
        <v/>
      </c>
      <c r="P2101" s="5" t="str">
        <f>IF(M2101="","",$C$2*(1-L2101)*907.2/0.621371*N2101*[1]Transportation!$M$40)</f>
        <v/>
      </c>
      <c r="Q2101" s="5" t="str">
        <f>IF(L2101="","",IF([1]Inputs_Outputs!$B$5="Herbaceous",(LCA!$E$29*'[1]LOCH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1" s="5" t="str">
        <f>IF(M2101="","",$E$2*1000*'[1]LOCH Calc COE Calc'!$C$44)</f>
        <v/>
      </c>
      <c r="S2101" s="6" t="str">
        <f>IF(N2101="","",SUM(O2101:R2101)/('[1]LOCH Calc COE Calc'!$C$28))</f>
        <v/>
      </c>
      <c r="T2101" t="str">
        <f>IF(L2101="","",O2101/'[1]LOCH Calc COE Calc'!$C$28)</f>
        <v/>
      </c>
      <c r="U2101" t="str">
        <f>IF(L2101="","",P2101/'[1]LOCH Calc COE Calc'!$C$28)</f>
        <v/>
      </c>
      <c r="V2101" t="str">
        <f>IF(L2101="","",Q2101/'[1]LOCH Calc COE Calc'!$C$28)</f>
        <v/>
      </c>
      <c r="W2101" t="str">
        <f>IF(L2101="","",R2101/'[1]LOCH Calc COE Calc'!$C$28)</f>
        <v/>
      </c>
    </row>
    <row r="2102" spans="12:23" x14ac:dyDescent="0.25">
      <c r="L2102" s="4" t="str">
        <f>IF('[1]All Data '!BE2107="","",'[1]All Data '!BE2107)</f>
        <v/>
      </c>
      <c r="M2102" t="str">
        <f>IF('[1]All Data '!BF2107="","",'[1]All Data '!BF2107)</f>
        <v/>
      </c>
      <c r="N2102" s="5" t="str">
        <f>IF('[1]All Data '!BB2107="","",'[1]All Data '!BC2107/'[1]All Data '!BH2107)</f>
        <v/>
      </c>
      <c r="O2102" s="5" t="str">
        <f t="shared" si="34"/>
        <v/>
      </c>
      <c r="P2102" s="5" t="str">
        <f>IF(M2102="","",$C$2*(1-L2102)*907.2/0.621371*N2102*[1]Transportation!$M$40)</f>
        <v/>
      </c>
      <c r="Q2102" s="5" t="str">
        <f>IF(L2102="","",IF([1]Inputs_Outputs!$B$5="Herbaceous",(LCA!$E$29*'[1]LOCH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2" s="5" t="str">
        <f>IF(M2102="","",$E$2*1000*'[1]LOCH Calc COE Calc'!$C$44)</f>
        <v/>
      </c>
      <c r="S2102" s="6" t="str">
        <f>IF(N2102="","",SUM(O2102:R2102)/('[1]LOCH Calc COE Calc'!$C$28))</f>
        <v/>
      </c>
      <c r="T2102" t="str">
        <f>IF(L2102="","",O2102/'[1]LOCH Calc COE Calc'!$C$28)</f>
        <v/>
      </c>
      <c r="U2102" t="str">
        <f>IF(L2102="","",P2102/'[1]LOCH Calc COE Calc'!$C$28)</f>
        <v/>
      </c>
      <c r="V2102" t="str">
        <f>IF(L2102="","",Q2102/'[1]LOCH Calc COE Calc'!$C$28)</f>
        <v/>
      </c>
      <c r="W2102" t="str">
        <f>IF(L2102="","",R2102/'[1]LOCH Calc COE Calc'!$C$28)</f>
        <v/>
      </c>
    </row>
    <row r="2103" spans="12:23" x14ac:dyDescent="0.25">
      <c r="L2103" s="4" t="str">
        <f>IF('[1]All Data '!BE2108="","",'[1]All Data '!BE2108)</f>
        <v/>
      </c>
      <c r="M2103" t="str">
        <f>IF('[1]All Data '!BF2108="","",'[1]All Data '!BF2108)</f>
        <v/>
      </c>
      <c r="N2103" s="5" t="str">
        <f>IF('[1]All Data '!BB2108="","",'[1]All Data '!BC2108/'[1]All Data '!BH2108)</f>
        <v/>
      </c>
      <c r="O2103" s="5" t="str">
        <f t="shared" si="34"/>
        <v/>
      </c>
      <c r="P2103" s="5" t="str">
        <f>IF(M2103="","",$C$2*(1-L2103)*907.2/0.621371*N2103*[1]Transportation!$M$40)</f>
        <v/>
      </c>
      <c r="Q2103" s="5" t="str">
        <f>IF(L2103="","",IF([1]Inputs_Outputs!$B$5="Herbaceous",(LCA!$E$29*'[1]LOCH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3" s="5" t="str">
        <f>IF(M2103="","",$E$2*1000*'[1]LOCH Calc COE Calc'!$C$44)</f>
        <v/>
      </c>
      <c r="S2103" s="6" t="str">
        <f>IF(N2103="","",SUM(O2103:R2103)/('[1]LOCH Calc COE Calc'!$C$28))</f>
        <v/>
      </c>
      <c r="T2103" t="str">
        <f>IF(L2103="","",O2103/'[1]LOCH Calc COE Calc'!$C$28)</f>
        <v/>
      </c>
      <c r="U2103" t="str">
        <f>IF(L2103="","",P2103/'[1]LOCH Calc COE Calc'!$C$28)</f>
        <v/>
      </c>
      <c r="V2103" t="str">
        <f>IF(L2103="","",Q2103/'[1]LOCH Calc COE Calc'!$C$28)</f>
        <v/>
      </c>
      <c r="W2103" t="str">
        <f>IF(L2103="","",R2103/'[1]LOCH Calc COE Calc'!$C$28)</f>
        <v/>
      </c>
    </row>
    <row r="2104" spans="12:23" x14ac:dyDescent="0.25">
      <c r="L2104" s="4" t="str">
        <f>IF('[1]All Data '!BE2109="","",'[1]All Data '!BE2109)</f>
        <v/>
      </c>
      <c r="M2104" t="str">
        <f>IF('[1]All Data '!BF2109="","",'[1]All Data '!BF2109)</f>
        <v/>
      </c>
      <c r="N2104" s="5" t="str">
        <f>IF('[1]All Data '!BB2109="","",'[1]All Data '!BC2109/'[1]All Data '!BH2109)</f>
        <v/>
      </c>
      <c r="O2104" s="5" t="str">
        <f t="shared" si="34"/>
        <v/>
      </c>
      <c r="P2104" s="5" t="str">
        <f>IF(M2104="","",$C$2*(1-L2104)*907.2/0.621371*N2104*[1]Transportation!$M$40)</f>
        <v/>
      </c>
      <c r="Q2104" s="5" t="str">
        <f>IF(L2104="","",IF([1]Inputs_Outputs!$B$5="Herbaceous",(LCA!$E$29*'[1]LOCH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4" s="5" t="str">
        <f>IF(M2104="","",$E$2*1000*'[1]LOCH Calc COE Calc'!$C$44)</f>
        <v/>
      </c>
      <c r="S2104" s="6" t="str">
        <f>IF(N2104="","",SUM(O2104:R2104)/('[1]LOCH Calc COE Calc'!$C$28))</f>
        <v/>
      </c>
      <c r="T2104" t="str">
        <f>IF(L2104="","",O2104/'[1]LOCH Calc COE Calc'!$C$28)</f>
        <v/>
      </c>
      <c r="U2104" t="str">
        <f>IF(L2104="","",P2104/'[1]LOCH Calc COE Calc'!$C$28)</f>
        <v/>
      </c>
      <c r="V2104" t="str">
        <f>IF(L2104="","",Q2104/'[1]LOCH Calc COE Calc'!$C$28)</f>
        <v/>
      </c>
      <c r="W2104" t="str">
        <f>IF(L2104="","",R2104/'[1]LOCH Calc COE Calc'!$C$28)</f>
        <v/>
      </c>
    </row>
    <row r="2105" spans="12:23" x14ac:dyDescent="0.25">
      <c r="L2105" s="4" t="str">
        <f>IF('[1]All Data '!BE2110="","",'[1]All Data '!BE2110)</f>
        <v/>
      </c>
      <c r="M2105" t="str">
        <f>IF('[1]All Data '!BF2110="","",'[1]All Data '!BF2110)</f>
        <v/>
      </c>
      <c r="N2105" s="5" t="str">
        <f>IF('[1]All Data '!BB2110="","",'[1]All Data '!BC2110/'[1]All Data '!BH2110)</f>
        <v/>
      </c>
      <c r="O2105" s="5" t="str">
        <f t="shared" si="34"/>
        <v/>
      </c>
      <c r="P2105" s="5" t="str">
        <f>IF(M2105="","",$C$2*(1-L2105)*907.2/0.621371*N2105*[1]Transportation!$M$40)</f>
        <v/>
      </c>
      <c r="Q2105" s="5" t="str">
        <f>IF(L2105="","",IF([1]Inputs_Outputs!$B$5="Herbaceous",(LCA!$E$29*'[1]LOCH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5" s="5" t="str">
        <f>IF(M2105="","",$E$2*1000*'[1]LOCH Calc COE Calc'!$C$44)</f>
        <v/>
      </c>
      <c r="S2105" s="6" t="str">
        <f>IF(N2105="","",SUM(O2105:R2105)/('[1]LOCH Calc COE Calc'!$C$28))</f>
        <v/>
      </c>
      <c r="T2105" t="str">
        <f>IF(L2105="","",O2105/'[1]LOCH Calc COE Calc'!$C$28)</f>
        <v/>
      </c>
      <c r="U2105" t="str">
        <f>IF(L2105="","",P2105/'[1]LOCH Calc COE Calc'!$C$28)</f>
        <v/>
      </c>
      <c r="V2105" t="str">
        <f>IF(L2105="","",Q2105/'[1]LOCH Calc COE Calc'!$C$28)</f>
        <v/>
      </c>
      <c r="W2105" t="str">
        <f>IF(L2105="","",R2105/'[1]LOCH Calc COE Calc'!$C$28)</f>
        <v/>
      </c>
    </row>
    <row r="2106" spans="12:23" x14ac:dyDescent="0.25">
      <c r="L2106" s="4" t="str">
        <f>IF('[1]All Data '!BE2111="","",'[1]All Data '!BE2111)</f>
        <v/>
      </c>
      <c r="M2106" t="str">
        <f>IF('[1]All Data '!BF2111="","",'[1]All Data '!BF2111)</f>
        <v/>
      </c>
      <c r="N2106" s="5" t="str">
        <f>IF('[1]All Data '!BB2111="","",'[1]All Data '!BC2111/'[1]All Data '!BH2111)</f>
        <v/>
      </c>
      <c r="O2106" s="5" t="str">
        <f t="shared" si="34"/>
        <v/>
      </c>
      <c r="P2106" s="5" t="str">
        <f>IF(M2106="","",$C$2*(1-L2106)*907.2/0.621371*N2106*[1]Transportation!$M$40)</f>
        <v/>
      </c>
      <c r="Q2106" s="5" t="str">
        <f>IF(L2106="","",IF([1]Inputs_Outputs!$B$5="Herbaceous",(LCA!$E$29*'[1]LOCH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6" s="5" t="str">
        <f>IF(M2106="","",$E$2*1000*'[1]LOCH Calc COE Calc'!$C$44)</f>
        <v/>
      </c>
      <c r="S2106" s="6" t="str">
        <f>IF(N2106="","",SUM(O2106:R2106)/('[1]LOCH Calc COE Calc'!$C$28))</f>
        <v/>
      </c>
      <c r="T2106" t="str">
        <f>IF(L2106="","",O2106/'[1]LOCH Calc COE Calc'!$C$28)</f>
        <v/>
      </c>
      <c r="U2106" t="str">
        <f>IF(L2106="","",P2106/'[1]LOCH Calc COE Calc'!$C$28)</f>
        <v/>
      </c>
      <c r="V2106" t="str">
        <f>IF(L2106="","",Q2106/'[1]LOCH Calc COE Calc'!$C$28)</f>
        <v/>
      </c>
      <c r="W2106" t="str">
        <f>IF(L2106="","",R2106/'[1]LOCH Calc COE Calc'!$C$28)</f>
        <v/>
      </c>
    </row>
    <row r="2107" spans="12:23" x14ac:dyDescent="0.25">
      <c r="L2107" s="4" t="str">
        <f>IF('[1]All Data '!BE2112="","",'[1]All Data '!BE2112)</f>
        <v/>
      </c>
      <c r="M2107" t="str">
        <f>IF('[1]All Data '!BF2112="","",'[1]All Data '!BF2112)</f>
        <v/>
      </c>
      <c r="N2107" s="5" t="str">
        <f>IF('[1]All Data '!BB2112="","",'[1]All Data '!BC2112/'[1]All Data '!BH2112)</f>
        <v/>
      </c>
      <c r="O2107" s="5" t="str">
        <f t="shared" si="34"/>
        <v/>
      </c>
      <c r="P2107" s="5" t="str">
        <f>IF(M2107="","",$C$2*(1-L2107)*907.2/0.621371*N2107*[1]Transportation!$M$40)</f>
        <v/>
      </c>
      <c r="Q2107" s="5" t="str">
        <f>IF(L2107="","",IF([1]Inputs_Outputs!$B$5="Herbaceous",(LCA!$E$29*'[1]LOCH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7" s="5" t="str">
        <f>IF(M2107="","",$E$2*1000*'[1]LOCH Calc COE Calc'!$C$44)</f>
        <v/>
      </c>
      <c r="S2107" s="6" t="str">
        <f>IF(N2107="","",SUM(O2107:R2107)/('[1]LOCH Calc COE Calc'!$C$28))</f>
        <v/>
      </c>
      <c r="T2107" t="str">
        <f>IF(L2107="","",O2107/'[1]LOCH Calc COE Calc'!$C$28)</f>
        <v/>
      </c>
      <c r="U2107" t="str">
        <f>IF(L2107="","",P2107/'[1]LOCH Calc COE Calc'!$C$28)</f>
        <v/>
      </c>
      <c r="V2107" t="str">
        <f>IF(L2107="","",Q2107/'[1]LOCH Calc COE Calc'!$C$28)</f>
        <v/>
      </c>
      <c r="W2107" t="str">
        <f>IF(L2107="","",R2107/'[1]LOCH Calc COE Calc'!$C$28)</f>
        <v/>
      </c>
    </row>
    <row r="2108" spans="12:23" x14ac:dyDescent="0.25">
      <c r="L2108" s="4" t="str">
        <f>IF('[1]All Data '!BE2113="","",'[1]All Data '!BE2113)</f>
        <v/>
      </c>
      <c r="M2108" t="str">
        <f>IF('[1]All Data '!BF2113="","",'[1]All Data '!BF2113)</f>
        <v/>
      </c>
      <c r="N2108" s="5" t="str">
        <f>IF('[1]All Data '!BB2113="","",'[1]All Data '!BC2113/'[1]All Data '!BH2113)</f>
        <v/>
      </c>
      <c r="O2108" s="5" t="str">
        <f t="shared" si="34"/>
        <v/>
      </c>
      <c r="P2108" s="5" t="str">
        <f>IF(M2108="","",$C$2*(1-L2108)*907.2/0.621371*N2108*[1]Transportation!$M$40)</f>
        <v/>
      </c>
      <c r="Q2108" s="5" t="str">
        <f>IF(L2108="","",IF([1]Inputs_Outputs!$B$5="Herbaceous",(LCA!$E$29*'[1]LOCH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8" s="5" t="str">
        <f>IF(M2108="","",$E$2*1000*'[1]LOCH Calc COE Calc'!$C$44)</f>
        <v/>
      </c>
      <c r="S2108" s="6" t="str">
        <f>IF(N2108="","",SUM(O2108:R2108)/('[1]LOCH Calc COE Calc'!$C$28))</f>
        <v/>
      </c>
      <c r="T2108" t="str">
        <f>IF(L2108="","",O2108/'[1]LOCH Calc COE Calc'!$C$28)</f>
        <v/>
      </c>
      <c r="U2108" t="str">
        <f>IF(L2108="","",P2108/'[1]LOCH Calc COE Calc'!$C$28)</f>
        <v/>
      </c>
      <c r="V2108" t="str">
        <f>IF(L2108="","",Q2108/'[1]LOCH Calc COE Calc'!$C$28)</f>
        <v/>
      </c>
      <c r="W2108" t="str">
        <f>IF(L2108="","",R2108/'[1]LOCH Calc COE Calc'!$C$28)</f>
        <v/>
      </c>
    </row>
    <row r="2109" spans="12:23" x14ac:dyDescent="0.25">
      <c r="L2109" s="4" t="str">
        <f>IF('[1]All Data '!BE2114="","",'[1]All Data '!BE2114)</f>
        <v/>
      </c>
      <c r="M2109" t="str">
        <f>IF('[1]All Data '!BF2114="","",'[1]All Data '!BF2114)</f>
        <v/>
      </c>
      <c r="N2109" s="5" t="str">
        <f>IF('[1]All Data '!BB2114="","",'[1]All Data '!BC2114/'[1]All Data '!BH2114)</f>
        <v/>
      </c>
      <c r="O2109" s="5" t="str">
        <f t="shared" si="34"/>
        <v/>
      </c>
      <c r="P2109" s="5" t="str">
        <f>IF(M2109="","",$C$2*(1-L2109)*907.2/0.621371*N2109*[1]Transportation!$M$40)</f>
        <v/>
      </c>
      <c r="Q2109" s="5" t="str">
        <f>IF(L2109="","",IF([1]Inputs_Outputs!$B$5="Herbaceous",(LCA!$E$29*'[1]LOCH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09" s="5" t="str">
        <f>IF(M2109="","",$E$2*1000*'[1]LOCH Calc COE Calc'!$C$44)</f>
        <v/>
      </c>
      <c r="S2109" s="6" t="str">
        <f>IF(N2109="","",SUM(O2109:R2109)/('[1]LOCH Calc COE Calc'!$C$28))</f>
        <v/>
      </c>
      <c r="T2109" t="str">
        <f>IF(L2109="","",O2109/'[1]LOCH Calc COE Calc'!$C$28)</f>
        <v/>
      </c>
      <c r="U2109" t="str">
        <f>IF(L2109="","",P2109/'[1]LOCH Calc COE Calc'!$C$28)</f>
        <v/>
      </c>
      <c r="V2109" t="str">
        <f>IF(L2109="","",Q2109/'[1]LOCH Calc COE Calc'!$C$28)</f>
        <v/>
      </c>
      <c r="W2109" t="str">
        <f>IF(L2109="","",R2109/'[1]LOCH Calc COE Calc'!$C$28)</f>
        <v/>
      </c>
    </row>
    <row r="2110" spans="12:23" x14ac:dyDescent="0.25">
      <c r="L2110" s="4" t="str">
        <f>IF('[1]All Data '!BE2115="","",'[1]All Data '!BE2115)</f>
        <v/>
      </c>
      <c r="M2110" t="str">
        <f>IF('[1]All Data '!BF2115="","",'[1]All Data '!BF2115)</f>
        <v/>
      </c>
      <c r="N2110" s="5" t="str">
        <f>IF('[1]All Data '!BB2115="","",'[1]All Data '!BC2115/'[1]All Data '!BH2115)</f>
        <v/>
      </c>
      <c r="O2110" s="5" t="str">
        <f t="shared" si="34"/>
        <v/>
      </c>
      <c r="P2110" s="5" t="str">
        <f>IF(M2110="","",$C$2*(1-L2110)*907.2/0.621371*N2110*[1]Transportation!$M$40)</f>
        <v/>
      </c>
      <c r="Q2110" s="5" t="str">
        <f>IF(L2110="","",IF([1]Inputs_Outputs!$B$5="Herbaceous",(LCA!$E$29*'[1]LOCH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0" s="5" t="str">
        <f>IF(M2110="","",$E$2*1000*'[1]LOCH Calc COE Calc'!$C$44)</f>
        <v/>
      </c>
      <c r="S2110" s="6" t="str">
        <f>IF(N2110="","",SUM(O2110:R2110)/('[1]LOCH Calc COE Calc'!$C$28))</f>
        <v/>
      </c>
      <c r="T2110" t="str">
        <f>IF(L2110="","",O2110/'[1]LOCH Calc COE Calc'!$C$28)</f>
        <v/>
      </c>
      <c r="U2110" t="str">
        <f>IF(L2110="","",P2110/'[1]LOCH Calc COE Calc'!$C$28)</f>
        <v/>
      </c>
      <c r="V2110" t="str">
        <f>IF(L2110="","",Q2110/'[1]LOCH Calc COE Calc'!$C$28)</f>
        <v/>
      </c>
      <c r="W2110" t="str">
        <f>IF(L2110="","",R2110/'[1]LOCH Calc COE Calc'!$C$28)</f>
        <v/>
      </c>
    </row>
    <row r="2111" spans="12:23" x14ac:dyDescent="0.25">
      <c r="L2111" s="4" t="str">
        <f>IF('[1]All Data '!BE2116="","",'[1]All Data '!BE2116)</f>
        <v/>
      </c>
      <c r="M2111" t="str">
        <f>IF('[1]All Data '!BF2116="","",'[1]All Data '!BF2116)</f>
        <v/>
      </c>
      <c r="N2111" s="5" t="str">
        <f>IF('[1]All Data '!BB2116="","",'[1]All Data '!BC2116/'[1]All Data '!BH2116)</f>
        <v/>
      </c>
      <c r="O2111" s="5" t="str">
        <f t="shared" si="34"/>
        <v/>
      </c>
      <c r="P2111" s="5" t="str">
        <f>IF(M2111="","",$C$2*(1-L2111)*907.2/0.621371*N2111*[1]Transportation!$M$40)</f>
        <v/>
      </c>
      <c r="Q2111" s="5" t="str">
        <f>IF(L2111="","",IF([1]Inputs_Outputs!$B$5="Herbaceous",(LCA!$E$29*'[1]LOCH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1" s="5" t="str">
        <f>IF(M2111="","",$E$2*1000*'[1]LOCH Calc COE Calc'!$C$44)</f>
        <v/>
      </c>
      <c r="S2111" s="6" t="str">
        <f>IF(N2111="","",SUM(O2111:R2111)/('[1]LOCH Calc COE Calc'!$C$28))</f>
        <v/>
      </c>
      <c r="T2111" t="str">
        <f>IF(L2111="","",O2111/'[1]LOCH Calc COE Calc'!$C$28)</f>
        <v/>
      </c>
      <c r="U2111" t="str">
        <f>IF(L2111="","",P2111/'[1]LOCH Calc COE Calc'!$C$28)</f>
        <v/>
      </c>
      <c r="V2111" t="str">
        <f>IF(L2111="","",Q2111/'[1]LOCH Calc COE Calc'!$C$28)</f>
        <v/>
      </c>
      <c r="W2111" t="str">
        <f>IF(L2111="","",R2111/'[1]LOCH Calc COE Calc'!$C$28)</f>
        <v/>
      </c>
    </row>
    <row r="2112" spans="12:23" x14ac:dyDescent="0.25">
      <c r="L2112" s="4" t="str">
        <f>IF('[1]All Data '!BE2117="","",'[1]All Data '!BE2117)</f>
        <v/>
      </c>
      <c r="M2112" t="str">
        <f>IF('[1]All Data '!BF2117="","",'[1]All Data '!BF2117)</f>
        <v/>
      </c>
      <c r="N2112" s="5" t="str">
        <f>IF('[1]All Data '!BB2117="","",'[1]All Data '!BC2117/'[1]All Data '!BH2117)</f>
        <v/>
      </c>
      <c r="O2112" s="5" t="str">
        <f t="shared" si="34"/>
        <v/>
      </c>
      <c r="P2112" s="5" t="str">
        <f>IF(M2112="","",$C$2*(1-L2112)*907.2/0.621371*N2112*[1]Transportation!$M$40)</f>
        <v/>
      </c>
      <c r="Q2112" s="5" t="str">
        <f>IF(L2112="","",IF([1]Inputs_Outputs!$B$5="Herbaceous",(LCA!$E$29*'[1]LOCH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2" s="5" t="str">
        <f>IF(M2112="","",$E$2*1000*'[1]LOCH Calc COE Calc'!$C$44)</f>
        <v/>
      </c>
      <c r="S2112" s="6" t="str">
        <f>IF(N2112="","",SUM(O2112:R2112)/('[1]LOCH Calc COE Calc'!$C$28))</f>
        <v/>
      </c>
      <c r="T2112" t="str">
        <f>IF(L2112="","",O2112/'[1]LOCH Calc COE Calc'!$C$28)</f>
        <v/>
      </c>
      <c r="U2112" t="str">
        <f>IF(L2112="","",P2112/'[1]LOCH Calc COE Calc'!$C$28)</f>
        <v/>
      </c>
      <c r="V2112" t="str">
        <f>IF(L2112="","",Q2112/'[1]LOCH Calc COE Calc'!$C$28)</f>
        <v/>
      </c>
      <c r="W2112" t="str">
        <f>IF(L2112="","",R2112/'[1]LOCH Calc COE Calc'!$C$28)</f>
        <v/>
      </c>
    </row>
    <row r="2113" spans="12:23" x14ac:dyDescent="0.25">
      <c r="L2113" s="4" t="str">
        <f>IF('[1]All Data '!BE2118="","",'[1]All Data '!BE2118)</f>
        <v/>
      </c>
      <c r="M2113" t="str">
        <f>IF('[1]All Data '!BF2118="","",'[1]All Data '!BF2118)</f>
        <v/>
      </c>
      <c r="N2113" s="5" t="str">
        <f>IF('[1]All Data '!BB2118="","",'[1]All Data '!BC2118/'[1]All Data '!BH2118)</f>
        <v/>
      </c>
      <c r="O2113" s="5" t="str">
        <f t="shared" si="34"/>
        <v/>
      </c>
      <c r="P2113" s="5" t="str">
        <f>IF(M2113="","",$C$2*(1-L2113)*907.2/0.621371*N2113*[1]Transportation!$M$40)</f>
        <v/>
      </c>
      <c r="Q2113" s="5" t="str">
        <f>IF(L2113="","",IF([1]Inputs_Outputs!$B$5="Herbaceous",(LCA!$E$29*'[1]LOCH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3" s="5" t="str">
        <f>IF(M2113="","",$E$2*1000*'[1]LOCH Calc COE Calc'!$C$44)</f>
        <v/>
      </c>
      <c r="S2113" s="6" t="str">
        <f>IF(N2113="","",SUM(O2113:R2113)/('[1]LOCH Calc COE Calc'!$C$28))</f>
        <v/>
      </c>
      <c r="T2113" t="str">
        <f>IF(L2113="","",O2113/'[1]LOCH Calc COE Calc'!$C$28)</f>
        <v/>
      </c>
      <c r="U2113" t="str">
        <f>IF(L2113="","",P2113/'[1]LOCH Calc COE Calc'!$C$28)</f>
        <v/>
      </c>
      <c r="V2113" t="str">
        <f>IF(L2113="","",Q2113/'[1]LOCH Calc COE Calc'!$C$28)</f>
        <v/>
      </c>
      <c r="W2113" t="str">
        <f>IF(L2113="","",R2113/'[1]LOCH Calc COE Calc'!$C$28)</f>
        <v/>
      </c>
    </row>
    <row r="2114" spans="12:23" x14ac:dyDescent="0.25">
      <c r="L2114" s="4" t="str">
        <f>IF('[1]All Data '!BE2119="","",'[1]All Data '!BE2119)</f>
        <v/>
      </c>
      <c r="M2114" t="str">
        <f>IF('[1]All Data '!BF2119="","",'[1]All Data '!BF2119)</f>
        <v/>
      </c>
      <c r="N2114" s="5" t="str">
        <f>IF('[1]All Data '!BB2119="","",'[1]All Data '!BC2119/'[1]All Data '!BH2119)</f>
        <v/>
      </c>
      <c r="O2114" s="5" t="str">
        <f t="shared" si="34"/>
        <v/>
      </c>
      <c r="P2114" s="5" t="str">
        <f>IF(M2114="","",$C$2*(1-L2114)*907.2/0.621371*N2114*[1]Transportation!$M$40)</f>
        <v/>
      </c>
      <c r="Q2114" s="5" t="str">
        <f>IF(L2114="","",IF([1]Inputs_Outputs!$B$5="Herbaceous",(LCA!$E$29*'[1]LOCH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4" s="5" t="str">
        <f>IF(M2114="","",$E$2*1000*'[1]LOCH Calc COE Calc'!$C$44)</f>
        <v/>
      </c>
      <c r="S2114" s="6" t="str">
        <f>IF(N2114="","",SUM(O2114:R2114)/('[1]LOCH Calc COE Calc'!$C$28))</f>
        <v/>
      </c>
      <c r="T2114" t="str">
        <f>IF(L2114="","",O2114/'[1]LOCH Calc COE Calc'!$C$28)</f>
        <v/>
      </c>
      <c r="U2114" t="str">
        <f>IF(L2114="","",P2114/'[1]LOCH Calc COE Calc'!$C$28)</f>
        <v/>
      </c>
      <c r="V2114" t="str">
        <f>IF(L2114="","",Q2114/'[1]LOCH Calc COE Calc'!$C$28)</f>
        <v/>
      </c>
      <c r="W2114" t="str">
        <f>IF(L2114="","",R2114/'[1]LOCH Calc COE Calc'!$C$28)</f>
        <v/>
      </c>
    </row>
    <row r="2115" spans="12:23" x14ac:dyDescent="0.25">
      <c r="L2115" s="4" t="str">
        <f>IF('[1]All Data '!BE2120="","",'[1]All Data '!BE2120)</f>
        <v/>
      </c>
      <c r="M2115" t="str">
        <f>IF('[1]All Data '!BF2120="","",'[1]All Data '!BF2120)</f>
        <v/>
      </c>
      <c r="N2115" s="5" t="str">
        <f>IF('[1]All Data '!BB2120="","",'[1]All Data '!BC2120/'[1]All Data '!BH2120)</f>
        <v/>
      </c>
      <c r="O2115" s="5" t="str">
        <f t="shared" si="34"/>
        <v/>
      </c>
      <c r="P2115" s="5" t="str">
        <f>IF(M2115="","",$C$2*(1-L2115)*907.2/0.621371*N2115*[1]Transportation!$M$40)</f>
        <v/>
      </c>
      <c r="Q2115" s="5" t="str">
        <f>IF(L2115="","",IF([1]Inputs_Outputs!$B$5="Herbaceous",(LCA!$E$29*'[1]LOCH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5" s="5" t="str">
        <f>IF(M2115="","",$E$2*1000*'[1]LOCH Calc COE Calc'!$C$44)</f>
        <v/>
      </c>
      <c r="S2115" s="6" t="str">
        <f>IF(N2115="","",SUM(O2115:R2115)/('[1]LOCH Calc COE Calc'!$C$28))</f>
        <v/>
      </c>
      <c r="T2115" t="str">
        <f>IF(L2115="","",O2115/'[1]LOCH Calc COE Calc'!$C$28)</f>
        <v/>
      </c>
      <c r="U2115" t="str">
        <f>IF(L2115="","",P2115/'[1]LOCH Calc COE Calc'!$C$28)</f>
        <v/>
      </c>
      <c r="V2115" t="str">
        <f>IF(L2115="","",Q2115/'[1]LOCH Calc COE Calc'!$C$28)</f>
        <v/>
      </c>
      <c r="W2115" t="str">
        <f>IF(L2115="","",R2115/'[1]LOCH Calc COE Calc'!$C$28)</f>
        <v/>
      </c>
    </row>
    <row r="2116" spans="12:23" x14ac:dyDescent="0.25">
      <c r="L2116" s="4" t="str">
        <f>IF('[1]All Data '!BE2121="","",'[1]All Data '!BE2121)</f>
        <v/>
      </c>
      <c r="M2116" t="str">
        <f>IF('[1]All Data '!BF2121="","",'[1]All Data '!BF2121)</f>
        <v/>
      </c>
      <c r="N2116" s="5" t="str">
        <f>IF('[1]All Data '!BB2121="","",'[1]All Data '!BC2121/'[1]All Data '!BH2121)</f>
        <v/>
      </c>
      <c r="O2116" s="5" t="str">
        <f t="shared" ref="O2116:O2179" si="35">IF(N2116="","",M2116*N2116)</f>
        <v/>
      </c>
      <c r="P2116" s="5" t="str">
        <f>IF(M2116="","",$C$2*(1-L2116)*907.2/0.621371*N2116*[1]Transportation!$M$40)</f>
        <v/>
      </c>
      <c r="Q2116" s="5" t="str">
        <f>IF(L2116="","",IF([1]Inputs_Outputs!$B$5="Herbaceous",(LCA!$E$29*'[1]LOCH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6" s="5" t="str">
        <f>IF(M2116="","",$E$2*1000*'[1]LOCH Calc COE Calc'!$C$44)</f>
        <v/>
      </c>
      <c r="S2116" s="6" t="str">
        <f>IF(N2116="","",SUM(O2116:R2116)/('[1]LOCH Calc COE Calc'!$C$28))</f>
        <v/>
      </c>
      <c r="T2116" t="str">
        <f>IF(L2116="","",O2116/'[1]LOCH Calc COE Calc'!$C$28)</f>
        <v/>
      </c>
      <c r="U2116" t="str">
        <f>IF(L2116="","",P2116/'[1]LOCH Calc COE Calc'!$C$28)</f>
        <v/>
      </c>
      <c r="V2116" t="str">
        <f>IF(L2116="","",Q2116/'[1]LOCH Calc COE Calc'!$C$28)</f>
        <v/>
      </c>
      <c r="W2116" t="str">
        <f>IF(L2116="","",R2116/'[1]LOCH Calc COE Calc'!$C$28)</f>
        <v/>
      </c>
    </row>
    <row r="2117" spans="12:23" x14ac:dyDescent="0.25">
      <c r="L2117" s="4" t="str">
        <f>IF('[1]All Data '!BE2122="","",'[1]All Data '!BE2122)</f>
        <v/>
      </c>
      <c r="M2117" t="str">
        <f>IF('[1]All Data '!BF2122="","",'[1]All Data '!BF2122)</f>
        <v/>
      </c>
      <c r="N2117" s="5" t="str">
        <f>IF('[1]All Data '!BB2122="","",'[1]All Data '!BC2122/'[1]All Data '!BH2122)</f>
        <v/>
      </c>
      <c r="O2117" s="5" t="str">
        <f t="shared" si="35"/>
        <v/>
      </c>
      <c r="P2117" s="5" t="str">
        <f>IF(M2117="","",$C$2*(1-L2117)*907.2/0.621371*N2117*[1]Transportation!$M$40)</f>
        <v/>
      </c>
      <c r="Q2117" s="5" t="str">
        <f>IF(L2117="","",IF([1]Inputs_Outputs!$B$5="Herbaceous",(LCA!$E$29*'[1]LOCH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7" s="5" t="str">
        <f>IF(M2117="","",$E$2*1000*'[1]LOCH Calc COE Calc'!$C$44)</f>
        <v/>
      </c>
      <c r="S2117" s="6" t="str">
        <f>IF(N2117="","",SUM(O2117:R2117)/('[1]LOCH Calc COE Calc'!$C$28))</f>
        <v/>
      </c>
      <c r="T2117" t="str">
        <f>IF(L2117="","",O2117/'[1]LOCH Calc COE Calc'!$C$28)</f>
        <v/>
      </c>
      <c r="U2117" t="str">
        <f>IF(L2117="","",P2117/'[1]LOCH Calc COE Calc'!$C$28)</f>
        <v/>
      </c>
      <c r="V2117" t="str">
        <f>IF(L2117="","",Q2117/'[1]LOCH Calc COE Calc'!$C$28)</f>
        <v/>
      </c>
      <c r="W2117" t="str">
        <f>IF(L2117="","",R2117/'[1]LOCH Calc COE Calc'!$C$28)</f>
        <v/>
      </c>
    </row>
    <row r="2118" spans="12:23" x14ac:dyDescent="0.25">
      <c r="L2118" s="4" t="str">
        <f>IF('[1]All Data '!BE2123="","",'[1]All Data '!BE2123)</f>
        <v/>
      </c>
      <c r="M2118" t="str">
        <f>IF('[1]All Data '!BF2123="","",'[1]All Data '!BF2123)</f>
        <v/>
      </c>
      <c r="N2118" s="5" t="str">
        <f>IF('[1]All Data '!BB2123="","",'[1]All Data '!BC2123/'[1]All Data '!BH2123)</f>
        <v/>
      </c>
      <c r="O2118" s="5" t="str">
        <f t="shared" si="35"/>
        <v/>
      </c>
      <c r="P2118" s="5" t="str">
        <f>IF(M2118="","",$C$2*(1-L2118)*907.2/0.621371*N2118*[1]Transportation!$M$40)</f>
        <v/>
      </c>
      <c r="Q2118" s="5" t="str">
        <f>IF(L2118="","",IF([1]Inputs_Outputs!$B$5="Herbaceous",(LCA!$E$29*'[1]LOCH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8" s="5" t="str">
        <f>IF(M2118="","",$E$2*1000*'[1]LOCH Calc COE Calc'!$C$44)</f>
        <v/>
      </c>
      <c r="S2118" s="6" t="str">
        <f>IF(N2118="","",SUM(O2118:R2118)/('[1]LOCH Calc COE Calc'!$C$28))</f>
        <v/>
      </c>
      <c r="T2118" t="str">
        <f>IF(L2118="","",O2118/'[1]LOCH Calc COE Calc'!$C$28)</f>
        <v/>
      </c>
      <c r="U2118" t="str">
        <f>IF(L2118="","",P2118/'[1]LOCH Calc COE Calc'!$C$28)</f>
        <v/>
      </c>
      <c r="V2118" t="str">
        <f>IF(L2118="","",Q2118/'[1]LOCH Calc COE Calc'!$C$28)</f>
        <v/>
      </c>
      <c r="W2118" t="str">
        <f>IF(L2118="","",R2118/'[1]LOCH Calc COE Calc'!$C$28)</f>
        <v/>
      </c>
    </row>
    <row r="2119" spans="12:23" x14ac:dyDescent="0.25">
      <c r="L2119" s="4" t="str">
        <f>IF('[1]All Data '!BE2124="","",'[1]All Data '!BE2124)</f>
        <v/>
      </c>
      <c r="M2119" t="str">
        <f>IF('[1]All Data '!BF2124="","",'[1]All Data '!BF2124)</f>
        <v/>
      </c>
      <c r="N2119" s="5" t="str">
        <f>IF('[1]All Data '!BB2124="","",'[1]All Data '!BC2124/'[1]All Data '!BH2124)</f>
        <v/>
      </c>
      <c r="O2119" s="5" t="str">
        <f t="shared" si="35"/>
        <v/>
      </c>
      <c r="P2119" s="5" t="str">
        <f>IF(M2119="","",$C$2*(1-L2119)*907.2/0.621371*N2119*[1]Transportation!$M$40)</f>
        <v/>
      </c>
      <c r="Q2119" s="5" t="str">
        <f>IF(L2119="","",IF([1]Inputs_Outputs!$B$5="Herbaceous",(LCA!$E$29*'[1]LOCH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19" s="5" t="str">
        <f>IF(M2119="","",$E$2*1000*'[1]LOCH Calc COE Calc'!$C$44)</f>
        <v/>
      </c>
      <c r="S2119" s="6" t="str">
        <f>IF(N2119="","",SUM(O2119:R2119)/('[1]LOCH Calc COE Calc'!$C$28))</f>
        <v/>
      </c>
      <c r="T2119" t="str">
        <f>IF(L2119="","",O2119/'[1]LOCH Calc COE Calc'!$C$28)</f>
        <v/>
      </c>
      <c r="U2119" t="str">
        <f>IF(L2119="","",P2119/'[1]LOCH Calc COE Calc'!$C$28)</f>
        <v/>
      </c>
      <c r="V2119" t="str">
        <f>IF(L2119="","",Q2119/'[1]LOCH Calc COE Calc'!$C$28)</f>
        <v/>
      </c>
      <c r="W2119" t="str">
        <f>IF(L2119="","",R2119/'[1]LOCH Calc COE Calc'!$C$28)</f>
        <v/>
      </c>
    </row>
    <row r="2120" spans="12:23" x14ac:dyDescent="0.25">
      <c r="L2120" s="4" t="str">
        <f>IF('[1]All Data '!BE2125="","",'[1]All Data '!BE2125)</f>
        <v/>
      </c>
      <c r="M2120" t="str">
        <f>IF('[1]All Data '!BF2125="","",'[1]All Data '!BF2125)</f>
        <v/>
      </c>
      <c r="N2120" s="5" t="str">
        <f>IF('[1]All Data '!BB2125="","",'[1]All Data '!BC2125/'[1]All Data '!BH2125)</f>
        <v/>
      </c>
      <c r="O2120" s="5" t="str">
        <f t="shared" si="35"/>
        <v/>
      </c>
      <c r="P2120" s="5" t="str">
        <f>IF(M2120="","",$C$2*(1-L2120)*907.2/0.621371*N2120*[1]Transportation!$M$40)</f>
        <v/>
      </c>
      <c r="Q2120" s="5" t="str">
        <f>IF(L2120="","",IF([1]Inputs_Outputs!$B$5="Herbaceous",(LCA!$E$29*'[1]LOCH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0" s="5" t="str">
        <f>IF(M2120="","",$E$2*1000*'[1]LOCH Calc COE Calc'!$C$44)</f>
        <v/>
      </c>
      <c r="S2120" s="6" t="str">
        <f>IF(N2120="","",SUM(O2120:R2120)/('[1]LOCH Calc COE Calc'!$C$28))</f>
        <v/>
      </c>
      <c r="T2120" t="str">
        <f>IF(L2120="","",O2120/'[1]LOCH Calc COE Calc'!$C$28)</f>
        <v/>
      </c>
      <c r="U2120" t="str">
        <f>IF(L2120="","",P2120/'[1]LOCH Calc COE Calc'!$C$28)</f>
        <v/>
      </c>
      <c r="V2120" t="str">
        <f>IF(L2120="","",Q2120/'[1]LOCH Calc COE Calc'!$C$28)</f>
        <v/>
      </c>
      <c r="W2120" t="str">
        <f>IF(L2120="","",R2120/'[1]LOCH Calc COE Calc'!$C$28)</f>
        <v/>
      </c>
    </row>
    <row r="2121" spans="12:23" x14ac:dyDescent="0.25">
      <c r="L2121" s="4" t="str">
        <f>IF('[1]All Data '!BE2126="","",'[1]All Data '!BE2126)</f>
        <v/>
      </c>
      <c r="M2121" t="str">
        <f>IF('[1]All Data '!BF2126="","",'[1]All Data '!BF2126)</f>
        <v/>
      </c>
      <c r="N2121" s="5" t="str">
        <f>IF('[1]All Data '!BB2126="","",'[1]All Data '!BC2126/'[1]All Data '!BH2126)</f>
        <v/>
      </c>
      <c r="O2121" s="5" t="str">
        <f t="shared" si="35"/>
        <v/>
      </c>
      <c r="P2121" s="5" t="str">
        <f>IF(M2121="","",$C$2*(1-L2121)*907.2/0.621371*N2121*[1]Transportation!$M$40)</f>
        <v/>
      </c>
      <c r="Q2121" s="5" t="str">
        <f>IF(L2121="","",IF([1]Inputs_Outputs!$B$5="Herbaceous",(LCA!$E$29*'[1]LOCH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1" s="5" t="str">
        <f>IF(M2121="","",$E$2*1000*'[1]LOCH Calc COE Calc'!$C$44)</f>
        <v/>
      </c>
      <c r="S2121" s="6" t="str">
        <f>IF(N2121="","",SUM(O2121:R2121)/('[1]LOCH Calc COE Calc'!$C$28))</f>
        <v/>
      </c>
      <c r="T2121" t="str">
        <f>IF(L2121="","",O2121/'[1]LOCH Calc COE Calc'!$C$28)</f>
        <v/>
      </c>
      <c r="U2121" t="str">
        <f>IF(L2121="","",P2121/'[1]LOCH Calc COE Calc'!$C$28)</f>
        <v/>
      </c>
      <c r="V2121" t="str">
        <f>IF(L2121="","",Q2121/'[1]LOCH Calc COE Calc'!$C$28)</f>
        <v/>
      </c>
      <c r="W2121" t="str">
        <f>IF(L2121="","",R2121/'[1]LOCH Calc COE Calc'!$C$28)</f>
        <v/>
      </c>
    </row>
    <row r="2122" spans="12:23" x14ac:dyDescent="0.25">
      <c r="L2122" s="4" t="str">
        <f>IF('[1]All Data '!BE2127="","",'[1]All Data '!BE2127)</f>
        <v/>
      </c>
      <c r="M2122" t="str">
        <f>IF('[1]All Data '!BF2127="","",'[1]All Data '!BF2127)</f>
        <v/>
      </c>
      <c r="N2122" s="5" t="str">
        <f>IF('[1]All Data '!BB2127="","",'[1]All Data '!BC2127/'[1]All Data '!BH2127)</f>
        <v/>
      </c>
      <c r="O2122" s="5" t="str">
        <f t="shared" si="35"/>
        <v/>
      </c>
      <c r="P2122" s="5" t="str">
        <f>IF(M2122="","",$C$2*(1-L2122)*907.2/0.621371*N2122*[1]Transportation!$M$40)</f>
        <v/>
      </c>
      <c r="Q2122" s="5" t="str">
        <f>IF(L2122="","",IF([1]Inputs_Outputs!$B$5="Herbaceous",(LCA!$E$29*'[1]LOCH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2" s="5" t="str">
        <f>IF(M2122="","",$E$2*1000*'[1]LOCH Calc COE Calc'!$C$44)</f>
        <v/>
      </c>
      <c r="S2122" s="6" t="str">
        <f>IF(N2122="","",SUM(O2122:R2122)/('[1]LOCH Calc COE Calc'!$C$28))</f>
        <v/>
      </c>
      <c r="T2122" t="str">
        <f>IF(L2122="","",O2122/'[1]LOCH Calc COE Calc'!$C$28)</f>
        <v/>
      </c>
      <c r="U2122" t="str">
        <f>IF(L2122="","",P2122/'[1]LOCH Calc COE Calc'!$C$28)</f>
        <v/>
      </c>
      <c r="V2122" t="str">
        <f>IF(L2122="","",Q2122/'[1]LOCH Calc COE Calc'!$C$28)</f>
        <v/>
      </c>
      <c r="W2122" t="str">
        <f>IF(L2122="","",R2122/'[1]LOCH Calc COE Calc'!$C$28)</f>
        <v/>
      </c>
    </row>
    <row r="2123" spans="12:23" x14ac:dyDescent="0.25">
      <c r="L2123" s="4" t="str">
        <f>IF('[1]All Data '!BE2128="","",'[1]All Data '!BE2128)</f>
        <v/>
      </c>
      <c r="M2123" t="str">
        <f>IF('[1]All Data '!BF2128="","",'[1]All Data '!BF2128)</f>
        <v/>
      </c>
      <c r="N2123" s="5" t="str">
        <f>IF('[1]All Data '!BB2128="","",'[1]All Data '!BC2128/'[1]All Data '!BH2128)</f>
        <v/>
      </c>
      <c r="O2123" s="5" t="str">
        <f t="shared" si="35"/>
        <v/>
      </c>
      <c r="P2123" s="5" t="str">
        <f>IF(M2123="","",$C$2*(1-L2123)*907.2/0.621371*N2123*[1]Transportation!$M$40)</f>
        <v/>
      </c>
      <c r="Q2123" s="5" t="str">
        <f>IF(L2123="","",IF([1]Inputs_Outputs!$B$5="Herbaceous",(LCA!$E$29*'[1]LOCH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3" s="5" t="str">
        <f>IF(M2123="","",$E$2*1000*'[1]LOCH Calc COE Calc'!$C$44)</f>
        <v/>
      </c>
      <c r="S2123" s="6" t="str">
        <f>IF(N2123="","",SUM(O2123:R2123)/('[1]LOCH Calc COE Calc'!$C$28))</f>
        <v/>
      </c>
      <c r="T2123" t="str">
        <f>IF(L2123="","",O2123/'[1]LOCH Calc COE Calc'!$C$28)</f>
        <v/>
      </c>
      <c r="U2123" t="str">
        <f>IF(L2123="","",P2123/'[1]LOCH Calc COE Calc'!$C$28)</f>
        <v/>
      </c>
      <c r="V2123" t="str">
        <f>IF(L2123="","",Q2123/'[1]LOCH Calc COE Calc'!$C$28)</f>
        <v/>
      </c>
      <c r="W2123" t="str">
        <f>IF(L2123="","",R2123/'[1]LOCH Calc COE Calc'!$C$28)</f>
        <v/>
      </c>
    </row>
    <row r="2124" spans="12:23" x14ac:dyDescent="0.25">
      <c r="L2124" s="4" t="str">
        <f>IF('[1]All Data '!BE2129="","",'[1]All Data '!BE2129)</f>
        <v/>
      </c>
      <c r="M2124" t="str">
        <f>IF('[1]All Data '!BF2129="","",'[1]All Data '!BF2129)</f>
        <v/>
      </c>
      <c r="N2124" s="5" t="str">
        <f>IF('[1]All Data '!BB2129="","",'[1]All Data '!BC2129/'[1]All Data '!BH2129)</f>
        <v/>
      </c>
      <c r="O2124" s="5" t="str">
        <f t="shared" si="35"/>
        <v/>
      </c>
      <c r="P2124" s="5" t="str">
        <f>IF(M2124="","",$C$2*(1-L2124)*907.2/0.621371*N2124*[1]Transportation!$M$40)</f>
        <v/>
      </c>
      <c r="Q2124" s="5" t="str">
        <f>IF(L2124="","",IF([1]Inputs_Outputs!$B$5="Herbaceous",(LCA!$E$29*'[1]LOCH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4" s="5" t="str">
        <f>IF(M2124="","",$E$2*1000*'[1]LOCH Calc COE Calc'!$C$44)</f>
        <v/>
      </c>
      <c r="S2124" s="6" t="str">
        <f>IF(N2124="","",SUM(O2124:R2124)/('[1]LOCH Calc COE Calc'!$C$28))</f>
        <v/>
      </c>
      <c r="T2124" t="str">
        <f>IF(L2124="","",O2124/'[1]LOCH Calc COE Calc'!$C$28)</f>
        <v/>
      </c>
      <c r="U2124" t="str">
        <f>IF(L2124="","",P2124/'[1]LOCH Calc COE Calc'!$C$28)</f>
        <v/>
      </c>
      <c r="V2124" t="str">
        <f>IF(L2124="","",Q2124/'[1]LOCH Calc COE Calc'!$C$28)</f>
        <v/>
      </c>
      <c r="W2124" t="str">
        <f>IF(L2124="","",R2124/'[1]LOCH Calc COE Calc'!$C$28)</f>
        <v/>
      </c>
    </row>
    <row r="2125" spans="12:23" x14ac:dyDescent="0.25">
      <c r="L2125" s="4" t="str">
        <f>IF('[1]All Data '!BE2130="","",'[1]All Data '!BE2130)</f>
        <v/>
      </c>
      <c r="M2125" t="str">
        <f>IF('[1]All Data '!BF2130="","",'[1]All Data '!BF2130)</f>
        <v/>
      </c>
      <c r="N2125" s="5" t="str">
        <f>IF('[1]All Data '!BB2130="","",'[1]All Data '!BC2130/'[1]All Data '!BH2130)</f>
        <v/>
      </c>
      <c r="O2125" s="5" t="str">
        <f t="shared" si="35"/>
        <v/>
      </c>
      <c r="P2125" s="5" t="str">
        <f>IF(M2125="","",$C$2*(1-L2125)*907.2/0.621371*N2125*[1]Transportation!$M$40)</f>
        <v/>
      </c>
      <c r="Q2125" s="5" t="str">
        <f>IF(L2125="","",IF([1]Inputs_Outputs!$B$5="Herbaceous",(LCA!$E$29*'[1]LOCH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5" s="5" t="str">
        <f>IF(M2125="","",$E$2*1000*'[1]LOCH Calc COE Calc'!$C$44)</f>
        <v/>
      </c>
      <c r="S2125" s="6" t="str">
        <f>IF(N2125="","",SUM(O2125:R2125)/('[1]LOCH Calc COE Calc'!$C$28))</f>
        <v/>
      </c>
      <c r="T2125" t="str">
        <f>IF(L2125="","",O2125/'[1]LOCH Calc COE Calc'!$C$28)</f>
        <v/>
      </c>
      <c r="U2125" t="str">
        <f>IF(L2125="","",P2125/'[1]LOCH Calc COE Calc'!$C$28)</f>
        <v/>
      </c>
      <c r="V2125" t="str">
        <f>IF(L2125="","",Q2125/'[1]LOCH Calc COE Calc'!$C$28)</f>
        <v/>
      </c>
      <c r="W2125" t="str">
        <f>IF(L2125="","",R2125/'[1]LOCH Calc COE Calc'!$C$28)</f>
        <v/>
      </c>
    </row>
    <row r="2126" spans="12:23" x14ac:dyDescent="0.25">
      <c r="L2126" s="4" t="str">
        <f>IF('[1]All Data '!BE2131="","",'[1]All Data '!BE2131)</f>
        <v/>
      </c>
      <c r="M2126" t="str">
        <f>IF('[1]All Data '!BF2131="","",'[1]All Data '!BF2131)</f>
        <v/>
      </c>
      <c r="N2126" s="5" t="str">
        <f>IF('[1]All Data '!BB2131="","",'[1]All Data '!BC2131/'[1]All Data '!BH2131)</f>
        <v/>
      </c>
      <c r="O2126" s="5" t="str">
        <f t="shared" si="35"/>
        <v/>
      </c>
      <c r="P2126" s="5" t="str">
        <f>IF(M2126="","",$C$2*(1-L2126)*907.2/0.621371*N2126*[1]Transportation!$M$40)</f>
        <v/>
      </c>
      <c r="Q2126" s="5" t="str">
        <f>IF(L2126="","",IF([1]Inputs_Outputs!$B$5="Herbaceous",(LCA!$E$29*'[1]LOCH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6" s="5" t="str">
        <f>IF(M2126="","",$E$2*1000*'[1]LOCH Calc COE Calc'!$C$44)</f>
        <v/>
      </c>
      <c r="S2126" s="6" t="str">
        <f>IF(N2126="","",SUM(O2126:R2126)/('[1]LOCH Calc COE Calc'!$C$28))</f>
        <v/>
      </c>
      <c r="T2126" t="str">
        <f>IF(L2126="","",O2126/'[1]LOCH Calc COE Calc'!$C$28)</f>
        <v/>
      </c>
      <c r="U2126" t="str">
        <f>IF(L2126="","",P2126/'[1]LOCH Calc COE Calc'!$C$28)</f>
        <v/>
      </c>
      <c r="V2126" t="str">
        <f>IF(L2126="","",Q2126/'[1]LOCH Calc COE Calc'!$C$28)</f>
        <v/>
      </c>
      <c r="W2126" t="str">
        <f>IF(L2126="","",R2126/'[1]LOCH Calc COE Calc'!$C$28)</f>
        <v/>
      </c>
    </row>
    <row r="2127" spans="12:23" x14ac:dyDescent="0.25">
      <c r="L2127" s="4" t="str">
        <f>IF('[1]All Data '!BE2132="","",'[1]All Data '!BE2132)</f>
        <v/>
      </c>
      <c r="M2127" t="str">
        <f>IF('[1]All Data '!BF2132="","",'[1]All Data '!BF2132)</f>
        <v/>
      </c>
      <c r="N2127" s="5" t="str">
        <f>IF('[1]All Data '!BB2132="","",'[1]All Data '!BC2132/'[1]All Data '!BH2132)</f>
        <v/>
      </c>
      <c r="O2127" s="5" t="str">
        <f t="shared" si="35"/>
        <v/>
      </c>
      <c r="P2127" s="5" t="str">
        <f>IF(M2127="","",$C$2*(1-L2127)*907.2/0.621371*N2127*[1]Transportation!$M$40)</f>
        <v/>
      </c>
      <c r="Q2127" s="5" t="str">
        <f>IF(L2127="","",IF([1]Inputs_Outputs!$B$5="Herbaceous",(LCA!$E$29*'[1]LOCH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7" s="5" t="str">
        <f>IF(M2127="","",$E$2*1000*'[1]LOCH Calc COE Calc'!$C$44)</f>
        <v/>
      </c>
      <c r="S2127" s="6" t="str">
        <f>IF(N2127="","",SUM(O2127:R2127)/('[1]LOCH Calc COE Calc'!$C$28))</f>
        <v/>
      </c>
      <c r="T2127" t="str">
        <f>IF(L2127="","",O2127/'[1]LOCH Calc COE Calc'!$C$28)</f>
        <v/>
      </c>
      <c r="U2127" t="str">
        <f>IF(L2127="","",P2127/'[1]LOCH Calc COE Calc'!$C$28)</f>
        <v/>
      </c>
      <c r="V2127" t="str">
        <f>IF(L2127="","",Q2127/'[1]LOCH Calc COE Calc'!$C$28)</f>
        <v/>
      </c>
      <c r="W2127" t="str">
        <f>IF(L2127="","",R2127/'[1]LOCH Calc COE Calc'!$C$28)</f>
        <v/>
      </c>
    </row>
    <row r="2128" spans="12:23" x14ac:dyDescent="0.25">
      <c r="L2128" s="4" t="str">
        <f>IF('[1]All Data '!BE2133="","",'[1]All Data '!BE2133)</f>
        <v/>
      </c>
      <c r="M2128" t="str">
        <f>IF('[1]All Data '!BF2133="","",'[1]All Data '!BF2133)</f>
        <v/>
      </c>
      <c r="N2128" s="5" t="str">
        <f>IF('[1]All Data '!BB2133="","",'[1]All Data '!BC2133/'[1]All Data '!BH2133)</f>
        <v/>
      </c>
      <c r="O2128" s="5" t="str">
        <f t="shared" si="35"/>
        <v/>
      </c>
      <c r="P2128" s="5" t="str">
        <f>IF(M2128="","",$C$2*(1-L2128)*907.2/0.621371*N2128*[1]Transportation!$M$40)</f>
        <v/>
      </c>
      <c r="Q2128" s="5" t="str">
        <f>IF(L2128="","",IF([1]Inputs_Outputs!$B$5="Herbaceous",(LCA!$E$29*'[1]LOCH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8" s="5" t="str">
        <f>IF(M2128="","",$E$2*1000*'[1]LOCH Calc COE Calc'!$C$44)</f>
        <v/>
      </c>
      <c r="S2128" s="6" t="str">
        <f>IF(N2128="","",SUM(O2128:R2128)/('[1]LOCH Calc COE Calc'!$C$28))</f>
        <v/>
      </c>
      <c r="T2128" t="str">
        <f>IF(L2128="","",O2128/'[1]LOCH Calc COE Calc'!$C$28)</f>
        <v/>
      </c>
      <c r="U2128" t="str">
        <f>IF(L2128="","",P2128/'[1]LOCH Calc COE Calc'!$C$28)</f>
        <v/>
      </c>
      <c r="V2128" t="str">
        <f>IF(L2128="","",Q2128/'[1]LOCH Calc COE Calc'!$C$28)</f>
        <v/>
      </c>
      <c r="W2128" t="str">
        <f>IF(L2128="","",R2128/'[1]LOCH Calc COE Calc'!$C$28)</f>
        <v/>
      </c>
    </row>
    <row r="2129" spans="12:23" x14ac:dyDescent="0.25">
      <c r="L2129" s="4" t="str">
        <f>IF('[1]All Data '!BE2134="","",'[1]All Data '!BE2134)</f>
        <v/>
      </c>
      <c r="M2129" t="str">
        <f>IF('[1]All Data '!BF2134="","",'[1]All Data '!BF2134)</f>
        <v/>
      </c>
      <c r="N2129" s="5" t="str">
        <f>IF('[1]All Data '!BB2134="","",'[1]All Data '!BC2134/'[1]All Data '!BH2134)</f>
        <v/>
      </c>
      <c r="O2129" s="5" t="str">
        <f t="shared" si="35"/>
        <v/>
      </c>
      <c r="P2129" s="5" t="str">
        <f>IF(M2129="","",$C$2*(1-L2129)*907.2/0.621371*N2129*[1]Transportation!$M$40)</f>
        <v/>
      </c>
      <c r="Q2129" s="5" t="str">
        <f>IF(L2129="","",IF([1]Inputs_Outputs!$B$5="Herbaceous",(LCA!$E$29*'[1]LOCH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29" s="5" t="str">
        <f>IF(M2129="","",$E$2*1000*'[1]LOCH Calc COE Calc'!$C$44)</f>
        <v/>
      </c>
      <c r="S2129" s="6" t="str">
        <f>IF(N2129="","",SUM(O2129:R2129)/('[1]LOCH Calc COE Calc'!$C$28))</f>
        <v/>
      </c>
      <c r="T2129" t="str">
        <f>IF(L2129="","",O2129/'[1]LOCH Calc COE Calc'!$C$28)</f>
        <v/>
      </c>
      <c r="U2129" t="str">
        <f>IF(L2129="","",P2129/'[1]LOCH Calc COE Calc'!$C$28)</f>
        <v/>
      </c>
      <c r="V2129" t="str">
        <f>IF(L2129="","",Q2129/'[1]LOCH Calc COE Calc'!$C$28)</f>
        <v/>
      </c>
      <c r="W2129" t="str">
        <f>IF(L2129="","",R2129/'[1]LOCH Calc COE Calc'!$C$28)</f>
        <v/>
      </c>
    </row>
    <row r="2130" spans="12:23" x14ac:dyDescent="0.25">
      <c r="L2130" s="4" t="str">
        <f>IF('[1]All Data '!BE2135="","",'[1]All Data '!BE2135)</f>
        <v/>
      </c>
      <c r="M2130" t="str">
        <f>IF('[1]All Data '!BF2135="","",'[1]All Data '!BF2135)</f>
        <v/>
      </c>
      <c r="N2130" s="5" t="str">
        <f>IF('[1]All Data '!BB2135="","",'[1]All Data '!BC2135/'[1]All Data '!BH2135)</f>
        <v/>
      </c>
      <c r="O2130" s="5" t="str">
        <f t="shared" si="35"/>
        <v/>
      </c>
      <c r="P2130" s="5" t="str">
        <f>IF(M2130="","",$C$2*(1-L2130)*907.2/0.621371*N2130*[1]Transportation!$M$40)</f>
        <v/>
      </c>
      <c r="Q2130" s="5" t="str">
        <f>IF(L2130="","",IF([1]Inputs_Outputs!$B$5="Herbaceous",(LCA!$E$29*'[1]LOCH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0" s="5" t="str">
        <f>IF(M2130="","",$E$2*1000*'[1]LOCH Calc COE Calc'!$C$44)</f>
        <v/>
      </c>
      <c r="S2130" s="6" t="str">
        <f>IF(N2130="","",SUM(O2130:R2130)/('[1]LOCH Calc COE Calc'!$C$28))</f>
        <v/>
      </c>
      <c r="T2130" t="str">
        <f>IF(L2130="","",O2130/'[1]LOCH Calc COE Calc'!$C$28)</f>
        <v/>
      </c>
      <c r="U2130" t="str">
        <f>IF(L2130="","",P2130/'[1]LOCH Calc COE Calc'!$C$28)</f>
        <v/>
      </c>
      <c r="V2130" t="str">
        <f>IF(L2130="","",Q2130/'[1]LOCH Calc COE Calc'!$C$28)</f>
        <v/>
      </c>
      <c r="W2130" t="str">
        <f>IF(L2130="","",R2130/'[1]LOCH Calc COE Calc'!$C$28)</f>
        <v/>
      </c>
    </row>
    <row r="2131" spans="12:23" x14ac:dyDescent="0.25">
      <c r="L2131" s="4" t="str">
        <f>IF('[1]All Data '!BE2136="","",'[1]All Data '!BE2136)</f>
        <v/>
      </c>
      <c r="M2131" t="str">
        <f>IF('[1]All Data '!BF2136="","",'[1]All Data '!BF2136)</f>
        <v/>
      </c>
      <c r="N2131" s="5" t="str">
        <f>IF('[1]All Data '!BB2136="","",'[1]All Data '!BC2136/'[1]All Data '!BH2136)</f>
        <v/>
      </c>
      <c r="O2131" s="5" t="str">
        <f t="shared" si="35"/>
        <v/>
      </c>
      <c r="P2131" s="5" t="str">
        <f>IF(M2131="","",$C$2*(1-L2131)*907.2/0.621371*N2131*[1]Transportation!$M$40)</f>
        <v/>
      </c>
      <c r="Q2131" s="5" t="str">
        <f>IF(L2131="","",IF([1]Inputs_Outputs!$B$5="Herbaceous",(LCA!$E$29*'[1]LOCH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1" s="5" t="str">
        <f>IF(M2131="","",$E$2*1000*'[1]LOCH Calc COE Calc'!$C$44)</f>
        <v/>
      </c>
      <c r="S2131" s="6" t="str">
        <f>IF(N2131="","",SUM(O2131:R2131)/('[1]LOCH Calc COE Calc'!$C$28))</f>
        <v/>
      </c>
      <c r="T2131" t="str">
        <f>IF(L2131="","",O2131/'[1]LOCH Calc COE Calc'!$C$28)</f>
        <v/>
      </c>
      <c r="U2131" t="str">
        <f>IF(L2131="","",P2131/'[1]LOCH Calc COE Calc'!$C$28)</f>
        <v/>
      </c>
      <c r="V2131" t="str">
        <f>IF(L2131="","",Q2131/'[1]LOCH Calc COE Calc'!$C$28)</f>
        <v/>
      </c>
      <c r="W2131" t="str">
        <f>IF(L2131="","",R2131/'[1]LOCH Calc COE Calc'!$C$28)</f>
        <v/>
      </c>
    </row>
    <row r="2132" spans="12:23" x14ac:dyDescent="0.25">
      <c r="L2132" s="4" t="str">
        <f>IF('[1]All Data '!BE2137="","",'[1]All Data '!BE2137)</f>
        <v/>
      </c>
      <c r="M2132" t="str">
        <f>IF('[1]All Data '!BF2137="","",'[1]All Data '!BF2137)</f>
        <v/>
      </c>
      <c r="N2132" s="5" t="str">
        <f>IF('[1]All Data '!BB2137="","",'[1]All Data '!BC2137/'[1]All Data '!BH2137)</f>
        <v/>
      </c>
      <c r="O2132" s="5" t="str">
        <f t="shared" si="35"/>
        <v/>
      </c>
      <c r="P2132" s="5" t="str">
        <f>IF(M2132="","",$C$2*(1-L2132)*907.2/0.621371*N2132*[1]Transportation!$M$40)</f>
        <v/>
      </c>
      <c r="Q2132" s="5" t="str">
        <f>IF(L2132="","",IF([1]Inputs_Outputs!$B$5="Herbaceous",(LCA!$E$29*'[1]LOCH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2" s="5" t="str">
        <f>IF(M2132="","",$E$2*1000*'[1]LOCH Calc COE Calc'!$C$44)</f>
        <v/>
      </c>
      <c r="S2132" s="6" t="str">
        <f>IF(N2132="","",SUM(O2132:R2132)/('[1]LOCH Calc COE Calc'!$C$28))</f>
        <v/>
      </c>
      <c r="T2132" t="str">
        <f>IF(L2132="","",O2132/'[1]LOCH Calc COE Calc'!$C$28)</f>
        <v/>
      </c>
      <c r="U2132" t="str">
        <f>IF(L2132="","",P2132/'[1]LOCH Calc COE Calc'!$C$28)</f>
        <v/>
      </c>
      <c r="V2132" t="str">
        <f>IF(L2132="","",Q2132/'[1]LOCH Calc COE Calc'!$C$28)</f>
        <v/>
      </c>
      <c r="W2132" t="str">
        <f>IF(L2132="","",R2132/'[1]LOCH Calc COE Calc'!$C$28)</f>
        <v/>
      </c>
    </row>
    <row r="2133" spans="12:23" x14ac:dyDescent="0.25">
      <c r="L2133" s="4" t="str">
        <f>IF('[1]All Data '!BE2138="","",'[1]All Data '!BE2138)</f>
        <v/>
      </c>
      <c r="M2133" t="str">
        <f>IF('[1]All Data '!BF2138="","",'[1]All Data '!BF2138)</f>
        <v/>
      </c>
      <c r="N2133" s="5" t="str">
        <f>IF('[1]All Data '!BB2138="","",'[1]All Data '!BC2138/'[1]All Data '!BH2138)</f>
        <v/>
      </c>
      <c r="O2133" s="5" t="str">
        <f t="shared" si="35"/>
        <v/>
      </c>
      <c r="P2133" s="5" t="str">
        <f>IF(M2133="","",$C$2*(1-L2133)*907.2/0.621371*N2133*[1]Transportation!$M$40)</f>
        <v/>
      </c>
      <c r="Q2133" s="5" t="str">
        <f>IF(L2133="","",IF([1]Inputs_Outputs!$B$5="Herbaceous",(LCA!$E$29*'[1]LOCH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3" s="5" t="str">
        <f>IF(M2133="","",$E$2*1000*'[1]LOCH Calc COE Calc'!$C$44)</f>
        <v/>
      </c>
      <c r="S2133" s="6" t="str">
        <f>IF(N2133="","",SUM(O2133:R2133)/('[1]LOCH Calc COE Calc'!$C$28))</f>
        <v/>
      </c>
      <c r="T2133" t="str">
        <f>IF(L2133="","",O2133/'[1]LOCH Calc COE Calc'!$C$28)</f>
        <v/>
      </c>
      <c r="U2133" t="str">
        <f>IF(L2133="","",P2133/'[1]LOCH Calc COE Calc'!$C$28)</f>
        <v/>
      </c>
      <c r="V2133" t="str">
        <f>IF(L2133="","",Q2133/'[1]LOCH Calc COE Calc'!$C$28)</f>
        <v/>
      </c>
      <c r="W2133" t="str">
        <f>IF(L2133="","",R2133/'[1]LOCH Calc COE Calc'!$C$28)</f>
        <v/>
      </c>
    </row>
    <row r="2134" spans="12:23" x14ac:dyDescent="0.25">
      <c r="L2134" s="4" t="str">
        <f>IF('[1]All Data '!BE2139="","",'[1]All Data '!BE2139)</f>
        <v/>
      </c>
      <c r="M2134" t="str">
        <f>IF('[1]All Data '!BF2139="","",'[1]All Data '!BF2139)</f>
        <v/>
      </c>
      <c r="N2134" s="5" t="str">
        <f>IF('[1]All Data '!BB2139="","",'[1]All Data '!BC2139/'[1]All Data '!BH2139)</f>
        <v/>
      </c>
      <c r="O2134" s="5" t="str">
        <f t="shared" si="35"/>
        <v/>
      </c>
      <c r="P2134" s="5" t="str">
        <f>IF(M2134="","",$C$2*(1-L2134)*907.2/0.621371*N2134*[1]Transportation!$M$40)</f>
        <v/>
      </c>
      <c r="Q2134" s="5" t="str">
        <f>IF(L2134="","",IF([1]Inputs_Outputs!$B$5="Herbaceous",(LCA!$E$29*'[1]LOCH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4" s="5" t="str">
        <f>IF(M2134="","",$E$2*1000*'[1]LOCH Calc COE Calc'!$C$44)</f>
        <v/>
      </c>
      <c r="S2134" s="6" t="str">
        <f>IF(N2134="","",SUM(O2134:R2134)/('[1]LOCH Calc COE Calc'!$C$28))</f>
        <v/>
      </c>
      <c r="T2134" t="str">
        <f>IF(L2134="","",O2134/'[1]LOCH Calc COE Calc'!$C$28)</f>
        <v/>
      </c>
      <c r="U2134" t="str">
        <f>IF(L2134="","",P2134/'[1]LOCH Calc COE Calc'!$C$28)</f>
        <v/>
      </c>
      <c r="V2134" t="str">
        <f>IF(L2134="","",Q2134/'[1]LOCH Calc COE Calc'!$C$28)</f>
        <v/>
      </c>
      <c r="W2134" t="str">
        <f>IF(L2134="","",R2134/'[1]LOCH Calc COE Calc'!$C$28)</f>
        <v/>
      </c>
    </row>
    <row r="2135" spans="12:23" x14ac:dyDescent="0.25">
      <c r="L2135" s="4" t="str">
        <f>IF('[1]All Data '!BE2140="","",'[1]All Data '!BE2140)</f>
        <v/>
      </c>
      <c r="M2135" t="str">
        <f>IF('[1]All Data '!BF2140="","",'[1]All Data '!BF2140)</f>
        <v/>
      </c>
      <c r="N2135" s="5" t="str">
        <f>IF('[1]All Data '!BB2140="","",'[1]All Data '!BC2140/'[1]All Data '!BH2140)</f>
        <v/>
      </c>
      <c r="O2135" s="5" t="str">
        <f t="shared" si="35"/>
        <v/>
      </c>
      <c r="P2135" s="5" t="str">
        <f>IF(M2135="","",$C$2*(1-L2135)*907.2/0.621371*N2135*[1]Transportation!$M$40)</f>
        <v/>
      </c>
      <c r="Q2135" s="5" t="str">
        <f>IF(L2135="","",IF([1]Inputs_Outputs!$B$5="Herbaceous",(LCA!$E$29*'[1]LOCH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5" s="5" t="str">
        <f>IF(M2135="","",$E$2*1000*'[1]LOCH Calc COE Calc'!$C$44)</f>
        <v/>
      </c>
      <c r="S2135" s="6" t="str">
        <f>IF(N2135="","",SUM(O2135:R2135)/('[1]LOCH Calc COE Calc'!$C$28))</f>
        <v/>
      </c>
      <c r="T2135" t="str">
        <f>IF(L2135="","",O2135/'[1]LOCH Calc COE Calc'!$C$28)</f>
        <v/>
      </c>
      <c r="U2135" t="str">
        <f>IF(L2135="","",P2135/'[1]LOCH Calc COE Calc'!$C$28)</f>
        <v/>
      </c>
      <c r="V2135" t="str">
        <f>IF(L2135="","",Q2135/'[1]LOCH Calc COE Calc'!$C$28)</f>
        <v/>
      </c>
      <c r="W2135" t="str">
        <f>IF(L2135="","",R2135/'[1]LOCH Calc COE Calc'!$C$28)</f>
        <v/>
      </c>
    </row>
    <row r="2136" spans="12:23" x14ac:dyDescent="0.25">
      <c r="L2136" s="4" t="str">
        <f>IF('[1]All Data '!BE2141="","",'[1]All Data '!BE2141)</f>
        <v/>
      </c>
      <c r="M2136" t="str">
        <f>IF('[1]All Data '!BF2141="","",'[1]All Data '!BF2141)</f>
        <v/>
      </c>
      <c r="N2136" s="5" t="str">
        <f>IF('[1]All Data '!BB2141="","",'[1]All Data '!BC2141/'[1]All Data '!BH2141)</f>
        <v/>
      </c>
      <c r="O2136" s="5" t="str">
        <f t="shared" si="35"/>
        <v/>
      </c>
      <c r="P2136" s="5" t="str">
        <f>IF(M2136="","",$C$2*(1-L2136)*907.2/0.621371*N2136*[1]Transportation!$M$40)</f>
        <v/>
      </c>
      <c r="Q2136" s="5" t="str">
        <f>IF(L2136="","",IF([1]Inputs_Outputs!$B$5="Herbaceous",(LCA!$E$29*'[1]LOCH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6" s="5" t="str">
        <f>IF(M2136="","",$E$2*1000*'[1]LOCH Calc COE Calc'!$C$44)</f>
        <v/>
      </c>
      <c r="S2136" s="6" t="str">
        <f>IF(N2136="","",SUM(O2136:R2136)/('[1]LOCH Calc COE Calc'!$C$28))</f>
        <v/>
      </c>
      <c r="T2136" t="str">
        <f>IF(L2136="","",O2136/'[1]LOCH Calc COE Calc'!$C$28)</f>
        <v/>
      </c>
      <c r="U2136" t="str">
        <f>IF(L2136="","",P2136/'[1]LOCH Calc COE Calc'!$C$28)</f>
        <v/>
      </c>
      <c r="V2136" t="str">
        <f>IF(L2136="","",Q2136/'[1]LOCH Calc COE Calc'!$C$28)</f>
        <v/>
      </c>
      <c r="W2136" t="str">
        <f>IF(L2136="","",R2136/'[1]LOCH Calc COE Calc'!$C$28)</f>
        <v/>
      </c>
    </row>
    <row r="2137" spans="12:23" x14ac:dyDescent="0.25">
      <c r="L2137" s="4" t="str">
        <f>IF('[1]All Data '!BE2142="","",'[1]All Data '!BE2142)</f>
        <v/>
      </c>
      <c r="M2137" t="str">
        <f>IF('[1]All Data '!BF2142="","",'[1]All Data '!BF2142)</f>
        <v/>
      </c>
      <c r="N2137" s="5" t="str">
        <f>IF('[1]All Data '!BB2142="","",'[1]All Data '!BC2142/'[1]All Data '!BH2142)</f>
        <v/>
      </c>
      <c r="O2137" s="5" t="str">
        <f t="shared" si="35"/>
        <v/>
      </c>
      <c r="P2137" s="5" t="str">
        <f>IF(M2137="","",$C$2*(1-L2137)*907.2/0.621371*N2137*[1]Transportation!$M$40)</f>
        <v/>
      </c>
      <c r="Q2137" s="5" t="str">
        <f>IF(L2137="","",IF([1]Inputs_Outputs!$B$5="Herbaceous",(LCA!$E$29*'[1]LOCH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7" s="5" t="str">
        <f>IF(M2137="","",$E$2*1000*'[1]LOCH Calc COE Calc'!$C$44)</f>
        <v/>
      </c>
      <c r="S2137" s="6" t="str">
        <f>IF(N2137="","",SUM(O2137:R2137)/('[1]LOCH Calc COE Calc'!$C$28))</f>
        <v/>
      </c>
      <c r="T2137" t="str">
        <f>IF(L2137="","",O2137/'[1]LOCH Calc COE Calc'!$C$28)</f>
        <v/>
      </c>
      <c r="U2137" t="str">
        <f>IF(L2137="","",P2137/'[1]LOCH Calc COE Calc'!$C$28)</f>
        <v/>
      </c>
      <c r="V2137" t="str">
        <f>IF(L2137="","",Q2137/'[1]LOCH Calc COE Calc'!$C$28)</f>
        <v/>
      </c>
      <c r="W2137" t="str">
        <f>IF(L2137="","",R2137/'[1]LOCH Calc COE Calc'!$C$28)</f>
        <v/>
      </c>
    </row>
    <row r="2138" spans="12:23" x14ac:dyDescent="0.25">
      <c r="L2138" s="4" t="str">
        <f>IF('[1]All Data '!BE2143="","",'[1]All Data '!BE2143)</f>
        <v/>
      </c>
      <c r="M2138" t="str">
        <f>IF('[1]All Data '!BF2143="","",'[1]All Data '!BF2143)</f>
        <v/>
      </c>
      <c r="N2138" s="5" t="str">
        <f>IF('[1]All Data '!BB2143="","",'[1]All Data '!BC2143/'[1]All Data '!BH2143)</f>
        <v/>
      </c>
      <c r="O2138" s="5" t="str">
        <f t="shared" si="35"/>
        <v/>
      </c>
      <c r="P2138" s="5" t="str">
        <f>IF(M2138="","",$C$2*(1-L2138)*907.2/0.621371*N2138*[1]Transportation!$M$40)</f>
        <v/>
      </c>
      <c r="Q2138" s="5" t="str">
        <f>IF(L2138="","",IF([1]Inputs_Outputs!$B$5="Herbaceous",(LCA!$E$29*'[1]LOCH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8" s="5" t="str">
        <f>IF(M2138="","",$E$2*1000*'[1]LOCH Calc COE Calc'!$C$44)</f>
        <v/>
      </c>
      <c r="S2138" s="6" t="str">
        <f>IF(N2138="","",SUM(O2138:R2138)/('[1]LOCH Calc COE Calc'!$C$28))</f>
        <v/>
      </c>
      <c r="T2138" t="str">
        <f>IF(L2138="","",O2138/'[1]LOCH Calc COE Calc'!$C$28)</f>
        <v/>
      </c>
      <c r="U2138" t="str">
        <f>IF(L2138="","",P2138/'[1]LOCH Calc COE Calc'!$C$28)</f>
        <v/>
      </c>
      <c r="V2138" t="str">
        <f>IF(L2138="","",Q2138/'[1]LOCH Calc COE Calc'!$C$28)</f>
        <v/>
      </c>
      <c r="W2138" t="str">
        <f>IF(L2138="","",R2138/'[1]LOCH Calc COE Calc'!$C$28)</f>
        <v/>
      </c>
    </row>
    <row r="2139" spans="12:23" x14ac:dyDescent="0.25">
      <c r="L2139" s="4" t="str">
        <f>IF('[1]All Data '!BE2144="","",'[1]All Data '!BE2144)</f>
        <v/>
      </c>
      <c r="M2139" t="str">
        <f>IF('[1]All Data '!BF2144="","",'[1]All Data '!BF2144)</f>
        <v/>
      </c>
      <c r="N2139" s="5" t="str">
        <f>IF('[1]All Data '!BB2144="","",'[1]All Data '!BC2144/'[1]All Data '!BH2144)</f>
        <v/>
      </c>
      <c r="O2139" s="5" t="str">
        <f t="shared" si="35"/>
        <v/>
      </c>
      <c r="P2139" s="5" t="str">
        <f>IF(M2139="","",$C$2*(1-L2139)*907.2/0.621371*N2139*[1]Transportation!$M$40)</f>
        <v/>
      </c>
      <c r="Q2139" s="5" t="str">
        <f>IF(L2139="","",IF([1]Inputs_Outputs!$B$5="Herbaceous",(LCA!$E$29*'[1]LOCH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39" s="5" t="str">
        <f>IF(M2139="","",$E$2*1000*'[1]LOCH Calc COE Calc'!$C$44)</f>
        <v/>
      </c>
      <c r="S2139" s="6" t="str">
        <f>IF(N2139="","",SUM(O2139:R2139)/('[1]LOCH Calc COE Calc'!$C$28))</f>
        <v/>
      </c>
      <c r="T2139" t="str">
        <f>IF(L2139="","",O2139/'[1]LOCH Calc COE Calc'!$C$28)</f>
        <v/>
      </c>
      <c r="U2139" t="str">
        <f>IF(L2139="","",P2139/'[1]LOCH Calc COE Calc'!$C$28)</f>
        <v/>
      </c>
      <c r="V2139" t="str">
        <f>IF(L2139="","",Q2139/'[1]LOCH Calc COE Calc'!$C$28)</f>
        <v/>
      </c>
      <c r="W2139" t="str">
        <f>IF(L2139="","",R2139/'[1]LOCH Calc COE Calc'!$C$28)</f>
        <v/>
      </c>
    </row>
    <row r="2140" spans="12:23" x14ac:dyDescent="0.25">
      <c r="L2140" s="4" t="str">
        <f>IF('[1]All Data '!BE2145="","",'[1]All Data '!BE2145)</f>
        <v/>
      </c>
      <c r="M2140" t="str">
        <f>IF('[1]All Data '!BF2145="","",'[1]All Data '!BF2145)</f>
        <v/>
      </c>
      <c r="N2140" s="5" t="str">
        <f>IF('[1]All Data '!BB2145="","",'[1]All Data '!BC2145/'[1]All Data '!BH2145)</f>
        <v/>
      </c>
      <c r="O2140" s="5" t="str">
        <f t="shared" si="35"/>
        <v/>
      </c>
      <c r="P2140" s="5" t="str">
        <f>IF(M2140="","",$C$2*(1-L2140)*907.2/0.621371*N2140*[1]Transportation!$M$40)</f>
        <v/>
      </c>
      <c r="Q2140" s="5" t="str">
        <f>IF(L2140="","",IF([1]Inputs_Outputs!$B$5="Herbaceous",(LCA!$E$29*'[1]LOCH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0" s="5" t="str">
        <f>IF(M2140="","",$E$2*1000*'[1]LOCH Calc COE Calc'!$C$44)</f>
        <v/>
      </c>
      <c r="S2140" s="6" t="str">
        <f>IF(N2140="","",SUM(O2140:R2140)/('[1]LOCH Calc COE Calc'!$C$28))</f>
        <v/>
      </c>
      <c r="T2140" t="str">
        <f>IF(L2140="","",O2140/'[1]LOCH Calc COE Calc'!$C$28)</f>
        <v/>
      </c>
      <c r="U2140" t="str">
        <f>IF(L2140="","",P2140/'[1]LOCH Calc COE Calc'!$C$28)</f>
        <v/>
      </c>
      <c r="V2140" t="str">
        <f>IF(L2140="","",Q2140/'[1]LOCH Calc COE Calc'!$C$28)</f>
        <v/>
      </c>
      <c r="W2140" t="str">
        <f>IF(L2140="","",R2140/'[1]LOCH Calc COE Calc'!$C$28)</f>
        <v/>
      </c>
    </row>
    <row r="2141" spans="12:23" x14ac:dyDescent="0.25">
      <c r="L2141" s="4" t="str">
        <f>IF('[1]All Data '!BE2146="","",'[1]All Data '!BE2146)</f>
        <v/>
      </c>
      <c r="M2141" t="str">
        <f>IF('[1]All Data '!BF2146="","",'[1]All Data '!BF2146)</f>
        <v/>
      </c>
      <c r="N2141" s="5" t="str">
        <f>IF('[1]All Data '!BB2146="","",'[1]All Data '!BC2146/'[1]All Data '!BH2146)</f>
        <v/>
      </c>
      <c r="O2141" s="5" t="str">
        <f t="shared" si="35"/>
        <v/>
      </c>
      <c r="P2141" s="5" t="str">
        <f>IF(M2141="","",$C$2*(1-L2141)*907.2/0.621371*N2141*[1]Transportation!$M$40)</f>
        <v/>
      </c>
      <c r="Q2141" s="5" t="str">
        <f>IF(L2141="","",IF([1]Inputs_Outputs!$B$5="Herbaceous",(LCA!$E$29*'[1]LOCH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1" s="5" t="str">
        <f>IF(M2141="","",$E$2*1000*'[1]LOCH Calc COE Calc'!$C$44)</f>
        <v/>
      </c>
      <c r="S2141" s="6" t="str">
        <f>IF(N2141="","",SUM(O2141:R2141)/('[1]LOCH Calc COE Calc'!$C$28))</f>
        <v/>
      </c>
      <c r="T2141" t="str">
        <f>IF(L2141="","",O2141/'[1]LOCH Calc COE Calc'!$C$28)</f>
        <v/>
      </c>
      <c r="U2141" t="str">
        <f>IF(L2141="","",P2141/'[1]LOCH Calc COE Calc'!$C$28)</f>
        <v/>
      </c>
      <c r="V2141" t="str">
        <f>IF(L2141="","",Q2141/'[1]LOCH Calc COE Calc'!$C$28)</f>
        <v/>
      </c>
      <c r="W2141" t="str">
        <f>IF(L2141="","",R2141/'[1]LOCH Calc COE Calc'!$C$28)</f>
        <v/>
      </c>
    </row>
    <row r="2142" spans="12:23" x14ac:dyDescent="0.25">
      <c r="L2142" s="4" t="str">
        <f>IF('[1]All Data '!BE2147="","",'[1]All Data '!BE2147)</f>
        <v/>
      </c>
      <c r="M2142" t="str">
        <f>IF('[1]All Data '!BF2147="","",'[1]All Data '!BF2147)</f>
        <v/>
      </c>
      <c r="N2142" s="5" t="str">
        <f>IF('[1]All Data '!BB2147="","",'[1]All Data '!BC2147/'[1]All Data '!BH2147)</f>
        <v/>
      </c>
      <c r="O2142" s="5" t="str">
        <f t="shared" si="35"/>
        <v/>
      </c>
      <c r="P2142" s="5" t="str">
        <f>IF(M2142="","",$C$2*(1-L2142)*907.2/0.621371*N2142*[1]Transportation!$M$40)</f>
        <v/>
      </c>
      <c r="Q2142" s="5" t="str">
        <f>IF(L2142="","",IF([1]Inputs_Outputs!$B$5="Herbaceous",(LCA!$E$29*'[1]LOCH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2" s="5" t="str">
        <f>IF(M2142="","",$E$2*1000*'[1]LOCH Calc COE Calc'!$C$44)</f>
        <v/>
      </c>
      <c r="S2142" s="6" t="str">
        <f>IF(N2142="","",SUM(O2142:R2142)/('[1]LOCH Calc COE Calc'!$C$28))</f>
        <v/>
      </c>
      <c r="T2142" t="str">
        <f>IF(L2142="","",O2142/'[1]LOCH Calc COE Calc'!$C$28)</f>
        <v/>
      </c>
      <c r="U2142" t="str">
        <f>IF(L2142="","",P2142/'[1]LOCH Calc COE Calc'!$C$28)</f>
        <v/>
      </c>
      <c r="V2142" t="str">
        <f>IF(L2142="","",Q2142/'[1]LOCH Calc COE Calc'!$C$28)</f>
        <v/>
      </c>
      <c r="W2142" t="str">
        <f>IF(L2142="","",R2142/'[1]LOCH Calc COE Calc'!$C$28)</f>
        <v/>
      </c>
    </row>
    <row r="2143" spans="12:23" x14ac:dyDescent="0.25">
      <c r="L2143" s="4" t="str">
        <f>IF('[1]All Data '!BE2148="","",'[1]All Data '!BE2148)</f>
        <v/>
      </c>
      <c r="M2143" t="str">
        <f>IF('[1]All Data '!BF2148="","",'[1]All Data '!BF2148)</f>
        <v/>
      </c>
      <c r="N2143" s="5" t="str">
        <f>IF('[1]All Data '!BB2148="","",'[1]All Data '!BC2148/'[1]All Data '!BH2148)</f>
        <v/>
      </c>
      <c r="O2143" s="5" t="str">
        <f t="shared" si="35"/>
        <v/>
      </c>
      <c r="P2143" s="5" t="str">
        <f>IF(M2143="","",$C$2*(1-L2143)*907.2/0.621371*N2143*[1]Transportation!$M$40)</f>
        <v/>
      </c>
      <c r="Q2143" s="5" t="str">
        <f>IF(L2143="","",IF([1]Inputs_Outputs!$B$5="Herbaceous",(LCA!$E$29*'[1]LOCH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3" s="5" t="str">
        <f>IF(M2143="","",$E$2*1000*'[1]LOCH Calc COE Calc'!$C$44)</f>
        <v/>
      </c>
      <c r="S2143" s="6" t="str">
        <f>IF(N2143="","",SUM(O2143:R2143)/('[1]LOCH Calc COE Calc'!$C$28))</f>
        <v/>
      </c>
      <c r="T2143" t="str">
        <f>IF(L2143="","",O2143/'[1]LOCH Calc COE Calc'!$C$28)</f>
        <v/>
      </c>
      <c r="U2143" t="str">
        <f>IF(L2143="","",P2143/'[1]LOCH Calc COE Calc'!$C$28)</f>
        <v/>
      </c>
      <c r="V2143" t="str">
        <f>IF(L2143="","",Q2143/'[1]LOCH Calc COE Calc'!$C$28)</f>
        <v/>
      </c>
      <c r="W2143" t="str">
        <f>IF(L2143="","",R2143/'[1]LOCH Calc COE Calc'!$C$28)</f>
        <v/>
      </c>
    </row>
    <row r="2144" spans="12:23" x14ac:dyDescent="0.25">
      <c r="L2144" s="4" t="str">
        <f>IF('[1]All Data '!BE2149="","",'[1]All Data '!BE2149)</f>
        <v/>
      </c>
      <c r="M2144" t="str">
        <f>IF('[1]All Data '!BF2149="","",'[1]All Data '!BF2149)</f>
        <v/>
      </c>
      <c r="N2144" s="5" t="str">
        <f>IF('[1]All Data '!BB2149="","",'[1]All Data '!BC2149/'[1]All Data '!BH2149)</f>
        <v/>
      </c>
      <c r="O2144" s="5" t="str">
        <f t="shared" si="35"/>
        <v/>
      </c>
      <c r="P2144" s="5" t="str">
        <f>IF(M2144="","",$C$2*(1-L2144)*907.2/0.621371*N2144*[1]Transportation!$M$40)</f>
        <v/>
      </c>
      <c r="Q2144" s="5" t="str">
        <f>IF(L2144="","",IF([1]Inputs_Outputs!$B$5="Herbaceous",(LCA!$E$29*'[1]LOCH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4" s="5" t="str">
        <f>IF(M2144="","",$E$2*1000*'[1]LOCH Calc COE Calc'!$C$44)</f>
        <v/>
      </c>
      <c r="S2144" s="6" t="str">
        <f>IF(N2144="","",SUM(O2144:R2144)/('[1]LOCH Calc COE Calc'!$C$28))</f>
        <v/>
      </c>
      <c r="T2144" t="str">
        <f>IF(L2144="","",O2144/'[1]LOCH Calc COE Calc'!$C$28)</f>
        <v/>
      </c>
      <c r="U2144" t="str">
        <f>IF(L2144="","",P2144/'[1]LOCH Calc COE Calc'!$C$28)</f>
        <v/>
      </c>
      <c r="V2144" t="str">
        <f>IF(L2144="","",Q2144/'[1]LOCH Calc COE Calc'!$C$28)</f>
        <v/>
      </c>
      <c r="W2144" t="str">
        <f>IF(L2144="","",R2144/'[1]LOCH Calc COE Calc'!$C$28)</f>
        <v/>
      </c>
    </row>
    <row r="2145" spans="12:23" x14ac:dyDescent="0.25">
      <c r="L2145" s="4" t="str">
        <f>IF('[1]All Data '!BE2150="","",'[1]All Data '!BE2150)</f>
        <v/>
      </c>
      <c r="M2145" t="str">
        <f>IF('[1]All Data '!BF2150="","",'[1]All Data '!BF2150)</f>
        <v/>
      </c>
      <c r="N2145" s="5" t="str">
        <f>IF('[1]All Data '!BB2150="","",'[1]All Data '!BC2150/'[1]All Data '!BH2150)</f>
        <v/>
      </c>
      <c r="O2145" s="5" t="str">
        <f t="shared" si="35"/>
        <v/>
      </c>
      <c r="P2145" s="5" t="str">
        <f>IF(M2145="","",$C$2*(1-L2145)*907.2/0.621371*N2145*[1]Transportation!$M$40)</f>
        <v/>
      </c>
      <c r="Q2145" s="5" t="str">
        <f>IF(L2145="","",IF([1]Inputs_Outputs!$B$5="Herbaceous",(LCA!$E$29*'[1]LOCH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5" s="5" t="str">
        <f>IF(M2145="","",$E$2*1000*'[1]LOCH Calc COE Calc'!$C$44)</f>
        <v/>
      </c>
      <c r="S2145" s="6" t="str">
        <f>IF(N2145="","",SUM(O2145:R2145)/('[1]LOCH Calc COE Calc'!$C$28))</f>
        <v/>
      </c>
      <c r="T2145" t="str">
        <f>IF(L2145="","",O2145/'[1]LOCH Calc COE Calc'!$C$28)</f>
        <v/>
      </c>
      <c r="U2145" t="str">
        <f>IF(L2145="","",P2145/'[1]LOCH Calc COE Calc'!$C$28)</f>
        <v/>
      </c>
      <c r="V2145" t="str">
        <f>IF(L2145="","",Q2145/'[1]LOCH Calc COE Calc'!$C$28)</f>
        <v/>
      </c>
      <c r="W2145" t="str">
        <f>IF(L2145="","",R2145/'[1]LOCH Calc COE Calc'!$C$28)</f>
        <v/>
      </c>
    </row>
    <row r="2146" spans="12:23" x14ac:dyDescent="0.25">
      <c r="L2146" s="4" t="str">
        <f>IF('[1]All Data '!BE2151="","",'[1]All Data '!BE2151)</f>
        <v/>
      </c>
      <c r="M2146" t="str">
        <f>IF('[1]All Data '!BF2151="","",'[1]All Data '!BF2151)</f>
        <v/>
      </c>
      <c r="N2146" s="5" t="str">
        <f>IF('[1]All Data '!BB2151="","",'[1]All Data '!BC2151/'[1]All Data '!BH2151)</f>
        <v/>
      </c>
      <c r="O2146" s="5" t="str">
        <f t="shared" si="35"/>
        <v/>
      </c>
      <c r="P2146" s="5" t="str">
        <f>IF(M2146="","",$C$2*(1-L2146)*907.2/0.621371*N2146*[1]Transportation!$M$40)</f>
        <v/>
      </c>
      <c r="Q2146" s="5" t="str">
        <f>IF(L2146="","",IF([1]Inputs_Outputs!$B$5="Herbaceous",(LCA!$E$29*'[1]LOCH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6" s="5" t="str">
        <f>IF(M2146="","",$E$2*1000*'[1]LOCH Calc COE Calc'!$C$44)</f>
        <v/>
      </c>
      <c r="S2146" s="6" t="str">
        <f>IF(N2146="","",SUM(O2146:R2146)/('[1]LOCH Calc COE Calc'!$C$28))</f>
        <v/>
      </c>
      <c r="T2146" t="str">
        <f>IF(L2146="","",O2146/'[1]LOCH Calc COE Calc'!$C$28)</f>
        <v/>
      </c>
      <c r="U2146" t="str">
        <f>IF(L2146="","",P2146/'[1]LOCH Calc COE Calc'!$C$28)</f>
        <v/>
      </c>
      <c r="V2146" t="str">
        <f>IF(L2146="","",Q2146/'[1]LOCH Calc COE Calc'!$C$28)</f>
        <v/>
      </c>
      <c r="W2146" t="str">
        <f>IF(L2146="","",R2146/'[1]LOCH Calc COE Calc'!$C$28)</f>
        <v/>
      </c>
    </row>
    <row r="2147" spans="12:23" x14ac:dyDescent="0.25">
      <c r="L2147" s="4" t="str">
        <f>IF('[1]All Data '!BE2152="","",'[1]All Data '!BE2152)</f>
        <v/>
      </c>
      <c r="M2147" t="str">
        <f>IF('[1]All Data '!BF2152="","",'[1]All Data '!BF2152)</f>
        <v/>
      </c>
      <c r="N2147" s="5" t="str">
        <f>IF('[1]All Data '!BB2152="","",'[1]All Data '!BC2152/'[1]All Data '!BH2152)</f>
        <v/>
      </c>
      <c r="O2147" s="5" t="str">
        <f t="shared" si="35"/>
        <v/>
      </c>
      <c r="P2147" s="5" t="str">
        <f>IF(M2147="","",$C$2*(1-L2147)*907.2/0.621371*N2147*[1]Transportation!$M$40)</f>
        <v/>
      </c>
      <c r="Q2147" s="5" t="str">
        <f>IF(L2147="","",IF([1]Inputs_Outputs!$B$5="Herbaceous",(LCA!$E$29*'[1]LOCH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7" s="5" t="str">
        <f>IF(M2147="","",$E$2*1000*'[1]LOCH Calc COE Calc'!$C$44)</f>
        <v/>
      </c>
      <c r="S2147" s="6" t="str">
        <f>IF(N2147="","",SUM(O2147:R2147)/('[1]LOCH Calc COE Calc'!$C$28))</f>
        <v/>
      </c>
      <c r="T2147" t="str">
        <f>IF(L2147="","",O2147/'[1]LOCH Calc COE Calc'!$C$28)</f>
        <v/>
      </c>
      <c r="U2147" t="str">
        <f>IF(L2147="","",P2147/'[1]LOCH Calc COE Calc'!$C$28)</f>
        <v/>
      </c>
      <c r="V2147" t="str">
        <f>IF(L2147="","",Q2147/'[1]LOCH Calc COE Calc'!$C$28)</f>
        <v/>
      </c>
      <c r="W2147" t="str">
        <f>IF(L2147="","",R2147/'[1]LOCH Calc COE Calc'!$C$28)</f>
        <v/>
      </c>
    </row>
    <row r="2148" spans="12:23" x14ac:dyDescent="0.25">
      <c r="L2148" s="4" t="str">
        <f>IF('[1]All Data '!BE2153="","",'[1]All Data '!BE2153)</f>
        <v/>
      </c>
      <c r="M2148" t="str">
        <f>IF('[1]All Data '!BF2153="","",'[1]All Data '!BF2153)</f>
        <v/>
      </c>
      <c r="N2148" s="5" t="str">
        <f>IF('[1]All Data '!BB2153="","",'[1]All Data '!BC2153/'[1]All Data '!BH2153)</f>
        <v/>
      </c>
      <c r="O2148" s="5" t="str">
        <f t="shared" si="35"/>
        <v/>
      </c>
      <c r="P2148" s="5" t="str">
        <f>IF(M2148="","",$C$2*(1-L2148)*907.2/0.621371*N2148*[1]Transportation!$M$40)</f>
        <v/>
      </c>
      <c r="Q2148" s="5" t="str">
        <f>IF(L2148="","",IF([1]Inputs_Outputs!$B$5="Herbaceous",(LCA!$E$29*'[1]LOCH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8" s="5" t="str">
        <f>IF(M2148="","",$E$2*1000*'[1]LOCH Calc COE Calc'!$C$44)</f>
        <v/>
      </c>
      <c r="S2148" s="6" t="str">
        <f>IF(N2148="","",SUM(O2148:R2148)/('[1]LOCH Calc COE Calc'!$C$28))</f>
        <v/>
      </c>
      <c r="T2148" t="str">
        <f>IF(L2148="","",O2148/'[1]LOCH Calc COE Calc'!$C$28)</f>
        <v/>
      </c>
      <c r="U2148" t="str">
        <f>IF(L2148="","",P2148/'[1]LOCH Calc COE Calc'!$C$28)</f>
        <v/>
      </c>
      <c r="V2148" t="str">
        <f>IF(L2148="","",Q2148/'[1]LOCH Calc COE Calc'!$C$28)</f>
        <v/>
      </c>
      <c r="W2148" t="str">
        <f>IF(L2148="","",R2148/'[1]LOCH Calc COE Calc'!$C$28)</f>
        <v/>
      </c>
    </row>
    <row r="2149" spans="12:23" x14ac:dyDescent="0.25">
      <c r="L2149" s="4" t="str">
        <f>IF('[1]All Data '!BE2154="","",'[1]All Data '!BE2154)</f>
        <v/>
      </c>
      <c r="M2149" t="str">
        <f>IF('[1]All Data '!BF2154="","",'[1]All Data '!BF2154)</f>
        <v/>
      </c>
      <c r="N2149" s="5" t="str">
        <f>IF('[1]All Data '!BB2154="","",'[1]All Data '!BC2154/'[1]All Data '!BH2154)</f>
        <v/>
      </c>
      <c r="O2149" s="5" t="str">
        <f t="shared" si="35"/>
        <v/>
      </c>
      <c r="P2149" s="5" t="str">
        <f>IF(M2149="","",$C$2*(1-L2149)*907.2/0.621371*N2149*[1]Transportation!$M$40)</f>
        <v/>
      </c>
      <c r="Q2149" s="5" t="str">
        <f>IF(L2149="","",IF([1]Inputs_Outputs!$B$5="Herbaceous",(LCA!$E$29*'[1]LOCH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49" s="5" t="str">
        <f>IF(M2149="","",$E$2*1000*'[1]LOCH Calc COE Calc'!$C$44)</f>
        <v/>
      </c>
      <c r="S2149" s="6" t="str">
        <f>IF(N2149="","",SUM(O2149:R2149)/('[1]LOCH Calc COE Calc'!$C$28))</f>
        <v/>
      </c>
      <c r="T2149" t="str">
        <f>IF(L2149="","",O2149/'[1]LOCH Calc COE Calc'!$C$28)</f>
        <v/>
      </c>
      <c r="U2149" t="str">
        <f>IF(L2149="","",P2149/'[1]LOCH Calc COE Calc'!$C$28)</f>
        <v/>
      </c>
      <c r="V2149" t="str">
        <f>IF(L2149="","",Q2149/'[1]LOCH Calc COE Calc'!$C$28)</f>
        <v/>
      </c>
      <c r="W2149" t="str">
        <f>IF(L2149="","",R2149/'[1]LOCH Calc COE Calc'!$C$28)</f>
        <v/>
      </c>
    </row>
    <row r="2150" spans="12:23" x14ac:dyDescent="0.25">
      <c r="L2150" s="4" t="str">
        <f>IF('[1]All Data '!BE2155="","",'[1]All Data '!BE2155)</f>
        <v/>
      </c>
      <c r="M2150" t="str">
        <f>IF('[1]All Data '!BF2155="","",'[1]All Data '!BF2155)</f>
        <v/>
      </c>
      <c r="N2150" s="5" t="str">
        <f>IF('[1]All Data '!BB2155="","",'[1]All Data '!BC2155/'[1]All Data '!BH2155)</f>
        <v/>
      </c>
      <c r="O2150" s="5" t="str">
        <f t="shared" si="35"/>
        <v/>
      </c>
      <c r="P2150" s="5" t="str">
        <f>IF(M2150="","",$C$2*(1-L2150)*907.2/0.621371*N2150*[1]Transportation!$M$40)</f>
        <v/>
      </c>
      <c r="Q2150" s="5" t="str">
        <f>IF(L2150="","",IF([1]Inputs_Outputs!$B$5="Herbaceous",(LCA!$E$29*'[1]LOCH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0" s="5" t="str">
        <f>IF(M2150="","",$E$2*1000*'[1]LOCH Calc COE Calc'!$C$44)</f>
        <v/>
      </c>
      <c r="S2150" s="6" t="str">
        <f>IF(N2150="","",SUM(O2150:R2150)/('[1]LOCH Calc COE Calc'!$C$28))</f>
        <v/>
      </c>
      <c r="T2150" t="str">
        <f>IF(L2150="","",O2150/'[1]LOCH Calc COE Calc'!$C$28)</f>
        <v/>
      </c>
      <c r="U2150" t="str">
        <f>IF(L2150="","",P2150/'[1]LOCH Calc COE Calc'!$C$28)</f>
        <v/>
      </c>
      <c r="V2150" t="str">
        <f>IF(L2150="","",Q2150/'[1]LOCH Calc COE Calc'!$C$28)</f>
        <v/>
      </c>
      <c r="W2150" t="str">
        <f>IF(L2150="","",R2150/'[1]LOCH Calc COE Calc'!$C$28)</f>
        <v/>
      </c>
    </row>
    <row r="2151" spans="12:23" x14ac:dyDescent="0.25">
      <c r="L2151" s="4" t="str">
        <f>IF('[1]All Data '!BE2156="","",'[1]All Data '!BE2156)</f>
        <v/>
      </c>
      <c r="M2151" t="str">
        <f>IF('[1]All Data '!BF2156="","",'[1]All Data '!BF2156)</f>
        <v/>
      </c>
      <c r="N2151" s="5" t="str">
        <f>IF('[1]All Data '!BB2156="","",'[1]All Data '!BC2156/'[1]All Data '!BH2156)</f>
        <v/>
      </c>
      <c r="O2151" s="5" t="str">
        <f t="shared" si="35"/>
        <v/>
      </c>
      <c r="P2151" s="5" t="str">
        <f>IF(M2151="","",$C$2*(1-L2151)*907.2/0.621371*N2151*[1]Transportation!$M$40)</f>
        <v/>
      </c>
      <c r="Q2151" s="5" t="str">
        <f>IF(L2151="","",IF([1]Inputs_Outputs!$B$5="Herbaceous",(LCA!$E$29*'[1]LOCH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1" s="5" t="str">
        <f>IF(M2151="","",$E$2*1000*'[1]LOCH Calc COE Calc'!$C$44)</f>
        <v/>
      </c>
      <c r="S2151" s="6" t="str">
        <f>IF(N2151="","",SUM(O2151:R2151)/('[1]LOCH Calc COE Calc'!$C$28))</f>
        <v/>
      </c>
      <c r="T2151" t="str">
        <f>IF(L2151="","",O2151/'[1]LOCH Calc COE Calc'!$C$28)</f>
        <v/>
      </c>
      <c r="U2151" t="str">
        <f>IF(L2151="","",P2151/'[1]LOCH Calc COE Calc'!$C$28)</f>
        <v/>
      </c>
      <c r="V2151" t="str">
        <f>IF(L2151="","",Q2151/'[1]LOCH Calc COE Calc'!$C$28)</f>
        <v/>
      </c>
      <c r="W2151" t="str">
        <f>IF(L2151="","",R2151/'[1]LOCH Calc COE Calc'!$C$28)</f>
        <v/>
      </c>
    </row>
    <row r="2152" spans="12:23" x14ac:dyDescent="0.25">
      <c r="L2152" s="4" t="str">
        <f>IF('[1]All Data '!BE2157="","",'[1]All Data '!BE2157)</f>
        <v/>
      </c>
      <c r="M2152" t="str">
        <f>IF('[1]All Data '!BF2157="","",'[1]All Data '!BF2157)</f>
        <v/>
      </c>
      <c r="N2152" s="5" t="str">
        <f>IF('[1]All Data '!BB2157="","",'[1]All Data '!BC2157/'[1]All Data '!BH2157)</f>
        <v/>
      </c>
      <c r="O2152" s="5" t="str">
        <f t="shared" si="35"/>
        <v/>
      </c>
      <c r="P2152" s="5" t="str">
        <f>IF(M2152="","",$C$2*(1-L2152)*907.2/0.621371*N2152*[1]Transportation!$M$40)</f>
        <v/>
      </c>
      <c r="Q2152" s="5" t="str">
        <f>IF(L2152="","",IF([1]Inputs_Outputs!$B$5="Herbaceous",(LCA!$E$29*'[1]LOCH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2" s="5" t="str">
        <f>IF(M2152="","",$E$2*1000*'[1]LOCH Calc COE Calc'!$C$44)</f>
        <v/>
      </c>
      <c r="S2152" s="6" t="str">
        <f>IF(N2152="","",SUM(O2152:R2152)/('[1]LOCH Calc COE Calc'!$C$28))</f>
        <v/>
      </c>
      <c r="T2152" t="str">
        <f>IF(L2152="","",O2152/'[1]LOCH Calc COE Calc'!$C$28)</f>
        <v/>
      </c>
      <c r="U2152" t="str">
        <f>IF(L2152="","",P2152/'[1]LOCH Calc COE Calc'!$C$28)</f>
        <v/>
      </c>
      <c r="V2152" t="str">
        <f>IF(L2152="","",Q2152/'[1]LOCH Calc COE Calc'!$C$28)</f>
        <v/>
      </c>
      <c r="W2152" t="str">
        <f>IF(L2152="","",R2152/'[1]LOCH Calc COE Calc'!$C$28)</f>
        <v/>
      </c>
    </row>
    <row r="2153" spans="12:23" x14ac:dyDescent="0.25">
      <c r="L2153" s="4" t="str">
        <f>IF('[1]All Data '!BE2158="","",'[1]All Data '!BE2158)</f>
        <v/>
      </c>
      <c r="M2153" t="str">
        <f>IF('[1]All Data '!BF2158="","",'[1]All Data '!BF2158)</f>
        <v/>
      </c>
      <c r="N2153" s="5" t="str">
        <f>IF('[1]All Data '!BB2158="","",'[1]All Data '!BC2158/'[1]All Data '!BH2158)</f>
        <v/>
      </c>
      <c r="O2153" s="5" t="str">
        <f t="shared" si="35"/>
        <v/>
      </c>
      <c r="P2153" s="5" t="str">
        <f>IF(M2153="","",$C$2*(1-L2153)*907.2/0.621371*N2153*[1]Transportation!$M$40)</f>
        <v/>
      </c>
      <c r="Q2153" s="5" t="str">
        <f>IF(L2153="","",IF([1]Inputs_Outputs!$B$5="Herbaceous",(LCA!$E$29*'[1]LOCH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3" s="5" t="str">
        <f>IF(M2153="","",$E$2*1000*'[1]LOCH Calc COE Calc'!$C$44)</f>
        <v/>
      </c>
      <c r="S2153" s="6" t="str">
        <f>IF(N2153="","",SUM(O2153:R2153)/('[1]LOCH Calc COE Calc'!$C$28))</f>
        <v/>
      </c>
      <c r="T2153" t="str">
        <f>IF(L2153="","",O2153/'[1]LOCH Calc COE Calc'!$C$28)</f>
        <v/>
      </c>
      <c r="U2153" t="str">
        <f>IF(L2153="","",P2153/'[1]LOCH Calc COE Calc'!$C$28)</f>
        <v/>
      </c>
      <c r="V2153" t="str">
        <f>IF(L2153="","",Q2153/'[1]LOCH Calc COE Calc'!$C$28)</f>
        <v/>
      </c>
      <c r="W2153" t="str">
        <f>IF(L2153="","",R2153/'[1]LOCH Calc COE Calc'!$C$28)</f>
        <v/>
      </c>
    </row>
    <row r="2154" spans="12:23" x14ac:dyDescent="0.25">
      <c r="L2154" s="4" t="str">
        <f>IF('[1]All Data '!BE2159="","",'[1]All Data '!BE2159)</f>
        <v/>
      </c>
      <c r="M2154" t="str">
        <f>IF('[1]All Data '!BF2159="","",'[1]All Data '!BF2159)</f>
        <v/>
      </c>
      <c r="N2154" s="5" t="str">
        <f>IF('[1]All Data '!BB2159="","",'[1]All Data '!BC2159/'[1]All Data '!BH2159)</f>
        <v/>
      </c>
      <c r="O2154" s="5" t="str">
        <f t="shared" si="35"/>
        <v/>
      </c>
      <c r="P2154" s="5" t="str">
        <f>IF(M2154="","",$C$2*(1-L2154)*907.2/0.621371*N2154*[1]Transportation!$M$40)</f>
        <v/>
      </c>
      <c r="Q2154" s="5" t="str">
        <f>IF(L2154="","",IF([1]Inputs_Outputs!$B$5="Herbaceous",(LCA!$E$29*'[1]LOCH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4" s="5" t="str">
        <f>IF(M2154="","",$E$2*1000*'[1]LOCH Calc COE Calc'!$C$44)</f>
        <v/>
      </c>
      <c r="S2154" s="6" t="str">
        <f>IF(N2154="","",SUM(O2154:R2154)/('[1]LOCH Calc COE Calc'!$C$28))</f>
        <v/>
      </c>
      <c r="T2154" t="str">
        <f>IF(L2154="","",O2154/'[1]LOCH Calc COE Calc'!$C$28)</f>
        <v/>
      </c>
      <c r="U2154" t="str">
        <f>IF(L2154="","",P2154/'[1]LOCH Calc COE Calc'!$C$28)</f>
        <v/>
      </c>
      <c r="V2154" t="str">
        <f>IF(L2154="","",Q2154/'[1]LOCH Calc COE Calc'!$C$28)</f>
        <v/>
      </c>
      <c r="W2154" t="str">
        <f>IF(L2154="","",R2154/'[1]LOCH Calc COE Calc'!$C$28)</f>
        <v/>
      </c>
    </row>
    <row r="2155" spans="12:23" x14ac:dyDescent="0.25">
      <c r="L2155" s="4" t="str">
        <f>IF('[1]All Data '!BE2160="","",'[1]All Data '!BE2160)</f>
        <v/>
      </c>
      <c r="M2155" t="str">
        <f>IF('[1]All Data '!BF2160="","",'[1]All Data '!BF2160)</f>
        <v/>
      </c>
      <c r="N2155" s="5" t="str">
        <f>IF('[1]All Data '!BB2160="","",'[1]All Data '!BC2160/'[1]All Data '!BH2160)</f>
        <v/>
      </c>
      <c r="O2155" s="5" t="str">
        <f t="shared" si="35"/>
        <v/>
      </c>
      <c r="P2155" s="5" t="str">
        <f>IF(M2155="","",$C$2*(1-L2155)*907.2/0.621371*N2155*[1]Transportation!$M$40)</f>
        <v/>
      </c>
      <c r="Q2155" s="5" t="str">
        <f>IF(L2155="","",IF([1]Inputs_Outputs!$B$5="Herbaceous",(LCA!$E$29*'[1]LOCH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5" s="5" t="str">
        <f>IF(M2155="","",$E$2*1000*'[1]LOCH Calc COE Calc'!$C$44)</f>
        <v/>
      </c>
      <c r="S2155" s="6" t="str">
        <f>IF(N2155="","",SUM(O2155:R2155)/('[1]LOCH Calc COE Calc'!$C$28))</f>
        <v/>
      </c>
      <c r="T2155" t="str">
        <f>IF(L2155="","",O2155/'[1]LOCH Calc COE Calc'!$C$28)</f>
        <v/>
      </c>
      <c r="U2155" t="str">
        <f>IF(L2155="","",P2155/'[1]LOCH Calc COE Calc'!$C$28)</f>
        <v/>
      </c>
      <c r="V2155" t="str">
        <f>IF(L2155="","",Q2155/'[1]LOCH Calc COE Calc'!$C$28)</f>
        <v/>
      </c>
      <c r="W2155" t="str">
        <f>IF(L2155="","",R2155/'[1]LOCH Calc COE Calc'!$C$28)</f>
        <v/>
      </c>
    </row>
    <row r="2156" spans="12:23" x14ac:dyDescent="0.25">
      <c r="L2156" s="4" t="str">
        <f>IF('[1]All Data '!BE2161="","",'[1]All Data '!BE2161)</f>
        <v/>
      </c>
      <c r="M2156" t="str">
        <f>IF('[1]All Data '!BF2161="","",'[1]All Data '!BF2161)</f>
        <v/>
      </c>
      <c r="N2156" s="5" t="str">
        <f>IF('[1]All Data '!BB2161="","",'[1]All Data '!BC2161/'[1]All Data '!BH2161)</f>
        <v/>
      </c>
      <c r="O2156" s="5" t="str">
        <f t="shared" si="35"/>
        <v/>
      </c>
      <c r="P2156" s="5" t="str">
        <f>IF(M2156="","",$C$2*(1-L2156)*907.2/0.621371*N2156*[1]Transportation!$M$40)</f>
        <v/>
      </c>
      <c r="Q2156" s="5" t="str">
        <f>IF(L2156="","",IF([1]Inputs_Outputs!$B$5="Herbaceous",(LCA!$E$29*'[1]LOCH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6" s="5" t="str">
        <f>IF(M2156="","",$E$2*1000*'[1]LOCH Calc COE Calc'!$C$44)</f>
        <v/>
      </c>
      <c r="S2156" s="6" t="str">
        <f>IF(N2156="","",SUM(O2156:R2156)/('[1]LOCH Calc COE Calc'!$C$28))</f>
        <v/>
      </c>
      <c r="T2156" t="str">
        <f>IF(L2156="","",O2156/'[1]LOCH Calc COE Calc'!$C$28)</f>
        <v/>
      </c>
      <c r="U2156" t="str">
        <f>IF(L2156="","",P2156/'[1]LOCH Calc COE Calc'!$C$28)</f>
        <v/>
      </c>
      <c r="V2156" t="str">
        <f>IF(L2156="","",Q2156/'[1]LOCH Calc COE Calc'!$C$28)</f>
        <v/>
      </c>
      <c r="W2156" t="str">
        <f>IF(L2156="","",R2156/'[1]LOCH Calc COE Calc'!$C$28)</f>
        <v/>
      </c>
    </row>
    <row r="2157" spans="12:23" x14ac:dyDescent="0.25">
      <c r="L2157" s="4" t="str">
        <f>IF('[1]All Data '!BE2162="","",'[1]All Data '!BE2162)</f>
        <v/>
      </c>
      <c r="M2157" t="str">
        <f>IF('[1]All Data '!BF2162="","",'[1]All Data '!BF2162)</f>
        <v/>
      </c>
      <c r="N2157" s="5" t="str">
        <f>IF('[1]All Data '!BB2162="","",'[1]All Data '!BC2162/'[1]All Data '!BH2162)</f>
        <v/>
      </c>
      <c r="O2157" s="5" t="str">
        <f t="shared" si="35"/>
        <v/>
      </c>
      <c r="P2157" s="5" t="str">
        <f>IF(M2157="","",$C$2*(1-L2157)*907.2/0.621371*N2157*[1]Transportation!$M$40)</f>
        <v/>
      </c>
      <c r="Q2157" s="5" t="str">
        <f>IF(L2157="","",IF([1]Inputs_Outputs!$B$5="Herbaceous",(LCA!$E$29*'[1]LOCH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7" s="5" t="str">
        <f>IF(M2157="","",$E$2*1000*'[1]LOCH Calc COE Calc'!$C$44)</f>
        <v/>
      </c>
      <c r="S2157" s="6" t="str">
        <f>IF(N2157="","",SUM(O2157:R2157)/('[1]LOCH Calc COE Calc'!$C$28))</f>
        <v/>
      </c>
      <c r="T2157" t="str">
        <f>IF(L2157="","",O2157/'[1]LOCH Calc COE Calc'!$C$28)</f>
        <v/>
      </c>
      <c r="U2157" t="str">
        <f>IF(L2157="","",P2157/'[1]LOCH Calc COE Calc'!$C$28)</f>
        <v/>
      </c>
      <c r="V2157" t="str">
        <f>IF(L2157="","",Q2157/'[1]LOCH Calc COE Calc'!$C$28)</f>
        <v/>
      </c>
      <c r="W2157" t="str">
        <f>IF(L2157="","",R2157/'[1]LOCH Calc COE Calc'!$C$28)</f>
        <v/>
      </c>
    </row>
    <row r="2158" spans="12:23" x14ac:dyDescent="0.25">
      <c r="L2158" s="4" t="str">
        <f>IF('[1]All Data '!BE2163="","",'[1]All Data '!BE2163)</f>
        <v/>
      </c>
      <c r="M2158" t="str">
        <f>IF('[1]All Data '!BF2163="","",'[1]All Data '!BF2163)</f>
        <v/>
      </c>
      <c r="N2158" s="5" t="str">
        <f>IF('[1]All Data '!BB2163="","",'[1]All Data '!BC2163/'[1]All Data '!BH2163)</f>
        <v/>
      </c>
      <c r="O2158" s="5" t="str">
        <f t="shared" si="35"/>
        <v/>
      </c>
      <c r="P2158" s="5" t="str">
        <f>IF(M2158="","",$C$2*(1-L2158)*907.2/0.621371*N2158*[1]Transportation!$M$40)</f>
        <v/>
      </c>
      <c r="Q2158" s="5" t="str">
        <f>IF(L2158="","",IF([1]Inputs_Outputs!$B$5="Herbaceous",(LCA!$E$29*'[1]LOCH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8" s="5" t="str">
        <f>IF(M2158="","",$E$2*1000*'[1]LOCH Calc COE Calc'!$C$44)</f>
        <v/>
      </c>
      <c r="S2158" s="6" t="str">
        <f>IF(N2158="","",SUM(O2158:R2158)/('[1]LOCH Calc COE Calc'!$C$28))</f>
        <v/>
      </c>
      <c r="T2158" t="str">
        <f>IF(L2158="","",O2158/'[1]LOCH Calc COE Calc'!$C$28)</f>
        <v/>
      </c>
      <c r="U2158" t="str">
        <f>IF(L2158="","",P2158/'[1]LOCH Calc COE Calc'!$C$28)</f>
        <v/>
      </c>
      <c r="V2158" t="str">
        <f>IF(L2158="","",Q2158/'[1]LOCH Calc COE Calc'!$C$28)</f>
        <v/>
      </c>
      <c r="W2158" t="str">
        <f>IF(L2158="","",R2158/'[1]LOCH Calc COE Calc'!$C$28)</f>
        <v/>
      </c>
    </row>
    <row r="2159" spans="12:23" x14ac:dyDescent="0.25">
      <c r="L2159" s="4" t="str">
        <f>IF('[1]All Data '!BE2164="","",'[1]All Data '!BE2164)</f>
        <v/>
      </c>
      <c r="M2159" t="str">
        <f>IF('[1]All Data '!BF2164="","",'[1]All Data '!BF2164)</f>
        <v/>
      </c>
      <c r="N2159" s="5" t="str">
        <f>IF('[1]All Data '!BB2164="","",'[1]All Data '!BC2164/'[1]All Data '!BH2164)</f>
        <v/>
      </c>
      <c r="O2159" s="5" t="str">
        <f t="shared" si="35"/>
        <v/>
      </c>
      <c r="P2159" s="5" t="str">
        <f>IF(M2159="","",$C$2*(1-L2159)*907.2/0.621371*N2159*[1]Transportation!$M$40)</f>
        <v/>
      </c>
      <c r="Q2159" s="5" t="str">
        <f>IF(L2159="","",IF([1]Inputs_Outputs!$B$5="Herbaceous",(LCA!$E$29*'[1]LOCH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59" s="5" t="str">
        <f>IF(M2159="","",$E$2*1000*'[1]LOCH Calc COE Calc'!$C$44)</f>
        <v/>
      </c>
      <c r="S2159" s="6" t="str">
        <f>IF(N2159="","",SUM(O2159:R2159)/('[1]LOCH Calc COE Calc'!$C$28))</f>
        <v/>
      </c>
      <c r="T2159" t="str">
        <f>IF(L2159="","",O2159/'[1]LOCH Calc COE Calc'!$C$28)</f>
        <v/>
      </c>
      <c r="U2159" t="str">
        <f>IF(L2159="","",P2159/'[1]LOCH Calc COE Calc'!$C$28)</f>
        <v/>
      </c>
      <c r="V2159" t="str">
        <f>IF(L2159="","",Q2159/'[1]LOCH Calc COE Calc'!$C$28)</f>
        <v/>
      </c>
      <c r="W2159" t="str">
        <f>IF(L2159="","",R2159/'[1]LOCH Calc COE Calc'!$C$28)</f>
        <v/>
      </c>
    </row>
    <row r="2160" spans="12:23" x14ac:dyDescent="0.25">
      <c r="L2160" s="4" t="str">
        <f>IF('[1]All Data '!BE2165="","",'[1]All Data '!BE2165)</f>
        <v/>
      </c>
      <c r="M2160" t="str">
        <f>IF('[1]All Data '!BF2165="","",'[1]All Data '!BF2165)</f>
        <v/>
      </c>
      <c r="N2160" s="5" t="str">
        <f>IF('[1]All Data '!BB2165="","",'[1]All Data '!BC2165/'[1]All Data '!BH2165)</f>
        <v/>
      </c>
      <c r="O2160" s="5" t="str">
        <f t="shared" si="35"/>
        <v/>
      </c>
      <c r="P2160" s="5" t="str">
        <f>IF(M2160="","",$C$2*(1-L2160)*907.2/0.621371*N2160*[1]Transportation!$M$40)</f>
        <v/>
      </c>
      <c r="Q2160" s="5" t="str">
        <f>IF(L2160="","",IF([1]Inputs_Outputs!$B$5="Herbaceous",(LCA!$E$29*'[1]LOCH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0" s="5" t="str">
        <f>IF(M2160="","",$E$2*1000*'[1]LOCH Calc COE Calc'!$C$44)</f>
        <v/>
      </c>
      <c r="S2160" s="6" t="str">
        <f>IF(N2160="","",SUM(O2160:R2160)/('[1]LOCH Calc COE Calc'!$C$28))</f>
        <v/>
      </c>
      <c r="T2160" t="str">
        <f>IF(L2160="","",O2160/'[1]LOCH Calc COE Calc'!$C$28)</f>
        <v/>
      </c>
      <c r="U2160" t="str">
        <f>IF(L2160="","",P2160/'[1]LOCH Calc COE Calc'!$C$28)</f>
        <v/>
      </c>
      <c r="V2160" t="str">
        <f>IF(L2160="","",Q2160/'[1]LOCH Calc COE Calc'!$C$28)</f>
        <v/>
      </c>
      <c r="W2160" t="str">
        <f>IF(L2160="","",R2160/'[1]LOCH Calc COE Calc'!$C$28)</f>
        <v/>
      </c>
    </row>
    <row r="2161" spans="12:23" x14ac:dyDescent="0.25">
      <c r="L2161" s="4" t="str">
        <f>IF('[1]All Data '!BE2166="","",'[1]All Data '!BE2166)</f>
        <v/>
      </c>
      <c r="M2161" t="str">
        <f>IF('[1]All Data '!BF2166="","",'[1]All Data '!BF2166)</f>
        <v/>
      </c>
      <c r="N2161" s="5" t="str">
        <f>IF('[1]All Data '!BB2166="","",'[1]All Data '!BC2166/'[1]All Data '!BH2166)</f>
        <v/>
      </c>
      <c r="O2161" s="5" t="str">
        <f t="shared" si="35"/>
        <v/>
      </c>
      <c r="P2161" s="5" t="str">
        <f>IF(M2161="","",$C$2*(1-L2161)*907.2/0.621371*N2161*[1]Transportation!$M$40)</f>
        <v/>
      </c>
      <c r="Q2161" s="5" t="str">
        <f>IF(L2161="","",IF([1]Inputs_Outputs!$B$5="Herbaceous",(LCA!$E$29*'[1]LOCH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1" s="5" t="str">
        <f>IF(M2161="","",$E$2*1000*'[1]LOCH Calc COE Calc'!$C$44)</f>
        <v/>
      </c>
      <c r="S2161" s="6" t="str">
        <f>IF(N2161="","",SUM(O2161:R2161)/('[1]LOCH Calc COE Calc'!$C$28))</f>
        <v/>
      </c>
      <c r="T2161" t="str">
        <f>IF(L2161="","",O2161/'[1]LOCH Calc COE Calc'!$C$28)</f>
        <v/>
      </c>
      <c r="U2161" t="str">
        <f>IF(L2161="","",P2161/'[1]LOCH Calc COE Calc'!$C$28)</f>
        <v/>
      </c>
      <c r="V2161" t="str">
        <f>IF(L2161="","",Q2161/'[1]LOCH Calc COE Calc'!$C$28)</f>
        <v/>
      </c>
      <c r="W2161" t="str">
        <f>IF(L2161="","",R2161/'[1]LOCH Calc COE Calc'!$C$28)</f>
        <v/>
      </c>
    </row>
    <row r="2162" spans="12:23" x14ac:dyDescent="0.25">
      <c r="L2162" s="4" t="str">
        <f>IF('[1]All Data '!BE2167="","",'[1]All Data '!BE2167)</f>
        <v/>
      </c>
      <c r="M2162" t="str">
        <f>IF('[1]All Data '!BF2167="","",'[1]All Data '!BF2167)</f>
        <v/>
      </c>
      <c r="N2162" s="5" t="str">
        <f>IF('[1]All Data '!BB2167="","",'[1]All Data '!BC2167/'[1]All Data '!BH2167)</f>
        <v/>
      </c>
      <c r="O2162" s="5" t="str">
        <f t="shared" si="35"/>
        <v/>
      </c>
      <c r="P2162" s="5" t="str">
        <f>IF(M2162="","",$C$2*(1-L2162)*907.2/0.621371*N2162*[1]Transportation!$M$40)</f>
        <v/>
      </c>
      <c r="Q2162" s="5" t="str">
        <f>IF(L2162="","",IF([1]Inputs_Outputs!$B$5="Herbaceous",(LCA!$E$29*'[1]LOCH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2" s="5" t="str">
        <f>IF(M2162="","",$E$2*1000*'[1]LOCH Calc COE Calc'!$C$44)</f>
        <v/>
      </c>
      <c r="S2162" s="6" t="str">
        <f>IF(N2162="","",SUM(O2162:R2162)/('[1]LOCH Calc COE Calc'!$C$28))</f>
        <v/>
      </c>
      <c r="T2162" t="str">
        <f>IF(L2162="","",O2162/'[1]LOCH Calc COE Calc'!$C$28)</f>
        <v/>
      </c>
      <c r="U2162" t="str">
        <f>IF(L2162="","",P2162/'[1]LOCH Calc COE Calc'!$C$28)</f>
        <v/>
      </c>
      <c r="V2162" t="str">
        <f>IF(L2162="","",Q2162/'[1]LOCH Calc COE Calc'!$C$28)</f>
        <v/>
      </c>
      <c r="W2162" t="str">
        <f>IF(L2162="","",R2162/'[1]LOCH Calc COE Calc'!$C$28)</f>
        <v/>
      </c>
    </row>
    <row r="2163" spans="12:23" x14ac:dyDescent="0.25">
      <c r="L2163" s="4" t="str">
        <f>IF('[1]All Data '!BE2168="","",'[1]All Data '!BE2168)</f>
        <v/>
      </c>
      <c r="M2163" t="str">
        <f>IF('[1]All Data '!BF2168="","",'[1]All Data '!BF2168)</f>
        <v/>
      </c>
      <c r="N2163" s="5" t="str">
        <f>IF('[1]All Data '!BB2168="","",'[1]All Data '!BC2168/'[1]All Data '!BH2168)</f>
        <v/>
      </c>
      <c r="O2163" s="5" t="str">
        <f t="shared" si="35"/>
        <v/>
      </c>
      <c r="P2163" s="5" t="str">
        <f>IF(M2163="","",$C$2*(1-L2163)*907.2/0.621371*N2163*[1]Transportation!$M$40)</f>
        <v/>
      </c>
      <c r="Q2163" s="5" t="str">
        <f>IF(L2163="","",IF([1]Inputs_Outputs!$B$5="Herbaceous",(LCA!$E$29*'[1]LOCH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3" s="5" t="str">
        <f>IF(M2163="","",$E$2*1000*'[1]LOCH Calc COE Calc'!$C$44)</f>
        <v/>
      </c>
      <c r="S2163" s="6" t="str">
        <f>IF(N2163="","",SUM(O2163:R2163)/('[1]LOCH Calc COE Calc'!$C$28))</f>
        <v/>
      </c>
      <c r="T2163" t="str">
        <f>IF(L2163="","",O2163/'[1]LOCH Calc COE Calc'!$C$28)</f>
        <v/>
      </c>
      <c r="U2163" t="str">
        <f>IF(L2163="","",P2163/'[1]LOCH Calc COE Calc'!$C$28)</f>
        <v/>
      </c>
      <c r="V2163" t="str">
        <f>IF(L2163="","",Q2163/'[1]LOCH Calc COE Calc'!$C$28)</f>
        <v/>
      </c>
      <c r="W2163" t="str">
        <f>IF(L2163="","",R2163/'[1]LOCH Calc COE Calc'!$C$28)</f>
        <v/>
      </c>
    </row>
    <row r="2164" spans="12:23" x14ac:dyDescent="0.25">
      <c r="L2164" s="4" t="str">
        <f>IF('[1]All Data '!BE2169="","",'[1]All Data '!BE2169)</f>
        <v/>
      </c>
      <c r="M2164" t="str">
        <f>IF('[1]All Data '!BF2169="","",'[1]All Data '!BF2169)</f>
        <v/>
      </c>
      <c r="N2164" s="5" t="str">
        <f>IF('[1]All Data '!BB2169="","",'[1]All Data '!BC2169/'[1]All Data '!BH2169)</f>
        <v/>
      </c>
      <c r="O2164" s="5" t="str">
        <f t="shared" si="35"/>
        <v/>
      </c>
      <c r="P2164" s="5" t="str">
        <f>IF(M2164="","",$C$2*(1-L2164)*907.2/0.621371*N2164*[1]Transportation!$M$40)</f>
        <v/>
      </c>
      <c r="Q2164" s="5" t="str">
        <f>IF(L2164="","",IF([1]Inputs_Outputs!$B$5="Herbaceous",(LCA!$E$29*'[1]LOCH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4" s="5" t="str">
        <f>IF(M2164="","",$E$2*1000*'[1]LOCH Calc COE Calc'!$C$44)</f>
        <v/>
      </c>
      <c r="S2164" s="6" t="str">
        <f>IF(N2164="","",SUM(O2164:R2164)/('[1]LOCH Calc COE Calc'!$C$28))</f>
        <v/>
      </c>
      <c r="T2164" t="str">
        <f>IF(L2164="","",O2164/'[1]LOCH Calc COE Calc'!$C$28)</f>
        <v/>
      </c>
      <c r="U2164" t="str">
        <f>IF(L2164="","",P2164/'[1]LOCH Calc COE Calc'!$C$28)</f>
        <v/>
      </c>
      <c r="V2164" t="str">
        <f>IF(L2164="","",Q2164/'[1]LOCH Calc COE Calc'!$C$28)</f>
        <v/>
      </c>
      <c r="W2164" t="str">
        <f>IF(L2164="","",R2164/'[1]LOCH Calc COE Calc'!$C$28)</f>
        <v/>
      </c>
    </row>
    <row r="2165" spans="12:23" x14ac:dyDescent="0.25">
      <c r="L2165" s="4" t="str">
        <f>IF('[1]All Data '!BE2170="","",'[1]All Data '!BE2170)</f>
        <v/>
      </c>
      <c r="M2165" t="str">
        <f>IF('[1]All Data '!BF2170="","",'[1]All Data '!BF2170)</f>
        <v/>
      </c>
      <c r="N2165" s="5" t="str">
        <f>IF('[1]All Data '!BB2170="","",'[1]All Data '!BC2170/'[1]All Data '!BH2170)</f>
        <v/>
      </c>
      <c r="O2165" s="5" t="str">
        <f t="shared" si="35"/>
        <v/>
      </c>
      <c r="P2165" s="5" t="str">
        <f>IF(M2165="","",$C$2*(1-L2165)*907.2/0.621371*N2165*[1]Transportation!$M$40)</f>
        <v/>
      </c>
      <c r="Q2165" s="5" t="str">
        <f>IF(L2165="","",IF([1]Inputs_Outputs!$B$5="Herbaceous",(LCA!$E$29*'[1]LOCH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5" s="5" t="str">
        <f>IF(M2165="","",$E$2*1000*'[1]LOCH Calc COE Calc'!$C$44)</f>
        <v/>
      </c>
      <c r="S2165" s="6" t="str">
        <f>IF(N2165="","",SUM(O2165:R2165)/('[1]LOCH Calc COE Calc'!$C$28))</f>
        <v/>
      </c>
      <c r="T2165" t="str">
        <f>IF(L2165="","",O2165/'[1]LOCH Calc COE Calc'!$C$28)</f>
        <v/>
      </c>
      <c r="U2165" t="str">
        <f>IF(L2165="","",P2165/'[1]LOCH Calc COE Calc'!$C$28)</f>
        <v/>
      </c>
      <c r="V2165" t="str">
        <f>IF(L2165="","",Q2165/'[1]LOCH Calc COE Calc'!$C$28)</f>
        <v/>
      </c>
      <c r="W2165" t="str">
        <f>IF(L2165="","",R2165/'[1]LOCH Calc COE Calc'!$C$28)</f>
        <v/>
      </c>
    </row>
    <row r="2166" spans="12:23" x14ac:dyDescent="0.25">
      <c r="L2166" s="4" t="str">
        <f>IF('[1]All Data '!BE2171="","",'[1]All Data '!BE2171)</f>
        <v/>
      </c>
      <c r="M2166" t="str">
        <f>IF('[1]All Data '!BF2171="","",'[1]All Data '!BF2171)</f>
        <v/>
      </c>
      <c r="N2166" s="5" t="str">
        <f>IF('[1]All Data '!BB2171="","",'[1]All Data '!BC2171/'[1]All Data '!BH2171)</f>
        <v/>
      </c>
      <c r="O2166" s="5" t="str">
        <f t="shared" si="35"/>
        <v/>
      </c>
      <c r="P2166" s="5" t="str">
        <f>IF(M2166="","",$C$2*(1-L2166)*907.2/0.621371*N2166*[1]Transportation!$M$40)</f>
        <v/>
      </c>
      <c r="Q2166" s="5" t="str">
        <f>IF(L2166="","",IF([1]Inputs_Outputs!$B$5="Herbaceous",(LCA!$E$29*'[1]LOCH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6" s="5" t="str">
        <f>IF(M2166="","",$E$2*1000*'[1]LOCH Calc COE Calc'!$C$44)</f>
        <v/>
      </c>
      <c r="S2166" s="6" t="str">
        <f>IF(N2166="","",SUM(O2166:R2166)/('[1]LOCH Calc COE Calc'!$C$28))</f>
        <v/>
      </c>
      <c r="T2166" t="str">
        <f>IF(L2166="","",O2166/'[1]LOCH Calc COE Calc'!$C$28)</f>
        <v/>
      </c>
      <c r="U2166" t="str">
        <f>IF(L2166="","",P2166/'[1]LOCH Calc COE Calc'!$C$28)</f>
        <v/>
      </c>
      <c r="V2166" t="str">
        <f>IF(L2166="","",Q2166/'[1]LOCH Calc COE Calc'!$C$28)</f>
        <v/>
      </c>
      <c r="W2166" t="str">
        <f>IF(L2166="","",R2166/'[1]LOCH Calc COE Calc'!$C$28)</f>
        <v/>
      </c>
    </row>
    <row r="2167" spans="12:23" x14ac:dyDescent="0.25">
      <c r="L2167" s="4" t="str">
        <f>IF('[1]All Data '!BE2172="","",'[1]All Data '!BE2172)</f>
        <v/>
      </c>
      <c r="M2167" t="str">
        <f>IF('[1]All Data '!BF2172="","",'[1]All Data '!BF2172)</f>
        <v/>
      </c>
      <c r="N2167" s="5" t="str">
        <f>IF('[1]All Data '!BB2172="","",'[1]All Data '!BC2172/'[1]All Data '!BH2172)</f>
        <v/>
      </c>
      <c r="O2167" s="5" t="str">
        <f t="shared" si="35"/>
        <v/>
      </c>
      <c r="P2167" s="5" t="str">
        <f>IF(M2167="","",$C$2*(1-L2167)*907.2/0.621371*N2167*[1]Transportation!$M$40)</f>
        <v/>
      </c>
      <c r="Q2167" s="5" t="str">
        <f>IF(L2167="","",IF([1]Inputs_Outputs!$B$5="Herbaceous",(LCA!$E$29*'[1]LOCH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7" s="5" t="str">
        <f>IF(M2167="","",$E$2*1000*'[1]LOCH Calc COE Calc'!$C$44)</f>
        <v/>
      </c>
      <c r="S2167" s="6" t="str">
        <f>IF(N2167="","",SUM(O2167:R2167)/('[1]LOCH Calc COE Calc'!$C$28))</f>
        <v/>
      </c>
      <c r="T2167" t="str">
        <f>IF(L2167="","",O2167/'[1]LOCH Calc COE Calc'!$C$28)</f>
        <v/>
      </c>
      <c r="U2167" t="str">
        <f>IF(L2167="","",P2167/'[1]LOCH Calc COE Calc'!$C$28)</f>
        <v/>
      </c>
      <c r="V2167" t="str">
        <f>IF(L2167="","",Q2167/'[1]LOCH Calc COE Calc'!$C$28)</f>
        <v/>
      </c>
      <c r="W2167" t="str">
        <f>IF(L2167="","",R2167/'[1]LOCH Calc COE Calc'!$C$28)</f>
        <v/>
      </c>
    </row>
    <row r="2168" spans="12:23" x14ac:dyDescent="0.25">
      <c r="L2168" s="4" t="str">
        <f>IF('[1]All Data '!BE2173="","",'[1]All Data '!BE2173)</f>
        <v/>
      </c>
      <c r="M2168" t="str">
        <f>IF('[1]All Data '!BF2173="","",'[1]All Data '!BF2173)</f>
        <v/>
      </c>
      <c r="N2168" s="5" t="str">
        <f>IF('[1]All Data '!BB2173="","",'[1]All Data '!BC2173/'[1]All Data '!BH2173)</f>
        <v/>
      </c>
      <c r="O2168" s="5" t="str">
        <f t="shared" si="35"/>
        <v/>
      </c>
      <c r="P2168" s="5" t="str">
        <f>IF(M2168="","",$C$2*(1-L2168)*907.2/0.621371*N2168*[1]Transportation!$M$40)</f>
        <v/>
      </c>
      <c r="Q2168" s="5" t="str">
        <f>IF(L2168="","",IF([1]Inputs_Outputs!$B$5="Herbaceous",(LCA!$E$29*'[1]LOCH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8" s="5" t="str">
        <f>IF(M2168="","",$E$2*1000*'[1]LOCH Calc COE Calc'!$C$44)</f>
        <v/>
      </c>
      <c r="S2168" s="6" t="str">
        <f>IF(N2168="","",SUM(O2168:R2168)/('[1]LOCH Calc COE Calc'!$C$28))</f>
        <v/>
      </c>
      <c r="T2168" t="str">
        <f>IF(L2168="","",O2168/'[1]LOCH Calc COE Calc'!$C$28)</f>
        <v/>
      </c>
      <c r="U2168" t="str">
        <f>IF(L2168="","",P2168/'[1]LOCH Calc COE Calc'!$C$28)</f>
        <v/>
      </c>
      <c r="V2168" t="str">
        <f>IF(L2168="","",Q2168/'[1]LOCH Calc COE Calc'!$C$28)</f>
        <v/>
      </c>
      <c r="W2168" t="str">
        <f>IF(L2168="","",R2168/'[1]LOCH Calc COE Calc'!$C$28)</f>
        <v/>
      </c>
    </row>
    <row r="2169" spans="12:23" x14ac:dyDescent="0.25">
      <c r="L2169" s="4" t="str">
        <f>IF('[1]All Data '!BE2174="","",'[1]All Data '!BE2174)</f>
        <v/>
      </c>
      <c r="M2169" t="str">
        <f>IF('[1]All Data '!BF2174="","",'[1]All Data '!BF2174)</f>
        <v/>
      </c>
      <c r="N2169" s="5" t="str">
        <f>IF('[1]All Data '!BB2174="","",'[1]All Data '!BC2174/'[1]All Data '!BH2174)</f>
        <v/>
      </c>
      <c r="O2169" s="5" t="str">
        <f t="shared" si="35"/>
        <v/>
      </c>
      <c r="P2169" s="5" t="str">
        <f>IF(M2169="","",$C$2*(1-L2169)*907.2/0.621371*N2169*[1]Transportation!$M$40)</f>
        <v/>
      </c>
      <c r="Q2169" s="5" t="str">
        <f>IF(L2169="","",IF([1]Inputs_Outputs!$B$5="Herbaceous",(LCA!$E$29*'[1]LOCH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69" s="5" t="str">
        <f>IF(M2169="","",$E$2*1000*'[1]LOCH Calc COE Calc'!$C$44)</f>
        <v/>
      </c>
      <c r="S2169" s="6" t="str">
        <f>IF(N2169="","",SUM(O2169:R2169)/('[1]LOCH Calc COE Calc'!$C$28))</f>
        <v/>
      </c>
      <c r="T2169" t="str">
        <f>IF(L2169="","",O2169/'[1]LOCH Calc COE Calc'!$C$28)</f>
        <v/>
      </c>
      <c r="U2169" t="str">
        <f>IF(L2169="","",P2169/'[1]LOCH Calc COE Calc'!$C$28)</f>
        <v/>
      </c>
      <c r="V2169" t="str">
        <f>IF(L2169="","",Q2169/'[1]LOCH Calc COE Calc'!$C$28)</f>
        <v/>
      </c>
      <c r="W2169" t="str">
        <f>IF(L2169="","",R2169/'[1]LOCH Calc COE Calc'!$C$28)</f>
        <v/>
      </c>
    </row>
    <row r="2170" spans="12:23" x14ac:dyDescent="0.25">
      <c r="L2170" s="4" t="str">
        <f>IF('[1]All Data '!BE2175="","",'[1]All Data '!BE2175)</f>
        <v/>
      </c>
      <c r="M2170" t="str">
        <f>IF('[1]All Data '!BF2175="","",'[1]All Data '!BF2175)</f>
        <v/>
      </c>
      <c r="N2170" s="5" t="str">
        <f>IF('[1]All Data '!BB2175="","",'[1]All Data '!BC2175/'[1]All Data '!BH2175)</f>
        <v/>
      </c>
      <c r="O2170" s="5" t="str">
        <f t="shared" si="35"/>
        <v/>
      </c>
      <c r="P2170" s="5" t="str">
        <f>IF(M2170="","",$C$2*(1-L2170)*907.2/0.621371*N2170*[1]Transportation!$M$40)</f>
        <v/>
      </c>
      <c r="Q2170" s="5" t="str">
        <f>IF(L2170="","",IF([1]Inputs_Outputs!$B$5="Herbaceous",(LCA!$E$29*'[1]LOCH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0" s="5" t="str">
        <f>IF(M2170="","",$E$2*1000*'[1]LOCH Calc COE Calc'!$C$44)</f>
        <v/>
      </c>
      <c r="S2170" s="6" t="str">
        <f>IF(N2170="","",SUM(O2170:R2170)/('[1]LOCH Calc COE Calc'!$C$28))</f>
        <v/>
      </c>
      <c r="T2170" t="str">
        <f>IF(L2170="","",O2170/'[1]LOCH Calc COE Calc'!$C$28)</f>
        <v/>
      </c>
      <c r="U2170" t="str">
        <f>IF(L2170="","",P2170/'[1]LOCH Calc COE Calc'!$C$28)</f>
        <v/>
      </c>
      <c r="V2170" t="str">
        <f>IF(L2170="","",Q2170/'[1]LOCH Calc COE Calc'!$C$28)</f>
        <v/>
      </c>
      <c r="W2170" t="str">
        <f>IF(L2170="","",R2170/'[1]LOCH Calc COE Calc'!$C$28)</f>
        <v/>
      </c>
    </row>
    <row r="2171" spans="12:23" x14ac:dyDescent="0.25">
      <c r="L2171" s="4" t="str">
        <f>IF('[1]All Data '!BE2176="","",'[1]All Data '!BE2176)</f>
        <v/>
      </c>
      <c r="M2171" t="str">
        <f>IF('[1]All Data '!BF2176="","",'[1]All Data '!BF2176)</f>
        <v/>
      </c>
      <c r="N2171" s="5" t="str">
        <f>IF('[1]All Data '!BB2176="","",'[1]All Data '!BC2176/'[1]All Data '!BH2176)</f>
        <v/>
      </c>
      <c r="O2171" s="5" t="str">
        <f t="shared" si="35"/>
        <v/>
      </c>
      <c r="P2171" s="5" t="str">
        <f>IF(M2171="","",$C$2*(1-L2171)*907.2/0.621371*N2171*[1]Transportation!$M$40)</f>
        <v/>
      </c>
      <c r="Q2171" s="5" t="str">
        <f>IF(L2171="","",IF([1]Inputs_Outputs!$B$5="Herbaceous",(LCA!$E$29*'[1]LOCH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1" s="5" t="str">
        <f>IF(M2171="","",$E$2*1000*'[1]LOCH Calc COE Calc'!$C$44)</f>
        <v/>
      </c>
      <c r="S2171" s="6" t="str">
        <f>IF(N2171="","",SUM(O2171:R2171)/('[1]LOCH Calc COE Calc'!$C$28))</f>
        <v/>
      </c>
      <c r="T2171" t="str">
        <f>IF(L2171="","",O2171/'[1]LOCH Calc COE Calc'!$C$28)</f>
        <v/>
      </c>
      <c r="U2171" t="str">
        <f>IF(L2171="","",P2171/'[1]LOCH Calc COE Calc'!$C$28)</f>
        <v/>
      </c>
      <c r="V2171" t="str">
        <f>IF(L2171="","",Q2171/'[1]LOCH Calc COE Calc'!$C$28)</f>
        <v/>
      </c>
      <c r="W2171" t="str">
        <f>IF(L2171="","",R2171/'[1]LOCH Calc COE Calc'!$C$28)</f>
        <v/>
      </c>
    </row>
    <row r="2172" spans="12:23" x14ac:dyDescent="0.25">
      <c r="L2172" s="4" t="str">
        <f>IF('[1]All Data '!BE2177="","",'[1]All Data '!BE2177)</f>
        <v/>
      </c>
      <c r="M2172" t="str">
        <f>IF('[1]All Data '!BF2177="","",'[1]All Data '!BF2177)</f>
        <v/>
      </c>
      <c r="N2172" s="5" t="str">
        <f>IF('[1]All Data '!BB2177="","",'[1]All Data '!BC2177/'[1]All Data '!BH2177)</f>
        <v/>
      </c>
      <c r="O2172" s="5" t="str">
        <f t="shared" si="35"/>
        <v/>
      </c>
      <c r="P2172" s="5" t="str">
        <f>IF(M2172="","",$C$2*(1-L2172)*907.2/0.621371*N2172*[1]Transportation!$M$40)</f>
        <v/>
      </c>
      <c r="Q2172" s="5" t="str">
        <f>IF(L2172="","",IF([1]Inputs_Outputs!$B$5="Herbaceous",(LCA!$E$29*'[1]LOCH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2" s="5" t="str">
        <f>IF(M2172="","",$E$2*1000*'[1]LOCH Calc COE Calc'!$C$44)</f>
        <v/>
      </c>
      <c r="S2172" s="6" t="str">
        <f>IF(N2172="","",SUM(O2172:R2172)/('[1]LOCH Calc COE Calc'!$C$28))</f>
        <v/>
      </c>
      <c r="T2172" t="str">
        <f>IF(L2172="","",O2172/'[1]LOCH Calc COE Calc'!$C$28)</f>
        <v/>
      </c>
      <c r="U2172" t="str">
        <f>IF(L2172="","",P2172/'[1]LOCH Calc COE Calc'!$C$28)</f>
        <v/>
      </c>
      <c r="V2172" t="str">
        <f>IF(L2172="","",Q2172/'[1]LOCH Calc COE Calc'!$C$28)</f>
        <v/>
      </c>
      <c r="W2172" t="str">
        <f>IF(L2172="","",R2172/'[1]LOCH Calc COE Calc'!$C$28)</f>
        <v/>
      </c>
    </row>
    <row r="2173" spans="12:23" x14ac:dyDescent="0.25">
      <c r="L2173" s="4" t="str">
        <f>IF('[1]All Data '!BE2178="","",'[1]All Data '!BE2178)</f>
        <v/>
      </c>
      <c r="M2173" t="str">
        <f>IF('[1]All Data '!BF2178="","",'[1]All Data '!BF2178)</f>
        <v/>
      </c>
      <c r="N2173" s="5" t="str">
        <f>IF('[1]All Data '!BB2178="","",'[1]All Data '!BC2178/'[1]All Data '!BH2178)</f>
        <v/>
      </c>
      <c r="O2173" s="5" t="str">
        <f t="shared" si="35"/>
        <v/>
      </c>
      <c r="P2173" s="5" t="str">
        <f>IF(M2173="","",$C$2*(1-L2173)*907.2/0.621371*N2173*[1]Transportation!$M$40)</f>
        <v/>
      </c>
      <c r="Q2173" s="5" t="str">
        <f>IF(L2173="","",IF([1]Inputs_Outputs!$B$5="Herbaceous",(LCA!$E$29*'[1]LOCH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3" s="5" t="str">
        <f>IF(M2173="","",$E$2*1000*'[1]LOCH Calc COE Calc'!$C$44)</f>
        <v/>
      </c>
      <c r="S2173" s="6" t="str">
        <f>IF(N2173="","",SUM(O2173:R2173)/('[1]LOCH Calc COE Calc'!$C$28))</f>
        <v/>
      </c>
      <c r="T2173" t="str">
        <f>IF(L2173="","",O2173/'[1]LOCH Calc COE Calc'!$C$28)</f>
        <v/>
      </c>
      <c r="U2173" t="str">
        <f>IF(L2173="","",P2173/'[1]LOCH Calc COE Calc'!$C$28)</f>
        <v/>
      </c>
      <c r="V2173" t="str">
        <f>IF(L2173="","",Q2173/'[1]LOCH Calc COE Calc'!$C$28)</f>
        <v/>
      </c>
      <c r="W2173" t="str">
        <f>IF(L2173="","",R2173/'[1]LOCH Calc COE Calc'!$C$28)</f>
        <v/>
      </c>
    </row>
    <row r="2174" spans="12:23" x14ac:dyDescent="0.25">
      <c r="L2174" s="4" t="str">
        <f>IF('[1]All Data '!BE2179="","",'[1]All Data '!BE2179)</f>
        <v/>
      </c>
      <c r="M2174" t="str">
        <f>IF('[1]All Data '!BF2179="","",'[1]All Data '!BF2179)</f>
        <v/>
      </c>
      <c r="N2174" s="5" t="str">
        <f>IF('[1]All Data '!BB2179="","",'[1]All Data '!BC2179/'[1]All Data '!BH2179)</f>
        <v/>
      </c>
      <c r="O2174" s="5" t="str">
        <f t="shared" si="35"/>
        <v/>
      </c>
      <c r="P2174" s="5" t="str">
        <f>IF(M2174="","",$C$2*(1-L2174)*907.2/0.621371*N2174*[1]Transportation!$M$40)</f>
        <v/>
      </c>
      <c r="Q2174" s="5" t="str">
        <f>IF(L2174="","",IF([1]Inputs_Outputs!$B$5="Herbaceous",(LCA!$E$29*'[1]LOCH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4" s="5" t="str">
        <f>IF(M2174="","",$E$2*1000*'[1]LOCH Calc COE Calc'!$C$44)</f>
        <v/>
      </c>
      <c r="S2174" s="6" t="str">
        <f>IF(N2174="","",SUM(O2174:R2174)/('[1]LOCH Calc COE Calc'!$C$28))</f>
        <v/>
      </c>
      <c r="T2174" t="str">
        <f>IF(L2174="","",O2174/'[1]LOCH Calc COE Calc'!$C$28)</f>
        <v/>
      </c>
      <c r="U2174" t="str">
        <f>IF(L2174="","",P2174/'[1]LOCH Calc COE Calc'!$C$28)</f>
        <v/>
      </c>
      <c r="V2174" t="str">
        <f>IF(L2174="","",Q2174/'[1]LOCH Calc COE Calc'!$C$28)</f>
        <v/>
      </c>
      <c r="W2174" t="str">
        <f>IF(L2174="","",R2174/'[1]LOCH Calc COE Calc'!$C$28)</f>
        <v/>
      </c>
    </row>
    <row r="2175" spans="12:23" x14ac:dyDescent="0.25">
      <c r="L2175" s="4" t="str">
        <f>IF('[1]All Data '!BE2180="","",'[1]All Data '!BE2180)</f>
        <v/>
      </c>
      <c r="M2175" t="str">
        <f>IF('[1]All Data '!BF2180="","",'[1]All Data '!BF2180)</f>
        <v/>
      </c>
      <c r="N2175" s="5" t="str">
        <f>IF('[1]All Data '!BB2180="","",'[1]All Data '!BC2180/'[1]All Data '!BH2180)</f>
        <v/>
      </c>
      <c r="O2175" s="5" t="str">
        <f t="shared" si="35"/>
        <v/>
      </c>
      <c r="P2175" s="5" t="str">
        <f>IF(M2175="","",$C$2*(1-L2175)*907.2/0.621371*N2175*[1]Transportation!$M$40)</f>
        <v/>
      </c>
      <c r="Q2175" s="5" t="str">
        <f>IF(L2175="","",IF([1]Inputs_Outputs!$B$5="Herbaceous",(LCA!$E$29*'[1]LOCH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5" s="5" t="str">
        <f>IF(M2175="","",$E$2*1000*'[1]LOCH Calc COE Calc'!$C$44)</f>
        <v/>
      </c>
      <c r="S2175" s="6" t="str">
        <f>IF(N2175="","",SUM(O2175:R2175)/('[1]LOCH Calc COE Calc'!$C$28))</f>
        <v/>
      </c>
      <c r="T2175" t="str">
        <f>IF(L2175="","",O2175/'[1]LOCH Calc COE Calc'!$C$28)</f>
        <v/>
      </c>
      <c r="U2175" t="str">
        <f>IF(L2175="","",P2175/'[1]LOCH Calc COE Calc'!$C$28)</f>
        <v/>
      </c>
      <c r="V2175" t="str">
        <f>IF(L2175="","",Q2175/'[1]LOCH Calc COE Calc'!$C$28)</f>
        <v/>
      </c>
      <c r="W2175" t="str">
        <f>IF(L2175="","",R2175/'[1]LOCH Calc COE Calc'!$C$28)</f>
        <v/>
      </c>
    </row>
    <row r="2176" spans="12:23" x14ac:dyDescent="0.25">
      <c r="L2176" s="4" t="str">
        <f>IF('[1]All Data '!BE2181="","",'[1]All Data '!BE2181)</f>
        <v/>
      </c>
      <c r="M2176" t="str">
        <f>IF('[1]All Data '!BF2181="","",'[1]All Data '!BF2181)</f>
        <v/>
      </c>
      <c r="N2176" s="5" t="str">
        <f>IF('[1]All Data '!BB2181="","",'[1]All Data '!BC2181/'[1]All Data '!BH2181)</f>
        <v/>
      </c>
      <c r="O2176" s="5" t="str">
        <f t="shared" si="35"/>
        <v/>
      </c>
      <c r="P2176" s="5" t="str">
        <f>IF(M2176="","",$C$2*(1-L2176)*907.2/0.621371*N2176*[1]Transportation!$M$40)</f>
        <v/>
      </c>
      <c r="Q2176" s="5" t="str">
        <f>IF(L2176="","",IF([1]Inputs_Outputs!$B$5="Herbaceous",(LCA!$E$29*'[1]LOCH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6" s="5" t="str">
        <f>IF(M2176="","",$E$2*1000*'[1]LOCH Calc COE Calc'!$C$44)</f>
        <v/>
      </c>
      <c r="S2176" s="6" t="str">
        <f>IF(N2176="","",SUM(O2176:R2176)/('[1]LOCH Calc COE Calc'!$C$28))</f>
        <v/>
      </c>
      <c r="T2176" t="str">
        <f>IF(L2176="","",O2176/'[1]LOCH Calc COE Calc'!$C$28)</f>
        <v/>
      </c>
      <c r="U2176" t="str">
        <f>IF(L2176="","",P2176/'[1]LOCH Calc COE Calc'!$C$28)</f>
        <v/>
      </c>
      <c r="V2176" t="str">
        <f>IF(L2176="","",Q2176/'[1]LOCH Calc COE Calc'!$C$28)</f>
        <v/>
      </c>
      <c r="W2176" t="str">
        <f>IF(L2176="","",R2176/'[1]LOCH Calc COE Calc'!$C$28)</f>
        <v/>
      </c>
    </row>
    <row r="2177" spans="12:23" x14ac:dyDescent="0.25">
      <c r="L2177" s="4" t="str">
        <f>IF('[1]All Data '!BE2182="","",'[1]All Data '!BE2182)</f>
        <v/>
      </c>
      <c r="M2177" t="str">
        <f>IF('[1]All Data '!BF2182="","",'[1]All Data '!BF2182)</f>
        <v/>
      </c>
      <c r="N2177" s="5" t="str">
        <f>IF('[1]All Data '!BB2182="","",'[1]All Data '!BC2182/'[1]All Data '!BH2182)</f>
        <v/>
      </c>
      <c r="O2177" s="5" t="str">
        <f t="shared" si="35"/>
        <v/>
      </c>
      <c r="P2177" s="5" t="str">
        <f>IF(M2177="","",$C$2*(1-L2177)*907.2/0.621371*N2177*[1]Transportation!$M$40)</f>
        <v/>
      </c>
      <c r="Q2177" s="5" t="str">
        <f>IF(L2177="","",IF([1]Inputs_Outputs!$B$5="Herbaceous",(LCA!$E$29*'[1]LOCH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7" s="5" t="str">
        <f>IF(M2177="","",$E$2*1000*'[1]LOCH Calc COE Calc'!$C$44)</f>
        <v/>
      </c>
      <c r="S2177" s="6" t="str">
        <f>IF(N2177="","",SUM(O2177:R2177)/('[1]LOCH Calc COE Calc'!$C$28))</f>
        <v/>
      </c>
      <c r="T2177" t="str">
        <f>IF(L2177="","",O2177/'[1]LOCH Calc COE Calc'!$C$28)</f>
        <v/>
      </c>
      <c r="U2177" t="str">
        <f>IF(L2177="","",P2177/'[1]LOCH Calc COE Calc'!$C$28)</f>
        <v/>
      </c>
      <c r="V2177" t="str">
        <f>IF(L2177="","",Q2177/'[1]LOCH Calc COE Calc'!$C$28)</f>
        <v/>
      </c>
      <c r="W2177" t="str">
        <f>IF(L2177="","",R2177/'[1]LOCH Calc COE Calc'!$C$28)</f>
        <v/>
      </c>
    </row>
    <row r="2178" spans="12:23" x14ac:dyDescent="0.25">
      <c r="L2178" s="4" t="str">
        <f>IF('[1]All Data '!BE2183="","",'[1]All Data '!BE2183)</f>
        <v/>
      </c>
      <c r="M2178" t="str">
        <f>IF('[1]All Data '!BF2183="","",'[1]All Data '!BF2183)</f>
        <v/>
      </c>
      <c r="N2178" s="5" t="str">
        <f>IF('[1]All Data '!BB2183="","",'[1]All Data '!BC2183/'[1]All Data '!BH2183)</f>
        <v/>
      </c>
      <c r="O2178" s="5" t="str">
        <f t="shared" si="35"/>
        <v/>
      </c>
      <c r="P2178" s="5" t="str">
        <f>IF(M2178="","",$C$2*(1-L2178)*907.2/0.621371*N2178*[1]Transportation!$M$40)</f>
        <v/>
      </c>
      <c r="Q2178" s="5" t="str">
        <f>IF(L2178="","",IF([1]Inputs_Outputs!$B$5="Herbaceous",(LCA!$E$29*'[1]LOCH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8" s="5" t="str">
        <f>IF(M2178="","",$E$2*1000*'[1]LOCH Calc COE Calc'!$C$44)</f>
        <v/>
      </c>
      <c r="S2178" s="6" t="str">
        <f>IF(N2178="","",SUM(O2178:R2178)/('[1]LOCH Calc COE Calc'!$C$28))</f>
        <v/>
      </c>
      <c r="T2178" t="str">
        <f>IF(L2178="","",O2178/'[1]LOCH Calc COE Calc'!$C$28)</f>
        <v/>
      </c>
      <c r="U2178" t="str">
        <f>IF(L2178="","",P2178/'[1]LOCH Calc COE Calc'!$C$28)</f>
        <v/>
      </c>
      <c r="V2178" t="str">
        <f>IF(L2178="","",Q2178/'[1]LOCH Calc COE Calc'!$C$28)</f>
        <v/>
      </c>
      <c r="W2178" t="str">
        <f>IF(L2178="","",R2178/'[1]LOCH Calc COE Calc'!$C$28)</f>
        <v/>
      </c>
    </row>
    <row r="2179" spans="12:23" x14ac:dyDescent="0.25">
      <c r="L2179" s="4" t="str">
        <f>IF('[1]All Data '!BE2184="","",'[1]All Data '!BE2184)</f>
        <v/>
      </c>
      <c r="M2179" t="str">
        <f>IF('[1]All Data '!BF2184="","",'[1]All Data '!BF2184)</f>
        <v/>
      </c>
      <c r="N2179" s="5" t="str">
        <f>IF('[1]All Data '!BB2184="","",'[1]All Data '!BC2184/'[1]All Data '!BH2184)</f>
        <v/>
      </c>
      <c r="O2179" s="5" t="str">
        <f t="shared" si="35"/>
        <v/>
      </c>
      <c r="P2179" s="5" t="str">
        <f>IF(M2179="","",$C$2*(1-L2179)*907.2/0.621371*N2179*[1]Transportation!$M$40)</f>
        <v/>
      </c>
      <c r="Q2179" s="5" t="str">
        <f>IF(L2179="","",IF([1]Inputs_Outputs!$B$5="Herbaceous",(LCA!$E$29*'[1]LOCH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79" s="5" t="str">
        <f>IF(M2179="","",$E$2*1000*'[1]LOCH Calc COE Calc'!$C$44)</f>
        <v/>
      </c>
      <c r="S2179" s="6" t="str">
        <f>IF(N2179="","",SUM(O2179:R2179)/('[1]LOCH Calc COE Calc'!$C$28))</f>
        <v/>
      </c>
      <c r="T2179" t="str">
        <f>IF(L2179="","",O2179/'[1]LOCH Calc COE Calc'!$C$28)</f>
        <v/>
      </c>
      <c r="U2179" t="str">
        <f>IF(L2179="","",P2179/'[1]LOCH Calc COE Calc'!$C$28)</f>
        <v/>
      </c>
      <c r="V2179" t="str">
        <f>IF(L2179="","",Q2179/'[1]LOCH Calc COE Calc'!$C$28)</f>
        <v/>
      </c>
      <c r="W2179" t="str">
        <f>IF(L2179="","",R2179/'[1]LOCH Calc COE Calc'!$C$28)</f>
        <v/>
      </c>
    </row>
    <row r="2180" spans="12:23" x14ac:dyDescent="0.25">
      <c r="L2180" s="4" t="str">
        <f>IF('[1]All Data '!BE2185="","",'[1]All Data '!BE2185)</f>
        <v/>
      </c>
      <c r="M2180" t="str">
        <f>IF('[1]All Data '!BF2185="","",'[1]All Data '!BF2185)</f>
        <v/>
      </c>
      <c r="N2180" s="5" t="str">
        <f>IF('[1]All Data '!BB2185="","",'[1]All Data '!BC2185/'[1]All Data '!BH2185)</f>
        <v/>
      </c>
      <c r="O2180" s="5" t="str">
        <f t="shared" ref="O2180:O2243" si="36">IF(N2180="","",M2180*N2180)</f>
        <v/>
      </c>
      <c r="P2180" s="5" t="str">
        <f>IF(M2180="","",$C$2*(1-L2180)*907.2/0.621371*N2180*[1]Transportation!$M$40)</f>
        <v/>
      </c>
      <c r="Q2180" s="5" t="str">
        <f>IF(L2180="","",IF([1]Inputs_Outputs!$B$5="Herbaceous",(LCA!$E$29*'[1]LOCH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0" s="5" t="str">
        <f>IF(M2180="","",$E$2*1000*'[1]LOCH Calc COE Calc'!$C$44)</f>
        <v/>
      </c>
      <c r="S2180" s="6" t="str">
        <f>IF(N2180="","",SUM(O2180:R2180)/('[1]LOCH Calc COE Calc'!$C$28))</f>
        <v/>
      </c>
      <c r="T2180" t="str">
        <f>IF(L2180="","",O2180/'[1]LOCH Calc COE Calc'!$C$28)</f>
        <v/>
      </c>
      <c r="U2180" t="str">
        <f>IF(L2180="","",P2180/'[1]LOCH Calc COE Calc'!$C$28)</f>
        <v/>
      </c>
      <c r="V2180" t="str">
        <f>IF(L2180="","",Q2180/'[1]LOCH Calc COE Calc'!$C$28)</f>
        <v/>
      </c>
      <c r="W2180" t="str">
        <f>IF(L2180="","",R2180/'[1]LOCH Calc COE Calc'!$C$28)</f>
        <v/>
      </c>
    </row>
    <row r="2181" spans="12:23" x14ac:dyDescent="0.25">
      <c r="L2181" s="4" t="str">
        <f>IF('[1]All Data '!BE2186="","",'[1]All Data '!BE2186)</f>
        <v/>
      </c>
      <c r="M2181" t="str">
        <f>IF('[1]All Data '!BF2186="","",'[1]All Data '!BF2186)</f>
        <v/>
      </c>
      <c r="N2181" s="5" t="str">
        <f>IF('[1]All Data '!BB2186="","",'[1]All Data '!BC2186/'[1]All Data '!BH2186)</f>
        <v/>
      </c>
      <c r="O2181" s="5" t="str">
        <f t="shared" si="36"/>
        <v/>
      </c>
      <c r="P2181" s="5" t="str">
        <f>IF(M2181="","",$C$2*(1-L2181)*907.2/0.621371*N2181*[1]Transportation!$M$40)</f>
        <v/>
      </c>
      <c r="Q2181" s="5" t="str">
        <f>IF(L2181="","",IF([1]Inputs_Outputs!$B$5="Herbaceous",(LCA!$E$29*'[1]LOCH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1" s="5" t="str">
        <f>IF(M2181="","",$E$2*1000*'[1]LOCH Calc COE Calc'!$C$44)</f>
        <v/>
      </c>
      <c r="S2181" s="6" t="str">
        <f>IF(N2181="","",SUM(O2181:R2181)/('[1]LOCH Calc COE Calc'!$C$28))</f>
        <v/>
      </c>
      <c r="T2181" t="str">
        <f>IF(L2181="","",O2181/'[1]LOCH Calc COE Calc'!$C$28)</f>
        <v/>
      </c>
      <c r="U2181" t="str">
        <f>IF(L2181="","",P2181/'[1]LOCH Calc COE Calc'!$C$28)</f>
        <v/>
      </c>
      <c r="V2181" t="str">
        <f>IF(L2181="","",Q2181/'[1]LOCH Calc COE Calc'!$C$28)</f>
        <v/>
      </c>
      <c r="W2181" t="str">
        <f>IF(L2181="","",R2181/'[1]LOCH Calc COE Calc'!$C$28)</f>
        <v/>
      </c>
    </row>
    <row r="2182" spans="12:23" x14ac:dyDescent="0.25">
      <c r="L2182" s="4" t="str">
        <f>IF('[1]All Data '!BE2187="","",'[1]All Data '!BE2187)</f>
        <v/>
      </c>
      <c r="M2182" t="str">
        <f>IF('[1]All Data '!BF2187="","",'[1]All Data '!BF2187)</f>
        <v/>
      </c>
      <c r="N2182" s="5" t="str">
        <f>IF('[1]All Data '!BB2187="","",'[1]All Data '!BC2187/'[1]All Data '!BH2187)</f>
        <v/>
      </c>
      <c r="O2182" s="5" t="str">
        <f t="shared" si="36"/>
        <v/>
      </c>
      <c r="P2182" s="5" t="str">
        <f>IF(M2182="","",$C$2*(1-L2182)*907.2/0.621371*N2182*[1]Transportation!$M$40)</f>
        <v/>
      </c>
      <c r="Q2182" s="5" t="str">
        <f>IF(L2182="","",IF([1]Inputs_Outputs!$B$5="Herbaceous",(LCA!$E$29*'[1]LOCH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2" s="5" t="str">
        <f>IF(M2182="","",$E$2*1000*'[1]LOCH Calc COE Calc'!$C$44)</f>
        <v/>
      </c>
      <c r="S2182" s="6" t="str">
        <f>IF(N2182="","",SUM(O2182:R2182)/('[1]LOCH Calc COE Calc'!$C$28))</f>
        <v/>
      </c>
      <c r="T2182" t="str">
        <f>IF(L2182="","",O2182/'[1]LOCH Calc COE Calc'!$C$28)</f>
        <v/>
      </c>
      <c r="U2182" t="str">
        <f>IF(L2182="","",P2182/'[1]LOCH Calc COE Calc'!$C$28)</f>
        <v/>
      </c>
      <c r="V2182" t="str">
        <f>IF(L2182="","",Q2182/'[1]LOCH Calc COE Calc'!$C$28)</f>
        <v/>
      </c>
      <c r="W2182" t="str">
        <f>IF(L2182="","",R2182/'[1]LOCH Calc COE Calc'!$C$28)</f>
        <v/>
      </c>
    </row>
    <row r="2183" spans="12:23" x14ac:dyDescent="0.25">
      <c r="L2183" s="4" t="str">
        <f>IF('[1]All Data '!BE2188="","",'[1]All Data '!BE2188)</f>
        <v/>
      </c>
      <c r="M2183" t="str">
        <f>IF('[1]All Data '!BF2188="","",'[1]All Data '!BF2188)</f>
        <v/>
      </c>
      <c r="N2183" s="5" t="str">
        <f>IF('[1]All Data '!BB2188="","",'[1]All Data '!BC2188/'[1]All Data '!BH2188)</f>
        <v/>
      </c>
      <c r="O2183" s="5" t="str">
        <f t="shared" si="36"/>
        <v/>
      </c>
      <c r="P2183" s="5" t="str">
        <f>IF(M2183="","",$C$2*(1-L2183)*907.2/0.621371*N2183*[1]Transportation!$M$40)</f>
        <v/>
      </c>
      <c r="Q2183" s="5" t="str">
        <f>IF(L2183="","",IF([1]Inputs_Outputs!$B$5="Herbaceous",(LCA!$E$29*'[1]LOCH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3" s="5" t="str">
        <f>IF(M2183="","",$E$2*1000*'[1]LOCH Calc COE Calc'!$C$44)</f>
        <v/>
      </c>
      <c r="S2183" s="6" t="str">
        <f>IF(N2183="","",SUM(O2183:R2183)/('[1]LOCH Calc COE Calc'!$C$28))</f>
        <v/>
      </c>
      <c r="T2183" t="str">
        <f>IF(L2183="","",O2183/'[1]LOCH Calc COE Calc'!$C$28)</f>
        <v/>
      </c>
      <c r="U2183" t="str">
        <f>IF(L2183="","",P2183/'[1]LOCH Calc COE Calc'!$C$28)</f>
        <v/>
      </c>
      <c r="V2183" t="str">
        <f>IF(L2183="","",Q2183/'[1]LOCH Calc COE Calc'!$C$28)</f>
        <v/>
      </c>
      <c r="W2183" t="str">
        <f>IF(L2183="","",R2183/'[1]LOCH Calc COE Calc'!$C$28)</f>
        <v/>
      </c>
    </row>
    <row r="2184" spans="12:23" x14ac:dyDescent="0.25">
      <c r="L2184" s="4" t="str">
        <f>IF('[1]All Data '!BE2189="","",'[1]All Data '!BE2189)</f>
        <v/>
      </c>
      <c r="M2184" t="str">
        <f>IF('[1]All Data '!BF2189="","",'[1]All Data '!BF2189)</f>
        <v/>
      </c>
      <c r="N2184" s="5" t="str">
        <f>IF('[1]All Data '!BB2189="","",'[1]All Data '!BC2189/'[1]All Data '!BH2189)</f>
        <v/>
      </c>
      <c r="O2184" s="5" t="str">
        <f t="shared" si="36"/>
        <v/>
      </c>
      <c r="P2184" s="5" t="str">
        <f>IF(M2184="","",$C$2*(1-L2184)*907.2/0.621371*N2184*[1]Transportation!$M$40)</f>
        <v/>
      </c>
      <c r="Q2184" s="5" t="str">
        <f>IF(L2184="","",IF([1]Inputs_Outputs!$B$5="Herbaceous",(LCA!$E$29*'[1]LOCH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4" s="5" t="str">
        <f>IF(M2184="","",$E$2*1000*'[1]LOCH Calc COE Calc'!$C$44)</f>
        <v/>
      </c>
      <c r="S2184" s="6" t="str">
        <f>IF(N2184="","",SUM(O2184:R2184)/('[1]LOCH Calc COE Calc'!$C$28))</f>
        <v/>
      </c>
      <c r="T2184" t="str">
        <f>IF(L2184="","",O2184/'[1]LOCH Calc COE Calc'!$C$28)</f>
        <v/>
      </c>
      <c r="U2184" t="str">
        <f>IF(L2184="","",P2184/'[1]LOCH Calc COE Calc'!$C$28)</f>
        <v/>
      </c>
      <c r="V2184" t="str">
        <f>IF(L2184="","",Q2184/'[1]LOCH Calc COE Calc'!$C$28)</f>
        <v/>
      </c>
      <c r="W2184" t="str">
        <f>IF(L2184="","",R2184/'[1]LOCH Calc COE Calc'!$C$28)</f>
        <v/>
      </c>
    </row>
    <row r="2185" spans="12:23" x14ac:dyDescent="0.25">
      <c r="L2185" s="4" t="str">
        <f>IF('[1]All Data '!BE2190="","",'[1]All Data '!BE2190)</f>
        <v/>
      </c>
      <c r="M2185" t="str">
        <f>IF('[1]All Data '!BF2190="","",'[1]All Data '!BF2190)</f>
        <v/>
      </c>
      <c r="N2185" s="5" t="str">
        <f>IF('[1]All Data '!BB2190="","",'[1]All Data '!BC2190/'[1]All Data '!BH2190)</f>
        <v/>
      </c>
      <c r="O2185" s="5" t="str">
        <f t="shared" si="36"/>
        <v/>
      </c>
      <c r="P2185" s="5" t="str">
        <f>IF(M2185="","",$C$2*(1-L2185)*907.2/0.621371*N2185*[1]Transportation!$M$40)</f>
        <v/>
      </c>
      <c r="Q2185" s="5" t="str">
        <f>IF(L2185="","",IF([1]Inputs_Outputs!$B$5="Herbaceous",(LCA!$E$29*'[1]LOCH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5" s="5" t="str">
        <f>IF(M2185="","",$E$2*1000*'[1]LOCH Calc COE Calc'!$C$44)</f>
        <v/>
      </c>
      <c r="S2185" s="6" t="str">
        <f>IF(N2185="","",SUM(O2185:R2185)/('[1]LOCH Calc COE Calc'!$C$28))</f>
        <v/>
      </c>
      <c r="T2185" t="str">
        <f>IF(L2185="","",O2185/'[1]LOCH Calc COE Calc'!$C$28)</f>
        <v/>
      </c>
      <c r="U2185" t="str">
        <f>IF(L2185="","",P2185/'[1]LOCH Calc COE Calc'!$C$28)</f>
        <v/>
      </c>
      <c r="V2185" t="str">
        <f>IF(L2185="","",Q2185/'[1]LOCH Calc COE Calc'!$C$28)</f>
        <v/>
      </c>
      <c r="W2185" t="str">
        <f>IF(L2185="","",R2185/'[1]LOCH Calc COE Calc'!$C$28)</f>
        <v/>
      </c>
    </row>
    <row r="2186" spans="12:23" x14ac:dyDescent="0.25">
      <c r="L2186" s="4" t="str">
        <f>IF('[1]All Data '!BE2191="","",'[1]All Data '!BE2191)</f>
        <v/>
      </c>
      <c r="M2186" t="str">
        <f>IF('[1]All Data '!BF2191="","",'[1]All Data '!BF2191)</f>
        <v/>
      </c>
      <c r="N2186" s="5" t="str">
        <f>IF('[1]All Data '!BB2191="","",'[1]All Data '!BC2191/'[1]All Data '!BH2191)</f>
        <v/>
      </c>
      <c r="O2186" s="5" t="str">
        <f t="shared" si="36"/>
        <v/>
      </c>
      <c r="P2186" s="5" t="str">
        <f>IF(M2186="","",$C$2*(1-L2186)*907.2/0.621371*N2186*[1]Transportation!$M$40)</f>
        <v/>
      </c>
      <c r="Q2186" s="5" t="str">
        <f>IF(L2186="","",IF([1]Inputs_Outputs!$B$5="Herbaceous",(LCA!$E$29*'[1]LOCH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6" s="5" t="str">
        <f>IF(M2186="","",$E$2*1000*'[1]LOCH Calc COE Calc'!$C$44)</f>
        <v/>
      </c>
      <c r="S2186" s="6" t="str">
        <f>IF(N2186="","",SUM(O2186:R2186)/('[1]LOCH Calc COE Calc'!$C$28))</f>
        <v/>
      </c>
      <c r="T2186" t="str">
        <f>IF(L2186="","",O2186/'[1]LOCH Calc COE Calc'!$C$28)</f>
        <v/>
      </c>
      <c r="U2186" t="str">
        <f>IF(L2186="","",P2186/'[1]LOCH Calc COE Calc'!$C$28)</f>
        <v/>
      </c>
      <c r="V2186" t="str">
        <f>IF(L2186="","",Q2186/'[1]LOCH Calc COE Calc'!$C$28)</f>
        <v/>
      </c>
      <c r="W2186" t="str">
        <f>IF(L2186="","",R2186/'[1]LOCH Calc COE Calc'!$C$28)</f>
        <v/>
      </c>
    </row>
    <row r="2187" spans="12:23" x14ac:dyDescent="0.25">
      <c r="L2187" s="4" t="str">
        <f>IF('[1]All Data '!BE2192="","",'[1]All Data '!BE2192)</f>
        <v/>
      </c>
      <c r="M2187" t="str">
        <f>IF('[1]All Data '!BF2192="","",'[1]All Data '!BF2192)</f>
        <v/>
      </c>
      <c r="N2187" s="5" t="str">
        <f>IF('[1]All Data '!BB2192="","",'[1]All Data '!BC2192/'[1]All Data '!BH2192)</f>
        <v/>
      </c>
      <c r="O2187" s="5" t="str">
        <f t="shared" si="36"/>
        <v/>
      </c>
      <c r="P2187" s="5" t="str">
        <f>IF(M2187="","",$C$2*(1-L2187)*907.2/0.621371*N2187*[1]Transportation!$M$40)</f>
        <v/>
      </c>
      <c r="Q2187" s="5" t="str">
        <f>IF(L2187="","",IF([1]Inputs_Outputs!$B$5="Herbaceous",(LCA!$E$29*'[1]LOCH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7" s="5" t="str">
        <f>IF(M2187="","",$E$2*1000*'[1]LOCH Calc COE Calc'!$C$44)</f>
        <v/>
      </c>
      <c r="S2187" s="6" t="str">
        <f>IF(N2187="","",SUM(O2187:R2187)/('[1]LOCH Calc COE Calc'!$C$28))</f>
        <v/>
      </c>
      <c r="T2187" t="str">
        <f>IF(L2187="","",O2187/'[1]LOCH Calc COE Calc'!$C$28)</f>
        <v/>
      </c>
      <c r="U2187" t="str">
        <f>IF(L2187="","",P2187/'[1]LOCH Calc COE Calc'!$C$28)</f>
        <v/>
      </c>
      <c r="V2187" t="str">
        <f>IF(L2187="","",Q2187/'[1]LOCH Calc COE Calc'!$C$28)</f>
        <v/>
      </c>
      <c r="W2187" t="str">
        <f>IF(L2187="","",R2187/'[1]LOCH Calc COE Calc'!$C$28)</f>
        <v/>
      </c>
    </row>
    <row r="2188" spans="12:23" x14ac:dyDescent="0.25">
      <c r="L2188" s="4" t="str">
        <f>IF('[1]All Data '!BE2193="","",'[1]All Data '!BE2193)</f>
        <v/>
      </c>
      <c r="M2188" t="str">
        <f>IF('[1]All Data '!BF2193="","",'[1]All Data '!BF2193)</f>
        <v/>
      </c>
      <c r="N2188" s="5" t="str">
        <f>IF('[1]All Data '!BB2193="","",'[1]All Data '!BC2193/'[1]All Data '!BH2193)</f>
        <v/>
      </c>
      <c r="O2188" s="5" t="str">
        <f t="shared" si="36"/>
        <v/>
      </c>
      <c r="P2188" s="5" t="str">
        <f>IF(M2188="","",$C$2*(1-L2188)*907.2/0.621371*N2188*[1]Transportation!$M$40)</f>
        <v/>
      </c>
      <c r="Q2188" s="5" t="str">
        <f>IF(L2188="","",IF([1]Inputs_Outputs!$B$5="Herbaceous",(LCA!$E$29*'[1]LOCH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8" s="5" t="str">
        <f>IF(M2188="","",$E$2*1000*'[1]LOCH Calc COE Calc'!$C$44)</f>
        <v/>
      </c>
      <c r="S2188" s="6" t="str">
        <f>IF(N2188="","",SUM(O2188:R2188)/('[1]LOCH Calc COE Calc'!$C$28))</f>
        <v/>
      </c>
      <c r="T2188" t="str">
        <f>IF(L2188="","",O2188/'[1]LOCH Calc COE Calc'!$C$28)</f>
        <v/>
      </c>
      <c r="U2188" t="str">
        <f>IF(L2188="","",P2188/'[1]LOCH Calc COE Calc'!$C$28)</f>
        <v/>
      </c>
      <c r="V2188" t="str">
        <f>IF(L2188="","",Q2188/'[1]LOCH Calc COE Calc'!$C$28)</f>
        <v/>
      </c>
      <c r="W2188" t="str">
        <f>IF(L2188="","",R2188/'[1]LOCH Calc COE Calc'!$C$28)</f>
        <v/>
      </c>
    </row>
    <row r="2189" spans="12:23" x14ac:dyDescent="0.25">
      <c r="L2189" s="4" t="str">
        <f>IF('[1]All Data '!BE2194="","",'[1]All Data '!BE2194)</f>
        <v/>
      </c>
      <c r="M2189" t="str">
        <f>IF('[1]All Data '!BF2194="","",'[1]All Data '!BF2194)</f>
        <v/>
      </c>
      <c r="N2189" s="5" t="str">
        <f>IF('[1]All Data '!BB2194="","",'[1]All Data '!BC2194/'[1]All Data '!BH2194)</f>
        <v/>
      </c>
      <c r="O2189" s="5" t="str">
        <f t="shared" si="36"/>
        <v/>
      </c>
      <c r="P2189" s="5" t="str">
        <f>IF(M2189="","",$C$2*(1-L2189)*907.2/0.621371*N2189*[1]Transportation!$M$40)</f>
        <v/>
      </c>
      <c r="Q2189" s="5" t="str">
        <f>IF(L2189="","",IF([1]Inputs_Outputs!$B$5="Herbaceous",(LCA!$E$29*'[1]LOCH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89" s="5" t="str">
        <f>IF(M2189="","",$E$2*1000*'[1]LOCH Calc COE Calc'!$C$44)</f>
        <v/>
      </c>
      <c r="S2189" s="6" t="str">
        <f>IF(N2189="","",SUM(O2189:R2189)/('[1]LOCH Calc COE Calc'!$C$28))</f>
        <v/>
      </c>
      <c r="T2189" t="str">
        <f>IF(L2189="","",O2189/'[1]LOCH Calc COE Calc'!$C$28)</f>
        <v/>
      </c>
      <c r="U2189" t="str">
        <f>IF(L2189="","",P2189/'[1]LOCH Calc COE Calc'!$C$28)</f>
        <v/>
      </c>
      <c r="V2189" t="str">
        <f>IF(L2189="","",Q2189/'[1]LOCH Calc COE Calc'!$C$28)</f>
        <v/>
      </c>
      <c r="W2189" t="str">
        <f>IF(L2189="","",R2189/'[1]LOCH Calc COE Calc'!$C$28)</f>
        <v/>
      </c>
    </row>
    <row r="2190" spans="12:23" x14ac:dyDescent="0.25">
      <c r="L2190" s="4" t="str">
        <f>IF('[1]All Data '!BE2195="","",'[1]All Data '!BE2195)</f>
        <v/>
      </c>
      <c r="M2190" t="str">
        <f>IF('[1]All Data '!BF2195="","",'[1]All Data '!BF2195)</f>
        <v/>
      </c>
      <c r="N2190" s="5" t="str">
        <f>IF('[1]All Data '!BB2195="","",'[1]All Data '!BC2195/'[1]All Data '!BH2195)</f>
        <v/>
      </c>
      <c r="O2190" s="5" t="str">
        <f t="shared" si="36"/>
        <v/>
      </c>
      <c r="P2190" s="5" t="str">
        <f>IF(M2190="","",$C$2*(1-L2190)*907.2/0.621371*N2190*[1]Transportation!$M$40)</f>
        <v/>
      </c>
      <c r="Q2190" s="5" t="str">
        <f>IF(L2190="","",IF([1]Inputs_Outputs!$B$5="Herbaceous",(LCA!$E$29*'[1]LOCH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0" s="5" t="str">
        <f>IF(M2190="","",$E$2*1000*'[1]LOCH Calc COE Calc'!$C$44)</f>
        <v/>
      </c>
      <c r="S2190" s="6" t="str">
        <f>IF(N2190="","",SUM(O2190:R2190)/('[1]LOCH Calc COE Calc'!$C$28))</f>
        <v/>
      </c>
      <c r="T2190" t="str">
        <f>IF(L2190="","",O2190/'[1]LOCH Calc COE Calc'!$C$28)</f>
        <v/>
      </c>
      <c r="U2190" t="str">
        <f>IF(L2190="","",P2190/'[1]LOCH Calc COE Calc'!$C$28)</f>
        <v/>
      </c>
      <c r="V2190" t="str">
        <f>IF(L2190="","",Q2190/'[1]LOCH Calc COE Calc'!$C$28)</f>
        <v/>
      </c>
      <c r="W2190" t="str">
        <f>IF(L2190="","",R2190/'[1]LOCH Calc COE Calc'!$C$28)</f>
        <v/>
      </c>
    </row>
    <row r="2191" spans="12:23" x14ac:dyDescent="0.25">
      <c r="L2191" s="4" t="str">
        <f>IF('[1]All Data '!BE2196="","",'[1]All Data '!BE2196)</f>
        <v/>
      </c>
      <c r="M2191" t="str">
        <f>IF('[1]All Data '!BF2196="","",'[1]All Data '!BF2196)</f>
        <v/>
      </c>
      <c r="N2191" s="5" t="str">
        <f>IF('[1]All Data '!BB2196="","",'[1]All Data '!BC2196/'[1]All Data '!BH2196)</f>
        <v/>
      </c>
      <c r="O2191" s="5" t="str">
        <f t="shared" si="36"/>
        <v/>
      </c>
      <c r="P2191" s="5" t="str">
        <f>IF(M2191="","",$C$2*(1-L2191)*907.2/0.621371*N2191*[1]Transportation!$M$40)</f>
        <v/>
      </c>
      <c r="Q2191" s="5" t="str">
        <f>IF(L2191="","",IF([1]Inputs_Outputs!$B$5="Herbaceous",(LCA!$E$29*'[1]LOCH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1" s="5" t="str">
        <f>IF(M2191="","",$E$2*1000*'[1]LOCH Calc COE Calc'!$C$44)</f>
        <v/>
      </c>
      <c r="S2191" s="6" t="str">
        <f>IF(N2191="","",SUM(O2191:R2191)/('[1]LOCH Calc COE Calc'!$C$28))</f>
        <v/>
      </c>
      <c r="T2191" t="str">
        <f>IF(L2191="","",O2191/'[1]LOCH Calc COE Calc'!$C$28)</f>
        <v/>
      </c>
      <c r="U2191" t="str">
        <f>IF(L2191="","",P2191/'[1]LOCH Calc COE Calc'!$C$28)</f>
        <v/>
      </c>
      <c r="V2191" t="str">
        <f>IF(L2191="","",Q2191/'[1]LOCH Calc COE Calc'!$C$28)</f>
        <v/>
      </c>
      <c r="W2191" t="str">
        <f>IF(L2191="","",R2191/'[1]LOCH Calc COE Calc'!$C$28)</f>
        <v/>
      </c>
    </row>
    <row r="2192" spans="12:23" x14ac:dyDescent="0.25">
      <c r="L2192" s="4" t="str">
        <f>IF('[1]All Data '!BE2197="","",'[1]All Data '!BE2197)</f>
        <v/>
      </c>
      <c r="M2192" t="str">
        <f>IF('[1]All Data '!BF2197="","",'[1]All Data '!BF2197)</f>
        <v/>
      </c>
      <c r="N2192" s="5" t="str">
        <f>IF('[1]All Data '!BB2197="","",'[1]All Data '!BC2197/'[1]All Data '!BH2197)</f>
        <v/>
      </c>
      <c r="O2192" s="5" t="str">
        <f t="shared" si="36"/>
        <v/>
      </c>
      <c r="P2192" s="5" t="str">
        <f>IF(M2192="","",$C$2*(1-L2192)*907.2/0.621371*N2192*[1]Transportation!$M$40)</f>
        <v/>
      </c>
      <c r="Q2192" s="5" t="str">
        <f>IF(L2192="","",IF([1]Inputs_Outputs!$B$5="Herbaceous",(LCA!$E$29*'[1]LOCH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2" s="5" t="str">
        <f>IF(M2192="","",$E$2*1000*'[1]LOCH Calc COE Calc'!$C$44)</f>
        <v/>
      </c>
      <c r="S2192" s="6" t="str">
        <f>IF(N2192="","",SUM(O2192:R2192)/('[1]LOCH Calc COE Calc'!$C$28))</f>
        <v/>
      </c>
      <c r="T2192" t="str">
        <f>IF(L2192="","",O2192/'[1]LOCH Calc COE Calc'!$C$28)</f>
        <v/>
      </c>
      <c r="U2192" t="str">
        <f>IF(L2192="","",P2192/'[1]LOCH Calc COE Calc'!$C$28)</f>
        <v/>
      </c>
      <c r="V2192" t="str">
        <f>IF(L2192="","",Q2192/'[1]LOCH Calc COE Calc'!$C$28)</f>
        <v/>
      </c>
      <c r="W2192" t="str">
        <f>IF(L2192="","",R2192/'[1]LOCH Calc COE Calc'!$C$28)</f>
        <v/>
      </c>
    </row>
    <row r="2193" spans="12:23" x14ac:dyDescent="0.25">
      <c r="L2193" s="4" t="str">
        <f>IF('[1]All Data '!BE2198="","",'[1]All Data '!BE2198)</f>
        <v/>
      </c>
      <c r="M2193" t="str">
        <f>IF('[1]All Data '!BF2198="","",'[1]All Data '!BF2198)</f>
        <v/>
      </c>
      <c r="N2193" s="5" t="str">
        <f>IF('[1]All Data '!BB2198="","",'[1]All Data '!BC2198/'[1]All Data '!BH2198)</f>
        <v/>
      </c>
      <c r="O2193" s="5" t="str">
        <f t="shared" si="36"/>
        <v/>
      </c>
      <c r="P2193" s="5" t="str">
        <f>IF(M2193="","",$C$2*(1-L2193)*907.2/0.621371*N2193*[1]Transportation!$M$40)</f>
        <v/>
      </c>
      <c r="Q2193" s="5" t="str">
        <f>IF(L2193="","",IF([1]Inputs_Outputs!$B$5="Herbaceous",(LCA!$E$29*'[1]LOCH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3" s="5" t="str">
        <f>IF(M2193="","",$E$2*1000*'[1]LOCH Calc COE Calc'!$C$44)</f>
        <v/>
      </c>
      <c r="S2193" s="6" t="str">
        <f>IF(N2193="","",SUM(O2193:R2193)/('[1]LOCH Calc COE Calc'!$C$28))</f>
        <v/>
      </c>
      <c r="T2193" t="str">
        <f>IF(L2193="","",O2193/'[1]LOCH Calc COE Calc'!$C$28)</f>
        <v/>
      </c>
      <c r="U2193" t="str">
        <f>IF(L2193="","",P2193/'[1]LOCH Calc COE Calc'!$C$28)</f>
        <v/>
      </c>
      <c r="V2193" t="str">
        <f>IF(L2193="","",Q2193/'[1]LOCH Calc COE Calc'!$C$28)</f>
        <v/>
      </c>
      <c r="W2193" t="str">
        <f>IF(L2193="","",R2193/'[1]LOCH Calc COE Calc'!$C$28)</f>
        <v/>
      </c>
    </row>
    <row r="2194" spans="12:23" x14ac:dyDescent="0.25">
      <c r="L2194" s="4" t="str">
        <f>IF('[1]All Data '!BE2199="","",'[1]All Data '!BE2199)</f>
        <v/>
      </c>
      <c r="M2194" t="str">
        <f>IF('[1]All Data '!BF2199="","",'[1]All Data '!BF2199)</f>
        <v/>
      </c>
      <c r="N2194" s="5" t="str">
        <f>IF('[1]All Data '!BB2199="","",'[1]All Data '!BC2199/'[1]All Data '!BH2199)</f>
        <v/>
      </c>
      <c r="O2194" s="5" t="str">
        <f t="shared" si="36"/>
        <v/>
      </c>
      <c r="P2194" s="5" t="str">
        <f>IF(M2194="","",$C$2*(1-L2194)*907.2/0.621371*N2194*[1]Transportation!$M$40)</f>
        <v/>
      </c>
      <c r="Q2194" s="5" t="str">
        <f>IF(L2194="","",IF([1]Inputs_Outputs!$B$5="Herbaceous",(LCA!$E$29*'[1]LOCH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4" s="5" t="str">
        <f>IF(M2194="","",$E$2*1000*'[1]LOCH Calc COE Calc'!$C$44)</f>
        <v/>
      </c>
      <c r="S2194" s="6" t="str">
        <f>IF(N2194="","",SUM(O2194:R2194)/('[1]LOCH Calc COE Calc'!$C$28))</f>
        <v/>
      </c>
      <c r="T2194" t="str">
        <f>IF(L2194="","",O2194/'[1]LOCH Calc COE Calc'!$C$28)</f>
        <v/>
      </c>
      <c r="U2194" t="str">
        <f>IF(L2194="","",P2194/'[1]LOCH Calc COE Calc'!$C$28)</f>
        <v/>
      </c>
      <c r="V2194" t="str">
        <f>IF(L2194="","",Q2194/'[1]LOCH Calc COE Calc'!$C$28)</f>
        <v/>
      </c>
      <c r="W2194" t="str">
        <f>IF(L2194="","",R2194/'[1]LOCH Calc COE Calc'!$C$28)</f>
        <v/>
      </c>
    </row>
    <row r="2195" spans="12:23" x14ac:dyDescent="0.25">
      <c r="L2195" s="4" t="str">
        <f>IF('[1]All Data '!BE2200="","",'[1]All Data '!BE2200)</f>
        <v/>
      </c>
      <c r="M2195" t="str">
        <f>IF('[1]All Data '!BF2200="","",'[1]All Data '!BF2200)</f>
        <v/>
      </c>
      <c r="N2195" s="5" t="str">
        <f>IF('[1]All Data '!BB2200="","",'[1]All Data '!BC2200/'[1]All Data '!BH2200)</f>
        <v/>
      </c>
      <c r="O2195" s="5" t="str">
        <f t="shared" si="36"/>
        <v/>
      </c>
      <c r="P2195" s="5" t="str">
        <f>IF(M2195="","",$C$2*(1-L2195)*907.2/0.621371*N2195*[1]Transportation!$M$40)</f>
        <v/>
      </c>
      <c r="Q2195" s="5" t="str">
        <f>IF(L2195="","",IF([1]Inputs_Outputs!$B$5="Herbaceous",(LCA!$E$29*'[1]LOCH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5" s="5" t="str">
        <f>IF(M2195="","",$E$2*1000*'[1]LOCH Calc COE Calc'!$C$44)</f>
        <v/>
      </c>
      <c r="S2195" s="6" t="str">
        <f>IF(N2195="","",SUM(O2195:R2195)/('[1]LOCH Calc COE Calc'!$C$28))</f>
        <v/>
      </c>
      <c r="T2195" t="str">
        <f>IF(L2195="","",O2195/'[1]LOCH Calc COE Calc'!$C$28)</f>
        <v/>
      </c>
      <c r="U2195" t="str">
        <f>IF(L2195="","",P2195/'[1]LOCH Calc COE Calc'!$C$28)</f>
        <v/>
      </c>
      <c r="V2195" t="str">
        <f>IF(L2195="","",Q2195/'[1]LOCH Calc COE Calc'!$C$28)</f>
        <v/>
      </c>
      <c r="W2195" t="str">
        <f>IF(L2195="","",R2195/'[1]LOCH Calc COE Calc'!$C$28)</f>
        <v/>
      </c>
    </row>
    <row r="2196" spans="12:23" x14ac:dyDescent="0.25">
      <c r="L2196" s="4" t="str">
        <f>IF('[1]All Data '!BE2201="","",'[1]All Data '!BE2201)</f>
        <v/>
      </c>
      <c r="M2196" t="str">
        <f>IF('[1]All Data '!BF2201="","",'[1]All Data '!BF2201)</f>
        <v/>
      </c>
      <c r="N2196" s="5" t="str">
        <f>IF('[1]All Data '!BB2201="","",'[1]All Data '!BC2201/'[1]All Data '!BH2201)</f>
        <v/>
      </c>
      <c r="O2196" s="5" t="str">
        <f t="shared" si="36"/>
        <v/>
      </c>
      <c r="P2196" s="5" t="str">
        <f>IF(M2196="","",$C$2*(1-L2196)*907.2/0.621371*N2196*[1]Transportation!$M$40)</f>
        <v/>
      </c>
      <c r="Q2196" s="5" t="str">
        <f>IF(L2196="","",IF([1]Inputs_Outputs!$B$5="Herbaceous",(LCA!$E$29*'[1]LOCH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6" s="5" t="str">
        <f>IF(M2196="","",$E$2*1000*'[1]LOCH Calc COE Calc'!$C$44)</f>
        <v/>
      </c>
      <c r="S2196" s="6" t="str">
        <f>IF(N2196="","",SUM(O2196:R2196)/('[1]LOCH Calc COE Calc'!$C$28))</f>
        <v/>
      </c>
      <c r="T2196" t="str">
        <f>IF(L2196="","",O2196/'[1]LOCH Calc COE Calc'!$C$28)</f>
        <v/>
      </c>
      <c r="U2196" t="str">
        <f>IF(L2196="","",P2196/'[1]LOCH Calc COE Calc'!$C$28)</f>
        <v/>
      </c>
      <c r="V2196" t="str">
        <f>IF(L2196="","",Q2196/'[1]LOCH Calc COE Calc'!$C$28)</f>
        <v/>
      </c>
      <c r="W2196" t="str">
        <f>IF(L2196="","",R2196/'[1]LOCH Calc COE Calc'!$C$28)</f>
        <v/>
      </c>
    </row>
    <row r="2197" spans="12:23" x14ac:dyDescent="0.25">
      <c r="L2197" s="4" t="str">
        <f>IF('[1]All Data '!BE2202="","",'[1]All Data '!BE2202)</f>
        <v/>
      </c>
      <c r="M2197" t="str">
        <f>IF('[1]All Data '!BF2202="","",'[1]All Data '!BF2202)</f>
        <v/>
      </c>
      <c r="N2197" s="5" t="str">
        <f>IF('[1]All Data '!BB2202="","",'[1]All Data '!BC2202/'[1]All Data '!BH2202)</f>
        <v/>
      </c>
      <c r="O2197" s="5" t="str">
        <f t="shared" si="36"/>
        <v/>
      </c>
      <c r="P2197" s="5" t="str">
        <f>IF(M2197="","",$C$2*(1-L2197)*907.2/0.621371*N2197*[1]Transportation!$M$40)</f>
        <v/>
      </c>
      <c r="Q2197" s="5" t="str">
        <f>IF(L2197="","",IF([1]Inputs_Outputs!$B$5="Herbaceous",(LCA!$E$29*'[1]LOCH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7" s="5" t="str">
        <f>IF(M2197="","",$E$2*1000*'[1]LOCH Calc COE Calc'!$C$44)</f>
        <v/>
      </c>
      <c r="S2197" s="6" t="str">
        <f>IF(N2197="","",SUM(O2197:R2197)/('[1]LOCH Calc COE Calc'!$C$28))</f>
        <v/>
      </c>
      <c r="T2197" t="str">
        <f>IF(L2197="","",O2197/'[1]LOCH Calc COE Calc'!$C$28)</f>
        <v/>
      </c>
      <c r="U2197" t="str">
        <f>IF(L2197="","",P2197/'[1]LOCH Calc COE Calc'!$C$28)</f>
        <v/>
      </c>
      <c r="V2197" t="str">
        <f>IF(L2197="","",Q2197/'[1]LOCH Calc COE Calc'!$C$28)</f>
        <v/>
      </c>
      <c r="W2197" t="str">
        <f>IF(L2197="","",R2197/'[1]LOCH Calc COE Calc'!$C$28)</f>
        <v/>
      </c>
    </row>
    <row r="2198" spans="12:23" x14ac:dyDescent="0.25">
      <c r="L2198" s="4" t="str">
        <f>IF('[1]All Data '!BE2203="","",'[1]All Data '!BE2203)</f>
        <v/>
      </c>
      <c r="M2198" t="str">
        <f>IF('[1]All Data '!BF2203="","",'[1]All Data '!BF2203)</f>
        <v/>
      </c>
      <c r="N2198" s="5" t="str">
        <f>IF('[1]All Data '!BB2203="","",'[1]All Data '!BC2203/'[1]All Data '!BH2203)</f>
        <v/>
      </c>
      <c r="O2198" s="5" t="str">
        <f t="shared" si="36"/>
        <v/>
      </c>
      <c r="P2198" s="5" t="str">
        <f>IF(M2198="","",$C$2*(1-L2198)*907.2/0.621371*N2198*[1]Transportation!$M$40)</f>
        <v/>
      </c>
      <c r="Q2198" s="5" t="str">
        <f>IF(L2198="","",IF([1]Inputs_Outputs!$B$5="Herbaceous",(LCA!$E$29*'[1]LOCH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8" s="5" t="str">
        <f>IF(M2198="","",$E$2*1000*'[1]LOCH Calc COE Calc'!$C$44)</f>
        <v/>
      </c>
      <c r="S2198" s="6" t="str">
        <f>IF(N2198="","",SUM(O2198:R2198)/('[1]LOCH Calc COE Calc'!$C$28))</f>
        <v/>
      </c>
      <c r="T2198" t="str">
        <f>IF(L2198="","",O2198/'[1]LOCH Calc COE Calc'!$C$28)</f>
        <v/>
      </c>
      <c r="U2198" t="str">
        <f>IF(L2198="","",P2198/'[1]LOCH Calc COE Calc'!$C$28)</f>
        <v/>
      </c>
      <c r="V2198" t="str">
        <f>IF(L2198="","",Q2198/'[1]LOCH Calc COE Calc'!$C$28)</f>
        <v/>
      </c>
      <c r="W2198" t="str">
        <f>IF(L2198="","",R2198/'[1]LOCH Calc COE Calc'!$C$28)</f>
        <v/>
      </c>
    </row>
    <row r="2199" spans="12:23" x14ac:dyDescent="0.25">
      <c r="L2199" s="4" t="str">
        <f>IF('[1]All Data '!BE2204="","",'[1]All Data '!BE2204)</f>
        <v/>
      </c>
      <c r="M2199" t="str">
        <f>IF('[1]All Data '!BF2204="","",'[1]All Data '!BF2204)</f>
        <v/>
      </c>
      <c r="N2199" s="5" t="str">
        <f>IF('[1]All Data '!BB2204="","",'[1]All Data '!BC2204/'[1]All Data '!BH2204)</f>
        <v/>
      </c>
      <c r="O2199" s="5" t="str">
        <f t="shared" si="36"/>
        <v/>
      </c>
      <c r="P2199" s="5" t="str">
        <f>IF(M2199="","",$C$2*(1-L2199)*907.2/0.621371*N2199*[1]Transportation!$M$40)</f>
        <v/>
      </c>
      <c r="Q2199" s="5" t="str">
        <f>IF(L2199="","",IF([1]Inputs_Outputs!$B$5="Herbaceous",(LCA!$E$29*'[1]LOCH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199" s="5" t="str">
        <f>IF(M2199="","",$E$2*1000*'[1]LOCH Calc COE Calc'!$C$44)</f>
        <v/>
      </c>
      <c r="S2199" s="6" t="str">
        <f>IF(N2199="","",SUM(O2199:R2199)/('[1]LOCH Calc COE Calc'!$C$28))</f>
        <v/>
      </c>
      <c r="T2199" t="str">
        <f>IF(L2199="","",O2199/'[1]LOCH Calc COE Calc'!$C$28)</f>
        <v/>
      </c>
      <c r="U2199" t="str">
        <f>IF(L2199="","",P2199/'[1]LOCH Calc COE Calc'!$C$28)</f>
        <v/>
      </c>
      <c r="V2199" t="str">
        <f>IF(L2199="","",Q2199/'[1]LOCH Calc COE Calc'!$C$28)</f>
        <v/>
      </c>
      <c r="W2199" t="str">
        <f>IF(L2199="","",R2199/'[1]LOCH Calc COE Calc'!$C$28)</f>
        <v/>
      </c>
    </row>
    <row r="2200" spans="12:23" x14ac:dyDescent="0.25">
      <c r="L2200" s="4" t="str">
        <f>IF('[1]All Data '!BE2205="","",'[1]All Data '!BE2205)</f>
        <v/>
      </c>
      <c r="M2200" t="str">
        <f>IF('[1]All Data '!BF2205="","",'[1]All Data '!BF2205)</f>
        <v/>
      </c>
      <c r="N2200" s="5" t="str">
        <f>IF('[1]All Data '!BB2205="","",'[1]All Data '!BC2205/'[1]All Data '!BH2205)</f>
        <v/>
      </c>
      <c r="O2200" s="5" t="str">
        <f t="shared" si="36"/>
        <v/>
      </c>
      <c r="P2200" s="5" t="str">
        <f>IF(M2200="","",$C$2*(1-L2200)*907.2/0.621371*N2200*[1]Transportation!$M$40)</f>
        <v/>
      </c>
      <c r="Q2200" s="5" t="str">
        <f>IF(L2200="","",IF([1]Inputs_Outputs!$B$5="Herbaceous",(LCA!$E$29*'[1]LOCH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0" s="5" t="str">
        <f>IF(M2200="","",$E$2*1000*'[1]LOCH Calc COE Calc'!$C$44)</f>
        <v/>
      </c>
      <c r="S2200" s="6" t="str">
        <f>IF(N2200="","",SUM(O2200:R2200)/('[1]LOCH Calc COE Calc'!$C$28))</f>
        <v/>
      </c>
      <c r="T2200" t="str">
        <f>IF(L2200="","",O2200/'[1]LOCH Calc COE Calc'!$C$28)</f>
        <v/>
      </c>
      <c r="U2200" t="str">
        <f>IF(L2200="","",P2200/'[1]LOCH Calc COE Calc'!$C$28)</f>
        <v/>
      </c>
      <c r="V2200" t="str">
        <f>IF(L2200="","",Q2200/'[1]LOCH Calc COE Calc'!$C$28)</f>
        <v/>
      </c>
      <c r="W2200" t="str">
        <f>IF(L2200="","",R2200/'[1]LOCH Calc COE Calc'!$C$28)</f>
        <v/>
      </c>
    </row>
    <row r="2201" spans="12:23" x14ac:dyDescent="0.25">
      <c r="L2201" s="4" t="str">
        <f>IF('[1]All Data '!BE2206="","",'[1]All Data '!BE2206)</f>
        <v/>
      </c>
      <c r="M2201" t="str">
        <f>IF('[1]All Data '!BF2206="","",'[1]All Data '!BF2206)</f>
        <v/>
      </c>
      <c r="N2201" s="5" t="str">
        <f>IF('[1]All Data '!BB2206="","",'[1]All Data '!BC2206/'[1]All Data '!BH2206)</f>
        <v/>
      </c>
      <c r="O2201" s="5" t="str">
        <f t="shared" si="36"/>
        <v/>
      </c>
      <c r="P2201" s="5" t="str">
        <f>IF(M2201="","",$C$2*(1-L2201)*907.2/0.621371*N2201*[1]Transportation!$M$40)</f>
        <v/>
      </c>
      <c r="Q2201" s="5" t="str">
        <f>IF(L2201="","",IF([1]Inputs_Outputs!$B$5="Herbaceous",(LCA!$E$29*'[1]LOCH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1" s="5" t="str">
        <f>IF(M2201="","",$E$2*1000*'[1]LOCH Calc COE Calc'!$C$44)</f>
        <v/>
      </c>
      <c r="S2201" s="6" t="str">
        <f>IF(N2201="","",SUM(O2201:R2201)/('[1]LOCH Calc COE Calc'!$C$28))</f>
        <v/>
      </c>
      <c r="T2201" t="str">
        <f>IF(L2201="","",O2201/'[1]LOCH Calc COE Calc'!$C$28)</f>
        <v/>
      </c>
      <c r="U2201" t="str">
        <f>IF(L2201="","",P2201/'[1]LOCH Calc COE Calc'!$C$28)</f>
        <v/>
      </c>
      <c r="V2201" t="str">
        <f>IF(L2201="","",Q2201/'[1]LOCH Calc COE Calc'!$C$28)</f>
        <v/>
      </c>
      <c r="W2201" t="str">
        <f>IF(L2201="","",R2201/'[1]LOCH Calc COE Calc'!$C$28)</f>
        <v/>
      </c>
    </row>
    <row r="2202" spans="12:23" x14ac:dyDescent="0.25">
      <c r="L2202" s="4" t="str">
        <f>IF('[1]All Data '!BE2207="","",'[1]All Data '!BE2207)</f>
        <v/>
      </c>
      <c r="M2202" t="str">
        <f>IF('[1]All Data '!BF2207="","",'[1]All Data '!BF2207)</f>
        <v/>
      </c>
      <c r="N2202" s="5" t="str">
        <f>IF('[1]All Data '!BB2207="","",'[1]All Data '!BC2207/'[1]All Data '!BH2207)</f>
        <v/>
      </c>
      <c r="O2202" s="5" t="str">
        <f t="shared" si="36"/>
        <v/>
      </c>
      <c r="P2202" s="5" t="str">
        <f>IF(M2202="","",$C$2*(1-L2202)*907.2/0.621371*N2202*[1]Transportation!$M$40)</f>
        <v/>
      </c>
      <c r="Q2202" s="5" t="str">
        <f>IF(L2202="","",IF([1]Inputs_Outputs!$B$5="Herbaceous",(LCA!$E$29*'[1]LOCH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2" s="5" t="str">
        <f>IF(M2202="","",$E$2*1000*'[1]LOCH Calc COE Calc'!$C$44)</f>
        <v/>
      </c>
      <c r="S2202" s="6" t="str">
        <f>IF(N2202="","",SUM(O2202:R2202)/('[1]LOCH Calc COE Calc'!$C$28))</f>
        <v/>
      </c>
      <c r="T2202" t="str">
        <f>IF(L2202="","",O2202/'[1]LOCH Calc COE Calc'!$C$28)</f>
        <v/>
      </c>
      <c r="U2202" t="str">
        <f>IF(L2202="","",P2202/'[1]LOCH Calc COE Calc'!$C$28)</f>
        <v/>
      </c>
      <c r="V2202" t="str">
        <f>IF(L2202="","",Q2202/'[1]LOCH Calc COE Calc'!$C$28)</f>
        <v/>
      </c>
      <c r="W2202" t="str">
        <f>IF(L2202="","",R2202/'[1]LOCH Calc COE Calc'!$C$28)</f>
        <v/>
      </c>
    </row>
    <row r="2203" spans="12:23" x14ac:dyDescent="0.25">
      <c r="L2203" s="4" t="str">
        <f>IF('[1]All Data '!BE2208="","",'[1]All Data '!BE2208)</f>
        <v/>
      </c>
      <c r="M2203" t="str">
        <f>IF('[1]All Data '!BF2208="","",'[1]All Data '!BF2208)</f>
        <v/>
      </c>
      <c r="N2203" s="5" t="str">
        <f>IF('[1]All Data '!BB2208="","",'[1]All Data '!BC2208/'[1]All Data '!BH2208)</f>
        <v/>
      </c>
      <c r="O2203" s="5" t="str">
        <f t="shared" si="36"/>
        <v/>
      </c>
      <c r="P2203" s="5" t="str">
        <f>IF(M2203="","",$C$2*(1-L2203)*907.2/0.621371*N2203*[1]Transportation!$M$40)</f>
        <v/>
      </c>
      <c r="Q2203" s="5" t="str">
        <f>IF(L2203="","",IF([1]Inputs_Outputs!$B$5="Herbaceous",(LCA!$E$29*'[1]LOCH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3" s="5" t="str">
        <f>IF(M2203="","",$E$2*1000*'[1]LOCH Calc COE Calc'!$C$44)</f>
        <v/>
      </c>
      <c r="S2203" s="6" t="str">
        <f>IF(N2203="","",SUM(O2203:R2203)/('[1]LOCH Calc COE Calc'!$C$28))</f>
        <v/>
      </c>
      <c r="T2203" t="str">
        <f>IF(L2203="","",O2203/'[1]LOCH Calc COE Calc'!$C$28)</f>
        <v/>
      </c>
      <c r="U2203" t="str">
        <f>IF(L2203="","",P2203/'[1]LOCH Calc COE Calc'!$C$28)</f>
        <v/>
      </c>
      <c r="V2203" t="str">
        <f>IF(L2203="","",Q2203/'[1]LOCH Calc COE Calc'!$C$28)</f>
        <v/>
      </c>
      <c r="W2203" t="str">
        <f>IF(L2203="","",R2203/'[1]LOCH Calc COE Calc'!$C$28)</f>
        <v/>
      </c>
    </row>
    <row r="2204" spans="12:23" x14ac:dyDescent="0.25">
      <c r="L2204" s="4" t="str">
        <f>IF('[1]All Data '!BE2209="","",'[1]All Data '!BE2209)</f>
        <v/>
      </c>
      <c r="M2204" t="str">
        <f>IF('[1]All Data '!BF2209="","",'[1]All Data '!BF2209)</f>
        <v/>
      </c>
      <c r="N2204" s="5" t="str">
        <f>IF('[1]All Data '!BB2209="","",'[1]All Data '!BC2209/'[1]All Data '!BH2209)</f>
        <v/>
      </c>
      <c r="O2204" s="5" t="str">
        <f t="shared" si="36"/>
        <v/>
      </c>
      <c r="P2204" s="5" t="str">
        <f>IF(M2204="","",$C$2*(1-L2204)*907.2/0.621371*N2204*[1]Transportation!$M$40)</f>
        <v/>
      </c>
      <c r="Q2204" s="5" t="str">
        <f>IF(L2204="","",IF([1]Inputs_Outputs!$B$5="Herbaceous",(LCA!$E$29*'[1]LOCH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4" s="5" t="str">
        <f>IF(M2204="","",$E$2*1000*'[1]LOCH Calc COE Calc'!$C$44)</f>
        <v/>
      </c>
      <c r="S2204" s="6" t="str">
        <f>IF(N2204="","",SUM(O2204:R2204)/('[1]LOCH Calc COE Calc'!$C$28))</f>
        <v/>
      </c>
      <c r="T2204" t="str">
        <f>IF(L2204="","",O2204/'[1]LOCH Calc COE Calc'!$C$28)</f>
        <v/>
      </c>
      <c r="U2204" t="str">
        <f>IF(L2204="","",P2204/'[1]LOCH Calc COE Calc'!$C$28)</f>
        <v/>
      </c>
      <c r="V2204" t="str">
        <f>IF(L2204="","",Q2204/'[1]LOCH Calc COE Calc'!$C$28)</f>
        <v/>
      </c>
      <c r="W2204" t="str">
        <f>IF(L2204="","",R2204/'[1]LOCH Calc COE Calc'!$C$28)</f>
        <v/>
      </c>
    </row>
    <row r="2205" spans="12:23" x14ac:dyDescent="0.25">
      <c r="L2205" s="4" t="str">
        <f>IF('[1]All Data '!BE2210="","",'[1]All Data '!BE2210)</f>
        <v/>
      </c>
      <c r="M2205" t="str">
        <f>IF('[1]All Data '!BF2210="","",'[1]All Data '!BF2210)</f>
        <v/>
      </c>
      <c r="N2205" s="5" t="str">
        <f>IF('[1]All Data '!BB2210="","",'[1]All Data '!BC2210/'[1]All Data '!BH2210)</f>
        <v/>
      </c>
      <c r="O2205" s="5" t="str">
        <f t="shared" si="36"/>
        <v/>
      </c>
      <c r="P2205" s="5" t="str">
        <f>IF(M2205="","",$C$2*(1-L2205)*907.2/0.621371*N2205*[1]Transportation!$M$40)</f>
        <v/>
      </c>
      <c r="Q2205" s="5" t="str">
        <f>IF(L2205="","",IF([1]Inputs_Outputs!$B$5="Herbaceous",(LCA!$E$29*'[1]LOCH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5" s="5" t="str">
        <f>IF(M2205="","",$E$2*1000*'[1]LOCH Calc COE Calc'!$C$44)</f>
        <v/>
      </c>
      <c r="S2205" s="6" t="str">
        <f>IF(N2205="","",SUM(O2205:R2205)/('[1]LOCH Calc COE Calc'!$C$28))</f>
        <v/>
      </c>
      <c r="T2205" t="str">
        <f>IF(L2205="","",O2205/'[1]LOCH Calc COE Calc'!$C$28)</f>
        <v/>
      </c>
      <c r="U2205" t="str">
        <f>IF(L2205="","",P2205/'[1]LOCH Calc COE Calc'!$C$28)</f>
        <v/>
      </c>
      <c r="V2205" t="str">
        <f>IF(L2205="","",Q2205/'[1]LOCH Calc COE Calc'!$C$28)</f>
        <v/>
      </c>
      <c r="W2205" t="str">
        <f>IF(L2205="","",R2205/'[1]LOCH Calc COE Calc'!$C$28)</f>
        <v/>
      </c>
    </row>
    <row r="2206" spans="12:23" x14ac:dyDescent="0.25">
      <c r="L2206" s="4" t="str">
        <f>IF('[1]All Data '!BE2211="","",'[1]All Data '!BE2211)</f>
        <v/>
      </c>
      <c r="M2206" t="str">
        <f>IF('[1]All Data '!BF2211="","",'[1]All Data '!BF2211)</f>
        <v/>
      </c>
      <c r="N2206" s="5" t="str">
        <f>IF('[1]All Data '!BB2211="","",'[1]All Data '!BC2211/'[1]All Data '!BH2211)</f>
        <v/>
      </c>
      <c r="O2206" s="5" t="str">
        <f t="shared" si="36"/>
        <v/>
      </c>
      <c r="P2206" s="5" t="str">
        <f>IF(M2206="","",$C$2*(1-L2206)*907.2/0.621371*N2206*[1]Transportation!$M$40)</f>
        <v/>
      </c>
      <c r="Q2206" s="5" t="str">
        <f>IF(L2206="","",IF([1]Inputs_Outputs!$B$5="Herbaceous",(LCA!$E$29*'[1]LOCH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6" s="5" t="str">
        <f>IF(M2206="","",$E$2*1000*'[1]LOCH Calc COE Calc'!$C$44)</f>
        <v/>
      </c>
      <c r="S2206" s="6" t="str">
        <f>IF(N2206="","",SUM(O2206:R2206)/('[1]LOCH Calc COE Calc'!$C$28))</f>
        <v/>
      </c>
      <c r="T2206" t="str">
        <f>IF(L2206="","",O2206/'[1]LOCH Calc COE Calc'!$C$28)</f>
        <v/>
      </c>
      <c r="U2206" t="str">
        <f>IF(L2206="","",P2206/'[1]LOCH Calc COE Calc'!$C$28)</f>
        <v/>
      </c>
      <c r="V2206" t="str">
        <f>IF(L2206="","",Q2206/'[1]LOCH Calc COE Calc'!$C$28)</f>
        <v/>
      </c>
      <c r="W2206" t="str">
        <f>IF(L2206="","",R2206/'[1]LOCH Calc COE Calc'!$C$28)</f>
        <v/>
      </c>
    </row>
    <row r="2207" spans="12:23" x14ac:dyDescent="0.25">
      <c r="L2207" s="4" t="str">
        <f>IF('[1]All Data '!BE2212="","",'[1]All Data '!BE2212)</f>
        <v/>
      </c>
      <c r="M2207" t="str">
        <f>IF('[1]All Data '!BF2212="","",'[1]All Data '!BF2212)</f>
        <v/>
      </c>
      <c r="N2207" s="5" t="str">
        <f>IF('[1]All Data '!BB2212="","",'[1]All Data '!BC2212/'[1]All Data '!BH2212)</f>
        <v/>
      </c>
      <c r="O2207" s="5" t="str">
        <f t="shared" si="36"/>
        <v/>
      </c>
      <c r="P2207" s="5" t="str">
        <f>IF(M2207="","",$C$2*(1-L2207)*907.2/0.621371*N2207*[1]Transportation!$M$40)</f>
        <v/>
      </c>
      <c r="Q2207" s="5" t="str">
        <f>IF(L2207="","",IF([1]Inputs_Outputs!$B$5="Herbaceous",(LCA!$E$29*'[1]LOCH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7" s="5" t="str">
        <f>IF(M2207="","",$E$2*1000*'[1]LOCH Calc COE Calc'!$C$44)</f>
        <v/>
      </c>
      <c r="S2207" s="6" t="str">
        <f>IF(N2207="","",SUM(O2207:R2207)/('[1]LOCH Calc COE Calc'!$C$28))</f>
        <v/>
      </c>
      <c r="T2207" t="str">
        <f>IF(L2207="","",O2207/'[1]LOCH Calc COE Calc'!$C$28)</f>
        <v/>
      </c>
      <c r="U2207" t="str">
        <f>IF(L2207="","",P2207/'[1]LOCH Calc COE Calc'!$C$28)</f>
        <v/>
      </c>
      <c r="V2207" t="str">
        <f>IF(L2207="","",Q2207/'[1]LOCH Calc COE Calc'!$C$28)</f>
        <v/>
      </c>
      <c r="W2207" t="str">
        <f>IF(L2207="","",R2207/'[1]LOCH Calc COE Calc'!$C$28)</f>
        <v/>
      </c>
    </row>
    <row r="2208" spans="12:23" x14ac:dyDescent="0.25">
      <c r="L2208" s="4" t="str">
        <f>IF('[1]All Data '!BE2213="","",'[1]All Data '!BE2213)</f>
        <v/>
      </c>
      <c r="M2208" t="str">
        <f>IF('[1]All Data '!BF2213="","",'[1]All Data '!BF2213)</f>
        <v/>
      </c>
      <c r="N2208" s="5" t="str">
        <f>IF('[1]All Data '!BB2213="","",'[1]All Data '!BC2213/'[1]All Data '!BH2213)</f>
        <v/>
      </c>
      <c r="O2208" s="5" t="str">
        <f t="shared" si="36"/>
        <v/>
      </c>
      <c r="P2208" s="5" t="str">
        <f>IF(M2208="","",$C$2*(1-L2208)*907.2/0.621371*N2208*[1]Transportation!$M$40)</f>
        <v/>
      </c>
      <c r="Q2208" s="5" t="str">
        <f>IF(L2208="","",IF([1]Inputs_Outputs!$B$5="Herbaceous",(LCA!$E$29*'[1]LOCH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8" s="5" t="str">
        <f>IF(M2208="","",$E$2*1000*'[1]LOCH Calc COE Calc'!$C$44)</f>
        <v/>
      </c>
      <c r="S2208" s="6" t="str">
        <f>IF(N2208="","",SUM(O2208:R2208)/('[1]LOCH Calc COE Calc'!$C$28))</f>
        <v/>
      </c>
      <c r="T2208" t="str">
        <f>IF(L2208="","",O2208/'[1]LOCH Calc COE Calc'!$C$28)</f>
        <v/>
      </c>
      <c r="U2208" t="str">
        <f>IF(L2208="","",P2208/'[1]LOCH Calc COE Calc'!$C$28)</f>
        <v/>
      </c>
      <c r="V2208" t="str">
        <f>IF(L2208="","",Q2208/'[1]LOCH Calc COE Calc'!$C$28)</f>
        <v/>
      </c>
      <c r="W2208" t="str">
        <f>IF(L2208="","",R2208/'[1]LOCH Calc COE Calc'!$C$28)</f>
        <v/>
      </c>
    </row>
    <row r="2209" spans="12:23" x14ac:dyDescent="0.25">
      <c r="L2209" s="4" t="str">
        <f>IF('[1]All Data '!BE2214="","",'[1]All Data '!BE2214)</f>
        <v/>
      </c>
      <c r="M2209" t="str">
        <f>IF('[1]All Data '!BF2214="","",'[1]All Data '!BF2214)</f>
        <v/>
      </c>
      <c r="N2209" s="5" t="str">
        <f>IF('[1]All Data '!BB2214="","",'[1]All Data '!BC2214/'[1]All Data '!BH2214)</f>
        <v/>
      </c>
      <c r="O2209" s="5" t="str">
        <f t="shared" si="36"/>
        <v/>
      </c>
      <c r="P2209" s="5" t="str">
        <f>IF(M2209="","",$C$2*(1-L2209)*907.2/0.621371*N2209*[1]Transportation!$M$40)</f>
        <v/>
      </c>
      <c r="Q2209" s="5" t="str">
        <f>IF(L2209="","",IF([1]Inputs_Outputs!$B$5="Herbaceous",(LCA!$E$29*'[1]LOCH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09" s="5" t="str">
        <f>IF(M2209="","",$E$2*1000*'[1]LOCH Calc COE Calc'!$C$44)</f>
        <v/>
      </c>
      <c r="S2209" s="6" t="str">
        <f>IF(N2209="","",SUM(O2209:R2209)/('[1]LOCH Calc COE Calc'!$C$28))</f>
        <v/>
      </c>
      <c r="T2209" t="str">
        <f>IF(L2209="","",O2209/'[1]LOCH Calc COE Calc'!$C$28)</f>
        <v/>
      </c>
      <c r="U2209" t="str">
        <f>IF(L2209="","",P2209/'[1]LOCH Calc COE Calc'!$C$28)</f>
        <v/>
      </c>
      <c r="V2209" t="str">
        <f>IF(L2209="","",Q2209/'[1]LOCH Calc COE Calc'!$C$28)</f>
        <v/>
      </c>
      <c r="W2209" t="str">
        <f>IF(L2209="","",R2209/'[1]LOCH Calc COE Calc'!$C$28)</f>
        <v/>
      </c>
    </row>
    <row r="2210" spans="12:23" x14ac:dyDescent="0.25">
      <c r="L2210" s="4" t="str">
        <f>IF('[1]All Data '!BE2215="","",'[1]All Data '!BE2215)</f>
        <v/>
      </c>
      <c r="M2210" t="str">
        <f>IF('[1]All Data '!BF2215="","",'[1]All Data '!BF2215)</f>
        <v/>
      </c>
      <c r="N2210" s="5" t="str">
        <f>IF('[1]All Data '!BB2215="","",'[1]All Data '!BC2215/'[1]All Data '!BH2215)</f>
        <v/>
      </c>
      <c r="O2210" s="5" t="str">
        <f t="shared" si="36"/>
        <v/>
      </c>
      <c r="P2210" s="5" t="str">
        <f>IF(M2210="","",$C$2*(1-L2210)*907.2/0.621371*N2210*[1]Transportation!$M$40)</f>
        <v/>
      </c>
      <c r="Q2210" s="5" t="str">
        <f>IF(L2210="","",IF([1]Inputs_Outputs!$B$5="Herbaceous",(LCA!$E$29*'[1]LOCH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0" s="5" t="str">
        <f>IF(M2210="","",$E$2*1000*'[1]LOCH Calc COE Calc'!$C$44)</f>
        <v/>
      </c>
      <c r="S2210" s="6" t="str">
        <f>IF(N2210="","",SUM(O2210:R2210)/('[1]LOCH Calc COE Calc'!$C$28))</f>
        <v/>
      </c>
      <c r="T2210" t="str">
        <f>IF(L2210="","",O2210/'[1]LOCH Calc COE Calc'!$C$28)</f>
        <v/>
      </c>
      <c r="U2210" t="str">
        <f>IF(L2210="","",P2210/'[1]LOCH Calc COE Calc'!$C$28)</f>
        <v/>
      </c>
      <c r="V2210" t="str">
        <f>IF(L2210="","",Q2210/'[1]LOCH Calc COE Calc'!$C$28)</f>
        <v/>
      </c>
      <c r="W2210" t="str">
        <f>IF(L2210="","",R2210/'[1]LOCH Calc COE Calc'!$C$28)</f>
        <v/>
      </c>
    </row>
    <row r="2211" spans="12:23" x14ac:dyDescent="0.25">
      <c r="L2211" s="4" t="str">
        <f>IF('[1]All Data '!BE2216="","",'[1]All Data '!BE2216)</f>
        <v/>
      </c>
      <c r="M2211" t="str">
        <f>IF('[1]All Data '!BF2216="","",'[1]All Data '!BF2216)</f>
        <v/>
      </c>
      <c r="N2211" s="5" t="str">
        <f>IF('[1]All Data '!BB2216="","",'[1]All Data '!BC2216/'[1]All Data '!BH2216)</f>
        <v/>
      </c>
      <c r="O2211" s="5" t="str">
        <f t="shared" si="36"/>
        <v/>
      </c>
      <c r="P2211" s="5" t="str">
        <f>IF(M2211="","",$C$2*(1-L2211)*907.2/0.621371*N2211*[1]Transportation!$M$40)</f>
        <v/>
      </c>
      <c r="Q2211" s="5" t="str">
        <f>IF(L2211="","",IF([1]Inputs_Outputs!$B$5="Herbaceous",(LCA!$E$29*'[1]LOCH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1" s="5" t="str">
        <f>IF(M2211="","",$E$2*1000*'[1]LOCH Calc COE Calc'!$C$44)</f>
        <v/>
      </c>
      <c r="S2211" s="6" t="str">
        <f>IF(N2211="","",SUM(O2211:R2211)/('[1]LOCH Calc COE Calc'!$C$28))</f>
        <v/>
      </c>
      <c r="T2211" t="str">
        <f>IF(L2211="","",O2211/'[1]LOCH Calc COE Calc'!$C$28)</f>
        <v/>
      </c>
      <c r="U2211" t="str">
        <f>IF(L2211="","",P2211/'[1]LOCH Calc COE Calc'!$C$28)</f>
        <v/>
      </c>
      <c r="V2211" t="str">
        <f>IF(L2211="","",Q2211/'[1]LOCH Calc COE Calc'!$C$28)</f>
        <v/>
      </c>
      <c r="W2211" t="str">
        <f>IF(L2211="","",R2211/'[1]LOCH Calc COE Calc'!$C$28)</f>
        <v/>
      </c>
    </row>
    <row r="2212" spans="12:23" x14ac:dyDescent="0.25">
      <c r="L2212" s="4" t="str">
        <f>IF('[1]All Data '!BE2217="","",'[1]All Data '!BE2217)</f>
        <v/>
      </c>
      <c r="M2212" t="str">
        <f>IF('[1]All Data '!BF2217="","",'[1]All Data '!BF2217)</f>
        <v/>
      </c>
      <c r="N2212" s="5" t="str">
        <f>IF('[1]All Data '!BB2217="","",'[1]All Data '!BC2217/'[1]All Data '!BH2217)</f>
        <v/>
      </c>
      <c r="O2212" s="5" t="str">
        <f t="shared" si="36"/>
        <v/>
      </c>
      <c r="P2212" s="5" t="str">
        <f>IF(M2212="","",$C$2*(1-L2212)*907.2/0.621371*N2212*[1]Transportation!$M$40)</f>
        <v/>
      </c>
      <c r="Q2212" s="5" t="str">
        <f>IF(L2212="","",IF([1]Inputs_Outputs!$B$5="Herbaceous",(LCA!$E$29*'[1]LOCH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2" s="5" t="str">
        <f>IF(M2212="","",$E$2*1000*'[1]LOCH Calc COE Calc'!$C$44)</f>
        <v/>
      </c>
      <c r="S2212" s="6" t="str">
        <f>IF(N2212="","",SUM(O2212:R2212)/('[1]LOCH Calc COE Calc'!$C$28))</f>
        <v/>
      </c>
      <c r="T2212" t="str">
        <f>IF(L2212="","",O2212/'[1]LOCH Calc COE Calc'!$C$28)</f>
        <v/>
      </c>
      <c r="U2212" t="str">
        <f>IF(L2212="","",P2212/'[1]LOCH Calc COE Calc'!$C$28)</f>
        <v/>
      </c>
      <c r="V2212" t="str">
        <f>IF(L2212="","",Q2212/'[1]LOCH Calc COE Calc'!$C$28)</f>
        <v/>
      </c>
      <c r="W2212" t="str">
        <f>IF(L2212="","",R2212/'[1]LOCH Calc COE Calc'!$C$28)</f>
        <v/>
      </c>
    </row>
    <row r="2213" spans="12:23" x14ac:dyDescent="0.25">
      <c r="L2213" s="4" t="str">
        <f>IF('[1]All Data '!BE2218="","",'[1]All Data '!BE2218)</f>
        <v/>
      </c>
      <c r="M2213" t="str">
        <f>IF('[1]All Data '!BF2218="","",'[1]All Data '!BF2218)</f>
        <v/>
      </c>
      <c r="N2213" s="5" t="str">
        <f>IF('[1]All Data '!BB2218="","",'[1]All Data '!BC2218/'[1]All Data '!BH2218)</f>
        <v/>
      </c>
      <c r="O2213" s="5" t="str">
        <f t="shared" si="36"/>
        <v/>
      </c>
      <c r="P2213" s="5" t="str">
        <f>IF(M2213="","",$C$2*(1-L2213)*907.2/0.621371*N2213*[1]Transportation!$M$40)</f>
        <v/>
      </c>
      <c r="Q2213" s="5" t="str">
        <f>IF(L2213="","",IF([1]Inputs_Outputs!$B$5="Herbaceous",(LCA!$E$29*'[1]LOCH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3" s="5" t="str">
        <f>IF(M2213="","",$E$2*1000*'[1]LOCH Calc COE Calc'!$C$44)</f>
        <v/>
      </c>
      <c r="S2213" s="6" t="str">
        <f>IF(N2213="","",SUM(O2213:R2213)/('[1]LOCH Calc COE Calc'!$C$28))</f>
        <v/>
      </c>
      <c r="T2213" t="str">
        <f>IF(L2213="","",O2213/'[1]LOCH Calc COE Calc'!$C$28)</f>
        <v/>
      </c>
      <c r="U2213" t="str">
        <f>IF(L2213="","",P2213/'[1]LOCH Calc COE Calc'!$C$28)</f>
        <v/>
      </c>
      <c r="V2213" t="str">
        <f>IF(L2213="","",Q2213/'[1]LOCH Calc COE Calc'!$C$28)</f>
        <v/>
      </c>
      <c r="W2213" t="str">
        <f>IF(L2213="","",R2213/'[1]LOCH Calc COE Calc'!$C$28)</f>
        <v/>
      </c>
    </row>
    <row r="2214" spans="12:23" x14ac:dyDescent="0.25">
      <c r="L2214" s="4" t="str">
        <f>IF('[1]All Data '!BE2219="","",'[1]All Data '!BE2219)</f>
        <v/>
      </c>
      <c r="M2214" t="str">
        <f>IF('[1]All Data '!BF2219="","",'[1]All Data '!BF2219)</f>
        <v/>
      </c>
      <c r="N2214" s="5" t="str">
        <f>IF('[1]All Data '!BB2219="","",'[1]All Data '!BC2219/'[1]All Data '!BH2219)</f>
        <v/>
      </c>
      <c r="O2214" s="5" t="str">
        <f t="shared" si="36"/>
        <v/>
      </c>
      <c r="P2214" s="5" t="str">
        <f>IF(M2214="","",$C$2*(1-L2214)*907.2/0.621371*N2214*[1]Transportation!$M$40)</f>
        <v/>
      </c>
      <c r="Q2214" s="5" t="str">
        <f>IF(L2214="","",IF([1]Inputs_Outputs!$B$5="Herbaceous",(LCA!$E$29*'[1]LOCH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4" s="5" t="str">
        <f>IF(M2214="","",$E$2*1000*'[1]LOCH Calc COE Calc'!$C$44)</f>
        <v/>
      </c>
      <c r="S2214" s="6" t="str">
        <f>IF(N2214="","",SUM(O2214:R2214)/('[1]LOCH Calc COE Calc'!$C$28))</f>
        <v/>
      </c>
      <c r="T2214" t="str">
        <f>IF(L2214="","",O2214/'[1]LOCH Calc COE Calc'!$C$28)</f>
        <v/>
      </c>
      <c r="U2214" t="str">
        <f>IF(L2214="","",P2214/'[1]LOCH Calc COE Calc'!$C$28)</f>
        <v/>
      </c>
      <c r="V2214" t="str">
        <f>IF(L2214="","",Q2214/'[1]LOCH Calc COE Calc'!$C$28)</f>
        <v/>
      </c>
      <c r="W2214" t="str">
        <f>IF(L2214="","",R2214/'[1]LOCH Calc COE Calc'!$C$28)</f>
        <v/>
      </c>
    </row>
    <row r="2215" spans="12:23" x14ac:dyDescent="0.25">
      <c r="L2215" s="4" t="str">
        <f>IF('[1]All Data '!BE2220="","",'[1]All Data '!BE2220)</f>
        <v/>
      </c>
      <c r="M2215" t="str">
        <f>IF('[1]All Data '!BF2220="","",'[1]All Data '!BF2220)</f>
        <v/>
      </c>
      <c r="N2215" s="5" t="str">
        <f>IF('[1]All Data '!BB2220="","",'[1]All Data '!BC2220/'[1]All Data '!BH2220)</f>
        <v/>
      </c>
      <c r="O2215" s="5" t="str">
        <f t="shared" si="36"/>
        <v/>
      </c>
      <c r="P2215" s="5" t="str">
        <f>IF(M2215="","",$C$2*(1-L2215)*907.2/0.621371*N2215*[1]Transportation!$M$40)</f>
        <v/>
      </c>
      <c r="Q2215" s="5" t="str">
        <f>IF(L2215="","",IF([1]Inputs_Outputs!$B$5="Herbaceous",(LCA!$E$29*'[1]LOCH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5" s="5" t="str">
        <f>IF(M2215="","",$E$2*1000*'[1]LOCH Calc COE Calc'!$C$44)</f>
        <v/>
      </c>
      <c r="S2215" s="6" t="str">
        <f>IF(N2215="","",SUM(O2215:R2215)/('[1]LOCH Calc COE Calc'!$C$28))</f>
        <v/>
      </c>
      <c r="T2215" t="str">
        <f>IF(L2215="","",O2215/'[1]LOCH Calc COE Calc'!$C$28)</f>
        <v/>
      </c>
      <c r="U2215" t="str">
        <f>IF(L2215="","",P2215/'[1]LOCH Calc COE Calc'!$C$28)</f>
        <v/>
      </c>
      <c r="V2215" t="str">
        <f>IF(L2215="","",Q2215/'[1]LOCH Calc COE Calc'!$C$28)</f>
        <v/>
      </c>
      <c r="W2215" t="str">
        <f>IF(L2215="","",R2215/'[1]LOCH Calc COE Calc'!$C$28)</f>
        <v/>
      </c>
    </row>
    <row r="2216" spans="12:23" x14ac:dyDescent="0.25">
      <c r="L2216" s="4" t="str">
        <f>IF('[1]All Data '!BE2221="","",'[1]All Data '!BE2221)</f>
        <v/>
      </c>
      <c r="M2216" t="str">
        <f>IF('[1]All Data '!BF2221="","",'[1]All Data '!BF2221)</f>
        <v/>
      </c>
      <c r="N2216" s="5" t="str">
        <f>IF('[1]All Data '!BB2221="","",'[1]All Data '!BC2221/'[1]All Data '!BH2221)</f>
        <v/>
      </c>
      <c r="O2216" s="5" t="str">
        <f t="shared" si="36"/>
        <v/>
      </c>
      <c r="P2216" s="5" t="str">
        <f>IF(M2216="","",$C$2*(1-L2216)*907.2/0.621371*N2216*[1]Transportation!$M$40)</f>
        <v/>
      </c>
      <c r="Q2216" s="5" t="str">
        <f>IF(L2216="","",IF([1]Inputs_Outputs!$B$5="Herbaceous",(LCA!$E$29*'[1]LOCH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6" s="5" t="str">
        <f>IF(M2216="","",$E$2*1000*'[1]LOCH Calc COE Calc'!$C$44)</f>
        <v/>
      </c>
      <c r="S2216" s="6" t="str">
        <f>IF(N2216="","",SUM(O2216:R2216)/('[1]LOCH Calc COE Calc'!$C$28))</f>
        <v/>
      </c>
      <c r="T2216" t="str">
        <f>IF(L2216="","",O2216/'[1]LOCH Calc COE Calc'!$C$28)</f>
        <v/>
      </c>
      <c r="U2216" t="str">
        <f>IF(L2216="","",P2216/'[1]LOCH Calc COE Calc'!$C$28)</f>
        <v/>
      </c>
      <c r="V2216" t="str">
        <f>IF(L2216="","",Q2216/'[1]LOCH Calc COE Calc'!$C$28)</f>
        <v/>
      </c>
      <c r="W2216" t="str">
        <f>IF(L2216="","",R2216/'[1]LOCH Calc COE Calc'!$C$28)</f>
        <v/>
      </c>
    </row>
    <row r="2217" spans="12:23" x14ac:dyDescent="0.25">
      <c r="L2217" s="4" t="str">
        <f>IF('[1]All Data '!BE2222="","",'[1]All Data '!BE2222)</f>
        <v/>
      </c>
      <c r="M2217" t="str">
        <f>IF('[1]All Data '!BF2222="","",'[1]All Data '!BF2222)</f>
        <v/>
      </c>
      <c r="N2217" s="5" t="str">
        <f>IF('[1]All Data '!BB2222="","",'[1]All Data '!BC2222/'[1]All Data '!BH2222)</f>
        <v/>
      </c>
      <c r="O2217" s="5" t="str">
        <f t="shared" si="36"/>
        <v/>
      </c>
      <c r="P2217" s="5" t="str">
        <f>IF(M2217="","",$C$2*(1-L2217)*907.2/0.621371*N2217*[1]Transportation!$M$40)</f>
        <v/>
      </c>
      <c r="Q2217" s="5" t="str">
        <f>IF(L2217="","",IF([1]Inputs_Outputs!$B$5="Herbaceous",(LCA!$E$29*'[1]LOCH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7" s="5" t="str">
        <f>IF(M2217="","",$E$2*1000*'[1]LOCH Calc COE Calc'!$C$44)</f>
        <v/>
      </c>
      <c r="S2217" s="6" t="str">
        <f>IF(N2217="","",SUM(O2217:R2217)/('[1]LOCH Calc COE Calc'!$C$28))</f>
        <v/>
      </c>
      <c r="T2217" t="str">
        <f>IF(L2217="","",O2217/'[1]LOCH Calc COE Calc'!$C$28)</f>
        <v/>
      </c>
      <c r="U2217" t="str">
        <f>IF(L2217="","",P2217/'[1]LOCH Calc COE Calc'!$C$28)</f>
        <v/>
      </c>
      <c r="V2217" t="str">
        <f>IF(L2217="","",Q2217/'[1]LOCH Calc COE Calc'!$C$28)</f>
        <v/>
      </c>
      <c r="W2217" t="str">
        <f>IF(L2217="","",R2217/'[1]LOCH Calc COE Calc'!$C$28)</f>
        <v/>
      </c>
    </row>
    <row r="2218" spans="12:23" x14ac:dyDescent="0.25">
      <c r="L2218" s="4" t="str">
        <f>IF('[1]All Data '!BE2223="","",'[1]All Data '!BE2223)</f>
        <v/>
      </c>
      <c r="M2218" t="str">
        <f>IF('[1]All Data '!BF2223="","",'[1]All Data '!BF2223)</f>
        <v/>
      </c>
      <c r="N2218" s="5" t="str">
        <f>IF('[1]All Data '!BB2223="","",'[1]All Data '!BC2223/'[1]All Data '!BH2223)</f>
        <v/>
      </c>
      <c r="O2218" s="5" t="str">
        <f t="shared" si="36"/>
        <v/>
      </c>
      <c r="P2218" s="5" t="str">
        <f>IF(M2218="","",$C$2*(1-L2218)*907.2/0.621371*N2218*[1]Transportation!$M$40)</f>
        <v/>
      </c>
      <c r="Q2218" s="5" t="str">
        <f>IF(L2218="","",IF([1]Inputs_Outputs!$B$5="Herbaceous",(LCA!$E$29*'[1]LOCH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8" s="5" t="str">
        <f>IF(M2218="","",$E$2*1000*'[1]LOCH Calc COE Calc'!$C$44)</f>
        <v/>
      </c>
      <c r="S2218" s="6" t="str">
        <f>IF(N2218="","",SUM(O2218:R2218)/('[1]LOCH Calc COE Calc'!$C$28))</f>
        <v/>
      </c>
      <c r="T2218" t="str">
        <f>IF(L2218="","",O2218/'[1]LOCH Calc COE Calc'!$C$28)</f>
        <v/>
      </c>
      <c r="U2218" t="str">
        <f>IF(L2218="","",P2218/'[1]LOCH Calc COE Calc'!$C$28)</f>
        <v/>
      </c>
      <c r="V2218" t="str">
        <f>IF(L2218="","",Q2218/'[1]LOCH Calc COE Calc'!$C$28)</f>
        <v/>
      </c>
      <c r="W2218" t="str">
        <f>IF(L2218="","",R2218/'[1]LOCH Calc COE Calc'!$C$28)</f>
        <v/>
      </c>
    </row>
    <row r="2219" spans="12:23" x14ac:dyDescent="0.25">
      <c r="L2219" s="4" t="str">
        <f>IF('[1]All Data '!BE2224="","",'[1]All Data '!BE2224)</f>
        <v/>
      </c>
      <c r="M2219" t="str">
        <f>IF('[1]All Data '!BF2224="","",'[1]All Data '!BF2224)</f>
        <v/>
      </c>
      <c r="N2219" s="5" t="str">
        <f>IF('[1]All Data '!BB2224="","",'[1]All Data '!BC2224/'[1]All Data '!BH2224)</f>
        <v/>
      </c>
      <c r="O2219" s="5" t="str">
        <f t="shared" si="36"/>
        <v/>
      </c>
      <c r="P2219" s="5" t="str">
        <f>IF(M2219="","",$C$2*(1-L2219)*907.2/0.621371*N2219*[1]Transportation!$M$40)</f>
        <v/>
      </c>
      <c r="Q2219" s="5" t="str">
        <f>IF(L2219="","",IF([1]Inputs_Outputs!$B$5="Herbaceous",(LCA!$E$29*'[1]LOCH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19" s="5" t="str">
        <f>IF(M2219="","",$E$2*1000*'[1]LOCH Calc COE Calc'!$C$44)</f>
        <v/>
      </c>
      <c r="S2219" s="6" t="str">
        <f>IF(N2219="","",SUM(O2219:R2219)/('[1]LOCH Calc COE Calc'!$C$28))</f>
        <v/>
      </c>
      <c r="T2219" t="str">
        <f>IF(L2219="","",O2219/'[1]LOCH Calc COE Calc'!$C$28)</f>
        <v/>
      </c>
      <c r="U2219" t="str">
        <f>IF(L2219="","",P2219/'[1]LOCH Calc COE Calc'!$C$28)</f>
        <v/>
      </c>
      <c r="V2219" t="str">
        <f>IF(L2219="","",Q2219/'[1]LOCH Calc COE Calc'!$C$28)</f>
        <v/>
      </c>
      <c r="W2219" t="str">
        <f>IF(L2219="","",R2219/'[1]LOCH Calc COE Calc'!$C$28)</f>
        <v/>
      </c>
    </row>
    <row r="2220" spans="12:23" x14ac:dyDescent="0.25">
      <c r="L2220" s="4" t="str">
        <f>IF('[1]All Data '!BE2225="","",'[1]All Data '!BE2225)</f>
        <v/>
      </c>
      <c r="M2220" t="str">
        <f>IF('[1]All Data '!BF2225="","",'[1]All Data '!BF2225)</f>
        <v/>
      </c>
      <c r="N2220" s="5" t="str">
        <f>IF('[1]All Data '!BB2225="","",'[1]All Data '!BC2225/'[1]All Data '!BH2225)</f>
        <v/>
      </c>
      <c r="O2220" s="5" t="str">
        <f t="shared" si="36"/>
        <v/>
      </c>
      <c r="P2220" s="5" t="str">
        <f>IF(M2220="","",$C$2*(1-L2220)*907.2/0.621371*N2220*[1]Transportation!$M$40)</f>
        <v/>
      </c>
      <c r="Q2220" s="5" t="str">
        <f>IF(L2220="","",IF([1]Inputs_Outputs!$B$5="Herbaceous",(LCA!$E$29*'[1]LOCH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0" s="5" t="str">
        <f>IF(M2220="","",$E$2*1000*'[1]LOCH Calc COE Calc'!$C$44)</f>
        <v/>
      </c>
      <c r="S2220" s="6" t="str">
        <f>IF(N2220="","",SUM(O2220:R2220)/('[1]LOCH Calc COE Calc'!$C$28))</f>
        <v/>
      </c>
      <c r="T2220" t="str">
        <f>IF(L2220="","",O2220/'[1]LOCH Calc COE Calc'!$C$28)</f>
        <v/>
      </c>
      <c r="U2220" t="str">
        <f>IF(L2220="","",P2220/'[1]LOCH Calc COE Calc'!$C$28)</f>
        <v/>
      </c>
      <c r="V2220" t="str">
        <f>IF(L2220="","",Q2220/'[1]LOCH Calc COE Calc'!$C$28)</f>
        <v/>
      </c>
      <c r="W2220" t="str">
        <f>IF(L2220="","",R2220/'[1]LOCH Calc COE Calc'!$C$28)</f>
        <v/>
      </c>
    </row>
    <row r="2221" spans="12:23" x14ac:dyDescent="0.25">
      <c r="L2221" s="4" t="str">
        <f>IF('[1]All Data '!BE2226="","",'[1]All Data '!BE2226)</f>
        <v/>
      </c>
      <c r="M2221" t="str">
        <f>IF('[1]All Data '!BF2226="","",'[1]All Data '!BF2226)</f>
        <v/>
      </c>
      <c r="N2221" s="5" t="str">
        <f>IF('[1]All Data '!BB2226="","",'[1]All Data '!BC2226/'[1]All Data '!BH2226)</f>
        <v/>
      </c>
      <c r="O2221" s="5" t="str">
        <f t="shared" si="36"/>
        <v/>
      </c>
      <c r="P2221" s="5" t="str">
        <f>IF(M2221="","",$C$2*(1-L2221)*907.2/0.621371*N2221*[1]Transportation!$M$40)</f>
        <v/>
      </c>
      <c r="Q2221" s="5" t="str">
        <f>IF(L2221="","",IF([1]Inputs_Outputs!$B$5="Herbaceous",(LCA!$E$29*'[1]LOCH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1" s="5" t="str">
        <f>IF(M2221="","",$E$2*1000*'[1]LOCH Calc COE Calc'!$C$44)</f>
        <v/>
      </c>
      <c r="S2221" s="6" t="str">
        <f>IF(N2221="","",SUM(O2221:R2221)/('[1]LOCH Calc COE Calc'!$C$28))</f>
        <v/>
      </c>
      <c r="T2221" t="str">
        <f>IF(L2221="","",O2221/'[1]LOCH Calc COE Calc'!$C$28)</f>
        <v/>
      </c>
      <c r="U2221" t="str">
        <f>IF(L2221="","",P2221/'[1]LOCH Calc COE Calc'!$C$28)</f>
        <v/>
      </c>
      <c r="V2221" t="str">
        <f>IF(L2221="","",Q2221/'[1]LOCH Calc COE Calc'!$C$28)</f>
        <v/>
      </c>
      <c r="W2221" t="str">
        <f>IF(L2221="","",R2221/'[1]LOCH Calc COE Calc'!$C$28)</f>
        <v/>
      </c>
    </row>
    <row r="2222" spans="12:23" x14ac:dyDescent="0.25">
      <c r="L2222" s="4" t="str">
        <f>IF('[1]All Data '!BE2227="","",'[1]All Data '!BE2227)</f>
        <v/>
      </c>
      <c r="M2222" t="str">
        <f>IF('[1]All Data '!BF2227="","",'[1]All Data '!BF2227)</f>
        <v/>
      </c>
      <c r="N2222" s="5" t="str">
        <f>IF('[1]All Data '!BB2227="","",'[1]All Data '!BC2227/'[1]All Data '!BH2227)</f>
        <v/>
      </c>
      <c r="O2222" s="5" t="str">
        <f t="shared" si="36"/>
        <v/>
      </c>
      <c r="P2222" s="5" t="str">
        <f>IF(M2222="","",$C$2*(1-L2222)*907.2/0.621371*N2222*[1]Transportation!$M$40)</f>
        <v/>
      </c>
      <c r="Q2222" s="5" t="str">
        <f>IF(L2222="","",IF([1]Inputs_Outputs!$B$5="Herbaceous",(LCA!$E$29*'[1]LOCH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2" s="5" t="str">
        <f>IF(M2222="","",$E$2*1000*'[1]LOCH Calc COE Calc'!$C$44)</f>
        <v/>
      </c>
      <c r="S2222" s="6" t="str">
        <f>IF(N2222="","",SUM(O2222:R2222)/('[1]LOCH Calc COE Calc'!$C$28))</f>
        <v/>
      </c>
      <c r="T2222" t="str">
        <f>IF(L2222="","",O2222/'[1]LOCH Calc COE Calc'!$C$28)</f>
        <v/>
      </c>
      <c r="U2222" t="str">
        <f>IF(L2222="","",P2222/'[1]LOCH Calc COE Calc'!$C$28)</f>
        <v/>
      </c>
      <c r="V2222" t="str">
        <f>IF(L2222="","",Q2222/'[1]LOCH Calc COE Calc'!$C$28)</f>
        <v/>
      </c>
      <c r="W2222" t="str">
        <f>IF(L2222="","",R2222/'[1]LOCH Calc COE Calc'!$C$28)</f>
        <v/>
      </c>
    </row>
    <row r="2223" spans="12:23" x14ac:dyDescent="0.25">
      <c r="L2223" s="4" t="str">
        <f>IF('[1]All Data '!BE2228="","",'[1]All Data '!BE2228)</f>
        <v/>
      </c>
      <c r="M2223" t="str">
        <f>IF('[1]All Data '!BF2228="","",'[1]All Data '!BF2228)</f>
        <v/>
      </c>
      <c r="N2223" s="5" t="str">
        <f>IF('[1]All Data '!BB2228="","",'[1]All Data '!BC2228/'[1]All Data '!BH2228)</f>
        <v/>
      </c>
      <c r="O2223" s="5" t="str">
        <f t="shared" si="36"/>
        <v/>
      </c>
      <c r="P2223" s="5" t="str">
        <f>IF(M2223="","",$C$2*(1-L2223)*907.2/0.621371*N2223*[1]Transportation!$M$40)</f>
        <v/>
      </c>
      <c r="Q2223" s="5" t="str">
        <f>IF(L2223="","",IF([1]Inputs_Outputs!$B$5="Herbaceous",(LCA!$E$29*'[1]LOCH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3" s="5" t="str">
        <f>IF(M2223="","",$E$2*1000*'[1]LOCH Calc COE Calc'!$C$44)</f>
        <v/>
      </c>
      <c r="S2223" s="6" t="str">
        <f>IF(N2223="","",SUM(O2223:R2223)/('[1]LOCH Calc COE Calc'!$C$28))</f>
        <v/>
      </c>
      <c r="T2223" t="str">
        <f>IF(L2223="","",O2223/'[1]LOCH Calc COE Calc'!$C$28)</f>
        <v/>
      </c>
      <c r="U2223" t="str">
        <f>IF(L2223="","",P2223/'[1]LOCH Calc COE Calc'!$C$28)</f>
        <v/>
      </c>
      <c r="V2223" t="str">
        <f>IF(L2223="","",Q2223/'[1]LOCH Calc COE Calc'!$C$28)</f>
        <v/>
      </c>
      <c r="W2223" t="str">
        <f>IF(L2223="","",R2223/'[1]LOCH Calc COE Calc'!$C$28)</f>
        <v/>
      </c>
    </row>
    <row r="2224" spans="12:23" x14ac:dyDescent="0.25">
      <c r="L2224" s="4" t="str">
        <f>IF('[1]All Data '!BE2229="","",'[1]All Data '!BE2229)</f>
        <v/>
      </c>
      <c r="M2224" t="str">
        <f>IF('[1]All Data '!BF2229="","",'[1]All Data '!BF2229)</f>
        <v/>
      </c>
      <c r="N2224" s="5" t="str">
        <f>IF('[1]All Data '!BB2229="","",'[1]All Data '!BC2229/'[1]All Data '!BH2229)</f>
        <v/>
      </c>
      <c r="O2224" s="5" t="str">
        <f t="shared" si="36"/>
        <v/>
      </c>
      <c r="P2224" s="5" t="str">
        <f>IF(M2224="","",$C$2*(1-L2224)*907.2/0.621371*N2224*[1]Transportation!$M$40)</f>
        <v/>
      </c>
      <c r="Q2224" s="5" t="str">
        <f>IF(L2224="","",IF([1]Inputs_Outputs!$B$5="Herbaceous",(LCA!$E$29*'[1]LOCH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4" s="5" t="str">
        <f>IF(M2224="","",$E$2*1000*'[1]LOCH Calc COE Calc'!$C$44)</f>
        <v/>
      </c>
      <c r="S2224" s="6" t="str">
        <f>IF(N2224="","",SUM(O2224:R2224)/('[1]LOCH Calc COE Calc'!$C$28))</f>
        <v/>
      </c>
      <c r="T2224" t="str">
        <f>IF(L2224="","",O2224/'[1]LOCH Calc COE Calc'!$C$28)</f>
        <v/>
      </c>
      <c r="U2224" t="str">
        <f>IF(L2224="","",P2224/'[1]LOCH Calc COE Calc'!$C$28)</f>
        <v/>
      </c>
      <c r="V2224" t="str">
        <f>IF(L2224="","",Q2224/'[1]LOCH Calc COE Calc'!$C$28)</f>
        <v/>
      </c>
      <c r="W2224" t="str">
        <f>IF(L2224="","",R2224/'[1]LOCH Calc COE Calc'!$C$28)</f>
        <v/>
      </c>
    </row>
    <row r="2225" spans="12:23" x14ac:dyDescent="0.25">
      <c r="L2225" s="4" t="str">
        <f>IF('[1]All Data '!BE2230="","",'[1]All Data '!BE2230)</f>
        <v/>
      </c>
      <c r="M2225" t="str">
        <f>IF('[1]All Data '!BF2230="","",'[1]All Data '!BF2230)</f>
        <v/>
      </c>
      <c r="N2225" s="5" t="str">
        <f>IF('[1]All Data '!BB2230="","",'[1]All Data '!BC2230/'[1]All Data '!BH2230)</f>
        <v/>
      </c>
      <c r="O2225" s="5" t="str">
        <f t="shared" si="36"/>
        <v/>
      </c>
      <c r="P2225" s="5" t="str">
        <f>IF(M2225="","",$C$2*(1-L2225)*907.2/0.621371*N2225*[1]Transportation!$M$40)</f>
        <v/>
      </c>
      <c r="Q2225" s="5" t="str">
        <f>IF(L2225="","",IF([1]Inputs_Outputs!$B$5="Herbaceous",(LCA!$E$29*'[1]LOCH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5" s="5" t="str">
        <f>IF(M2225="","",$E$2*1000*'[1]LOCH Calc COE Calc'!$C$44)</f>
        <v/>
      </c>
      <c r="S2225" s="6" t="str">
        <f>IF(N2225="","",SUM(O2225:R2225)/('[1]LOCH Calc COE Calc'!$C$28))</f>
        <v/>
      </c>
      <c r="T2225" t="str">
        <f>IF(L2225="","",O2225/'[1]LOCH Calc COE Calc'!$C$28)</f>
        <v/>
      </c>
      <c r="U2225" t="str">
        <f>IF(L2225="","",P2225/'[1]LOCH Calc COE Calc'!$C$28)</f>
        <v/>
      </c>
      <c r="V2225" t="str">
        <f>IF(L2225="","",Q2225/'[1]LOCH Calc COE Calc'!$C$28)</f>
        <v/>
      </c>
      <c r="W2225" t="str">
        <f>IF(L2225="","",R2225/'[1]LOCH Calc COE Calc'!$C$28)</f>
        <v/>
      </c>
    </row>
    <row r="2226" spans="12:23" x14ac:dyDescent="0.25">
      <c r="L2226" s="4" t="str">
        <f>IF('[1]All Data '!BE2231="","",'[1]All Data '!BE2231)</f>
        <v/>
      </c>
      <c r="M2226" t="str">
        <f>IF('[1]All Data '!BF2231="","",'[1]All Data '!BF2231)</f>
        <v/>
      </c>
      <c r="N2226" s="5" t="str">
        <f>IF('[1]All Data '!BB2231="","",'[1]All Data '!BC2231/'[1]All Data '!BH2231)</f>
        <v/>
      </c>
      <c r="O2226" s="5" t="str">
        <f t="shared" si="36"/>
        <v/>
      </c>
      <c r="P2226" s="5" t="str">
        <f>IF(M2226="","",$C$2*(1-L2226)*907.2/0.621371*N2226*[1]Transportation!$M$40)</f>
        <v/>
      </c>
      <c r="Q2226" s="5" t="str">
        <f>IF(L2226="","",IF([1]Inputs_Outputs!$B$5="Herbaceous",(LCA!$E$29*'[1]LOCH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6" s="5" t="str">
        <f>IF(M2226="","",$E$2*1000*'[1]LOCH Calc COE Calc'!$C$44)</f>
        <v/>
      </c>
      <c r="S2226" s="6" t="str">
        <f>IF(N2226="","",SUM(O2226:R2226)/('[1]LOCH Calc COE Calc'!$C$28))</f>
        <v/>
      </c>
      <c r="T2226" t="str">
        <f>IF(L2226="","",O2226/'[1]LOCH Calc COE Calc'!$C$28)</f>
        <v/>
      </c>
      <c r="U2226" t="str">
        <f>IF(L2226="","",P2226/'[1]LOCH Calc COE Calc'!$C$28)</f>
        <v/>
      </c>
      <c r="V2226" t="str">
        <f>IF(L2226="","",Q2226/'[1]LOCH Calc COE Calc'!$C$28)</f>
        <v/>
      </c>
      <c r="W2226" t="str">
        <f>IF(L2226="","",R2226/'[1]LOCH Calc COE Calc'!$C$28)</f>
        <v/>
      </c>
    </row>
    <row r="2227" spans="12:23" x14ac:dyDescent="0.25">
      <c r="L2227" s="4" t="str">
        <f>IF('[1]All Data '!BE2232="","",'[1]All Data '!BE2232)</f>
        <v/>
      </c>
      <c r="M2227" t="str">
        <f>IF('[1]All Data '!BF2232="","",'[1]All Data '!BF2232)</f>
        <v/>
      </c>
      <c r="N2227" s="5" t="str">
        <f>IF('[1]All Data '!BB2232="","",'[1]All Data '!BC2232/'[1]All Data '!BH2232)</f>
        <v/>
      </c>
      <c r="O2227" s="5" t="str">
        <f t="shared" si="36"/>
        <v/>
      </c>
      <c r="P2227" s="5" t="str">
        <f>IF(M2227="","",$C$2*(1-L2227)*907.2/0.621371*N2227*[1]Transportation!$M$40)</f>
        <v/>
      </c>
      <c r="Q2227" s="5" t="str">
        <f>IF(L2227="","",IF([1]Inputs_Outputs!$B$5="Herbaceous",(LCA!$E$29*'[1]LOCH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7" s="5" t="str">
        <f>IF(M2227="","",$E$2*1000*'[1]LOCH Calc COE Calc'!$C$44)</f>
        <v/>
      </c>
      <c r="S2227" s="6" t="str">
        <f>IF(N2227="","",SUM(O2227:R2227)/('[1]LOCH Calc COE Calc'!$C$28))</f>
        <v/>
      </c>
      <c r="T2227" t="str">
        <f>IF(L2227="","",O2227/'[1]LOCH Calc COE Calc'!$C$28)</f>
        <v/>
      </c>
      <c r="U2227" t="str">
        <f>IF(L2227="","",P2227/'[1]LOCH Calc COE Calc'!$C$28)</f>
        <v/>
      </c>
      <c r="V2227" t="str">
        <f>IF(L2227="","",Q2227/'[1]LOCH Calc COE Calc'!$C$28)</f>
        <v/>
      </c>
      <c r="W2227" t="str">
        <f>IF(L2227="","",R2227/'[1]LOCH Calc COE Calc'!$C$28)</f>
        <v/>
      </c>
    </row>
    <row r="2228" spans="12:23" x14ac:dyDescent="0.25">
      <c r="L2228" s="4" t="str">
        <f>IF('[1]All Data '!BE2233="","",'[1]All Data '!BE2233)</f>
        <v/>
      </c>
      <c r="M2228" t="str">
        <f>IF('[1]All Data '!BF2233="","",'[1]All Data '!BF2233)</f>
        <v/>
      </c>
      <c r="N2228" s="5" t="str">
        <f>IF('[1]All Data '!BB2233="","",'[1]All Data '!BC2233/'[1]All Data '!BH2233)</f>
        <v/>
      </c>
      <c r="O2228" s="5" t="str">
        <f t="shared" si="36"/>
        <v/>
      </c>
      <c r="P2228" s="5" t="str">
        <f>IF(M2228="","",$C$2*(1-L2228)*907.2/0.621371*N2228*[1]Transportation!$M$40)</f>
        <v/>
      </c>
      <c r="Q2228" s="5" t="str">
        <f>IF(L2228="","",IF([1]Inputs_Outputs!$B$5="Herbaceous",(LCA!$E$29*'[1]LOCH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8" s="5" t="str">
        <f>IF(M2228="","",$E$2*1000*'[1]LOCH Calc COE Calc'!$C$44)</f>
        <v/>
      </c>
      <c r="S2228" s="6" t="str">
        <f>IF(N2228="","",SUM(O2228:R2228)/('[1]LOCH Calc COE Calc'!$C$28))</f>
        <v/>
      </c>
      <c r="T2228" t="str">
        <f>IF(L2228="","",O2228/'[1]LOCH Calc COE Calc'!$C$28)</f>
        <v/>
      </c>
      <c r="U2228" t="str">
        <f>IF(L2228="","",P2228/'[1]LOCH Calc COE Calc'!$C$28)</f>
        <v/>
      </c>
      <c r="V2228" t="str">
        <f>IF(L2228="","",Q2228/'[1]LOCH Calc COE Calc'!$C$28)</f>
        <v/>
      </c>
      <c r="W2228" t="str">
        <f>IF(L2228="","",R2228/'[1]LOCH Calc COE Calc'!$C$28)</f>
        <v/>
      </c>
    </row>
    <row r="2229" spans="12:23" x14ac:dyDescent="0.25">
      <c r="L2229" s="4" t="str">
        <f>IF('[1]All Data '!BE2234="","",'[1]All Data '!BE2234)</f>
        <v/>
      </c>
      <c r="M2229" t="str">
        <f>IF('[1]All Data '!BF2234="","",'[1]All Data '!BF2234)</f>
        <v/>
      </c>
      <c r="N2229" s="5" t="str">
        <f>IF('[1]All Data '!BB2234="","",'[1]All Data '!BC2234/'[1]All Data '!BH2234)</f>
        <v/>
      </c>
      <c r="O2229" s="5" t="str">
        <f t="shared" si="36"/>
        <v/>
      </c>
      <c r="P2229" s="5" t="str">
        <f>IF(M2229="","",$C$2*(1-L2229)*907.2/0.621371*N2229*[1]Transportation!$M$40)</f>
        <v/>
      </c>
      <c r="Q2229" s="5" t="str">
        <f>IF(L2229="","",IF([1]Inputs_Outputs!$B$5="Herbaceous",(LCA!$E$29*'[1]LOCH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29" s="5" t="str">
        <f>IF(M2229="","",$E$2*1000*'[1]LOCH Calc COE Calc'!$C$44)</f>
        <v/>
      </c>
      <c r="S2229" s="6" t="str">
        <f>IF(N2229="","",SUM(O2229:R2229)/('[1]LOCH Calc COE Calc'!$C$28))</f>
        <v/>
      </c>
      <c r="T2229" t="str">
        <f>IF(L2229="","",O2229/'[1]LOCH Calc COE Calc'!$C$28)</f>
        <v/>
      </c>
      <c r="U2229" t="str">
        <f>IF(L2229="","",P2229/'[1]LOCH Calc COE Calc'!$C$28)</f>
        <v/>
      </c>
      <c r="V2229" t="str">
        <f>IF(L2229="","",Q2229/'[1]LOCH Calc COE Calc'!$C$28)</f>
        <v/>
      </c>
      <c r="W2229" t="str">
        <f>IF(L2229="","",R2229/'[1]LOCH Calc COE Calc'!$C$28)</f>
        <v/>
      </c>
    </row>
    <row r="2230" spans="12:23" x14ac:dyDescent="0.25">
      <c r="L2230" s="4" t="str">
        <f>IF('[1]All Data '!BE2235="","",'[1]All Data '!BE2235)</f>
        <v/>
      </c>
      <c r="M2230" t="str">
        <f>IF('[1]All Data '!BF2235="","",'[1]All Data '!BF2235)</f>
        <v/>
      </c>
      <c r="N2230" s="5" t="str">
        <f>IF('[1]All Data '!BB2235="","",'[1]All Data '!BC2235/'[1]All Data '!BH2235)</f>
        <v/>
      </c>
      <c r="O2230" s="5" t="str">
        <f t="shared" si="36"/>
        <v/>
      </c>
      <c r="P2230" s="5" t="str">
        <f>IF(M2230="","",$C$2*(1-L2230)*907.2/0.621371*N2230*[1]Transportation!$M$40)</f>
        <v/>
      </c>
      <c r="Q2230" s="5" t="str">
        <f>IF(L2230="","",IF([1]Inputs_Outputs!$B$5="Herbaceous",(LCA!$E$29*'[1]LOCH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0" s="5" t="str">
        <f>IF(M2230="","",$E$2*1000*'[1]LOCH Calc COE Calc'!$C$44)</f>
        <v/>
      </c>
      <c r="S2230" s="6" t="str">
        <f>IF(N2230="","",SUM(O2230:R2230)/('[1]LOCH Calc COE Calc'!$C$28))</f>
        <v/>
      </c>
      <c r="T2230" t="str">
        <f>IF(L2230="","",O2230/'[1]LOCH Calc COE Calc'!$C$28)</f>
        <v/>
      </c>
      <c r="U2230" t="str">
        <f>IF(L2230="","",P2230/'[1]LOCH Calc COE Calc'!$C$28)</f>
        <v/>
      </c>
      <c r="V2230" t="str">
        <f>IF(L2230="","",Q2230/'[1]LOCH Calc COE Calc'!$C$28)</f>
        <v/>
      </c>
      <c r="W2230" t="str">
        <f>IF(L2230="","",R2230/'[1]LOCH Calc COE Calc'!$C$28)</f>
        <v/>
      </c>
    </row>
    <row r="2231" spans="12:23" x14ac:dyDescent="0.25">
      <c r="L2231" s="4" t="str">
        <f>IF('[1]All Data '!BE2236="","",'[1]All Data '!BE2236)</f>
        <v/>
      </c>
      <c r="M2231" t="str">
        <f>IF('[1]All Data '!BF2236="","",'[1]All Data '!BF2236)</f>
        <v/>
      </c>
      <c r="N2231" s="5" t="str">
        <f>IF('[1]All Data '!BB2236="","",'[1]All Data '!BC2236/'[1]All Data '!BH2236)</f>
        <v/>
      </c>
      <c r="O2231" s="5" t="str">
        <f t="shared" si="36"/>
        <v/>
      </c>
      <c r="P2231" s="5" t="str">
        <f>IF(M2231="","",$C$2*(1-L2231)*907.2/0.621371*N2231*[1]Transportation!$M$40)</f>
        <v/>
      </c>
      <c r="Q2231" s="5" t="str">
        <f>IF(L2231="","",IF([1]Inputs_Outputs!$B$5="Herbaceous",(LCA!$E$29*'[1]LOCH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1" s="5" t="str">
        <f>IF(M2231="","",$E$2*1000*'[1]LOCH Calc COE Calc'!$C$44)</f>
        <v/>
      </c>
      <c r="S2231" s="6" t="str">
        <f>IF(N2231="","",SUM(O2231:R2231)/('[1]LOCH Calc COE Calc'!$C$28))</f>
        <v/>
      </c>
      <c r="T2231" t="str">
        <f>IF(L2231="","",O2231/'[1]LOCH Calc COE Calc'!$C$28)</f>
        <v/>
      </c>
      <c r="U2231" t="str">
        <f>IF(L2231="","",P2231/'[1]LOCH Calc COE Calc'!$C$28)</f>
        <v/>
      </c>
      <c r="V2231" t="str">
        <f>IF(L2231="","",Q2231/'[1]LOCH Calc COE Calc'!$C$28)</f>
        <v/>
      </c>
      <c r="W2231" t="str">
        <f>IF(L2231="","",R2231/'[1]LOCH Calc COE Calc'!$C$28)</f>
        <v/>
      </c>
    </row>
    <row r="2232" spans="12:23" x14ac:dyDescent="0.25">
      <c r="L2232" s="4" t="str">
        <f>IF('[1]All Data '!BE2237="","",'[1]All Data '!BE2237)</f>
        <v/>
      </c>
      <c r="M2232" t="str">
        <f>IF('[1]All Data '!BF2237="","",'[1]All Data '!BF2237)</f>
        <v/>
      </c>
      <c r="N2232" s="5" t="str">
        <f>IF('[1]All Data '!BB2237="","",'[1]All Data '!BC2237/'[1]All Data '!BH2237)</f>
        <v/>
      </c>
      <c r="O2232" s="5" t="str">
        <f t="shared" si="36"/>
        <v/>
      </c>
      <c r="P2232" s="5" t="str">
        <f>IF(M2232="","",$C$2*(1-L2232)*907.2/0.621371*N2232*[1]Transportation!$M$40)</f>
        <v/>
      </c>
      <c r="Q2232" s="5" t="str">
        <f>IF(L2232="","",IF([1]Inputs_Outputs!$B$5="Herbaceous",(LCA!$E$29*'[1]LOCH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2" s="5" t="str">
        <f>IF(M2232="","",$E$2*1000*'[1]LOCH Calc COE Calc'!$C$44)</f>
        <v/>
      </c>
      <c r="S2232" s="6" t="str">
        <f>IF(N2232="","",SUM(O2232:R2232)/('[1]LOCH Calc COE Calc'!$C$28))</f>
        <v/>
      </c>
      <c r="T2232" t="str">
        <f>IF(L2232="","",O2232/'[1]LOCH Calc COE Calc'!$C$28)</f>
        <v/>
      </c>
      <c r="U2232" t="str">
        <f>IF(L2232="","",P2232/'[1]LOCH Calc COE Calc'!$C$28)</f>
        <v/>
      </c>
      <c r="V2232" t="str">
        <f>IF(L2232="","",Q2232/'[1]LOCH Calc COE Calc'!$C$28)</f>
        <v/>
      </c>
      <c r="W2232" t="str">
        <f>IF(L2232="","",R2232/'[1]LOCH Calc COE Calc'!$C$28)</f>
        <v/>
      </c>
    </row>
    <row r="2233" spans="12:23" x14ac:dyDescent="0.25">
      <c r="L2233" s="4" t="str">
        <f>IF('[1]All Data '!BE2238="","",'[1]All Data '!BE2238)</f>
        <v/>
      </c>
      <c r="M2233" t="str">
        <f>IF('[1]All Data '!BF2238="","",'[1]All Data '!BF2238)</f>
        <v/>
      </c>
      <c r="N2233" s="5" t="str">
        <f>IF('[1]All Data '!BB2238="","",'[1]All Data '!BC2238/'[1]All Data '!BH2238)</f>
        <v/>
      </c>
      <c r="O2233" s="5" t="str">
        <f t="shared" si="36"/>
        <v/>
      </c>
      <c r="P2233" s="5" t="str">
        <f>IF(M2233="","",$C$2*(1-L2233)*907.2/0.621371*N2233*[1]Transportation!$M$40)</f>
        <v/>
      </c>
      <c r="Q2233" s="5" t="str">
        <f>IF(L2233="","",IF([1]Inputs_Outputs!$B$5="Herbaceous",(LCA!$E$29*'[1]LOCH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3" s="5" t="str">
        <f>IF(M2233="","",$E$2*1000*'[1]LOCH Calc COE Calc'!$C$44)</f>
        <v/>
      </c>
      <c r="S2233" s="6" t="str">
        <f>IF(N2233="","",SUM(O2233:R2233)/('[1]LOCH Calc COE Calc'!$C$28))</f>
        <v/>
      </c>
      <c r="T2233" t="str">
        <f>IF(L2233="","",O2233/'[1]LOCH Calc COE Calc'!$C$28)</f>
        <v/>
      </c>
      <c r="U2233" t="str">
        <f>IF(L2233="","",P2233/'[1]LOCH Calc COE Calc'!$C$28)</f>
        <v/>
      </c>
      <c r="V2233" t="str">
        <f>IF(L2233="","",Q2233/'[1]LOCH Calc COE Calc'!$C$28)</f>
        <v/>
      </c>
      <c r="W2233" t="str">
        <f>IF(L2233="","",R2233/'[1]LOCH Calc COE Calc'!$C$28)</f>
        <v/>
      </c>
    </row>
    <row r="2234" spans="12:23" x14ac:dyDescent="0.25">
      <c r="L2234" s="4" t="str">
        <f>IF('[1]All Data '!BE2239="","",'[1]All Data '!BE2239)</f>
        <v/>
      </c>
      <c r="M2234" t="str">
        <f>IF('[1]All Data '!BF2239="","",'[1]All Data '!BF2239)</f>
        <v/>
      </c>
      <c r="N2234" s="5" t="str">
        <f>IF('[1]All Data '!BB2239="","",'[1]All Data '!BC2239/'[1]All Data '!BH2239)</f>
        <v/>
      </c>
      <c r="O2234" s="5" t="str">
        <f t="shared" si="36"/>
        <v/>
      </c>
      <c r="P2234" s="5" t="str">
        <f>IF(M2234="","",$C$2*(1-L2234)*907.2/0.621371*N2234*[1]Transportation!$M$40)</f>
        <v/>
      </c>
      <c r="Q2234" s="5" t="str">
        <f>IF(L2234="","",IF([1]Inputs_Outputs!$B$5="Herbaceous",(LCA!$E$29*'[1]LOCH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4" s="5" t="str">
        <f>IF(M2234="","",$E$2*1000*'[1]LOCH Calc COE Calc'!$C$44)</f>
        <v/>
      </c>
      <c r="S2234" s="6" t="str">
        <f>IF(N2234="","",SUM(O2234:R2234)/('[1]LOCH Calc COE Calc'!$C$28))</f>
        <v/>
      </c>
      <c r="T2234" t="str">
        <f>IF(L2234="","",O2234/'[1]LOCH Calc COE Calc'!$C$28)</f>
        <v/>
      </c>
      <c r="U2234" t="str">
        <f>IF(L2234="","",P2234/'[1]LOCH Calc COE Calc'!$C$28)</f>
        <v/>
      </c>
      <c r="V2234" t="str">
        <f>IF(L2234="","",Q2234/'[1]LOCH Calc COE Calc'!$C$28)</f>
        <v/>
      </c>
      <c r="W2234" t="str">
        <f>IF(L2234="","",R2234/'[1]LOCH Calc COE Calc'!$C$28)</f>
        <v/>
      </c>
    </row>
    <row r="2235" spans="12:23" x14ac:dyDescent="0.25">
      <c r="L2235" s="4" t="str">
        <f>IF('[1]All Data '!BE2240="","",'[1]All Data '!BE2240)</f>
        <v/>
      </c>
      <c r="M2235" t="str">
        <f>IF('[1]All Data '!BF2240="","",'[1]All Data '!BF2240)</f>
        <v/>
      </c>
      <c r="N2235" s="5" t="str">
        <f>IF('[1]All Data '!BB2240="","",'[1]All Data '!BC2240/'[1]All Data '!BH2240)</f>
        <v/>
      </c>
      <c r="O2235" s="5" t="str">
        <f t="shared" si="36"/>
        <v/>
      </c>
      <c r="P2235" s="5" t="str">
        <f>IF(M2235="","",$C$2*(1-L2235)*907.2/0.621371*N2235*[1]Transportation!$M$40)</f>
        <v/>
      </c>
      <c r="Q2235" s="5" t="str">
        <f>IF(L2235="","",IF([1]Inputs_Outputs!$B$5="Herbaceous",(LCA!$E$29*'[1]LOCH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5" s="5" t="str">
        <f>IF(M2235="","",$E$2*1000*'[1]LOCH Calc COE Calc'!$C$44)</f>
        <v/>
      </c>
      <c r="S2235" s="6" t="str">
        <f>IF(N2235="","",SUM(O2235:R2235)/('[1]LOCH Calc COE Calc'!$C$28))</f>
        <v/>
      </c>
      <c r="T2235" t="str">
        <f>IF(L2235="","",O2235/'[1]LOCH Calc COE Calc'!$C$28)</f>
        <v/>
      </c>
      <c r="U2235" t="str">
        <f>IF(L2235="","",P2235/'[1]LOCH Calc COE Calc'!$C$28)</f>
        <v/>
      </c>
      <c r="V2235" t="str">
        <f>IF(L2235="","",Q2235/'[1]LOCH Calc COE Calc'!$C$28)</f>
        <v/>
      </c>
      <c r="W2235" t="str">
        <f>IF(L2235="","",R2235/'[1]LOCH Calc COE Calc'!$C$28)</f>
        <v/>
      </c>
    </row>
    <row r="2236" spans="12:23" x14ac:dyDescent="0.25">
      <c r="L2236" s="4" t="str">
        <f>IF('[1]All Data '!BE2241="","",'[1]All Data '!BE2241)</f>
        <v/>
      </c>
      <c r="M2236" t="str">
        <f>IF('[1]All Data '!BF2241="","",'[1]All Data '!BF2241)</f>
        <v/>
      </c>
      <c r="N2236" s="5" t="str">
        <f>IF('[1]All Data '!BB2241="","",'[1]All Data '!BC2241/'[1]All Data '!BH2241)</f>
        <v/>
      </c>
      <c r="O2236" s="5" t="str">
        <f t="shared" si="36"/>
        <v/>
      </c>
      <c r="P2236" s="5" t="str">
        <f>IF(M2236="","",$C$2*(1-L2236)*907.2/0.621371*N2236*[1]Transportation!$M$40)</f>
        <v/>
      </c>
      <c r="Q2236" s="5" t="str">
        <f>IF(L2236="","",IF([1]Inputs_Outputs!$B$5="Herbaceous",(LCA!$E$29*'[1]LOCH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6" s="5" t="str">
        <f>IF(M2236="","",$E$2*1000*'[1]LOCH Calc COE Calc'!$C$44)</f>
        <v/>
      </c>
      <c r="S2236" s="6" t="str">
        <f>IF(N2236="","",SUM(O2236:R2236)/('[1]LOCH Calc COE Calc'!$C$28))</f>
        <v/>
      </c>
      <c r="T2236" t="str">
        <f>IF(L2236="","",O2236/'[1]LOCH Calc COE Calc'!$C$28)</f>
        <v/>
      </c>
      <c r="U2236" t="str">
        <f>IF(L2236="","",P2236/'[1]LOCH Calc COE Calc'!$C$28)</f>
        <v/>
      </c>
      <c r="V2236" t="str">
        <f>IF(L2236="","",Q2236/'[1]LOCH Calc COE Calc'!$C$28)</f>
        <v/>
      </c>
      <c r="W2236" t="str">
        <f>IF(L2236="","",R2236/'[1]LOCH Calc COE Calc'!$C$28)</f>
        <v/>
      </c>
    </row>
    <row r="2237" spans="12:23" x14ac:dyDescent="0.25">
      <c r="L2237" s="4" t="str">
        <f>IF('[1]All Data '!BE2242="","",'[1]All Data '!BE2242)</f>
        <v/>
      </c>
      <c r="M2237" t="str">
        <f>IF('[1]All Data '!BF2242="","",'[1]All Data '!BF2242)</f>
        <v/>
      </c>
      <c r="N2237" s="5" t="str">
        <f>IF('[1]All Data '!BB2242="","",'[1]All Data '!BC2242/'[1]All Data '!BH2242)</f>
        <v/>
      </c>
      <c r="O2237" s="5" t="str">
        <f t="shared" si="36"/>
        <v/>
      </c>
      <c r="P2237" s="5" t="str">
        <f>IF(M2237="","",$C$2*(1-L2237)*907.2/0.621371*N2237*[1]Transportation!$M$40)</f>
        <v/>
      </c>
      <c r="Q2237" s="5" t="str">
        <f>IF(L2237="","",IF([1]Inputs_Outputs!$B$5="Herbaceous",(LCA!$E$29*'[1]LOCH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7" s="5" t="str">
        <f>IF(M2237="","",$E$2*1000*'[1]LOCH Calc COE Calc'!$C$44)</f>
        <v/>
      </c>
      <c r="S2237" s="6" t="str">
        <f>IF(N2237="","",SUM(O2237:R2237)/('[1]LOCH Calc COE Calc'!$C$28))</f>
        <v/>
      </c>
      <c r="T2237" t="str">
        <f>IF(L2237="","",O2237/'[1]LOCH Calc COE Calc'!$C$28)</f>
        <v/>
      </c>
      <c r="U2237" t="str">
        <f>IF(L2237="","",P2237/'[1]LOCH Calc COE Calc'!$C$28)</f>
        <v/>
      </c>
      <c r="V2237" t="str">
        <f>IF(L2237="","",Q2237/'[1]LOCH Calc COE Calc'!$C$28)</f>
        <v/>
      </c>
      <c r="W2237" t="str">
        <f>IF(L2237="","",R2237/'[1]LOCH Calc COE Calc'!$C$28)</f>
        <v/>
      </c>
    </row>
    <row r="2238" spans="12:23" x14ac:dyDescent="0.25">
      <c r="L2238" s="4" t="str">
        <f>IF('[1]All Data '!BE2243="","",'[1]All Data '!BE2243)</f>
        <v/>
      </c>
      <c r="M2238" t="str">
        <f>IF('[1]All Data '!BF2243="","",'[1]All Data '!BF2243)</f>
        <v/>
      </c>
      <c r="N2238" s="5" t="str">
        <f>IF('[1]All Data '!BB2243="","",'[1]All Data '!BC2243/'[1]All Data '!BH2243)</f>
        <v/>
      </c>
      <c r="O2238" s="5" t="str">
        <f t="shared" si="36"/>
        <v/>
      </c>
      <c r="P2238" s="5" t="str">
        <f>IF(M2238="","",$C$2*(1-L2238)*907.2/0.621371*N2238*[1]Transportation!$M$40)</f>
        <v/>
      </c>
      <c r="Q2238" s="5" t="str">
        <f>IF(L2238="","",IF([1]Inputs_Outputs!$B$5="Herbaceous",(LCA!$E$29*'[1]LOCH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8" s="5" t="str">
        <f>IF(M2238="","",$E$2*1000*'[1]LOCH Calc COE Calc'!$C$44)</f>
        <v/>
      </c>
      <c r="S2238" s="6" t="str">
        <f>IF(N2238="","",SUM(O2238:R2238)/('[1]LOCH Calc COE Calc'!$C$28))</f>
        <v/>
      </c>
      <c r="T2238" t="str">
        <f>IF(L2238="","",O2238/'[1]LOCH Calc COE Calc'!$C$28)</f>
        <v/>
      </c>
      <c r="U2238" t="str">
        <f>IF(L2238="","",P2238/'[1]LOCH Calc COE Calc'!$C$28)</f>
        <v/>
      </c>
      <c r="V2238" t="str">
        <f>IF(L2238="","",Q2238/'[1]LOCH Calc COE Calc'!$C$28)</f>
        <v/>
      </c>
      <c r="W2238" t="str">
        <f>IF(L2238="","",R2238/'[1]LOCH Calc COE Calc'!$C$28)</f>
        <v/>
      </c>
    </row>
    <row r="2239" spans="12:23" x14ac:dyDescent="0.25">
      <c r="L2239" s="4" t="str">
        <f>IF('[1]All Data '!BE2244="","",'[1]All Data '!BE2244)</f>
        <v/>
      </c>
      <c r="M2239" t="str">
        <f>IF('[1]All Data '!BF2244="","",'[1]All Data '!BF2244)</f>
        <v/>
      </c>
      <c r="N2239" s="5" t="str">
        <f>IF('[1]All Data '!BB2244="","",'[1]All Data '!BC2244/'[1]All Data '!BH2244)</f>
        <v/>
      </c>
      <c r="O2239" s="5" t="str">
        <f t="shared" si="36"/>
        <v/>
      </c>
      <c r="P2239" s="5" t="str">
        <f>IF(M2239="","",$C$2*(1-L2239)*907.2/0.621371*N2239*[1]Transportation!$M$40)</f>
        <v/>
      </c>
      <c r="Q2239" s="5" t="str">
        <f>IF(L2239="","",IF([1]Inputs_Outputs!$B$5="Herbaceous",(LCA!$E$29*'[1]LOCH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39" s="5" t="str">
        <f>IF(M2239="","",$E$2*1000*'[1]LOCH Calc COE Calc'!$C$44)</f>
        <v/>
      </c>
      <c r="S2239" s="6" t="str">
        <f>IF(N2239="","",SUM(O2239:R2239)/('[1]LOCH Calc COE Calc'!$C$28))</f>
        <v/>
      </c>
      <c r="T2239" t="str">
        <f>IF(L2239="","",O2239/'[1]LOCH Calc COE Calc'!$C$28)</f>
        <v/>
      </c>
      <c r="U2239" t="str">
        <f>IF(L2239="","",P2239/'[1]LOCH Calc COE Calc'!$C$28)</f>
        <v/>
      </c>
      <c r="V2239" t="str">
        <f>IF(L2239="","",Q2239/'[1]LOCH Calc COE Calc'!$C$28)</f>
        <v/>
      </c>
      <c r="W2239" t="str">
        <f>IF(L2239="","",R2239/'[1]LOCH Calc COE Calc'!$C$28)</f>
        <v/>
      </c>
    </row>
    <row r="2240" spans="12:23" x14ac:dyDescent="0.25">
      <c r="L2240" s="4" t="str">
        <f>IF('[1]All Data '!BE2245="","",'[1]All Data '!BE2245)</f>
        <v/>
      </c>
      <c r="M2240" t="str">
        <f>IF('[1]All Data '!BF2245="","",'[1]All Data '!BF2245)</f>
        <v/>
      </c>
      <c r="N2240" s="5" t="str">
        <f>IF('[1]All Data '!BB2245="","",'[1]All Data '!BC2245/'[1]All Data '!BH2245)</f>
        <v/>
      </c>
      <c r="O2240" s="5" t="str">
        <f t="shared" si="36"/>
        <v/>
      </c>
      <c r="P2240" s="5" t="str">
        <f>IF(M2240="","",$C$2*(1-L2240)*907.2/0.621371*N2240*[1]Transportation!$M$40)</f>
        <v/>
      </c>
      <c r="Q2240" s="5" t="str">
        <f>IF(L2240="","",IF([1]Inputs_Outputs!$B$5="Herbaceous",(LCA!$E$29*'[1]LOCH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0" s="5" t="str">
        <f>IF(M2240="","",$E$2*1000*'[1]LOCH Calc COE Calc'!$C$44)</f>
        <v/>
      </c>
      <c r="S2240" s="6" t="str">
        <f>IF(N2240="","",SUM(O2240:R2240)/('[1]LOCH Calc COE Calc'!$C$28))</f>
        <v/>
      </c>
      <c r="T2240" t="str">
        <f>IF(L2240="","",O2240/'[1]LOCH Calc COE Calc'!$C$28)</f>
        <v/>
      </c>
      <c r="U2240" t="str">
        <f>IF(L2240="","",P2240/'[1]LOCH Calc COE Calc'!$C$28)</f>
        <v/>
      </c>
      <c r="V2240" t="str">
        <f>IF(L2240="","",Q2240/'[1]LOCH Calc COE Calc'!$C$28)</f>
        <v/>
      </c>
      <c r="W2240" t="str">
        <f>IF(L2240="","",R2240/'[1]LOCH Calc COE Calc'!$C$28)</f>
        <v/>
      </c>
    </row>
    <row r="2241" spans="12:23" x14ac:dyDescent="0.25">
      <c r="L2241" s="4" t="str">
        <f>IF('[1]All Data '!BE2246="","",'[1]All Data '!BE2246)</f>
        <v/>
      </c>
      <c r="M2241" t="str">
        <f>IF('[1]All Data '!BF2246="","",'[1]All Data '!BF2246)</f>
        <v/>
      </c>
      <c r="N2241" s="5" t="str">
        <f>IF('[1]All Data '!BB2246="","",'[1]All Data '!BC2246/'[1]All Data '!BH2246)</f>
        <v/>
      </c>
      <c r="O2241" s="5" t="str">
        <f t="shared" si="36"/>
        <v/>
      </c>
      <c r="P2241" s="5" t="str">
        <f>IF(M2241="","",$C$2*(1-L2241)*907.2/0.621371*N2241*[1]Transportation!$M$40)</f>
        <v/>
      </c>
      <c r="Q2241" s="5" t="str">
        <f>IF(L2241="","",IF([1]Inputs_Outputs!$B$5="Herbaceous",(LCA!$E$29*'[1]LOCH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1" s="5" t="str">
        <f>IF(M2241="","",$E$2*1000*'[1]LOCH Calc COE Calc'!$C$44)</f>
        <v/>
      </c>
      <c r="S2241" s="6" t="str">
        <f>IF(N2241="","",SUM(O2241:R2241)/('[1]LOCH Calc COE Calc'!$C$28))</f>
        <v/>
      </c>
      <c r="T2241" t="str">
        <f>IF(L2241="","",O2241/'[1]LOCH Calc COE Calc'!$C$28)</f>
        <v/>
      </c>
      <c r="U2241" t="str">
        <f>IF(L2241="","",P2241/'[1]LOCH Calc COE Calc'!$C$28)</f>
        <v/>
      </c>
      <c r="V2241" t="str">
        <f>IF(L2241="","",Q2241/'[1]LOCH Calc COE Calc'!$C$28)</f>
        <v/>
      </c>
      <c r="W2241" t="str">
        <f>IF(L2241="","",R2241/'[1]LOCH Calc COE Calc'!$C$28)</f>
        <v/>
      </c>
    </row>
    <row r="2242" spans="12:23" x14ac:dyDescent="0.25">
      <c r="L2242" s="4" t="str">
        <f>IF('[1]All Data '!BE2247="","",'[1]All Data '!BE2247)</f>
        <v/>
      </c>
      <c r="M2242" t="str">
        <f>IF('[1]All Data '!BF2247="","",'[1]All Data '!BF2247)</f>
        <v/>
      </c>
      <c r="N2242" s="5" t="str">
        <f>IF('[1]All Data '!BB2247="","",'[1]All Data '!BC2247/'[1]All Data '!BH2247)</f>
        <v/>
      </c>
      <c r="O2242" s="5" t="str">
        <f t="shared" si="36"/>
        <v/>
      </c>
      <c r="P2242" s="5" t="str">
        <f>IF(M2242="","",$C$2*(1-L2242)*907.2/0.621371*N2242*[1]Transportation!$M$40)</f>
        <v/>
      </c>
      <c r="Q2242" s="5" t="str">
        <f>IF(L2242="","",IF([1]Inputs_Outputs!$B$5="Herbaceous",(LCA!$E$29*'[1]LOCH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2" s="5" t="str">
        <f>IF(M2242="","",$E$2*1000*'[1]LOCH Calc COE Calc'!$C$44)</f>
        <v/>
      </c>
      <c r="S2242" s="6" t="str">
        <f>IF(N2242="","",SUM(O2242:R2242)/('[1]LOCH Calc COE Calc'!$C$28))</f>
        <v/>
      </c>
      <c r="T2242" t="str">
        <f>IF(L2242="","",O2242/'[1]LOCH Calc COE Calc'!$C$28)</f>
        <v/>
      </c>
      <c r="U2242" t="str">
        <f>IF(L2242="","",P2242/'[1]LOCH Calc COE Calc'!$C$28)</f>
        <v/>
      </c>
      <c r="V2242" t="str">
        <f>IF(L2242="","",Q2242/'[1]LOCH Calc COE Calc'!$C$28)</f>
        <v/>
      </c>
      <c r="W2242" t="str">
        <f>IF(L2242="","",R2242/'[1]LOCH Calc COE Calc'!$C$28)</f>
        <v/>
      </c>
    </row>
    <row r="2243" spans="12:23" x14ac:dyDescent="0.25">
      <c r="L2243" s="4" t="str">
        <f>IF('[1]All Data '!BE2248="","",'[1]All Data '!BE2248)</f>
        <v/>
      </c>
      <c r="M2243" t="str">
        <f>IF('[1]All Data '!BF2248="","",'[1]All Data '!BF2248)</f>
        <v/>
      </c>
      <c r="N2243" s="5" t="str">
        <f>IF('[1]All Data '!BB2248="","",'[1]All Data '!BC2248/'[1]All Data '!BH2248)</f>
        <v/>
      </c>
      <c r="O2243" s="5" t="str">
        <f t="shared" si="36"/>
        <v/>
      </c>
      <c r="P2243" s="5" t="str">
        <f>IF(M2243="","",$C$2*(1-L2243)*907.2/0.621371*N2243*[1]Transportation!$M$40)</f>
        <v/>
      </c>
      <c r="Q2243" s="5" t="str">
        <f>IF(L2243="","",IF([1]Inputs_Outputs!$B$5="Herbaceous",(LCA!$E$29*'[1]LOCH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3" s="5" t="str">
        <f>IF(M2243="","",$E$2*1000*'[1]LOCH Calc COE Calc'!$C$44)</f>
        <v/>
      </c>
      <c r="S2243" s="6" t="str">
        <f>IF(N2243="","",SUM(O2243:R2243)/('[1]LOCH Calc COE Calc'!$C$28))</f>
        <v/>
      </c>
      <c r="T2243" t="str">
        <f>IF(L2243="","",O2243/'[1]LOCH Calc COE Calc'!$C$28)</f>
        <v/>
      </c>
      <c r="U2243" t="str">
        <f>IF(L2243="","",P2243/'[1]LOCH Calc COE Calc'!$C$28)</f>
        <v/>
      </c>
      <c r="V2243" t="str">
        <f>IF(L2243="","",Q2243/'[1]LOCH Calc COE Calc'!$C$28)</f>
        <v/>
      </c>
      <c r="W2243" t="str">
        <f>IF(L2243="","",R2243/'[1]LOCH Calc COE Calc'!$C$28)</f>
        <v/>
      </c>
    </row>
    <row r="2244" spans="12:23" x14ac:dyDescent="0.25">
      <c r="L2244" s="4" t="str">
        <f>IF('[1]All Data '!BE2249="","",'[1]All Data '!BE2249)</f>
        <v/>
      </c>
      <c r="M2244" t="str">
        <f>IF('[1]All Data '!BF2249="","",'[1]All Data '!BF2249)</f>
        <v/>
      </c>
      <c r="N2244" s="5" t="str">
        <f>IF('[1]All Data '!BB2249="","",'[1]All Data '!BC2249/'[1]All Data '!BH2249)</f>
        <v/>
      </c>
      <c r="O2244" s="5" t="str">
        <f t="shared" ref="O2244:O2307" si="37">IF(N2244="","",M2244*N2244)</f>
        <v/>
      </c>
      <c r="P2244" s="5" t="str">
        <f>IF(M2244="","",$C$2*(1-L2244)*907.2/0.621371*N2244*[1]Transportation!$M$40)</f>
        <v/>
      </c>
      <c r="Q2244" s="5" t="str">
        <f>IF(L2244="","",IF([1]Inputs_Outputs!$B$5="Herbaceous",(LCA!$E$29*'[1]LOCH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4" s="5" t="str">
        <f>IF(M2244="","",$E$2*1000*'[1]LOCH Calc COE Calc'!$C$44)</f>
        <v/>
      </c>
      <c r="S2244" s="6" t="str">
        <f>IF(N2244="","",SUM(O2244:R2244)/('[1]LOCH Calc COE Calc'!$C$28))</f>
        <v/>
      </c>
      <c r="T2244" t="str">
        <f>IF(L2244="","",O2244/'[1]LOCH Calc COE Calc'!$C$28)</f>
        <v/>
      </c>
      <c r="U2244" t="str">
        <f>IF(L2244="","",P2244/'[1]LOCH Calc COE Calc'!$C$28)</f>
        <v/>
      </c>
      <c r="V2244" t="str">
        <f>IF(L2244="","",Q2244/'[1]LOCH Calc COE Calc'!$C$28)</f>
        <v/>
      </c>
      <c r="W2244" t="str">
        <f>IF(L2244="","",R2244/'[1]LOCH Calc COE Calc'!$C$28)</f>
        <v/>
      </c>
    </row>
    <row r="2245" spans="12:23" x14ac:dyDescent="0.25">
      <c r="L2245" s="4" t="str">
        <f>IF('[1]All Data '!BE2250="","",'[1]All Data '!BE2250)</f>
        <v/>
      </c>
      <c r="M2245" t="str">
        <f>IF('[1]All Data '!BF2250="","",'[1]All Data '!BF2250)</f>
        <v/>
      </c>
      <c r="N2245" s="5" t="str">
        <f>IF('[1]All Data '!BB2250="","",'[1]All Data '!BC2250/'[1]All Data '!BH2250)</f>
        <v/>
      </c>
      <c r="O2245" s="5" t="str">
        <f t="shared" si="37"/>
        <v/>
      </c>
      <c r="P2245" s="5" t="str">
        <f>IF(M2245="","",$C$2*(1-L2245)*907.2/0.621371*N2245*[1]Transportation!$M$40)</f>
        <v/>
      </c>
      <c r="Q2245" s="5" t="str">
        <f>IF(L2245="","",IF([1]Inputs_Outputs!$B$5="Herbaceous",(LCA!$E$29*'[1]LOCH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5" s="5" t="str">
        <f>IF(M2245="","",$E$2*1000*'[1]LOCH Calc COE Calc'!$C$44)</f>
        <v/>
      </c>
      <c r="S2245" s="6" t="str">
        <f>IF(N2245="","",SUM(O2245:R2245)/('[1]LOCH Calc COE Calc'!$C$28))</f>
        <v/>
      </c>
      <c r="T2245" t="str">
        <f>IF(L2245="","",O2245/'[1]LOCH Calc COE Calc'!$C$28)</f>
        <v/>
      </c>
      <c r="U2245" t="str">
        <f>IF(L2245="","",P2245/'[1]LOCH Calc COE Calc'!$C$28)</f>
        <v/>
      </c>
      <c r="V2245" t="str">
        <f>IF(L2245="","",Q2245/'[1]LOCH Calc COE Calc'!$C$28)</f>
        <v/>
      </c>
      <c r="W2245" t="str">
        <f>IF(L2245="","",R2245/'[1]LOCH Calc COE Calc'!$C$28)</f>
        <v/>
      </c>
    </row>
    <row r="2246" spans="12:23" x14ac:dyDescent="0.25">
      <c r="L2246" s="4" t="str">
        <f>IF('[1]All Data '!BE2251="","",'[1]All Data '!BE2251)</f>
        <v/>
      </c>
      <c r="M2246" t="str">
        <f>IF('[1]All Data '!BF2251="","",'[1]All Data '!BF2251)</f>
        <v/>
      </c>
      <c r="N2246" s="5" t="str">
        <f>IF('[1]All Data '!BB2251="","",'[1]All Data '!BC2251/'[1]All Data '!BH2251)</f>
        <v/>
      </c>
      <c r="O2246" s="5" t="str">
        <f t="shared" si="37"/>
        <v/>
      </c>
      <c r="P2246" s="5" t="str">
        <f>IF(M2246="","",$C$2*(1-L2246)*907.2/0.621371*N2246*[1]Transportation!$M$40)</f>
        <v/>
      </c>
      <c r="Q2246" s="5" t="str">
        <f>IF(L2246="","",IF([1]Inputs_Outputs!$B$5="Herbaceous",(LCA!$E$29*'[1]LOCH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6" s="5" t="str">
        <f>IF(M2246="","",$E$2*1000*'[1]LOCH Calc COE Calc'!$C$44)</f>
        <v/>
      </c>
      <c r="S2246" s="6" t="str">
        <f>IF(N2246="","",SUM(O2246:R2246)/('[1]LOCH Calc COE Calc'!$C$28))</f>
        <v/>
      </c>
      <c r="T2246" t="str">
        <f>IF(L2246="","",O2246/'[1]LOCH Calc COE Calc'!$C$28)</f>
        <v/>
      </c>
      <c r="U2246" t="str">
        <f>IF(L2246="","",P2246/'[1]LOCH Calc COE Calc'!$C$28)</f>
        <v/>
      </c>
      <c r="V2246" t="str">
        <f>IF(L2246="","",Q2246/'[1]LOCH Calc COE Calc'!$C$28)</f>
        <v/>
      </c>
      <c r="W2246" t="str">
        <f>IF(L2246="","",R2246/'[1]LOCH Calc COE Calc'!$C$28)</f>
        <v/>
      </c>
    </row>
    <row r="2247" spans="12:23" x14ac:dyDescent="0.25">
      <c r="L2247" s="4" t="str">
        <f>IF('[1]All Data '!BE2252="","",'[1]All Data '!BE2252)</f>
        <v/>
      </c>
      <c r="M2247" t="str">
        <f>IF('[1]All Data '!BF2252="","",'[1]All Data '!BF2252)</f>
        <v/>
      </c>
      <c r="N2247" s="5" t="str">
        <f>IF('[1]All Data '!BB2252="","",'[1]All Data '!BC2252/'[1]All Data '!BH2252)</f>
        <v/>
      </c>
      <c r="O2247" s="5" t="str">
        <f t="shared" si="37"/>
        <v/>
      </c>
      <c r="P2247" s="5" t="str">
        <f>IF(M2247="","",$C$2*(1-L2247)*907.2/0.621371*N2247*[1]Transportation!$M$40)</f>
        <v/>
      </c>
      <c r="Q2247" s="5" t="str">
        <f>IF(L2247="","",IF([1]Inputs_Outputs!$B$5="Herbaceous",(LCA!$E$29*'[1]LOCH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7" s="5" t="str">
        <f>IF(M2247="","",$E$2*1000*'[1]LOCH Calc COE Calc'!$C$44)</f>
        <v/>
      </c>
      <c r="S2247" s="6" t="str">
        <f>IF(N2247="","",SUM(O2247:R2247)/('[1]LOCH Calc COE Calc'!$C$28))</f>
        <v/>
      </c>
      <c r="T2247" t="str">
        <f>IF(L2247="","",O2247/'[1]LOCH Calc COE Calc'!$C$28)</f>
        <v/>
      </c>
      <c r="U2247" t="str">
        <f>IF(L2247="","",P2247/'[1]LOCH Calc COE Calc'!$C$28)</f>
        <v/>
      </c>
      <c r="V2247" t="str">
        <f>IF(L2247="","",Q2247/'[1]LOCH Calc COE Calc'!$C$28)</f>
        <v/>
      </c>
      <c r="W2247" t="str">
        <f>IF(L2247="","",R2247/'[1]LOCH Calc COE Calc'!$C$28)</f>
        <v/>
      </c>
    </row>
    <row r="2248" spans="12:23" x14ac:dyDescent="0.25">
      <c r="L2248" s="4" t="str">
        <f>IF('[1]All Data '!BE2253="","",'[1]All Data '!BE2253)</f>
        <v/>
      </c>
      <c r="M2248" t="str">
        <f>IF('[1]All Data '!BF2253="","",'[1]All Data '!BF2253)</f>
        <v/>
      </c>
      <c r="N2248" s="5" t="str">
        <f>IF('[1]All Data '!BB2253="","",'[1]All Data '!BC2253/'[1]All Data '!BH2253)</f>
        <v/>
      </c>
      <c r="O2248" s="5" t="str">
        <f t="shared" si="37"/>
        <v/>
      </c>
      <c r="P2248" s="5" t="str">
        <f>IF(M2248="","",$C$2*(1-L2248)*907.2/0.621371*N2248*[1]Transportation!$M$40)</f>
        <v/>
      </c>
      <c r="Q2248" s="5" t="str">
        <f>IF(L2248="","",IF([1]Inputs_Outputs!$B$5="Herbaceous",(LCA!$E$29*'[1]LOCH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8" s="5" t="str">
        <f>IF(M2248="","",$E$2*1000*'[1]LOCH Calc COE Calc'!$C$44)</f>
        <v/>
      </c>
      <c r="S2248" s="6" t="str">
        <f>IF(N2248="","",SUM(O2248:R2248)/('[1]LOCH Calc COE Calc'!$C$28))</f>
        <v/>
      </c>
      <c r="T2248" t="str">
        <f>IF(L2248="","",O2248/'[1]LOCH Calc COE Calc'!$C$28)</f>
        <v/>
      </c>
      <c r="U2248" t="str">
        <f>IF(L2248="","",P2248/'[1]LOCH Calc COE Calc'!$C$28)</f>
        <v/>
      </c>
      <c r="V2248" t="str">
        <f>IF(L2248="","",Q2248/'[1]LOCH Calc COE Calc'!$C$28)</f>
        <v/>
      </c>
      <c r="W2248" t="str">
        <f>IF(L2248="","",R2248/'[1]LOCH Calc COE Calc'!$C$28)</f>
        <v/>
      </c>
    </row>
    <row r="2249" spans="12:23" x14ac:dyDescent="0.25">
      <c r="L2249" s="4" t="str">
        <f>IF('[1]All Data '!BE2254="","",'[1]All Data '!BE2254)</f>
        <v/>
      </c>
      <c r="M2249" t="str">
        <f>IF('[1]All Data '!BF2254="","",'[1]All Data '!BF2254)</f>
        <v/>
      </c>
      <c r="N2249" s="5" t="str">
        <f>IF('[1]All Data '!BB2254="","",'[1]All Data '!BC2254/'[1]All Data '!BH2254)</f>
        <v/>
      </c>
      <c r="O2249" s="5" t="str">
        <f t="shared" si="37"/>
        <v/>
      </c>
      <c r="P2249" s="5" t="str">
        <f>IF(M2249="","",$C$2*(1-L2249)*907.2/0.621371*N2249*[1]Transportation!$M$40)</f>
        <v/>
      </c>
      <c r="Q2249" s="5" t="str">
        <f>IF(L2249="","",IF([1]Inputs_Outputs!$B$5="Herbaceous",(LCA!$E$29*'[1]LOCH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49" s="5" t="str">
        <f>IF(M2249="","",$E$2*1000*'[1]LOCH Calc COE Calc'!$C$44)</f>
        <v/>
      </c>
      <c r="S2249" s="6" t="str">
        <f>IF(N2249="","",SUM(O2249:R2249)/('[1]LOCH Calc COE Calc'!$C$28))</f>
        <v/>
      </c>
      <c r="T2249" t="str">
        <f>IF(L2249="","",O2249/'[1]LOCH Calc COE Calc'!$C$28)</f>
        <v/>
      </c>
      <c r="U2249" t="str">
        <f>IF(L2249="","",P2249/'[1]LOCH Calc COE Calc'!$C$28)</f>
        <v/>
      </c>
      <c r="V2249" t="str">
        <f>IF(L2249="","",Q2249/'[1]LOCH Calc COE Calc'!$C$28)</f>
        <v/>
      </c>
      <c r="W2249" t="str">
        <f>IF(L2249="","",R2249/'[1]LOCH Calc COE Calc'!$C$28)</f>
        <v/>
      </c>
    </row>
    <row r="2250" spans="12:23" x14ac:dyDescent="0.25">
      <c r="L2250" s="4" t="str">
        <f>IF('[1]All Data '!BE2255="","",'[1]All Data '!BE2255)</f>
        <v/>
      </c>
      <c r="M2250" t="str">
        <f>IF('[1]All Data '!BF2255="","",'[1]All Data '!BF2255)</f>
        <v/>
      </c>
      <c r="N2250" s="5" t="str">
        <f>IF('[1]All Data '!BB2255="","",'[1]All Data '!BC2255/'[1]All Data '!BH2255)</f>
        <v/>
      </c>
      <c r="O2250" s="5" t="str">
        <f t="shared" si="37"/>
        <v/>
      </c>
      <c r="P2250" s="5" t="str">
        <f>IF(M2250="","",$C$2*(1-L2250)*907.2/0.621371*N2250*[1]Transportation!$M$40)</f>
        <v/>
      </c>
      <c r="Q2250" s="5" t="str">
        <f>IF(L2250="","",IF([1]Inputs_Outputs!$B$5="Herbaceous",(LCA!$E$29*'[1]LOCH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0" s="5" t="str">
        <f>IF(M2250="","",$E$2*1000*'[1]LOCH Calc COE Calc'!$C$44)</f>
        <v/>
      </c>
      <c r="S2250" s="6" t="str">
        <f>IF(N2250="","",SUM(O2250:R2250)/('[1]LOCH Calc COE Calc'!$C$28))</f>
        <v/>
      </c>
      <c r="T2250" t="str">
        <f>IF(L2250="","",O2250/'[1]LOCH Calc COE Calc'!$C$28)</f>
        <v/>
      </c>
      <c r="U2250" t="str">
        <f>IF(L2250="","",P2250/'[1]LOCH Calc COE Calc'!$C$28)</f>
        <v/>
      </c>
      <c r="V2250" t="str">
        <f>IF(L2250="","",Q2250/'[1]LOCH Calc COE Calc'!$C$28)</f>
        <v/>
      </c>
      <c r="W2250" t="str">
        <f>IF(L2250="","",R2250/'[1]LOCH Calc COE Calc'!$C$28)</f>
        <v/>
      </c>
    </row>
    <row r="2251" spans="12:23" x14ac:dyDescent="0.25">
      <c r="L2251" s="4" t="str">
        <f>IF('[1]All Data '!BE2256="","",'[1]All Data '!BE2256)</f>
        <v/>
      </c>
      <c r="M2251" t="str">
        <f>IF('[1]All Data '!BF2256="","",'[1]All Data '!BF2256)</f>
        <v/>
      </c>
      <c r="N2251" s="5" t="str">
        <f>IF('[1]All Data '!BB2256="","",'[1]All Data '!BC2256/'[1]All Data '!BH2256)</f>
        <v/>
      </c>
      <c r="O2251" s="5" t="str">
        <f t="shared" si="37"/>
        <v/>
      </c>
      <c r="P2251" s="5" t="str">
        <f>IF(M2251="","",$C$2*(1-L2251)*907.2/0.621371*N2251*[1]Transportation!$M$40)</f>
        <v/>
      </c>
      <c r="Q2251" s="5" t="str">
        <f>IF(L2251="","",IF([1]Inputs_Outputs!$B$5="Herbaceous",(LCA!$E$29*'[1]LOCH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1" s="5" t="str">
        <f>IF(M2251="","",$E$2*1000*'[1]LOCH Calc COE Calc'!$C$44)</f>
        <v/>
      </c>
      <c r="S2251" s="6" t="str">
        <f>IF(N2251="","",SUM(O2251:R2251)/('[1]LOCH Calc COE Calc'!$C$28))</f>
        <v/>
      </c>
      <c r="T2251" t="str">
        <f>IF(L2251="","",O2251/'[1]LOCH Calc COE Calc'!$C$28)</f>
        <v/>
      </c>
      <c r="U2251" t="str">
        <f>IF(L2251="","",P2251/'[1]LOCH Calc COE Calc'!$C$28)</f>
        <v/>
      </c>
      <c r="V2251" t="str">
        <f>IF(L2251="","",Q2251/'[1]LOCH Calc COE Calc'!$C$28)</f>
        <v/>
      </c>
      <c r="W2251" t="str">
        <f>IF(L2251="","",R2251/'[1]LOCH Calc COE Calc'!$C$28)</f>
        <v/>
      </c>
    </row>
    <row r="2252" spans="12:23" x14ac:dyDescent="0.25">
      <c r="L2252" s="4" t="str">
        <f>IF('[1]All Data '!BE2257="","",'[1]All Data '!BE2257)</f>
        <v/>
      </c>
      <c r="M2252" t="str">
        <f>IF('[1]All Data '!BF2257="","",'[1]All Data '!BF2257)</f>
        <v/>
      </c>
      <c r="N2252" s="5" t="str">
        <f>IF('[1]All Data '!BB2257="","",'[1]All Data '!BC2257/'[1]All Data '!BH2257)</f>
        <v/>
      </c>
      <c r="O2252" s="5" t="str">
        <f t="shared" si="37"/>
        <v/>
      </c>
      <c r="P2252" s="5" t="str">
        <f>IF(M2252="","",$C$2*(1-L2252)*907.2/0.621371*N2252*[1]Transportation!$M$40)</f>
        <v/>
      </c>
      <c r="Q2252" s="5" t="str">
        <f>IF(L2252="","",IF([1]Inputs_Outputs!$B$5="Herbaceous",(LCA!$E$29*'[1]LOCH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2" s="5" t="str">
        <f>IF(M2252="","",$E$2*1000*'[1]LOCH Calc COE Calc'!$C$44)</f>
        <v/>
      </c>
      <c r="S2252" s="6" t="str">
        <f>IF(N2252="","",SUM(O2252:R2252)/('[1]LOCH Calc COE Calc'!$C$28))</f>
        <v/>
      </c>
      <c r="T2252" t="str">
        <f>IF(L2252="","",O2252/'[1]LOCH Calc COE Calc'!$C$28)</f>
        <v/>
      </c>
      <c r="U2252" t="str">
        <f>IF(L2252="","",P2252/'[1]LOCH Calc COE Calc'!$C$28)</f>
        <v/>
      </c>
      <c r="V2252" t="str">
        <f>IF(L2252="","",Q2252/'[1]LOCH Calc COE Calc'!$C$28)</f>
        <v/>
      </c>
      <c r="W2252" t="str">
        <f>IF(L2252="","",R2252/'[1]LOCH Calc COE Calc'!$C$28)</f>
        <v/>
      </c>
    </row>
    <row r="2253" spans="12:23" x14ac:dyDescent="0.25">
      <c r="L2253" s="4" t="str">
        <f>IF('[1]All Data '!BE2258="","",'[1]All Data '!BE2258)</f>
        <v/>
      </c>
      <c r="M2253" t="str">
        <f>IF('[1]All Data '!BF2258="","",'[1]All Data '!BF2258)</f>
        <v/>
      </c>
      <c r="N2253" s="5" t="str">
        <f>IF('[1]All Data '!BB2258="","",'[1]All Data '!BC2258/'[1]All Data '!BH2258)</f>
        <v/>
      </c>
      <c r="O2253" s="5" t="str">
        <f t="shared" si="37"/>
        <v/>
      </c>
      <c r="P2253" s="5" t="str">
        <f>IF(M2253="","",$C$2*(1-L2253)*907.2/0.621371*N2253*[1]Transportation!$M$40)</f>
        <v/>
      </c>
      <c r="Q2253" s="5" t="str">
        <f>IF(L2253="","",IF([1]Inputs_Outputs!$B$5="Herbaceous",(LCA!$E$29*'[1]LOCH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3" s="5" t="str">
        <f>IF(M2253="","",$E$2*1000*'[1]LOCH Calc COE Calc'!$C$44)</f>
        <v/>
      </c>
      <c r="S2253" s="6" t="str">
        <f>IF(N2253="","",SUM(O2253:R2253)/('[1]LOCH Calc COE Calc'!$C$28))</f>
        <v/>
      </c>
      <c r="T2253" t="str">
        <f>IF(L2253="","",O2253/'[1]LOCH Calc COE Calc'!$C$28)</f>
        <v/>
      </c>
      <c r="U2253" t="str">
        <f>IF(L2253="","",P2253/'[1]LOCH Calc COE Calc'!$C$28)</f>
        <v/>
      </c>
      <c r="V2253" t="str">
        <f>IF(L2253="","",Q2253/'[1]LOCH Calc COE Calc'!$C$28)</f>
        <v/>
      </c>
      <c r="W2253" t="str">
        <f>IF(L2253="","",R2253/'[1]LOCH Calc COE Calc'!$C$28)</f>
        <v/>
      </c>
    </row>
    <row r="2254" spans="12:23" x14ac:dyDescent="0.25">
      <c r="L2254" s="4" t="str">
        <f>IF('[1]All Data '!BE2259="","",'[1]All Data '!BE2259)</f>
        <v/>
      </c>
      <c r="M2254" t="str">
        <f>IF('[1]All Data '!BF2259="","",'[1]All Data '!BF2259)</f>
        <v/>
      </c>
      <c r="N2254" s="5" t="str">
        <f>IF('[1]All Data '!BB2259="","",'[1]All Data '!BC2259/'[1]All Data '!BH2259)</f>
        <v/>
      </c>
      <c r="O2254" s="5" t="str">
        <f t="shared" si="37"/>
        <v/>
      </c>
      <c r="P2254" s="5" t="str">
        <f>IF(M2254="","",$C$2*(1-L2254)*907.2/0.621371*N2254*[1]Transportation!$M$40)</f>
        <v/>
      </c>
      <c r="Q2254" s="5" t="str">
        <f>IF(L2254="","",IF([1]Inputs_Outputs!$B$5="Herbaceous",(LCA!$E$29*'[1]LOCH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4" s="5" t="str">
        <f>IF(M2254="","",$E$2*1000*'[1]LOCH Calc COE Calc'!$C$44)</f>
        <v/>
      </c>
      <c r="S2254" s="6" t="str">
        <f>IF(N2254="","",SUM(O2254:R2254)/('[1]LOCH Calc COE Calc'!$C$28))</f>
        <v/>
      </c>
      <c r="T2254" t="str">
        <f>IF(L2254="","",O2254/'[1]LOCH Calc COE Calc'!$C$28)</f>
        <v/>
      </c>
      <c r="U2254" t="str">
        <f>IF(L2254="","",P2254/'[1]LOCH Calc COE Calc'!$C$28)</f>
        <v/>
      </c>
      <c r="V2254" t="str">
        <f>IF(L2254="","",Q2254/'[1]LOCH Calc COE Calc'!$C$28)</f>
        <v/>
      </c>
      <c r="W2254" t="str">
        <f>IF(L2254="","",R2254/'[1]LOCH Calc COE Calc'!$C$28)</f>
        <v/>
      </c>
    </row>
    <row r="2255" spans="12:23" x14ac:dyDescent="0.25">
      <c r="L2255" s="4" t="str">
        <f>IF('[1]All Data '!BE2260="","",'[1]All Data '!BE2260)</f>
        <v/>
      </c>
      <c r="M2255" t="str">
        <f>IF('[1]All Data '!BF2260="","",'[1]All Data '!BF2260)</f>
        <v/>
      </c>
      <c r="N2255" s="5" t="str">
        <f>IF('[1]All Data '!BB2260="","",'[1]All Data '!BC2260/'[1]All Data '!BH2260)</f>
        <v/>
      </c>
      <c r="O2255" s="5" t="str">
        <f t="shared" si="37"/>
        <v/>
      </c>
      <c r="P2255" s="5" t="str">
        <f>IF(M2255="","",$C$2*(1-L2255)*907.2/0.621371*N2255*[1]Transportation!$M$40)</f>
        <v/>
      </c>
      <c r="Q2255" s="5" t="str">
        <f>IF(L2255="","",IF([1]Inputs_Outputs!$B$5="Herbaceous",(LCA!$E$29*'[1]LOCH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5" s="5" t="str">
        <f>IF(M2255="","",$E$2*1000*'[1]LOCH Calc COE Calc'!$C$44)</f>
        <v/>
      </c>
      <c r="S2255" s="6" t="str">
        <f>IF(N2255="","",SUM(O2255:R2255)/('[1]LOCH Calc COE Calc'!$C$28))</f>
        <v/>
      </c>
      <c r="T2255" t="str">
        <f>IF(L2255="","",O2255/'[1]LOCH Calc COE Calc'!$C$28)</f>
        <v/>
      </c>
      <c r="U2255" t="str">
        <f>IF(L2255="","",P2255/'[1]LOCH Calc COE Calc'!$C$28)</f>
        <v/>
      </c>
      <c r="V2255" t="str">
        <f>IF(L2255="","",Q2255/'[1]LOCH Calc COE Calc'!$C$28)</f>
        <v/>
      </c>
      <c r="W2255" t="str">
        <f>IF(L2255="","",R2255/'[1]LOCH Calc COE Calc'!$C$28)</f>
        <v/>
      </c>
    </row>
    <row r="2256" spans="12:23" x14ac:dyDescent="0.25">
      <c r="L2256" s="4" t="str">
        <f>IF('[1]All Data '!BE2261="","",'[1]All Data '!BE2261)</f>
        <v/>
      </c>
      <c r="M2256" t="str">
        <f>IF('[1]All Data '!BF2261="","",'[1]All Data '!BF2261)</f>
        <v/>
      </c>
      <c r="N2256" s="5" t="str">
        <f>IF('[1]All Data '!BB2261="","",'[1]All Data '!BC2261/'[1]All Data '!BH2261)</f>
        <v/>
      </c>
      <c r="O2256" s="5" t="str">
        <f t="shared" si="37"/>
        <v/>
      </c>
      <c r="P2256" s="5" t="str">
        <f>IF(M2256="","",$C$2*(1-L2256)*907.2/0.621371*N2256*[1]Transportation!$M$40)</f>
        <v/>
      </c>
      <c r="Q2256" s="5" t="str">
        <f>IF(L2256="","",IF([1]Inputs_Outputs!$B$5="Herbaceous",(LCA!$E$29*'[1]LOCH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6" s="5" t="str">
        <f>IF(M2256="","",$E$2*1000*'[1]LOCH Calc COE Calc'!$C$44)</f>
        <v/>
      </c>
      <c r="S2256" s="6" t="str">
        <f>IF(N2256="","",SUM(O2256:R2256)/('[1]LOCH Calc COE Calc'!$C$28))</f>
        <v/>
      </c>
      <c r="T2256" t="str">
        <f>IF(L2256="","",O2256/'[1]LOCH Calc COE Calc'!$C$28)</f>
        <v/>
      </c>
      <c r="U2256" t="str">
        <f>IF(L2256="","",P2256/'[1]LOCH Calc COE Calc'!$C$28)</f>
        <v/>
      </c>
      <c r="V2256" t="str">
        <f>IF(L2256="","",Q2256/'[1]LOCH Calc COE Calc'!$C$28)</f>
        <v/>
      </c>
      <c r="W2256" t="str">
        <f>IF(L2256="","",R2256/'[1]LOCH Calc COE Calc'!$C$28)</f>
        <v/>
      </c>
    </row>
    <row r="2257" spans="12:23" x14ac:dyDescent="0.25">
      <c r="L2257" s="4" t="str">
        <f>IF('[1]All Data '!BE2262="","",'[1]All Data '!BE2262)</f>
        <v/>
      </c>
      <c r="M2257" t="str">
        <f>IF('[1]All Data '!BF2262="","",'[1]All Data '!BF2262)</f>
        <v/>
      </c>
      <c r="N2257" s="5" t="str">
        <f>IF('[1]All Data '!BB2262="","",'[1]All Data '!BC2262/'[1]All Data '!BH2262)</f>
        <v/>
      </c>
      <c r="O2257" s="5" t="str">
        <f t="shared" si="37"/>
        <v/>
      </c>
      <c r="P2257" s="5" t="str">
        <f>IF(M2257="","",$C$2*(1-L2257)*907.2/0.621371*N2257*[1]Transportation!$M$40)</f>
        <v/>
      </c>
      <c r="Q2257" s="5" t="str">
        <f>IF(L2257="","",IF([1]Inputs_Outputs!$B$5="Herbaceous",(LCA!$E$29*'[1]LOCH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7" s="5" t="str">
        <f>IF(M2257="","",$E$2*1000*'[1]LOCH Calc COE Calc'!$C$44)</f>
        <v/>
      </c>
      <c r="S2257" s="6" t="str">
        <f>IF(N2257="","",SUM(O2257:R2257)/('[1]LOCH Calc COE Calc'!$C$28))</f>
        <v/>
      </c>
      <c r="T2257" t="str">
        <f>IF(L2257="","",O2257/'[1]LOCH Calc COE Calc'!$C$28)</f>
        <v/>
      </c>
      <c r="U2257" t="str">
        <f>IF(L2257="","",P2257/'[1]LOCH Calc COE Calc'!$C$28)</f>
        <v/>
      </c>
      <c r="V2257" t="str">
        <f>IF(L2257="","",Q2257/'[1]LOCH Calc COE Calc'!$C$28)</f>
        <v/>
      </c>
      <c r="W2257" t="str">
        <f>IF(L2257="","",R2257/'[1]LOCH Calc COE Calc'!$C$28)</f>
        <v/>
      </c>
    </row>
    <row r="2258" spans="12:23" x14ac:dyDescent="0.25">
      <c r="L2258" s="4" t="str">
        <f>IF('[1]All Data '!BE2263="","",'[1]All Data '!BE2263)</f>
        <v/>
      </c>
      <c r="M2258" t="str">
        <f>IF('[1]All Data '!BF2263="","",'[1]All Data '!BF2263)</f>
        <v/>
      </c>
      <c r="N2258" s="5" t="str">
        <f>IF('[1]All Data '!BB2263="","",'[1]All Data '!BC2263/'[1]All Data '!BH2263)</f>
        <v/>
      </c>
      <c r="O2258" s="5" t="str">
        <f t="shared" si="37"/>
        <v/>
      </c>
      <c r="P2258" s="5" t="str">
        <f>IF(M2258="","",$C$2*(1-L2258)*907.2/0.621371*N2258*[1]Transportation!$M$40)</f>
        <v/>
      </c>
      <c r="Q2258" s="5" t="str">
        <f>IF(L2258="","",IF([1]Inputs_Outputs!$B$5="Herbaceous",(LCA!$E$29*'[1]LOCH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8" s="5" t="str">
        <f>IF(M2258="","",$E$2*1000*'[1]LOCH Calc COE Calc'!$C$44)</f>
        <v/>
      </c>
      <c r="S2258" s="6" t="str">
        <f>IF(N2258="","",SUM(O2258:R2258)/('[1]LOCH Calc COE Calc'!$C$28))</f>
        <v/>
      </c>
      <c r="T2258" t="str">
        <f>IF(L2258="","",O2258/'[1]LOCH Calc COE Calc'!$C$28)</f>
        <v/>
      </c>
      <c r="U2258" t="str">
        <f>IF(L2258="","",P2258/'[1]LOCH Calc COE Calc'!$C$28)</f>
        <v/>
      </c>
      <c r="V2258" t="str">
        <f>IF(L2258="","",Q2258/'[1]LOCH Calc COE Calc'!$C$28)</f>
        <v/>
      </c>
      <c r="W2258" t="str">
        <f>IF(L2258="","",R2258/'[1]LOCH Calc COE Calc'!$C$28)</f>
        <v/>
      </c>
    </row>
    <row r="2259" spans="12:23" x14ac:dyDescent="0.25">
      <c r="L2259" s="4" t="str">
        <f>IF('[1]All Data '!BE2264="","",'[1]All Data '!BE2264)</f>
        <v/>
      </c>
      <c r="M2259" t="str">
        <f>IF('[1]All Data '!BF2264="","",'[1]All Data '!BF2264)</f>
        <v/>
      </c>
      <c r="N2259" s="5" t="str">
        <f>IF('[1]All Data '!BB2264="","",'[1]All Data '!BC2264/'[1]All Data '!BH2264)</f>
        <v/>
      </c>
      <c r="O2259" s="5" t="str">
        <f t="shared" si="37"/>
        <v/>
      </c>
      <c r="P2259" s="5" t="str">
        <f>IF(M2259="","",$C$2*(1-L2259)*907.2/0.621371*N2259*[1]Transportation!$M$40)</f>
        <v/>
      </c>
      <c r="Q2259" s="5" t="str">
        <f>IF(L2259="","",IF([1]Inputs_Outputs!$B$5="Herbaceous",(LCA!$E$29*'[1]LOCH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59" s="5" t="str">
        <f>IF(M2259="","",$E$2*1000*'[1]LOCH Calc COE Calc'!$C$44)</f>
        <v/>
      </c>
      <c r="S2259" s="6" t="str">
        <f>IF(N2259="","",SUM(O2259:R2259)/('[1]LOCH Calc COE Calc'!$C$28))</f>
        <v/>
      </c>
      <c r="T2259" t="str">
        <f>IF(L2259="","",O2259/'[1]LOCH Calc COE Calc'!$C$28)</f>
        <v/>
      </c>
      <c r="U2259" t="str">
        <f>IF(L2259="","",P2259/'[1]LOCH Calc COE Calc'!$C$28)</f>
        <v/>
      </c>
      <c r="V2259" t="str">
        <f>IF(L2259="","",Q2259/'[1]LOCH Calc COE Calc'!$C$28)</f>
        <v/>
      </c>
      <c r="W2259" t="str">
        <f>IF(L2259="","",R2259/'[1]LOCH Calc COE Calc'!$C$28)</f>
        <v/>
      </c>
    </row>
    <row r="2260" spans="12:23" x14ac:dyDescent="0.25">
      <c r="L2260" s="4" t="str">
        <f>IF('[1]All Data '!BE2265="","",'[1]All Data '!BE2265)</f>
        <v/>
      </c>
      <c r="M2260" t="str">
        <f>IF('[1]All Data '!BF2265="","",'[1]All Data '!BF2265)</f>
        <v/>
      </c>
      <c r="N2260" s="5" t="str">
        <f>IF('[1]All Data '!BB2265="","",'[1]All Data '!BC2265/'[1]All Data '!BH2265)</f>
        <v/>
      </c>
      <c r="O2260" s="5" t="str">
        <f t="shared" si="37"/>
        <v/>
      </c>
      <c r="P2260" s="5" t="str">
        <f>IF(M2260="","",$C$2*(1-L2260)*907.2/0.621371*N2260*[1]Transportation!$M$40)</f>
        <v/>
      </c>
      <c r="Q2260" s="5" t="str">
        <f>IF(L2260="","",IF([1]Inputs_Outputs!$B$5="Herbaceous",(LCA!$E$29*'[1]LOCH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0" s="5" t="str">
        <f>IF(M2260="","",$E$2*1000*'[1]LOCH Calc COE Calc'!$C$44)</f>
        <v/>
      </c>
      <c r="S2260" s="6" t="str">
        <f>IF(N2260="","",SUM(O2260:R2260)/('[1]LOCH Calc COE Calc'!$C$28))</f>
        <v/>
      </c>
      <c r="T2260" t="str">
        <f>IF(L2260="","",O2260/'[1]LOCH Calc COE Calc'!$C$28)</f>
        <v/>
      </c>
      <c r="U2260" t="str">
        <f>IF(L2260="","",P2260/'[1]LOCH Calc COE Calc'!$C$28)</f>
        <v/>
      </c>
      <c r="V2260" t="str">
        <f>IF(L2260="","",Q2260/'[1]LOCH Calc COE Calc'!$C$28)</f>
        <v/>
      </c>
      <c r="W2260" t="str">
        <f>IF(L2260="","",R2260/'[1]LOCH Calc COE Calc'!$C$28)</f>
        <v/>
      </c>
    </row>
    <row r="2261" spans="12:23" x14ac:dyDescent="0.25">
      <c r="L2261" s="4" t="str">
        <f>IF('[1]All Data '!BE2266="","",'[1]All Data '!BE2266)</f>
        <v/>
      </c>
      <c r="M2261" t="str">
        <f>IF('[1]All Data '!BF2266="","",'[1]All Data '!BF2266)</f>
        <v/>
      </c>
      <c r="N2261" s="5" t="str">
        <f>IF('[1]All Data '!BB2266="","",'[1]All Data '!BC2266/'[1]All Data '!BH2266)</f>
        <v/>
      </c>
      <c r="O2261" s="5" t="str">
        <f t="shared" si="37"/>
        <v/>
      </c>
      <c r="P2261" s="5" t="str">
        <f>IF(M2261="","",$C$2*(1-L2261)*907.2/0.621371*N2261*[1]Transportation!$M$40)</f>
        <v/>
      </c>
      <c r="Q2261" s="5" t="str">
        <f>IF(L2261="","",IF([1]Inputs_Outputs!$B$5="Herbaceous",(LCA!$E$29*'[1]LOCH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1" s="5" t="str">
        <f>IF(M2261="","",$E$2*1000*'[1]LOCH Calc COE Calc'!$C$44)</f>
        <v/>
      </c>
      <c r="S2261" s="6" t="str">
        <f>IF(N2261="","",SUM(O2261:R2261)/('[1]LOCH Calc COE Calc'!$C$28))</f>
        <v/>
      </c>
      <c r="T2261" t="str">
        <f>IF(L2261="","",O2261/'[1]LOCH Calc COE Calc'!$C$28)</f>
        <v/>
      </c>
      <c r="U2261" t="str">
        <f>IF(L2261="","",P2261/'[1]LOCH Calc COE Calc'!$C$28)</f>
        <v/>
      </c>
      <c r="V2261" t="str">
        <f>IF(L2261="","",Q2261/'[1]LOCH Calc COE Calc'!$C$28)</f>
        <v/>
      </c>
      <c r="W2261" t="str">
        <f>IF(L2261="","",R2261/'[1]LOCH Calc COE Calc'!$C$28)</f>
        <v/>
      </c>
    </row>
    <row r="2262" spans="12:23" x14ac:dyDescent="0.25">
      <c r="L2262" s="4" t="str">
        <f>IF('[1]All Data '!BE2267="","",'[1]All Data '!BE2267)</f>
        <v/>
      </c>
      <c r="M2262" t="str">
        <f>IF('[1]All Data '!BF2267="","",'[1]All Data '!BF2267)</f>
        <v/>
      </c>
      <c r="N2262" s="5" t="str">
        <f>IF('[1]All Data '!BB2267="","",'[1]All Data '!BC2267/'[1]All Data '!BH2267)</f>
        <v/>
      </c>
      <c r="O2262" s="5" t="str">
        <f t="shared" si="37"/>
        <v/>
      </c>
      <c r="P2262" s="5" t="str">
        <f>IF(M2262="","",$C$2*(1-L2262)*907.2/0.621371*N2262*[1]Transportation!$M$40)</f>
        <v/>
      </c>
      <c r="Q2262" s="5" t="str">
        <f>IF(L2262="","",IF([1]Inputs_Outputs!$B$5="Herbaceous",(LCA!$E$29*'[1]LOCH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2" s="5" t="str">
        <f>IF(M2262="","",$E$2*1000*'[1]LOCH Calc COE Calc'!$C$44)</f>
        <v/>
      </c>
      <c r="S2262" s="6" t="str">
        <f>IF(N2262="","",SUM(O2262:R2262)/('[1]LOCH Calc COE Calc'!$C$28))</f>
        <v/>
      </c>
      <c r="T2262" t="str">
        <f>IF(L2262="","",O2262/'[1]LOCH Calc COE Calc'!$C$28)</f>
        <v/>
      </c>
      <c r="U2262" t="str">
        <f>IF(L2262="","",P2262/'[1]LOCH Calc COE Calc'!$C$28)</f>
        <v/>
      </c>
      <c r="V2262" t="str">
        <f>IF(L2262="","",Q2262/'[1]LOCH Calc COE Calc'!$C$28)</f>
        <v/>
      </c>
      <c r="W2262" t="str">
        <f>IF(L2262="","",R2262/'[1]LOCH Calc COE Calc'!$C$28)</f>
        <v/>
      </c>
    </row>
    <row r="2263" spans="12:23" x14ac:dyDescent="0.25">
      <c r="L2263" s="4" t="str">
        <f>IF('[1]All Data '!BE2268="","",'[1]All Data '!BE2268)</f>
        <v/>
      </c>
      <c r="M2263" t="str">
        <f>IF('[1]All Data '!BF2268="","",'[1]All Data '!BF2268)</f>
        <v/>
      </c>
      <c r="N2263" s="5" t="str">
        <f>IF('[1]All Data '!BB2268="","",'[1]All Data '!BC2268/'[1]All Data '!BH2268)</f>
        <v/>
      </c>
      <c r="O2263" s="5" t="str">
        <f t="shared" si="37"/>
        <v/>
      </c>
      <c r="P2263" s="5" t="str">
        <f>IF(M2263="","",$C$2*(1-L2263)*907.2/0.621371*N2263*[1]Transportation!$M$40)</f>
        <v/>
      </c>
      <c r="Q2263" s="5" t="str">
        <f>IF(L2263="","",IF([1]Inputs_Outputs!$B$5="Herbaceous",(LCA!$E$29*'[1]LOCH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3" s="5" t="str">
        <f>IF(M2263="","",$E$2*1000*'[1]LOCH Calc COE Calc'!$C$44)</f>
        <v/>
      </c>
      <c r="S2263" s="6" t="str">
        <f>IF(N2263="","",SUM(O2263:R2263)/('[1]LOCH Calc COE Calc'!$C$28))</f>
        <v/>
      </c>
      <c r="T2263" t="str">
        <f>IF(L2263="","",O2263/'[1]LOCH Calc COE Calc'!$C$28)</f>
        <v/>
      </c>
      <c r="U2263" t="str">
        <f>IF(L2263="","",P2263/'[1]LOCH Calc COE Calc'!$C$28)</f>
        <v/>
      </c>
      <c r="V2263" t="str">
        <f>IF(L2263="","",Q2263/'[1]LOCH Calc COE Calc'!$C$28)</f>
        <v/>
      </c>
      <c r="W2263" t="str">
        <f>IF(L2263="","",R2263/'[1]LOCH Calc COE Calc'!$C$28)</f>
        <v/>
      </c>
    </row>
    <row r="2264" spans="12:23" x14ac:dyDescent="0.25">
      <c r="L2264" s="4" t="str">
        <f>IF('[1]All Data '!BE2269="","",'[1]All Data '!BE2269)</f>
        <v/>
      </c>
      <c r="M2264" t="str">
        <f>IF('[1]All Data '!BF2269="","",'[1]All Data '!BF2269)</f>
        <v/>
      </c>
      <c r="N2264" s="5" t="str">
        <f>IF('[1]All Data '!BB2269="","",'[1]All Data '!BC2269/'[1]All Data '!BH2269)</f>
        <v/>
      </c>
      <c r="O2264" s="5" t="str">
        <f t="shared" si="37"/>
        <v/>
      </c>
      <c r="P2264" s="5" t="str">
        <f>IF(M2264="","",$C$2*(1-L2264)*907.2/0.621371*N2264*[1]Transportation!$M$40)</f>
        <v/>
      </c>
      <c r="Q2264" s="5" t="str">
        <f>IF(L2264="","",IF([1]Inputs_Outputs!$B$5="Herbaceous",(LCA!$E$29*'[1]LOCH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4" s="5" t="str">
        <f>IF(M2264="","",$E$2*1000*'[1]LOCH Calc COE Calc'!$C$44)</f>
        <v/>
      </c>
      <c r="S2264" s="6" t="str">
        <f>IF(N2264="","",SUM(O2264:R2264)/('[1]LOCH Calc COE Calc'!$C$28))</f>
        <v/>
      </c>
      <c r="T2264" t="str">
        <f>IF(L2264="","",O2264/'[1]LOCH Calc COE Calc'!$C$28)</f>
        <v/>
      </c>
      <c r="U2264" t="str">
        <f>IF(L2264="","",P2264/'[1]LOCH Calc COE Calc'!$C$28)</f>
        <v/>
      </c>
      <c r="V2264" t="str">
        <f>IF(L2264="","",Q2264/'[1]LOCH Calc COE Calc'!$C$28)</f>
        <v/>
      </c>
      <c r="W2264" t="str">
        <f>IF(L2264="","",R2264/'[1]LOCH Calc COE Calc'!$C$28)</f>
        <v/>
      </c>
    </row>
    <row r="2265" spans="12:23" x14ac:dyDescent="0.25">
      <c r="L2265" s="4" t="str">
        <f>IF('[1]All Data '!BE2270="","",'[1]All Data '!BE2270)</f>
        <v/>
      </c>
      <c r="M2265" t="str">
        <f>IF('[1]All Data '!BF2270="","",'[1]All Data '!BF2270)</f>
        <v/>
      </c>
      <c r="N2265" s="5" t="str">
        <f>IF('[1]All Data '!BB2270="","",'[1]All Data '!BC2270/'[1]All Data '!BH2270)</f>
        <v/>
      </c>
      <c r="O2265" s="5" t="str">
        <f t="shared" si="37"/>
        <v/>
      </c>
      <c r="P2265" s="5" t="str">
        <f>IF(M2265="","",$C$2*(1-L2265)*907.2/0.621371*N2265*[1]Transportation!$M$40)</f>
        <v/>
      </c>
      <c r="Q2265" s="5" t="str">
        <f>IF(L2265="","",IF([1]Inputs_Outputs!$B$5="Herbaceous",(LCA!$E$29*'[1]LOCH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5" s="5" t="str">
        <f>IF(M2265="","",$E$2*1000*'[1]LOCH Calc COE Calc'!$C$44)</f>
        <v/>
      </c>
      <c r="S2265" s="6" t="str">
        <f>IF(N2265="","",SUM(O2265:R2265)/('[1]LOCH Calc COE Calc'!$C$28))</f>
        <v/>
      </c>
      <c r="T2265" t="str">
        <f>IF(L2265="","",O2265/'[1]LOCH Calc COE Calc'!$C$28)</f>
        <v/>
      </c>
      <c r="U2265" t="str">
        <f>IF(L2265="","",P2265/'[1]LOCH Calc COE Calc'!$C$28)</f>
        <v/>
      </c>
      <c r="V2265" t="str">
        <f>IF(L2265="","",Q2265/'[1]LOCH Calc COE Calc'!$C$28)</f>
        <v/>
      </c>
      <c r="W2265" t="str">
        <f>IF(L2265="","",R2265/'[1]LOCH Calc COE Calc'!$C$28)</f>
        <v/>
      </c>
    </row>
    <row r="2266" spans="12:23" x14ac:dyDescent="0.25">
      <c r="L2266" s="4" t="str">
        <f>IF('[1]All Data '!BE2271="","",'[1]All Data '!BE2271)</f>
        <v/>
      </c>
      <c r="M2266" t="str">
        <f>IF('[1]All Data '!BF2271="","",'[1]All Data '!BF2271)</f>
        <v/>
      </c>
      <c r="N2266" s="5" t="str">
        <f>IF('[1]All Data '!BB2271="","",'[1]All Data '!BC2271/'[1]All Data '!BH2271)</f>
        <v/>
      </c>
      <c r="O2266" s="5" t="str">
        <f t="shared" si="37"/>
        <v/>
      </c>
      <c r="P2266" s="5" t="str">
        <f>IF(M2266="","",$C$2*(1-L2266)*907.2/0.621371*N2266*[1]Transportation!$M$40)</f>
        <v/>
      </c>
      <c r="Q2266" s="5" t="str">
        <f>IF(L2266="","",IF([1]Inputs_Outputs!$B$5="Herbaceous",(LCA!$E$29*'[1]LOCH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6" s="5" t="str">
        <f>IF(M2266="","",$E$2*1000*'[1]LOCH Calc COE Calc'!$C$44)</f>
        <v/>
      </c>
      <c r="S2266" s="6" t="str">
        <f>IF(N2266="","",SUM(O2266:R2266)/('[1]LOCH Calc COE Calc'!$C$28))</f>
        <v/>
      </c>
      <c r="T2266" t="str">
        <f>IF(L2266="","",O2266/'[1]LOCH Calc COE Calc'!$C$28)</f>
        <v/>
      </c>
      <c r="U2266" t="str">
        <f>IF(L2266="","",P2266/'[1]LOCH Calc COE Calc'!$C$28)</f>
        <v/>
      </c>
      <c r="V2266" t="str">
        <f>IF(L2266="","",Q2266/'[1]LOCH Calc COE Calc'!$C$28)</f>
        <v/>
      </c>
      <c r="W2266" t="str">
        <f>IF(L2266="","",R2266/'[1]LOCH Calc COE Calc'!$C$28)</f>
        <v/>
      </c>
    </row>
    <row r="2267" spans="12:23" x14ac:dyDescent="0.25">
      <c r="L2267" s="4" t="str">
        <f>IF('[1]All Data '!BE2272="","",'[1]All Data '!BE2272)</f>
        <v/>
      </c>
      <c r="M2267" t="str">
        <f>IF('[1]All Data '!BF2272="","",'[1]All Data '!BF2272)</f>
        <v/>
      </c>
      <c r="N2267" s="5" t="str">
        <f>IF('[1]All Data '!BB2272="","",'[1]All Data '!BC2272/'[1]All Data '!BH2272)</f>
        <v/>
      </c>
      <c r="O2267" s="5" t="str">
        <f t="shared" si="37"/>
        <v/>
      </c>
      <c r="P2267" s="5" t="str">
        <f>IF(M2267="","",$C$2*(1-L2267)*907.2/0.621371*N2267*[1]Transportation!$M$40)</f>
        <v/>
      </c>
      <c r="Q2267" s="5" t="str">
        <f>IF(L2267="","",IF([1]Inputs_Outputs!$B$5="Herbaceous",(LCA!$E$29*'[1]LOCH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7" s="5" t="str">
        <f>IF(M2267="","",$E$2*1000*'[1]LOCH Calc COE Calc'!$C$44)</f>
        <v/>
      </c>
      <c r="S2267" s="6" t="str">
        <f>IF(N2267="","",SUM(O2267:R2267)/('[1]LOCH Calc COE Calc'!$C$28))</f>
        <v/>
      </c>
      <c r="T2267" t="str">
        <f>IF(L2267="","",O2267/'[1]LOCH Calc COE Calc'!$C$28)</f>
        <v/>
      </c>
      <c r="U2267" t="str">
        <f>IF(L2267="","",P2267/'[1]LOCH Calc COE Calc'!$C$28)</f>
        <v/>
      </c>
      <c r="V2267" t="str">
        <f>IF(L2267="","",Q2267/'[1]LOCH Calc COE Calc'!$C$28)</f>
        <v/>
      </c>
      <c r="W2267" t="str">
        <f>IF(L2267="","",R2267/'[1]LOCH Calc COE Calc'!$C$28)</f>
        <v/>
      </c>
    </row>
    <row r="2268" spans="12:23" x14ac:dyDescent="0.25">
      <c r="L2268" s="4" t="str">
        <f>IF('[1]All Data '!BE2273="","",'[1]All Data '!BE2273)</f>
        <v/>
      </c>
      <c r="M2268" t="str">
        <f>IF('[1]All Data '!BF2273="","",'[1]All Data '!BF2273)</f>
        <v/>
      </c>
      <c r="N2268" s="5" t="str">
        <f>IF('[1]All Data '!BB2273="","",'[1]All Data '!BC2273/'[1]All Data '!BH2273)</f>
        <v/>
      </c>
      <c r="O2268" s="5" t="str">
        <f t="shared" si="37"/>
        <v/>
      </c>
      <c r="P2268" s="5" t="str">
        <f>IF(M2268="","",$C$2*(1-L2268)*907.2/0.621371*N2268*[1]Transportation!$M$40)</f>
        <v/>
      </c>
      <c r="Q2268" s="5" t="str">
        <f>IF(L2268="","",IF([1]Inputs_Outputs!$B$5="Herbaceous",(LCA!$E$29*'[1]LOCH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8" s="5" t="str">
        <f>IF(M2268="","",$E$2*1000*'[1]LOCH Calc COE Calc'!$C$44)</f>
        <v/>
      </c>
      <c r="S2268" s="6" t="str">
        <f>IF(N2268="","",SUM(O2268:R2268)/('[1]LOCH Calc COE Calc'!$C$28))</f>
        <v/>
      </c>
      <c r="T2268" t="str">
        <f>IF(L2268="","",O2268/'[1]LOCH Calc COE Calc'!$C$28)</f>
        <v/>
      </c>
      <c r="U2268" t="str">
        <f>IF(L2268="","",P2268/'[1]LOCH Calc COE Calc'!$C$28)</f>
        <v/>
      </c>
      <c r="V2268" t="str">
        <f>IF(L2268="","",Q2268/'[1]LOCH Calc COE Calc'!$C$28)</f>
        <v/>
      </c>
      <c r="W2268" t="str">
        <f>IF(L2268="","",R2268/'[1]LOCH Calc COE Calc'!$C$28)</f>
        <v/>
      </c>
    </row>
    <row r="2269" spans="12:23" x14ac:dyDescent="0.25">
      <c r="L2269" s="4" t="str">
        <f>IF('[1]All Data '!BE2274="","",'[1]All Data '!BE2274)</f>
        <v/>
      </c>
      <c r="M2269" t="str">
        <f>IF('[1]All Data '!BF2274="","",'[1]All Data '!BF2274)</f>
        <v/>
      </c>
      <c r="N2269" s="5" t="str">
        <f>IF('[1]All Data '!BB2274="","",'[1]All Data '!BC2274/'[1]All Data '!BH2274)</f>
        <v/>
      </c>
      <c r="O2269" s="5" t="str">
        <f t="shared" si="37"/>
        <v/>
      </c>
      <c r="P2269" s="5" t="str">
        <f>IF(M2269="","",$C$2*(1-L2269)*907.2/0.621371*N2269*[1]Transportation!$M$40)</f>
        <v/>
      </c>
      <c r="Q2269" s="5" t="str">
        <f>IF(L2269="","",IF([1]Inputs_Outputs!$B$5="Herbaceous",(LCA!$E$29*'[1]LOCH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69" s="5" t="str">
        <f>IF(M2269="","",$E$2*1000*'[1]LOCH Calc COE Calc'!$C$44)</f>
        <v/>
      </c>
      <c r="S2269" s="6" t="str">
        <f>IF(N2269="","",SUM(O2269:R2269)/('[1]LOCH Calc COE Calc'!$C$28))</f>
        <v/>
      </c>
      <c r="T2269" t="str">
        <f>IF(L2269="","",O2269/'[1]LOCH Calc COE Calc'!$C$28)</f>
        <v/>
      </c>
      <c r="U2269" t="str">
        <f>IF(L2269="","",P2269/'[1]LOCH Calc COE Calc'!$C$28)</f>
        <v/>
      </c>
      <c r="V2269" t="str">
        <f>IF(L2269="","",Q2269/'[1]LOCH Calc COE Calc'!$C$28)</f>
        <v/>
      </c>
      <c r="W2269" t="str">
        <f>IF(L2269="","",R2269/'[1]LOCH Calc COE Calc'!$C$28)</f>
        <v/>
      </c>
    </row>
    <row r="2270" spans="12:23" x14ac:dyDescent="0.25">
      <c r="L2270" s="4" t="str">
        <f>IF('[1]All Data '!BE2275="","",'[1]All Data '!BE2275)</f>
        <v/>
      </c>
      <c r="M2270" t="str">
        <f>IF('[1]All Data '!BF2275="","",'[1]All Data '!BF2275)</f>
        <v/>
      </c>
      <c r="N2270" s="5" t="str">
        <f>IF('[1]All Data '!BB2275="","",'[1]All Data '!BC2275/'[1]All Data '!BH2275)</f>
        <v/>
      </c>
      <c r="O2270" s="5" t="str">
        <f t="shared" si="37"/>
        <v/>
      </c>
      <c r="P2270" s="5" t="str">
        <f>IF(M2270="","",$C$2*(1-L2270)*907.2/0.621371*N2270*[1]Transportation!$M$40)</f>
        <v/>
      </c>
      <c r="Q2270" s="5" t="str">
        <f>IF(L2270="","",IF([1]Inputs_Outputs!$B$5="Herbaceous",(LCA!$E$29*'[1]LOCH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0" s="5" t="str">
        <f>IF(M2270="","",$E$2*1000*'[1]LOCH Calc COE Calc'!$C$44)</f>
        <v/>
      </c>
      <c r="S2270" s="6" t="str">
        <f>IF(N2270="","",SUM(O2270:R2270)/('[1]LOCH Calc COE Calc'!$C$28))</f>
        <v/>
      </c>
      <c r="T2270" t="str">
        <f>IF(L2270="","",O2270/'[1]LOCH Calc COE Calc'!$C$28)</f>
        <v/>
      </c>
      <c r="U2270" t="str">
        <f>IF(L2270="","",P2270/'[1]LOCH Calc COE Calc'!$C$28)</f>
        <v/>
      </c>
      <c r="V2270" t="str">
        <f>IF(L2270="","",Q2270/'[1]LOCH Calc COE Calc'!$C$28)</f>
        <v/>
      </c>
      <c r="W2270" t="str">
        <f>IF(L2270="","",R2270/'[1]LOCH Calc COE Calc'!$C$28)</f>
        <v/>
      </c>
    </row>
    <row r="2271" spans="12:23" x14ac:dyDescent="0.25">
      <c r="L2271" s="4" t="str">
        <f>IF('[1]All Data '!BE2276="","",'[1]All Data '!BE2276)</f>
        <v/>
      </c>
      <c r="M2271" t="str">
        <f>IF('[1]All Data '!BF2276="","",'[1]All Data '!BF2276)</f>
        <v/>
      </c>
      <c r="N2271" s="5" t="str">
        <f>IF('[1]All Data '!BB2276="","",'[1]All Data '!BC2276/'[1]All Data '!BH2276)</f>
        <v/>
      </c>
      <c r="O2271" s="5" t="str">
        <f t="shared" si="37"/>
        <v/>
      </c>
      <c r="P2271" s="5" t="str">
        <f>IF(M2271="","",$C$2*(1-L2271)*907.2/0.621371*N2271*[1]Transportation!$M$40)</f>
        <v/>
      </c>
      <c r="Q2271" s="5" t="str">
        <f>IF(L2271="","",IF([1]Inputs_Outputs!$B$5="Herbaceous",(LCA!$E$29*'[1]LOCH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1" s="5" t="str">
        <f>IF(M2271="","",$E$2*1000*'[1]LOCH Calc COE Calc'!$C$44)</f>
        <v/>
      </c>
      <c r="S2271" s="6" t="str">
        <f>IF(N2271="","",SUM(O2271:R2271)/('[1]LOCH Calc COE Calc'!$C$28))</f>
        <v/>
      </c>
      <c r="T2271" t="str">
        <f>IF(L2271="","",O2271/'[1]LOCH Calc COE Calc'!$C$28)</f>
        <v/>
      </c>
      <c r="U2271" t="str">
        <f>IF(L2271="","",P2271/'[1]LOCH Calc COE Calc'!$C$28)</f>
        <v/>
      </c>
      <c r="V2271" t="str">
        <f>IF(L2271="","",Q2271/'[1]LOCH Calc COE Calc'!$C$28)</f>
        <v/>
      </c>
      <c r="W2271" t="str">
        <f>IF(L2271="","",R2271/'[1]LOCH Calc COE Calc'!$C$28)</f>
        <v/>
      </c>
    </row>
    <row r="2272" spans="12:23" x14ac:dyDescent="0.25">
      <c r="L2272" s="4" t="str">
        <f>IF('[1]All Data '!BE2277="","",'[1]All Data '!BE2277)</f>
        <v/>
      </c>
      <c r="M2272" t="str">
        <f>IF('[1]All Data '!BF2277="","",'[1]All Data '!BF2277)</f>
        <v/>
      </c>
      <c r="N2272" s="5" t="str">
        <f>IF('[1]All Data '!BB2277="","",'[1]All Data '!BC2277/'[1]All Data '!BH2277)</f>
        <v/>
      </c>
      <c r="O2272" s="5" t="str">
        <f t="shared" si="37"/>
        <v/>
      </c>
      <c r="P2272" s="5" t="str">
        <f>IF(M2272="","",$C$2*(1-L2272)*907.2/0.621371*N2272*[1]Transportation!$M$40)</f>
        <v/>
      </c>
      <c r="Q2272" s="5" t="str">
        <f>IF(L2272="","",IF([1]Inputs_Outputs!$B$5="Herbaceous",(LCA!$E$29*'[1]LOCH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2" s="5" t="str">
        <f>IF(M2272="","",$E$2*1000*'[1]LOCH Calc COE Calc'!$C$44)</f>
        <v/>
      </c>
      <c r="S2272" s="6" t="str">
        <f>IF(N2272="","",SUM(O2272:R2272)/('[1]LOCH Calc COE Calc'!$C$28))</f>
        <v/>
      </c>
      <c r="T2272" t="str">
        <f>IF(L2272="","",O2272/'[1]LOCH Calc COE Calc'!$C$28)</f>
        <v/>
      </c>
      <c r="U2272" t="str">
        <f>IF(L2272="","",P2272/'[1]LOCH Calc COE Calc'!$C$28)</f>
        <v/>
      </c>
      <c r="V2272" t="str">
        <f>IF(L2272="","",Q2272/'[1]LOCH Calc COE Calc'!$C$28)</f>
        <v/>
      </c>
      <c r="W2272" t="str">
        <f>IF(L2272="","",R2272/'[1]LOCH Calc COE Calc'!$C$28)</f>
        <v/>
      </c>
    </row>
    <row r="2273" spans="12:23" x14ac:dyDescent="0.25">
      <c r="L2273" s="4" t="str">
        <f>IF('[1]All Data '!BE2278="","",'[1]All Data '!BE2278)</f>
        <v/>
      </c>
      <c r="M2273" t="str">
        <f>IF('[1]All Data '!BF2278="","",'[1]All Data '!BF2278)</f>
        <v/>
      </c>
      <c r="N2273" s="5" t="str">
        <f>IF('[1]All Data '!BB2278="","",'[1]All Data '!BC2278/'[1]All Data '!BH2278)</f>
        <v/>
      </c>
      <c r="O2273" s="5" t="str">
        <f t="shared" si="37"/>
        <v/>
      </c>
      <c r="P2273" s="5" t="str">
        <f>IF(M2273="","",$C$2*(1-L2273)*907.2/0.621371*N2273*[1]Transportation!$M$40)</f>
        <v/>
      </c>
      <c r="Q2273" s="5" t="str">
        <f>IF(L2273="","",IF([1]Inputs_Outputs!$B$5="Herbaceous",(LCA!$E$29*'[1]LOCH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3" s="5" t="str">
        <f>IF(M2273="","",$E$2*1000*'[1]LOCH Calc COE Calc'!$C$44)</f>
        <v/>
      </c>
      <c r="S2273" s="6" t="str">
        <f>IF(N2273="","",SUM(O2273:R2273)/('[1]LOCH Calc COE Calc'!$C$28))</f>
        <v/>
      </c>
      <c r="T2273" t="str">
        <f>IF(L2273="","",O2273/'[1]LOCH Calc COE Calc'!$C$28)</f>
        <v/>
      </c>
      <c r="U2273" t="str">
        <f>IF(L2273="","",P2273/'[1]LOCH Calc COE Calc'!$C$28)</f>
        <v/>
      </c>
      <c r="V2273" t="str">
        <f>IF(L2273="","",Q2273/'[1]LOCH Calc COE Calc'!$C$28)</f>
        <v/>
      </c>
      <c r="W2273" t="str">
        <f>IF(L2273="","",R2273/'[1]LOCH Calc COE Calc'!$C$28)</f>
        <v/>
      </c>
    </row>
    <row r="2274" spans="12:23" x14ac:dyDescent="0.25">
      <c r="L2274" s="4" t="str">
        <f>IF('[1]All Data '!BE2279="","",'[1]All Data '!BE2279)</f>
        <v/>
      </c>
      <c r="M2274" t="str">
        <f>IF('[1]All Data '!BF2279="","",'[1]All Data '!BF2279)</f>
        <v/>
      </c>
      <c r="N2274" s="5" t="str">
        <f>IF('[1]All Data '!BB2279="","",'[1]All Data '!BC2279/'[1]All Data '!BH2279)</f>
        <v/>
      </c>
      <c r="O2274" s="5" t="str">
        <f t="shared" si="37"/>
        <v/>
      </c>
      <c r="P2274" s="5" t="str">
        <f>IF(M2274="","",$C$2*(1-L2274)*907.2/0.621371*N2274*[1]Transportation!$M$40)</f>
        <v/>
      </c>
      <c r="Q2274" s="5" t="str">
        <f>IF(L2274="","",IF([1]Inputs_Outputs!$B$5="Herbaceous",(LCA!$E$29*'[1]LOCH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4" s="5" t="str">
        <f>IF(M2274="","",$E$2*1000*'[1]LOCH Calc COE Calc'!$C$44)</f>
        <v/>
      </c>
      <c r="S2274" s="6" t="str">
        <f>IF(N2274="","",SUM(O2274:R2274)/('[1]LOCH Calc COE Calc'!$C$28))</f>
        <v/>
      </c>
      <c r="T2274" t="str">
        <f>IF(L2274="","",O2274/'[1]LOCH Calc COE Calc'!$C$28)</f>
        <v/>
      </c>
      <c r="U2274" t="str">
        <f>IF(L2274="","",P2274/'[1]LOCH Calc COE Calc'!$C$28)</f>
        <v/>
      </c>
      <c r="V2274" t="str">
        <f>IF(L2274="","",Q2274/'[1]LOCH Calc COE Calc'!$C$28)</f>
        <v/>
      </c>
      <c r="W2274" t="str">
        <f>IF(L2274="","",R2274/'[1]LOCH Calc COE Calc'!$C$28)</f>
        <v/>
      </c>
    </row>
    <row r="2275" spans="12:23" x14ac:dyDescent="0.25">
      <c r="L2275" s="4" t="str">
        <f>IF('[1]All Data '!BE2280="","",'[1]All Data '!BE2280)</f>
        <v/>
      </c>
      <c r="M2275" t="str">
        <f>IF('[1]All Data '!BF2280="","",'[1]All Data '!BF2280)</f>
        <v/>
      </c>
      <c r="N2275" s="5" t="str">
        <f>IF('[1]All Data '!BB2280="","",'[1]All Data '!BC2280/'[1]All Data '!BH2280)</f>
        <v/>
      </c>
      <c r="O2275" s="5" t="str">
        <f t="shared" si="37"/>
        <v/>
      </c>
      <c r="P2275" s="5" t="str">
        <f>IF(M2275="","",$C$2*(1-L2275)*907.2/0.621371*N2275*[1]Transportation!$M$40)</f>
        <v/>
      </c>
      <c r="Q2275" s="5" t="str">
        <f>IF(L2275="","",IF([1]Inputs_Outputs!$B$5="Herbaceous",(LCA!$E$29*'[1]LOCH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5" s="5" t="str">
        <f>IF(M2275="","",$E$2*1000*'[1]LOCH Calc COE Calc'!$C$44)</f>
        <v/>
      </c>
      <c r="S2275" s="6" t="str">
        <f>IF(N2275="","",SUM(O2275:R2275)/('[1]LOCH Calc COE Calc'!$C$28))</f>
        <v/>
      </c>
      <c r="T2275" t="str">
        <f>IF(L2275="","",O2275/'[1]LOCH Calc COE Calc'!$C$28)</f>
        <v/>
      </c>
      <c r="U2275" t="str">
        <f>IF(L2275="","",P2275/'[1]LOCH Calc COE Calc'!$C$28)</f>
        <v/>
      </c>
      <c r="V2275" t="str">
        <f>IF(L2275="","",Q2275/'[1]LOCH Calc COE Calc'!$C$28)</f>
        <v/>
      </c>
      <c r="W2275" t="str">
        <f>IF(L2275="","",R2275/'[1]LOCH Calc COE Calc'!$C$28)</f>
        <v/>
      </c>
    </row>
    <row r="2276" spans="12:23" x14ac:dyDescent="0.25">
      <c r="L2276" s="4" t="str">
        <f>IF('[1]All Data '!BE2281="","",'[1]All Data '!BE2281)</f>
        <v/>
      </c>
      <c r="M2276" t="str">
        <f>IF('[1]All Data '!BF2281="","",'[1]All Data '!BF2281)</f>
        <v/>
      </c>
      <c r="N2276" s="5" t="str">
        <f>IF('[1]All Data '!BB2281="","",'[1]All Data '!BC2281/'[1]All Data '!BH2281)</f>
        <v/>
      </c>
      <c r="O2276" s="5" t="str">
        <f t="shared" si="37"/>
        <v/>
      </c>
      <c r="P2276" s="5" t="str">
        <f>IF(M2276="","",$C$2*(1-L2276)*907.2/0.621371*N2276*[1]Transportation!$M$40)</f>
        <v/>
      </c>
      <c r="Q2276" s="5" t="str">
        <f>IF(L2276="","",IF([1]Inputs_Outputs!$B$5="Herbaceous",(LCA!$E$29*'[1]LOCH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6" s="5" t="str">
        <f>IF(M2276="","",$E$2*1000*'[1]LOCH Calc COE Calc'!$C$44)</f>
        <v/>
      </c>
      <c r="S2276" s="6" t="str">
        <f>IF(N2276="","",SUM(O2276:R2276)/('[1]LOCH Calc COE Calc'!$C$28))</f>
        <v/>
      </c>
      <c r="T2276" t="str">
        <f>IF(L2276="","",O2276/'[1]LOCH Calc COE Calc'!$C$28)</f>
        <v/>
      </c>
      <c r="U2276" t="str">
        <f>IF(L2276="","",P2276/'[1]LOCH Calc COE Calc'!$C$28)</f>
        <v/>
      </c>
      <c r="V2276" t="str">
        <f>IF(L2276="","",Q2276/'[1]LOCH Calc COE Calc'!$C$28)</f>
        <v/>
      </c>
      <c r="W2276" t="str">
        <f>IF(L2276="","",R2276/'[1]LOCH Calc COE Calc'!$C$28)</f>
        <v/>
      </c>
    </row>
    <row r="2277" spans="12:23" x14ac:dyDescent="0.25">
      <c r="L2277" s="4" t="str">
        <f>IF('[1]All Data '!BE2282="","",'[1]All Data '!BE2282)</f>
        <v/>
      </c>
      <c r="M2277" t="str">
        <f>IF('[1]All Data '!BF2282="","",'[1]All Data '!BF2282)</f>
        <v/>
      </c>
      <c r="N2277" s="5" t="str">
        <f>IF('[1]All Data '!BB2282="","",'[1]All Data '!BC2282/'[1]All Data '!BH2282)</f>
        <v/>
      </c>
      <c r="O2277" s="5" t="str">
        <f t="shared" si="37"/>
        <v/>
      </c>
      <c r="P2277" s="5" t="str">
        <f>IF(M2277="","",$C$2*(1-L2277)*907.2/0.621371*N2277*[1]Transportation!$M$40)</f>
        <v/>
      </c>
      <c r="Q2277" s="5" t="str">
        <f>IF(L2277="","",IF([1]Inputs_Outputs!$B$5="Herbaceous",(LCA!$E$29*'[1]LOCH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7" s="5" t="str">
        <f>IF(M2277="","",$E$2*1000*'[1]LOCH Calc COE Calc'!$C$44)</f>
        <v/>
      </c>
      <c r="S2277" s="6" t="str">
        <f>IF(N2277="","",SUM(O2277:R2277)/('[1]LOCH Calc COE Calc'!$C$28))</f>
        <v/>
      </c>
      <c r="T2277" t="str">
        <f>IF(L2277="","",O2277/'[1]LOCH Calc COE Calc'!$C$28)</f>
        <v/>
      </c>
      <c r="U2277" t="str">
        <f>IF(L2277="","",P2277/'[1]LOCH Calc COE Calc'!$C$28)</f>
        <v/>
      </c>
      <c r="V2277" t="str">
        <f>IF(L2277="","",Q2277/'[1]LOCH Calc COE Calc'!$C$28)</f>
        <v/>
      </c>
      <c r="W2277" t="str">
        <f>IF(L2277="","",R2277/'[1]LOCH Calc COE Calc'!$C$28)</f>
        <v/>
      </c>
    </row>
    <row r="2278" spans="12:23" x14ac:dyDescent="0.25">
      <c r="L2278" s="4" t="str">
        <f>IF('[1]All Data '!BE2283="","",'[1]All Data '!BE2283)</f>
        <v/>
      </c>
      <c r="M2278" t="str">
        <f>IF('[1]All Data '!BF2283="","",'[1]All Data '!BF2283)</f>
        <v/>
      </c>
      <c r="N2278" s="5" t="str">
        <f>IF('[1]All Data '!BB2283="","",'[1]All Data '!BC2283/'[1]All Data '!BH2283)</f>
        <v/>
      </c>
      <c r="O2278" s="5" t="str">
        <f t="shared" si="37"/>
        <v/>
      </c>
      <c r="P2278" s="5" t="str">
        <f>IF(M2278="","",$C$2*(1-L2278)*907.2/0.621371*N2278*[1]Transportation!$M$40)</f>
        <v/>
      </c>
      <c r="Q2278" s="5" t="str">
        <f>IF(L2278="","",IF([1]Inputs_Outputs!$B$5="Herbaceous",(LCA!$E$29*'[1]LOCH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8" s="5" t="str">
        <f>IF(M2278="","",$E$2*1000*'[1]LOCH Calc COE Calc'!$C$44)</f>
        <v/>
      </c>
      <c r="S2278" s="6" t="str">
        <f>IF(N2278="","",SUM(O2278:R2278)/('[1]LOCH Calc COE Calc'!$C$28))</f>
        <v/>
      </c>
      <c r="T2278" t="str">
        <f>IF(L2278="","",O2278/'[1]LOCH Calc COE Calc'!$C$28)</f>
        <v/>
      </c>
      <c r="U2278" t="str">
        <f>IF(L2278="","",P2278/'[1]LOCH Calc COE Calc'!$C$28)</f>
        <v/>
      </c>
      <c r="V2278" t="str">
        <f>IF(L2278="","",Q2278/'[1]LOCH Calc COE Calc'!$C$28)</f>
        <v/>
      </c>
      <c r="W2278" t="str">
        <f>IF(L2278="","",R2278/'[1]LOCH Calc COE Calc'!$C$28)</f>
        <v/>
      </c>
    </row>
    <row r="2279" spans="12:23" x14ac:dyDescent="0.25">
      <c r="L2279" s="4" t="str">
        <f>IF('[1]All Data '!BE2284="","",'[1]All Data '!BE2284)</f>
        <v/>
      </c>
      <c r="M2279" t="str">
        <f>IF('[1]All Data '!BF2284="","",'[1]All Data '!BF2284)</f>
        <v/>
      </c>
      <c r="N2279" s="5" t="str">
        <f>IF('[1]All Data '!BB2284="","",'[1]All Data '!BC2284/'[1]All Data '!BH2284)</f>
        <v/>
      </c>
      <c r="O2279" s="5" t="str">
        <f t="shared" si="37"/>
        <v/>
      </c>
      <c r="P2279" s="5" t="str">
        <f>IF(M2279="","",$C$2*(1-L2279)*907.2/0.621371*N2279*[1]Transportation!$M$40)</f>
        <v/>
      </c>
      <c r="Q2279" s="5" t="str">
        <f>IF(L2279="","",IF([1]Inputs_Outputs!$B$5="Herbaceous",(LCA!$E$29*'[1]LOCH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79" s="5" t="str">
        <f>IF(M2279="","",$E$2*1000*'[1]LOCH Calc COE Calc'!$C$44)</f>
        <v/>
      </c>
      <c r="S2279" s="6" t="str">
        <f>IF(N2279="","",SUM(O2279:R2279)/('[1]LOCH Calc COE Calc'!$C$28))</f>
        <v/>
      </c>
      <c r="T2279" t="str">
        <f>IF(L2279="","",O2279/'[1]LOCH Calc COE Calc'!$C$28)</f>
        <v/>
      </c>
      <c r="U2279" t="str">
        <f>IF(L2279="","",P2279/'[1]LOCH Calc COE Calc'!$C$28)</f>
        <v/>
      </c>
      <c r="V2279" t="str">
        <f>IF(L2279="","",Q2279/'[1]LOCH Calc COE Calc'!$C$28)</f>
        <v/>
      </c>
      <c r="W2279" t="str">
        <f>IF(L2279="","",R2279/'[1]LOCH Calc COE Calc'!$C$28)</f>
        <v/>
      </c>
    </row>
    <row r="2280" spans="12:23" x14ac:dyDescent="0.25">
      <c r="L2280" s="4" t="str">
        <f>IF('[1]All Data '!BE2285="","",'[1]All Data '!BE2285)</f>
        <v/>
      </c>
      <c r="M2280" t="str">
        <f>IF('[1]All Data '!BF2285="","",'[1]All Data '!BF2285)</f>
        <v/>
      </c>
      <c r="N2280" s="5" t="str">
        <f>IF('[1]All Data '!BB2285="","",'[1]All Data '!BC2285/'[1]All Data '!BH2285)</f>
        <v/>
      </c>
      <c r="O2280" s="5" t="str">
        <f t="shared" si="37"/>
        <v/>
      </c>
      <c r="P2280" s="5" t="str">
        <f>IF(M2280="","",$C$2*(1-L2280)*907.2/0.621371*N2280*[1]Transportation!$M$40)</f>
        <v/>
      </c>
      <c r="Q2280" s="5" t="str">
        <f>IF(L2280="","",IF([1]Inputs_Outputs!$B$5="Herbaceous",(LCA!$E$29*'[1]LOCH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0" s="5" t="str">
        <f>IF(M2280="","",$E$2*1000*'[1]LOCH Calc COE Calc'!$C$44)</f>
        <v/>
      </c>
      <c r="S2280" s="6" t="str">
        <f>IF(N2280="","",SUM(O2280:R2280)/('[1]LOCH Calc COE Calc'!$C$28))</f>
        <v/>
      </c>
      <c r="T2280" t="str">
        <f>IF(L2280="","",O2280/'[1]LOCH Calc COE Calc'!$C$28)</f>
        <v/>
      </c>
      <c r="U2280" t="str">
        <f>IF(L2280="","",P2280/'[1]LOCH Calc COE Calc'!$C$28)</f>
        <v/>
      </c>
      <c r="V2280" t="str">
        <f>IF(L2280="","",Q2280/'[1]LOCH Calc COE Calc'!$C$28)</f>
        <v/>
      </c>
      <c r="W2280" t="str">
        <f>IF(L2280="","",R2280/'[1]LOCH Calc COE Calc'!$C$28)</f>
        <v/>
      </c>
    </row>
    <row r="2281" spans="12:23" x14ac:dyDescent="0.25">
      <c r="L2281" s="4" t="str">
        <f>IF('[1]All Data '!BE2286="","",'[1]All Data '!BE2286)</f>
        <v/>
      </c>
      <c r="M2281" t="str">
        <f>IF('[1]All Data '!BF2286="","",'[1]All Data '!BF2286)</f>
        <v/>
      </c>
      <c r="N2281" s="5" t="str">
        <f>IF('[1]All Data '!BB2286="","",'[1]All Data '!BC2286/'[1]All Data '!BH2286)</f>
        <v/>
      </c>
      <c r="O2281" s="5" t="str">
        <f t="shared" si="37"/>
        <v/>
      </c>
      <c r="P2281" s="5" t="str">
        <f>IF(M2281="","",$C$2*(1-L2281)*907.2/0.621371*N2281*[1]Transportation!$M$40)</f>
        <v/>
      </c>
      <c r="Q2281" s="5" t="str">
        <f>IF(L2281="","",IF([1]Inputs_Outputs!$B$5="Herbaceous",(LCA!$E$29*'[1]LOCH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1" s="5" t="str">
        <f>IF(M2281="","",$E$2*1000*'[1]LOCH Calc COE Calc'!$C$44)</f>
        <v/>
      </c>
      <c r="S2281" s="6" t="str">
        <f>IF(N2281="","",SUM(O2281:R2281)/('[1]LOCH Calc COE Calc'!$C$28))</f>
        <v/>
      </c>
      <c r="T2281" t="str">
        <f>IF(L2281="","",O2281/'[1]LOCH Calc COE Calc'!$C$28)</f>
        <v/>
      </c>
      <c r="U2281" t="str">
        <f>IF(L2281="","",P2281/'[1]LOCH Calc COE Calc'!$C$28)</f>
        <v/>
      </c>
      <c r="V2281" t="str">
        <f>IF(L2281="","",Q2281/'[1]LOCH Calc COE Calc'!$C$28)</f>
        <v/>
      </c>
      <c r="W2281" t="str">
        <f>IF(L2281="","",R2281/'[1]LOCH Calc COE Calc'!$C$28)</f>
        <v/>
      </c>
    </row>
    <row r="2282" spans="12:23" x14ac:dyDescent="0.25">
      <c r="L2282" s="4" t="str">
        <f>IF('[1]All Data '!BE2287="","",'[1]All Data '!BE2287)</f>
        <v/>
      </c>
      <c r="M2282" t="str">
        <f>IF('[1]All Data '!BF2287="","",'[1]All Data '!BF2287)</f>
        <v/>
      </c>
      <c r="N2282" s="5" t="str">
        <f>IF('[1]All Data '!BB2287="","",'[1]All Data '!BC2287/'[1]All Data '!BH2287)</f>
        <v/>
      </c>
      <c r="O2282" s="5" t="str">
        <f t="shared" si="37"/>
        <v/>
      </c>
      <c r="P2282" s="5" t="str">
        <f>IF(M2282="","",$C$2*(1-L2282)*907.2/0.621371*N2282*[1]Transportation!$M$40)</f>
        <v/>
      </c>
      <c r="Q2282" s="5" t="str">
        <f>IF(L2282="","",IF([1]Inputs_Outputs!$B$5="Herbaceous",(LCA!$E$29*'[1]LOCH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2" s="5" t="str">
        <f>IF(M2282="","",$E$2*1000*'[1]LOCH Calc COE Calc'!$C$44)</f>
        <v/>
      </c>
      <c r="S2282" s="6" t="str">
        <f>IF(N2282="","",SUM(O2282:R2282)/('[1]LOCH Calc COE Calc'!$C$28))</f>
        <v/>
      </c>
      <c r="T2282" t="str">
        <f>IF(L2282="","",O2282/'[1]LOCH Calc COE Calc'!$C$28)</f>
        <v/>
      </c>
      <c r="U2282" t="str">
        <f>IF(L2282="","",P2282/'[1]LOCH Calc COE Calc'!$C$28)</f>
        <v/>
      </c>
      <c r="V2282" t="str">
        <f>IF(L2282="","",Q2282/'[1]LOCH Calc COE Calc'!$C$28)</f>
        <v/>
      </c>
      <c r="W2282" t="str">
        <f>IF(L2282="","",R2282/'[1]LOCH Calc COE Calc'!$C$28)</f>
        <v/>
      </c>
    </row>
    <row r="2283" spans="12:23" x14ac:dyDescent="0.25">
      <c r="L2283" s="4" t="str">
        <f>IF('[1]All Data '!BE2288="","",'[1]All Data '!BE2288)</f>
        <v/>
      </c>
      <c r="M2283" t="str">
        <f>IF('[1]All Data '!BF2288="","",'[1]All Data '!BF2288)</f>
        <v/>
      </c>
      <c r="N2283" s="5" t="str">
        <f>IF('[1]All Data '!BB2288="","",'[1]All Data '!BC2288/'[1]All Data '!BH2288)</f>
        <v/>
      </c>
      <c r="O2283" s="5" t="str">
        <f t="shared" si="37"/>
        <v/>
      </c>
      <c r="P2283" s="5" t="str">
        <f>IF(M2283="","",$C$2*(1-L2283)*907.2/0.621371*N2283*[1]Transportation!$M$40)</f>
        <v/>
      </c>
      <c r="Q2283" s="5" t="str">
        <f>IF(L2283="","",IF([1]Inputs_Outputs!$B$5="Herbaceous",(LCA!$E$29*'[1]LOCH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3" s="5" t="str">
        <f>IF(M2283="","",$E$2*1000*'[1]LOCH Calc COE Calc'!$C$44)</f>
        <v/>
      </c>
      <c r="S2283" s="6" t="str">
        <f>IF(N2283="","",SUM(O2283:R2283)/('[1]LOCH Calc COE Calc'!$C$28))</f>
        <v/>
      </c>
      <c r="T2283" t="str">
        <f>IF(L2283="","",O2283/'[1]LOCH Calc COE Calc'!$C$28)</f>
        <v/>
      </c>
      <c r="U2283" t="str">
        <f>IF(L2283="","",P2283/'[1]LOCH Calc COE Calc'!$C$28)</f>
        <v/>
      </c>
      <c r="V2283" t="str">
        <f>IF(L2283="","",Q2283/'[1]LOCH Calc COE Calc'!$C$28)</f>
        <v/>
      </c>
      <c r="W2283" t="str">
        <f>IF(L2283="","",R2283/'[1]LOCH Calc COE Calc'!$C$28)</f>
        <v/>
      </c>
    </row>
    <row r="2284" spans="12:23" x14ac:dyDescent="0.25">
      <c r="L2284" s="4" t="str">
        <f>IF('[1]All Data '!BE2289="","",'[1]All Data '!BE2289)</f>
        <v/>
      </c>
      <c r="M2284" t="str">
        <f>IF('[1]All Data '!BF2289="","",'[1]All Data '!BF2289)</f>
        <v/>
      </c>
      <c r="N2284" s="5" t="str">
        <f>IF('[1]All Data '!BB2289="","",'[1]All Data '!BC2289/'[1]All Data '!BH2289)</f>
        <v/>
      </c>
      <c r="O2284" s="5" t="str">
        <f t="shared" si="37"/>
        <v/>
      </c>
      <c r="P2284" s="5" t="str">
        <f>IF(M2284="","",$C$2*(1-L2284)*907.2/0.621371*N2284*[1]Transportation!$M$40)</f>
        <v/>
      </c>
      <c r="Q2284" s="5" t="str">
        <f>IF(L2284="","",IF([1]Inputs_Outputs!$B$5="Herbaceous",(LCA!$E$29*'[1]LOCH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4" s="5" t="str">
        <f>IF(M2284="","",$E$2*1000*'[1]LOCH Calc COE Calc'!$C$44)</f>
        <v/>
      </c>
      <c r="S2284" s="6" t="str">
        <f>IF(N2284="","",SUM(O2284:R2284)/('[1]LOCH Calc COE Calc'!$C$28))</f>
        <v/>
      </c>
      <c r="T2284" t="str">
        <f>IF(L2284="","",O2284/'[1]LOCH Calc COE Calc'!$C$28)</f>
        <v/>
      </c>
      <c r="U2284" t="str">
        <f>IF(L2284="","",P2284/'[1]LOCH Calc COE Calc'!$C$28)</f>
        <v/>
      </c>
      <c r="V2284" t="str">
        <f>IF(L2284="","",Q2284/'[1]LOCH Calc COE Calc'!$C$28)</f>
        <v/>
      </c>
      <c r="W2284" t="str">
        <f>IF(L2284="","",R2284/'[1]LOCH Calc COE Calc'!$C$28)</f>
        <v/>
      </c>
    </row>
    <row r="2285" spans="12:23" x14ac:dyDescent="0.25">
      <c r="L2285" s="4" t="str">
        <f>IF('[1]All Data '!BE2290="","",'[1]All Data '!BE2290)</f>
        <v/>
      </c>
      <c r="M2285" t="str">
        <f>IF('[1]All Data '!BF2290="","",'[1]All Data '!BF2290)</f>
        <v/>
      </c>
      <c r="N2285" s="5" t="str">
        <f>IF('[1]All Data '!BB2290="","",'[1]All Data '!BC2290/'[1]All Data '!BH2290)</f>
        <v/>
      </c>
      <c r="O2285" s="5" t="str">
        <f t="shared" si="37"/>
        <v/>
      </c>
      <c r="P2285" s="5" t="str">
        <f>IF(M2285="","",$C$2*(1-L2285)*907.2/0.621371*N2285*[1]Transportation!$M$40)</f>
        <v/>
      </c>
      <c r="Q2285" s="5" t="str">
        <f>IF(L2285="","",IF([1]Inputs_Outputs!$B$5="Herbaceous",(LCA!$E$29*'[1]LOCH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5" s="5" t="str">
        <f>IF(M2285="","",$E$2*1000*'[1]LOCH Calc COE Calc'!$C$44)</f>
        <v/>
      </c>
      <c r="S2285" s="6" t="str">
        <f>IF(N2285="","",SUM(O2285:R2285)/('[1]LOCH Calc COE Calc'!$C$28))</f>
        <v/>
      </c>
      <c r="T2285" t="str">
        <f>IF(L2285="","",O2285/'[1]LOCH Calc COE Calc'!$C$28)</f>
        <v/>
      </c>
      <c r="U2285" t="str">
        <f>IF(L2285="","",P2285/'[1]LOCH Calc COE Calc'!$C$28)</f>
        <v/>
      </c>
      <c r="V2285" t="str">
        <f>IF(L2285="","",Q2285/'[1]LOCH Calc COE Calc'!$C$28)</f>
        <v/>
      </c>
      <c r="W2285" t="str">
        <f>IF(L2285="","",R2285/'[1]LOCH Calc COE Calc'!$C$28)</f>
        <v/>
      </c>
    </row>
    <row r="2286" spans="12:23" x14ac:dyDescent="0.25">
      <c r="L2286" s="4" t="str">
        <f>IF('[1]All Data '!BE2291="","",'[1]All Data '!BE2291)</f>
        <v/>
      </c>
      <c r="M2286" t="str">
        <f>IF('[1]All Data '!BF2291="","",'[1]All Data '!BF2291)</f>
        <v/>
      </c>
      <c r="N2286" s="5" t="str">
        <f>IF('[1]All Data '!BB2291="","",'[1]All Data '!BC2291/'[1]All Data '!BH2291)</f>
        <v/>
      </c>
      <c r="O2286" s="5" t="str">
        <f t="shared" si="37"/>
        <v/>
      </c>
      <c r="P2286" s="5" t="str">
        <f>IF(M2286="","",$C$2*(1-L2286)*907.2/0.621371*N2286*[1]Transportation!$M$40)</f>
        <v/>
      </c>
      <c r="Q2286" s="5" t="str">
        <f>IF(L2286="","",IF([1]Inputs_Outputs!$B$5="Herbaceous",(LCA!$E$29*'[1]LOCH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6" s="5" t="str">
        <f>IF(M2286="","",$E$2*1000*'[1]LOCH Calc COE Calc'!$C$44)</f>
        <v/>
      </c>
      <c r="S2286" s="6" t="str">
        <f>IF(N2286="","",SUM(O2286:R2286)/('[1]LOCH Calc COE Calc'!$C$28))</f>
        <v/>
      </c>
      <c r="T2286" t="str">
        <f>IF(L2286="","",O2286/'[1]LOCH Calc COE Calc'!$C$28)</f>
        <v/>
      </c>
      <c r="U2286" t="str">
        <f>IF(L2286="","",P2286/'[1]LOCH Calc COE Calc'!$C$28)</f>
        <v/>
      </c>
      <c r="V2286" t="str">
        <f>IF(L2286="","",Q2286/'[1]LOCH Calc COE Calc'!$C$28)</f>
        <v/>
      </c>
      <c r="W2286" t="str">
        <f>IF(L2286="","",R2286/'[1]LOCH Calc COE Calc'!$C$28)</f>
        <v/>
      </c>
    </row>
    <row r="2287" spans="12:23" x14ac:dyDescent="0.25">
      <c r="L2287" s="4" t="str">
        <f>IF('[1]All Data '!BE2292="","",'[1]All Data '!BE2292)</f>
        <v/>
      </c>
      <c r="M2287" t="str">
        <f>IF('[1]All Data '!BF2292="","",'[1]All Data '!BF2292)</f>
        <v/>
      </c>
      <c r="N2287" s="5" t="str">
        <f>IF('[1]All Data '!BB2292="","",'[1]All Data '!BC2292/'[1]All Data '!BH2292)</f>
        <v/>
      </c>
      <c r="O2287" s="5" t="str">
        <f t="shared" si="37"/>
        <v/>
      </c>
      <c r="P2287" s="5" t="str">
        <f>IF(M2287="","",$C$2*(1-L2287)*907.2/0.621371*N2287*[1]Transportation!$M$40)</f>
        <v/>
      </c>
      <c r="Q2287" s="5" t="str">
        <f>IF(L2287="","",IF([1]Inputs_Outputs!$B$5="Herbaceous",(LCA!$E$29*'[1]LOCH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7" s="5" t="str">
        <f>IF(M2287="","",$E$2*1000*'[1]LOCH Calc COE Calc'!$C$44)</f>
        <v/>
      </c>
      <c r="S2287" s="6" t="str">
        <f>IF(N2287="","",SUM(O2287:R2287)/('[1]LOCH Calc COE Calc'!$C$28))</f>
        <v/>
      </c>
      <c r="T2287" t="str">
        <f>IF(L2287="","",O2287/'[1]LOCH Calc COE Calc'!$C$28)</f>
        <v/>
      </c>
      <c r="U2287" t="str">
        <f>IF(L2287="","",P2287/'[1]LOCH Calc COE Calc'!$C$28)</f>
        <v/>
      </c>
      <c r="V2287" t="str">
        <f>IF(L2287="","",Q2287/'[1]LOCH Calc COE Calc'!$C$28)</f>
        <v/>
      </c>
      <c r="W2287" t="str">
        <f>IF(L2287="","",R2287/'[1]LOCH Calc COE Calc'!$C$28)</f>
        <v/>
      </c>
    </row>
    <row r="2288" spans="12:23" x14ac:dyDescent="0.25">
      <c r="L2288" s="4" t="str">
        <f>IF('[1]All Data '!BE2293="","",'[1]All Data '!BE2293)</f>
        <v/>
      </c>
      <c r="M2288" t="str">
        <f>IF('[1]All Data '!BF2293="","",'[1]All Data '!BF2293)</f>
        <v/>
      </c>
      <c r="N2288" s="5" t="str">
        <f>IF('[1]All Data '!BB2293="","",'[1]All Data '!BC2293/'[1]All Data '!BH2293)</f>
        <v/>
      </c>
      <c r="O2288" s="5" t="str">
        <f t="shared" si="37"/>
        <v/>
      </c>
      <c r="P2288" s="5" t="str">
        <f>IF(M2288="","",$C$2*(1-L2288)*907.2/0.621371*N2288*[1]Transportation!$M$40)</f>
        <v/>
      </c>
      <c r="Q2288" s="5" t="str">
        <f>IF(L2288="","",IF([1]Inputs_Outputs!$B$5="Herbaceous",(LCA!$E$29*'[1]LOCH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8" s="5" t="str">
        <f>IF(M2288="","",$E$2*1000*'[1]LOCH Calc COE Calc'!$C$44)</f>
        <v/>
      </c>
      <c r="S2288" s="6" t="str">
        <f>IF(N2288="","",SUM(O2288:R2288)/('[1]LOCH Calc COE Calc'!$C$28))</f>
        <v/>
      </c>
      <c r="T2288" t="str">
        <f>IF(L2288="","",O2288/'[1]LOCH Calc COE Calc'!$C$28)</f>
        <v/>
      </c>
      <c r="U2288" t="str">
        <f>IF(L2288="","",P2288/'[1]LOCH Calc COE Calc'!$C$28)</f>
        <v/>
      </c>
      <c r="V2288" t="str">
        <f>IF(L2288="","",Q2288/'[1]LOCH Calc COE Calc'!$C$28)</f>
        <v/>
      </c>
      <c r="W2288" t="str">
        <f>IF(L2288="","",R2288/'[1]LOCH Calc COE Calc'!$C$28)</f>
        <v/>
      </c>
    </row>
    <row r="2289" spans="12:23" x14ac:dyDescent="0.25">
      <c r="L2289" s="4" t="str">
        <f>IF('[1]All Data '!BE2294="","",'[1]All Data '!BE2294)</f>
        <v/>
      </c>
      <c r="M2289" t="str">
        <f>IF('[1]All Data '!BF2294="","",'[1]All Data '!BF2294)</f>
        <v/>
      </c>
      <c r="N2289" s="5" t="str">
        <f>IF('[1]All Data '!BB2294="","",'[1]All Data '!BC2294/'[1]All Data '!BH2294)</f>
        <v/>
      </c>
      <c r="O2289" s="5" t="str">
        <f t="shared" si="37"/>
        <v/>
      </c>
      <c r="P2289" s="5" t="str">
        <f>IF(M2289="","",$C$2*(1-L2289)*907.2/0.621371*N2289*[1]Transportation!$M$40)</f>
        <v/>
      </c>
      <c r="Q2289" s="5" t="str">
        <f>IF(L2289="","",IF([1]Inputs_Outputs!$B$5="Herbaceous",(LCA!$E$29*'[1]LOCH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89" s="5" t="str">
        <f>IF(M2289="","",$E$2*1000*'[1]LOCH Calc COE Calc'!$C$44)</f>
        <v/>
      </c>
      <c r="S2289" s="6" t="str">
        <f>IF(N2289="","",SUM(O2289:R2289)/('[1]LOCH Calc COE Calc'!$C$28))</f>
        <v/>
      </c>
      <c r="T2289" t="str">
        <f>IF(L2289="","",O2289/'[1]LOCH Calc COE Calc'!$C$28)</f>
        <v/>
      </c>
      <c r="U2289" t="str">
        <f>IF(L2289="","",P2289/'[1]LOCH Calc COE Calc'!$C$28)</f>
        <v/>
      </c>
      <c r="V2289" t="str">
        <f>IF(L2289="","",Q2289/'[1]LOCH Calc COE Calc'!$C$28)</f>
        <v/>
      </c>
      <c r="W2289" t="str">
        <f>IF(L2289="","",R2289/'[1]LOCH Calc COE Calc'!$C$28)</f>
        <v/>
      </c>
    </row>
    <row r="2290" spans="12:23" x14ac:dyDescent="0.25">
      <c r="L2290" s="4" t="str">
        <f>IF('[1]All Data '!BE2295="","",'[1]All Data '!BE2295)</f>
        <v/>
      </c>
      <c r="M2290" t="str">
        <f>IF('[1]All Data '!BF2295="","",'[1]All Data '!BF2295)</f>
        <v/>
      </c>
      <c r="N2290" s="5" t="str">
        <f>IF('[1]All Data '!BB2295="","",'[1]All Data '!BC2295/'[1]All Data '!BH2295)</f>
        <v/>
      </c>
      <c r="O2290" s="5" t="str">
        <f t="shared" si="37"/>
        <v/>
      </c>
      <c r="P2290" s="5" t="str">
        <f>IF(M2290="","",$C$2*(1-L2290)*907.2/0.621371*N2290*[1]Transportation!$M$40)</f>
        <v/>
      </c>
      <c r="Q2290" s="5" t="str">
        <f>IF(L2290="","",IF([1]Inputs_Outputs!$B$5="Herbaceous",(LCA!$E$29*'[1]LOCH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0" s="5" t="str">
        <f>IF(M2290="","",$E$2*1000*'[1]LOCH Calc COE Calc'!$C$44)</f>
        <v/>
      </c>
      <c r="S2290" s="6" t="str">
        <f>IF(N2290="","",SUM(O2290:R2290)/('[1]LOCH Calc COE Calc'!$C$28))</f>
        <v/>
      </c>
      <c r="T2290" t="str">
        <f>IF(L2290="","",O2290/'[1]LOCH Calc COE Calc'!$C$28)</f>
        <v/>
      </c>
      <c r="U2290" t="str">
        <f>IF(L2290="","",P2290/'[1]LOCH Calc COE Calc'!$C$28)</f>
        <v/>
      </c>
      <c r="V2290" t="str">
        <f>IF(L2290="","",Q2290/'[1]LOCH Calc COE Calc'!$C$28)</f>
        <v/>
      </c>
      <c r="W2290" t="str">
        <f>IF(L2290="","",R2290/'[1]LOCH Calc COE Calc'!$C$28)</f>
        <v/>
      </c>
    </row>
    <row r="2291" spans="12:23" x14ac:dyDescent="0.25">
      <c r="L2291" s="4" t="str">
        <f>IF('[1]All Data '!BE2296="","",'[1]All Data '!BE2296)</f>
        <v/>
      </c>
      <c r="M2291" t="str">
        <f>IF('[1]All Data '!BF2296="","",'[1]All Data '!BF2296)</f>
        <v/>
      </c>
      <c r="N2291" s="5" t="str">
        <f>IF('[1]All Data '!BB2296="","",'[1]All Data '!BC2296/'[1]All Data '!BH2296)</f>
        <v/>
      </c>
      <c r="O2291" s="5" t="str">
        <f t="shared" si="37"/>
        <v/>
      </c>
      <c r="P2291" s="5" t="str">
        <f>IF(M2291="","",$C$2*(1-L2291)*907.2/0.621371*N2291*[1]Transportation!$M$40)</f>
        <v/>
      </c>
      <c r="Q2291" s="5" t="str">
        <f>IF(L2291="","",IF([1]Inputs_Outputs!$B$5="Herbaceous",(LCA!$E$29*'[1]LOCH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1" s="5" t="str">
        <f>IF(M2291="","",$E$2*1000*'[1]LOCH Calc COE Calc'!$C$44)</f>
        <v/>
      </c>
      <c r="S2291" s="6" t="str">
        <f>IF(N2291="","",SUM(O2291:R2291)/('[1]LOCH Calc COE Calc'!$C$28))</f>
        <v/>
      </c>
      <c r="T2291" t="str">
        <f>IF(L2291="","",O2291/'[1]LOCH Calc COE Calc'!$C$28)</f>
        <v/>
      </c>
      <c r="U2291" t="str">
        <f>IF(L2291="","",P2291/'[1]LOCH Calc COE Calc'!$C$28)</f>
        <v/>
      </c>
      <c r="V2291" t="str">
        <f>IF(L2291="","",Q2291/'[1]LOCH Calc COE Calc'!$C$28)</f>
        <v/>
      </c>
      <c r="W2291" t="str">
        <f>IF(L2291="","",R2291/'[1]LOCH Calc COE Calc'!$C$28)</f>
        <v/>
      </c>
    </row>
    <row r="2292" spans="12:23" x14ac:dyDescent="0.25">
      <c r="L2292" s="4" t="str">
        <f>IF('[1]All Data '!BE2297="","",'[1]All Data '!BE2297)</f>
        <v/>
      </c>
      <c r="M2292" t="str">
        <f>IF('[1]All Data '!BF2297="","",'[1]All Data '!BF2297)</f>
        <v/>
      </c>
      <c r="N2292" s="5" t="str">
        <f>IF('[1]All Data '!BB2297="","",'[1]All Data '!BC2297/'[1]All Data '!BH2297)</f>
        <v/>
      </c>
      <c r="O2292" s="5" t="str">
        <f t="shared" si="37"/>
        <v/>
      </c>
      <c r="P2292" s="5" t="str">
        <f>IF(M2292="","",$C$2*(1-L2292)*907.2/0.621371*N2292*[1]Transportation!$M$40)</f>
        <v/>
      </c>
      <c r="Q2292" s="5" t="str">
        <f>IF(L2292="","",IF([1]Inputs_Outputs!$B$5="Herbaceous",(LCA!$E$29*'[1]LOCH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2" s="5" t="str">
        <f>IF(M2292="","",$E$2*1000*'[1]LOCH Calc COE Calc'!$C$44)</f>
        <v/>
      </c>
      <c r="S2292" s="6" t="str">
        <f>IF(N2292="","",SUM(O2292:R2292)/('[1]LOCH Calc COE Calc'!$C$28))</f>
        <v/>
      </c>
      <c r="T2292" t="str">
        <f>IF(L2292="","",O2292/'[1]LOCH Calc COE Calc'!$C$28)</f>
        <v/>
      </c>
      <c r="U2292" t="str">
        <f>IF(L2292="","",P2292/'[1]LOCH Calc COE Calc'!$C$28)</f>
        <v/>
      </c>
      <c r="V2292" t="str">
        <f>IF(L2292="","",Q2292/'[1]LOCH Calc COE Calc'!$C$28)</f>
        <v/>
      </c>
      <c r="W2292" t="str">
        <f>IF(L2292="","",R2292/'[1]LOCH Calc COE Calc'!$C$28)</f>
        <v/>
      </c>
    </row>
    <row r="2293" spans="12:23" x14ac:dyDescent="0.25">
      <c r="L2293" s="4" t="str">
        <f>IF('[1]All Data '!BE2298="","",'[1]All Data '!BE2298)</f>
        <v/>
      </c>
      <c r="M2293" t="str">
        <f>IF('[1]All Data '!BF2298="","",'[1]All Data '!BF2298)</f>
        <v/>
      </c>
      <c r="N2293" s="5" t="str">
        <f>IF('[1]All Data '!BB2298="","",'[1]All Data '!BC2298/'[1]All Data '!BH2298)</f>
        <v/>
      </c>
      <c r="O2293" s="5" t="str">
        <f t="shared" si="37"/>
        <v/>
      </c>
      <c r="P2293" s="5" t="str">
        <f>IF(M2293="","",$C$2*(1-L2293)*907.2/0.621371*N2293*[1]Transportation!$M$40)</f>
        <v/>
      </c>
      <c r="Q2293" s="5" t="str">
        <f>IF(L2293="","",IF([1]Inputs_Outputs!$B$5="Herbaceous",(LCA!$E$29*'[1]LOCH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3" s="5" t="str">
        <f>IF(M2293="","",$E$2*1000*'[1]LOCH Calc COE Calc'!$C$44)</f>
        <v/>
      </c>
      <c r="S2293" s="6" t="str">
        <f>IF(N2293="","",SUM(O2293:R2293)/('[1]LOCH Calc COE Calc'!$C$28))</f>
        <v/>
      </c>
      <c r="T2293" t="str">
        <f>IF(L2293="","",O2293/'[1]LOCH Calc COE Calc'!$C$28)</f>
        <v/>
      </c>
      <c r="U2293" t="str">
        <f>IF(L2293="","",P2293/'[1]LOCH Calc COE Calc'!$C$28)</f>
        <v/>
      </c>
      <c r="V2293" t="str">
        <f>IF(L2293="","",Q2293/'[1]LOCH Calc COE Calc'!$C$28)</f>
        <v/>
      </c>
      <c r="W2293" t="str">
        <f>IF(L2293="","",R2293/'[1]LOCH Calc COE Calc'!$C$28)</f>
        <v/>
      </c>
    </row>
    <row r="2294" spans="12:23" x14ac:dyDescent="0.25">
      <c r="L2294" s="4" t="str">
        <f>IF('[1]All Data '!BE2299="","",'[1]All Data '!BE2299)</f>
        <v/>
      </c>
      <c r="M2294" t="str">
        <f>IF('[1]All Data '!BF2299="","",'[1]All Data '!BF2299)</f>
        <v/>
      </c>
      <c r="N2294" s="5" t="str">
        <f>IF('[1]All Data '!BB2299="","",'[1]All Data '!BC2299/'[1]All Data '!BH2299)</f>
        <v/>
      </c>
      <c r="O2294" s="5" t="str">
        <f t="shared" si="37"/>
        <v/>
      </c>
      <c r="P2294" s="5" t="str">
        <f>IF(M2294="","",$C$2*(1-L2294)*907.2/0.621371*N2294*[1]Transportation!$M$40)</f>
        <v/>
      </c>
      <c r="Q2294" s="5" t="str">
        <f>IF(L2294="","",IF([1]Inputs_Outputs!$B$5="Herbaceous",(LCA!$E$29*'[1]LOCH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4" s="5" t="str">
        <f>IF(M2294="","",$E$2*1000*'[1]LOCH Calc COE Calc'!$C$44)</f>
        <v/>
      </c>
      <c r="S2294" s="6" t="str">
        <f>IF(N2294="","",SUM(O2294:R2294)/('[1]LOCH Calc COE Calc'!$C$28))</f>
        <v/>
      </c>
      <c r="T2294" t="str">
        <f>IF(L2294="","",O2294/'[1]LOCH Calc COE Calc'!$C$28)</f>
        <v/>
      </c>
      <c r="U2294" t="str">
        <f>IF(L2294="","",P2294/'[1]LOCH Calc COE Calc'!$C$28)</f>
        <v/>
      </c>
      <c r="V2294" t="str">
        <f>IF(L2294="","",Q2294/'[1]LOCH Calc COE Calc'!$C$28)</f>
        <v/>
      </c>
      <c r="W2294" t="str">
        <f>IF(L2294="","",R2294/'[1]LOCH Calc COE Calc'!$C$28)</f>
        <v/>
      </c>
    </row>
    <row r="2295" spans="12:23" x14ac:dyDescent="0.25">
      <c r="L2295" s="4" t="str">
        <f>IF('[1]All Data '!BE2300="","",'[1]All Data '!BE2300)</f>
        <v/>
      </c>
      <c r="M2295" t="str">
        <f>IF('[1]All Data '!BF2300="","",'[1]All Data '!BF2300)</f>
        <v/>
      </c>
      <c r="N2295" s="5" t="str">
        <f>IF('[1]All Data '!BB2300="","",'[1]All Data '!BC2300/'[1]All Data '!BH2300)</f>
        <v/>
      </c>
      <c r="O2295" s="5" t="str">
        <f t="shared" si="37"/>
        <v/>
      </c>
      <c r="P2295" s="5" t="str">
        <f>IF(M2295="","",$C$2*(1-L2295)*907.2/0.621371*N2295*[1]Transportation!$M$40)</f>
        <v/>
      </c>
      <c r="Q2295" s="5" t="str">
        <f>IF(L2295="","",IF([1]Inputs_Outputs!$B$5="Herbaceous",(LCA!$E$29*'[1]LOCH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5" s="5" t="str">
        <f>IF(M2295="","",$E$2*1000*'[1]LOCH Calc COE Calc'!$C$44)</f>
        <v/>
      </c>
      <c r="S2295" s="6" t="str">
        <f>IF(N2295="","",SUM(O2295:R2295)/('[1]LOCH Calc COE Calc'!$C$28))</f>
        <v/>
      </c>
      <c r="T2295" t="str">
        <f>IF(L2295="","",O2295/'[1]LOCH Calc COE Calc'!$C$28)</f>
        <v/>
      </c>
      <c r="U2295" t="str">
        <f>IF(L2295="","",P2295/'[1]LOCH Calc COE Calc'!$C$28)</f>
        <v/>
      </c>
      <c r="V2295" t="str">
        <f>IF(L2295="","",Q2295/'[1]LOCH Calc COE Calc'!$C$28)</f>
        <v/>
      </c>
      <c r="W2295" t="str">
        <f>IF(L2295="","",R2295/'[1]LOCH Calc COE Calc'!$C$28)</f>
        <v/>
      </c>
    </row>
    <row r="2296" spans="12:23" x14ac:dyDescent="0.25">
      <c r="L2296" s="4" t="str">
        <f>IF('[1]All Data '!BE2301="","",'[1]All Data '!BE2301)</f>
        <v/>
      </c>
      <c r="M2296" t="str">
        <f>IF('[1]All Data '!BF2301="","",'[1]All Data '!BF2301)</f>
        <v/>
      </c>
      <c r="N2296" s="5" t="str">
        <f>IF('[1]All Data '!BB2301="","",'[1]All Data '!BC2301/'[1]All Data '!BH2301)</f>
        <v/>
      </c>
      <c r="O2296" s="5" t="str">
        <f t="shared" si="37"/>
        <v/>
      </c>
      <c r="P2296" s="5" t="str">
        <f>IF(M2296="","",$C$2*(1-L2296)*907.2/0.621371*N2296*[1]Transportation!$M$40)</f>
        <v/>
      </c>
      <c r="Q2296" s="5" t="str">
        <f>IF(L2296="","",IF([1]Inputs_Outputs!$B$5="Herbaceous",(LCA!$E$29*'[1]LOCH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6" s="5" t="str">
        <f>IF(M2296="","",$E$2*1000*'[1]LOCH Calc COE Calc'!$C$44)</f>
        <v/>
      </c>
      <c r="S2296" s="6" t="str">
        <f>IF(N2296="","",SUM(O2296:R2296)/('[1]LOCH Calc COE Calc'!$C$28))</f>
        <v/>
      </c>
      <c r="T2296" t="str">
        <f>IF(L2296="","",O2296/'[1]LOCH Calc COE Calc'!$C$28)</f>
        <v/>
      </c>
      <c r="U2296" t="str">
        <f>IF(L2296="","",P2296/'[1]LOCH Calc COE Calc'!$C$28)</f>
        <v/>
      </c>
      <c r="V2296" t="str">
        <f>IF(L2296="","",Q2296/'[1]LOCH Calc COE Calc'!$C$28)</f>
        <v/>
      </c>
      <c r="W2296" t="str">
        <f>IF(L2296="","",R2296/'[1]LOCH Calc COE Calc'!$C$28)</f>
        <v/>
      </c>
    </row>
    <row r="2297" spans="12:23" x14ac:dyDescent="0.25">
      <c r="L2297" s="4" t="str">
        <f>IF('[1]All Data '!BE2302="","",'[1]All Data '!BE2302)</f>
        <v/>
      </c>
      <c r="M2297" t="str">
        <f>IF('[1]All Data '!BF2302="","",'[1]All Data '!BF2302)</f>
        <v/>
      </c>
      <c r="N2297" s="5" t="str">
        <f>IF('[1]All Data '!BB2302="","",'[1]All Data '!BC2302/'[1]All Data '!BH2302)</f>
        <v/>
      </c>
      <c r="O2297" s="5" t="str">
        <f t="shared" si="37"/>
        <v/>
      </c>
      <c r="P2297" s="5" t="str">
        <f>IF(M2297="","",$C$2*(1-L2297)*907.2/0.621371*N2297*[1]Transportation!$M$40)</f>
        <v/>
      </c>
      <c r="Q2297" s="5" t="str">
        <f>IF(L2297="","",IF([1]Inputs_Outputs!$B$5="Herbaceous",(LCA!$E$29*'[1]LOCH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7" s="5" t="str">
        <f>IF(M2297="","",$E$2*1000*'[1]LOCH Calc COE Calc'!$C$44)</f>
        <v/>
      </c>
      <c r="S2297" s="6" t="str">
        <f>IF(N2297="","",SUM(O2297:R2297)/('[1]LOCH Calc COE Calc'!$C$28))</f>
        <v/>
      </c>
      <c r="T2297" t="str">
        <f>IF(L2297="","",O2297/'[1]LOCH Calc COE Calc'!$C$28)</f>
        <v/>
      </c>
      <c r="U2297" t="str">
        <f>IF(L2297="","",P2297/'[1]LOCH Calc COE Calc'!$C$28)</f>
        <v/>
      </c>
      <c r="V2297" t="str">
        <f>IF(L2297="","",Q2297/'[1]LOCH Calc COE Calc'!$C$28)</f>
        <v/>
      </c>
      <c r="W2297" t="str">
        <f>IF(L2297="","",R2297/'[1]LOCH Calc COE Calc'!$C$28)</f>
        <v/>
      </c>
    </row>
    <row r="2298" spans="12:23" x14ac:dyDescent="0.25">
      <c r="L2298" s="4" t="str">
        <f>IF('[1]All Data '!BE2303="","",'[1]All Data '!BE2303)</f>
        <v/>
      </c>
      <c r="M2298" t="str">
        <f>IF('[1]All Data '!BF2303="","",'[1]All Data '!BF2303)</f>
        <v/>
      </c>
      <c r="N2298" s="5" t="str">
        <f>IF('[1]All Data '!BB2303="","",'[1]All Data '!BC2303/'[1]All Data '!BH2303)</f>
        <v/>
      </c>
      <c r="O2298" s="5" t="str">
        <f t="shared" si="37"/>
        <v/>
      </c>
      <c r="P2298" s="5" t="str">
        <f>IF(M2298="","",$C$2*(1-L2298)*907.2/0.621371*N2298*[1]Transportation!$M$40)</f>
        <v/>
      </c>
      <c r="Q2298" s="5" t="str">
        <f>IF(L2298="","",IF([1]Inputs_Outputs!$B$5="Herbaceous",(LCA!$E$29*'[1]LOCH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8" s="5" t="str">
        <f>IF(M2298="","",$E$2*1000*'[1]LOCH Calc COE Calc'!$C$44)</f>
        <v/>
      </c>
      <c r="S2298" s="6" t="str">
        <f>IF(N2298="","",SUM(O2298:R2298)/('[1]LOCH Calc COE Calc'!$C$28))</f>
        <v/>
      </c>
      <c r="T2298" t="str">
        <f>IF(L2298="","",O2298/'[1]LOCH Calc COE Calc'!$C$28)</f>
        <v/>
      </c>
      <c r="U2298" t="str">
        <f>IF(L2298="","",P2298/'[1]LOCH Calc COE Calc'!$C$28)</f>
        <v/>
      </c>
      <c r="V2298" t="str">
        <f>IF(L2298="","",Q2298/'[1]LOCH Calc COE Calc'!$C$28)</f>
        <v/>
      </c>
      <c r="W2298" t="str">
        <f>IF(L2298="","",R2298/'[1]LOCH Calc COE Calc'!$C$28)</f>
        <v/>
      </c>
    </row>
    <row r="2299" spans="12:23" x14ac:dyDescent="0.25">
      <c r="L2299" s="4" t="str">
        <f>IF('[1]All Data '!BE2304="","",'[1]All Data '!BE2304)</f>
        <v/>
      </c>
      <c r="M2299" t="str">
        <f>IF('[1]All Data '!BF2304="","",'[1]All Data '!BF2304)</f>
        <v/>
      </c>
      <c r="N2299" s="5" t="str">
        <f>IF('[1]All Data '!BB2304="","",'[1]All Data '!BC2304/'[1]All Data '!BH2304)</f>
        <v/>
      </c>
      <c r="O2299" s="5" t="str">
        <f t="shared" si="37"/>
        <v/>
      </c>
      <c r="P2299" s="5" t="str">
        <f>IF(M2299="","",$C$2*(1-L2299)*907.2/0.621371*N2299*[1]Transportation!$M$40)</f>
        <v/>
      </c>
      <c r="Q2299" s="5" t="str">
        <f>IF(L2299="","",IF([1]Inputs_Outputs!$B$5="Herbaceous",(LCA!$E$29*'[1]LOCH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299" s="5" t="str">
        <f>IF(M2299="","",$E$2*1000*'[1]LOCH Calc COE Calc'!$C$44)</f>
        <v/>
      </c>
      <c r="S2299" s="6" t="str">
        <f>IF(N2299="","",SUM(O2299:R2299)/('[1]LOCH Calc COE Calc'!$C$28))</f>
        <v/>
      </c>
      <c r="T2299" t="str">
        <f>IF(L2299="","",O2299/'[1]LOCH Calc COE Calc'!$C$28)</f>
        <v/>
      </c>
      <c r="U2299" t="str">
        <f>IF(L2299="","",P2299/'[1]LOCH Calc COE Calc'!$C$28)</f>
        <v/>
      </c>
      <c r="V2299" t="str">
        <f>IF(L2299="","",Q2299/'[1]LOCH Calc COE Calc'!$C$28)</f>
        <v/>
      </c>
      <c r="W2299" t="str">
        <f>IF(L2299="","",R2299/'[1]LOCH Calc COE Calc'!$C$28)</f>
        <v/>
      </c>
    </row>
    <row r="2300" spans="12:23" x14ac:dyDescent="0.25">
      <c r="L2300" s="4" t="str">
        <f>IF('[1]All Data '!BE2305="","",'[1]All Data '!BE2305)</f>
        <v/>
      </c>
      <c r="M2300" t="str">
        <f>IF('[1]All Data '!BF2305="","",'[1]All Data '!BF2305)</f>
        <v/>
      </c>
      <c r="N2300" s="5" t="str">
        <f>IF('[1]All Data '!BB2305="","",'[1]All Data '!BC2305/'[1]All Data '!BH2305)</f>
        <v/>
      </c>
      <c r="O2300" s="5" t="str">
        <f t="shared" si="37"/>
        <v/>
      </c>
      <c r="P2300" s="5" t="str">
        <f>IF(M2300="","",$C$2*(1-L2300)*907.2/0.621371*N2300*[1]Transportation!$M$40)</f>
        <v/>
      </c>
      <c r="Q2300" s="5" t="str">
        <f>IF(L2300="","",IF([1]Inputs_Outputs!$B$5="Herbaceous",(LCA!$E$29*'[1]LOCH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0" s="5" t="str">
        <f>IF(M2300="","",$E$2*1000*'[1]LOCH Calc COE Calc'!$C$44)</f>
        <v/>
      </c>
      <c r="S2300" s="6" t="str">
        <f>IF(N2300="","",SUM(O2300:R2300)/('[1]LOCH Calc COE Calc'!$C$28))</f>
        <v/>
      </c>
      <c r="T2300" t="str">
        <f>IF(L2300="","",O2300/'[1]LOCH Calc COE Calc'!$C$28)</f>
        <v/>
      </c>
      <c r="U2300" t="str">
        <f>IF(L2300="","",P2300/'[1]LOCH Calc COE Calc'!$C$28)</f>
        <v/>
      </c>
      <c r="V2300" t="str">
        <f>IF(L2300="","",Q2300/'[1]LOCH Calc COE Calc'!$C$28)</f>
        <v/>
      </c>
      <c r="W2300" t="str">
        <f>IF(L2300="","",R2300/'[1]LOCH Calc COE Calc'!$C$28)</f>
        <v/>
      </c>
    </row>
    <row r="2301" spans="12:23" x14ac:dyDescent="0.25">
      <c r="L2301" s="4" t="str">
        <f>IF('[1]All Data '!BE2306="","",'[1]All Data '!BE2306)</f>
        <v/>
      </c>
      <c r="M2301" t="str">
        <f>IF('[1]All Data '!BF2306="","",'[1]All Data '!BF2306)</f>
        <v/>
      </c>
      <c r="N2301" s="5" t="str">
        <f>IF('[1]All Data '!BB2306="","",'[1]All Data '!BC2306/'[1]All Data '!BH2306)</f>
        <v/>
      </c>
      <c r="O2301" s="5" t="str">
        <f t="shared" si="37"/>
        <v/>
      </c>
      <c r="P2301" s="5" t="str">
        <f>IF(M2301="","",$C$2*(1-L2301)*907.2/0.621371*N2301*[1]Transportation!$M$40)</f>
        <v/>
      </c>
      <c r="Q2301" s="5" t="str">
        <f>IF(L2301="","",IF([1]Inputs_Outputs!$B$5="Herbaceous",(LCA!$E$29*'[1]LOCH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1" s="5" t="str">
        <f>IF(M2301="","",$E$2*1000*'[1]LOCH Calc COE Calc'!$C$44)</f>
        <v/>
      </c>
      <c r="S2301" s="6" t="str">
        <f>IF(N2301="","",SUM(O2301:R2301)/('[1]LOCH Calc COE Calc'!$C$28))</f>
        <v/>
      </c>
      <c r="T2301" t="str">
        <f>IF(L2301="","",O2301/'[1]LOCH Calc COE Calc'!$C$28)</f>
        <v/>
      </c>
      <c r="U2301" t="str">
        <f>IF(L2301="","",P2301/'[1]LOCH Calc COE Calc'!$C$28)</f>
        <v/>
      </c>
      <c r="V2301" t="str">
        <f>IF(L2301="","",Q2301/'[1]LOCH Calc COE Calc'!$C$28)</f>
        <v/>
      </c>
      <c r="W2301" t="str">
        <f>IF(L2301="","",R2301/'[1]LOCH Calc COE Calc'!$C$28)</f>
        <v/>
      </c>
    </row>
    <row r="2302" spans="12:23" x14ac:dyDescent="0.25">
      <c r="L2302" s="4" t="str">
        <f>IF('[1]All Data '!BE2307="","",'[1]All Data '!BE2307)</f>
        <v/>
      </c>
      <c r="M2302" t="str">
        <f>IF('[1]All Data '!BF2307="","",'[1]All Data '!BF2307)</f>
        <v/>
      </c>
      <c r="N2302" s="5" t="str">
        <f>IF('[1]All Data '!BB2307="","",'[1]All Data '!BC2307/'[1]All Data '!BH2307)</f>
        <v/>
      </c>
      <c r="O2302" s="5" t="str">
        <f t="shared" si="37"/>
        <v/>
      </c>
      <c r="P2302" s="5" t="str">
        <f>IF(M2302="","",$C$2*(1-L2302)*907.2/0.621371*N2302*[1]Transportation!$M$40)</f>
        <v/>
      </c>
      <c r="Q2302" s="5" t="str">
        <f>IF(L2302="","",IF([1]Inputs_Outputs!$B$5="Herbaceous",(LCA!$E$29*'[1]LOCH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2" s="5" t="str">
        <f>IF(M2302="","",$E$2*1000*'[1]LOCH Calc COE Calc'!$C$44)</f>
        <v/>
      </c>
      <c r="S2302" s="6" t="str">
        <f>IF(N2302="","",SUM(O2302:R2302)/('[1]LOCH Calc COE Calc'!$C$28))</f>
        <v/>
      </c>
      <c r="T2302" t="str">
        <f>IF(L2302="","",O2302/'[1]LOCH Calc COE Calc'!$C$28)</f>
        <v/>
      </c>
      <c r="U2302" t="str">
        <f>IF(L2302="","",P2302/'[1]LOCH Calc COE Calc'!$C$28)</f>
        <v/>
      </c>
      <c r="V2302" t="str">
        <f>IF(L2302="","",Q2302/'[1]LOCH Calc COE Calc'!$C$28)</f>
        <v/>
      </c>
      <c r="W2302" t="str">
        <f>IF(L2302="","",R2302/'[1]LOCH Calc COE Calc'!$C$28)</f>
        <v/>
      </c>
    </row>
    <row r="2303" spans="12:23" x14ac:dyDescent="0.25">
      <c r="L2303" s="4" t="str">
        <f>IF('[1]All Data '!BE2308="","",'[1]All Data '!BE2308)</f>
        <v/>
      </c>
      <c r="M2303" t="str">
        <f>IF('[1]All Data '!BF2308="","",'[1]All Data '!BF2308)</f>
        <v/>
      </c>
      <c r="N2303" s="5" t="str">
        <f>IF('[1]All Data '!BB2308="","",'[1]All Data '!BC2308/'[1]All Data '!BH2308)</f>
        <v/>
      </c>
      <c r="O2303" s="5" t="str">
        <f t="shared" si="37"/>
        <v/>
      </c>
      <c r="P2303" s="5" t="str">
        <f>IF(M2303="","",$C$2*(1-L2303)*907.2/0.621371*N2303*[1]Transportation!$M$40)</f>
        <v/>
      </c>
      <c r="Q2303" s="5" t="str">
        <f>IF(L2303="","",IF([1]Inputs_Outputs!$B$5="Herbaceous",(LCA!$E$29*'[1]LOCH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3" s="5" t="str">
        <f>IF(M2303="","",$E$2*1000*'[1]LOCH Calc COE Calc'!$C$44)</f>
        <v/>
      </c>
      <c r="S2303" s="6" t="str">
        <f>IF(N2303="","",SUM(O2303:R2303)/('[1]LOCH Calc COE Calc'!$C$28))</f>
        <v/>
      </c>
      <c r="T2303" t="str">
        <f>IF(L2303="","",O2303/'[1]LOCH Calc COE Calc'!$C$28)</f>
        <v/>
      </c>
      <c r="U2303" t="str">
        <f>IF(L2303="","",P2303/'[1]LOCH Calc COE Calc'!$C$28)</f>
        <v/>
      </c>
      <c r="V2303" t="str">
        <f>IF(L2303="","",Q2303/'[1]LOCH Calc COE Calc'!$C$28)</f>
        <v/>
      </c>
      <c r="W2303" t="str">
        <f>IF(L2303="","",R2303/'[1]LOCH Calc COE Calc'!$C$28)</f>
        <v/>
      </c>
    </row>
    <row r="2304" spans="12:23" x14ac:dyDescent="0.25">
      <c r="L2304" s="4" t="str">
        <f>IF('[1]All Data '!BE2309="","",'[1]All Data '!BE2309)</f>
        <v/>
      </c>
      <c r="M2304" t="str">
        <f>IF('[1]All Data '!BF2309="","",'[1]All Data '!BF2309)</f>
        <v/>
      </c>
      <c r="N2304" s="5" t="str">
        <f>IF('[1]All Data '!BB2309="","",'[1]All Data '!BC2309/'[1]All Data '!BH2309)</f>
        <v/>
      </c>
      <c r="O2304" s="5" t="str">
        <f t="shared" si="37"/>
        <v/>
      </c>
      <c r="P2304" s="5" t="str">
        <f>IF(M2304="","",$C$2*(1-L2304)*907.2/0.621371*N2304*[1]Transportation!$M$40)</f>
        <v/>
      </c>
      <c r="Q2304" s="5" t="str">
        <f>IF(L2304="","",IF([1]Inputs_Outputs!$B$5="Herbaceous",(LCA!$E$29*'[1]LOCH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4" s="5" t="str">
        <f>IF(M2304="","",$E$2*1000*'[1]LOCH Calc COE Calc'!$C$44)</f>
        <v/>
      </c>
      <c r="S2304" s="6" t="str">
        <f>IF(N2304="","",SUM(O2304:R2304)/('[1]LOCH Calc COE Calc'!$C$28))</f>
        <v/>
      </c>
      <c r="T2304" t="str">
        <f>IF(L2304="","",O2304/'[1]LOCH Calc COE Calc'!$C$28)</f>
        <v/>
      </c>
      <c r="U2304" t="str">
        <f>IF(L2304="","",P2304/'[1]LOCH Calc COE Calc'!$C$28)</f>
        <v/>
      </c>
      <c r="V2304" t="str">
        <f>IF(L2304="","",Q2304/'[1]LOCH Calc COE Calc'!$C$28)</f>
        <v/>
      </c>
      <c r="W2304" t="str">
        <f>IF(L2304="","",R2304/'[1]LOCH Calc COE Calc'!$C$28)</f>
        <v/>
      </c>
    </row>
    <row r="2305" spans="12:23" x14ac:dyDescent="0.25">
      <c r="L2305" s="4" t="str">
        <f>IF('[1]All Data '!BE2310="","",'[1]All Data '!BE2310)</f>
        <v/>
      </c>
      <c r="M2305" t="str">
        <f>IF('[1]All Data '!BF2310="","",'[1]All Data '!BF2310)</f>
        <v/>
      </c>
      <c r="N2305" s="5" t="str">
        <f>IF('[1]All Data '!BB2310="","",'[1]All Data '!BC2310/'[1]All Data '!BH2310)</f>
        <v/>
      </c>
      <c r="O2305" s="5" t="str">
        <f t="shared" si="37"/>
        <v/>
      </c>
      <c r="P2305" s="5" t="str">
        <f>IF(M2305="","",$C$2*(1-L2305)*907.2/0.621371*N2305*[1]Transportation!$M$40)</f>
        <v/>
      </c>
      <c r="Q2305" s="5" t="str">
        <f>IF(L2305="","",IF([1]Inputs_Outputs!$B$5="Herbaceous",(LCA!$E$29*'[1]LOCH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5" s="5" t="str">
        <f>IF(M2305="","",$E$2*1000*'[1]LOCH Calc COE Calc'!$C$44)</f>
        <v/>
      </c>
      <c r="S2305" s="6" t="str">
        <f>IF(N2305="","",SUM(O2305:R2305)/('[1]LOCH Calc COE Calc'!$C$28))</f>
        <v/>
      </c>
      <c r="T2305" t="str">
        <f>IF(L2305="","",O2305/'[1]LOCH Calc COE Calc'!$C$28)</f>
        <v/>
      </c>
      <c r="U2305" t="str">
        <f>IF(L2305="","",P2305/'[1]LOCH Calc COE Calc'!$C$28)</f>
        <v/>
      </c>
      <c r="V2305" t="str">
        <f>IF(L2305="","",Q2305/'[1]LOCH Calc COE Calc'!$C$28)</f>
        <v/>
      </c>
      <c r="W2305" t="str">
        <f>IF(L2305="","",R2305/'[1]LOCH Calc COE Calc'!$C$28)</f>
        <v/>
      </c>
    </row>
    <row r="2306" spans="12:23" x14ac:dyDescent="0.25">
      <c r="L2306" s="4" t="str">
        <f>IF('[1]All Data '!BE2311="","",'[1]All Data '!BE2311)</f>
        <v/>
      </c>
      <c r="M2306" t="str">
        <f>IF('[1]All Data '!BF2311="","",'[1]All Data '!BF2311)</f>
        <v/>
      </c>
      <c r="N2306" s="5" t="str">
        <f>IF('[1]All Data '!BB2311="","",'[1]All Data '!BC2311/'[1]All Data '!BH2311)</f>
        <v/>
      </c>
      <c r="O2306" s="5" t="str">
        <f t="shared" si="37"/>
        <v/>
      </c>
      <c r="P2306" s="5" t="str">
        <f>IF(M2306="","",$C$2*(1-L2306)*907.2/0.621371*N2306*[1]Transportation!$M$40)</f>
        <v/>
      </c>
      <c r="Q2306" s="5" t="str">
        <f>IF(L2306="","",IF([1]Inputs_Outputs!$B$5="Herbaceous",(LCA!$E$29*'[1]LOCH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6" s="5" t="str">
        <f>IF(M2306="","",$E$2*1000*'[1]LOCH Calc COE Calc'!$C$44)</f>
        <v/>
      </c>
      <c r="S2306" s="6" t="str">
        <f>IF(N2306="","",SUM(O2306:R2306)/('[1]LOCH Calc COE Calc'!$C$28))</f>
        <v/>
      </c>
      <c r="T2306" t="str">
        <f>IF(L2306="","",O2306/'[1]LOCH Calc COE Calc'!$C$28)</f>
        <v/>
      </c>
      <c r="U2306" t="str">
        <f>IF(L2306="","",P2306/'[1]LOCH Calc COE Calc'!$C$28)</f>
        <v/>
      </c>
      <c r="V2306" t="str">
        <f>IF(L2306="","",Q2306/'[1]LOCH Calc COE Calc'!$C$28)</f>
        <v/>
      </c>
      <c r="W2306" t="str">
        <f>IF(L2306="","",R2306/'[1]LOCH Calc COE Calc'!$C$28)</f>
        <v/>
      </c>
    </row>
    <row r="2307" spans="12:23" x14ac:dyDescent="0.25">
      <c r="L2307" s="4" t="str">
        <f>IF('[1]All Data '!BE2312="","",'[1]All Data '!BE2312)</f>
        <v/>
      </c>
      <c r="M2307" t="str">
        <f>IF('[1]All Data '!BF2312="","",'[1]All Data '!BF2312)</f>
        <v/>
      </c>
      <c r="N2307" s="5" t="str">
        <f>IF('[1]All Data '!BB2312="","",'[1]All Data '!BC2312/'[1]All Data '!BH2312)</f>
        <v/>
      </c>
      <c r="O2307" s="5" t="str">
        <f t="shared" si="37"/>
        <v/>
      </c>
      <c r="P2307" s="5" t="str">
        <f>IF(M2307="","",$C$2*(1-L2307)*907.2/0.621371*N2307*[1]Transportation!$M$40)</f>
        <v/>
      </c>
      <c r="Q2307" s="5" t="str">
        <f>IF(L2307="","",IF([1]Inputs_Outputs!$B$5="Herbaceous",(LCA!$E$29*'[1]LOCH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7" s="5" t="str">
        <f>IF(M2307="","",$E$2*1000*'[1]LOCH Calc COE Calc'!$C$44)</f>
        <v/>
      </c>
      <c r="S2307" s="6" t="str">
        <f>IF(N2307="","",SUM(O2307:R2307)/('[1]LOCH Calc COE Calc'!$C$28))</f>
        <v/>
      </c>
      <c r="T2307" t="str">
        <f>IF(L2307="","",O2307/'[1]LOCH Calc COE Calc'!$C$28)</f>
        <v/>
      </c>
      <c r="U2307" t="str">
        <f>IF(L2307="","",P2307/'[1]LOCH Calc COE Calc'!$C$28)</f>
        <v/>
      </c>
      <c r="V2307" t="str">
        <f>IF(L2307="","",Q2307/'[1]LOCH Calc COE Calc'!$C$28)</f>
        <v/>
      </c>
      <c r="W2307" t="str">
        <f>IF(L2307="","",R2307/'[1]LOCH Calc COE Calc'!$C$28)</f>
        <v/>
      </c>
    </row>
    <row r="2308" spans="12:23" x14ac:dyDescent="0.25">
      <c r="L2308" s="4" t="str">
        <f>IF('[1]All Data '!BE2313="","",'[1]All Data '!BE2313)</f>
        <v/>
      </c>
      <c r="M2308" t="str">
        <f>IF('[1]All Data '!BF2313="","",'[1]All Data '!BF2313)</f>
        <v/>
      </c>
      <c r="N2308" s="5" t="str">
        <f>IF('[1]All Data '!BB2313="","",'[1]All Data '!BC2313/'[1]All Data '!BH2313)</f>
        <v/>
      </c>
      <c r="O2308" s="5" t="str">
        <f t="shared" ref="O2308:O2371" si="38">IF(N2308="","",M2308*N2308)</f>
        <v/>
      </c>
      <c r="P2308" s="5" t="str">
        <f>IF(M2308="","",$C$2*(1-L2308)*907.2/0.621371*N2308*[1]Transportation!$M$40)</f>
        <v/>
      </c>
      <c r="Q2308" s="5" t="str">
        <f>IF(L2308="","",IF([1]Inputs_Outputs!$B$5="Herbaceous",(LCA!$E$29*'[1]LOCH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8" s="5" t="str">
        <f>IF(M2308="","",$E$2*1000*'[1]LOCH Calc COE Calc'!$C$44)</f>
        <v/>
      </c>
      <c r="S2308" s="6" t="str">
        <f>IF(N2308="","",SUM(O2308:R2308)/('[1]LOCH Calc COE Calc'!$C$28))</f>
        <v/>
      </c>
      <c r="T2308" t="str">
        <f>IF(L2308="","",O2308/'[1]LOCH Calc COE Calc'!$C$28)</f>
        <v/>
      </c>
      <c r="U2308" t="str">
        <f>IF(L2308="","",P2308/'[1]LOCH Calc COE Calc'!$C$28)</f>
        <v/>
      </c>
      <c r="V2308" t="str">
        <f>IF(L2308="","",Q2308/'[1]LOCH Calc COE Calc'!$C$28)</f>
        <v/>
      </c>
      <c r="W2308" t="str">
        <f>IF(L2308="","",R2308/'[1]LOCH Calc COE Calc'!$C$28)</f>
        <v/>
      </c>
    </row>
    <row r="2309" spans="12:23" x14ac:dyDescent="0.25">
      <c r="L2309" s="4" t="str">
        <f>IF('[1]All Data '!BE2314="","",'[1]All Data '!BE2314)</f>
        <v/>
      </c>
      <c r="M2309" t="str">
        <f>IF('[1]All Data '!BF2314="","",'[1]All Data '!BF2314)</f>
        <v/>
      </c>
      <c r="N2309" s="5" t="str">
        <f>IF('[1]All Data '!BB2314="","",'[1]All Data '!BC2314/'[1]All Data '!BH2314)</f>
        <v/>
      </c>
      <c r="O2309" s="5" t="str">
        <f t="shared" si="38"/>
        <v/>
      </c>
      <c r="P2309" s="5" t="str">
        <f>IF(M2309="","",$C$2*(1-L2309)*907.2/0.621371*N2309*[1]Transportation!$M$40)</f>
        <v/>
      </c>
      <c r="Q2309" s="5" t="str">
        <f>IF(L2309="","",IF([1]Inputs_Outputs!$B$5="Herbaceous",(LCA!$E$29*'[1]LOCH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09" s="5" t="str">
        <f>IF(M2309="","",$E$2*1000*'[1]LOCH Calc COE Calc'!$C$44)</f>
        <v/>
      </c>
      <c r="S2309" s="6" t="str">
        <f>IF(N2309="","",SUM(O2309:R2309)/('[1]LOCH Calc COE Calc'!$C$28))</f>
        <v/>
      </c>
      <c r="T2309" t="str">
        <f>IF(L2309="","",O2309/'[1]LOCH Calc COE Calc'!$C$28)</f>
        <v/>
      </c>
      <c r="U2309" t="str">
        <f>IF(L2309="","",P2309/'[1]LOCH Calc COE Calc'!$C$28)</f>
        <v/>
      </c>
      <c r="V2309" t="str">
        <f>IF(L2309="","",Q2309/'[1]LOCH Calc COE Calc'!$C$28)</f>
        <v/>
      </c>
      <c r="W2309" t="str">
        <f>IF(L2309="","",R2309/'[1]LOCH Calc COE Calc'!$C$28)</f>
        <v/>
      </c>
    </row>
    <row r="2310" spans="12:23" x14ac:dyDescent="0.25">
      <c r="L2310" s="4" t="str">
        <f>IF('[1]All Data '!BE2315="","",'[1]All Data '!BE2315)</f>
        <v/>
      </c>
      <c r="M2310" t="str">
        <f>IF('[1]All Data '!BF2315="","",'[1]All Data '!BF2315)</f>
        <v/>
      </c>
      <c r="N2310" s="5" t="str">
        <f>IF('[1]All Data '!BB2315="","",'[1]All Data '!BC2315/'[1]All Data '!BH2315)</f>
        <v/>
      </c>
      <c r="O2310" s="5" t="str">
        <f t="shared" si="38"/>
        <v/>
      </c>
      <c r="P2310" s="5" t="str">
        <f>IF(M2310="","",$C$2*(1-L2310)*907.2/0.621371*N2310*[1]Transportation!$M$40)</f>
        <v/>
      </c>
      <c r="Q2310" s="5" t="str">
        <f>IF(L2310="","",IF([1]Inputs_Outputs!$B$5="Herbaceous",(LCA!$E$29*'[1]LOCH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0" s="5" t="str">
        <f>IF(M2310="","",$E$2*1000*'[1]LOCH Calc COE Calc'!$C$44)</f>
        <v/>
      </c>
      <c r="S2310" s="6" t="str">
        <f>IF(N2310="","",SUM(O2310:R2310)/('[1]LOCH Calc COE Calc'!$C$28))</f>
        <v/>
      </c>
      <c r="T2310" t="str">
        <f>IF(L2310="","",O2310/'[1]LOCH Calc COE Calc'!$C$28)</f>
        <v/>
      </c>
      <c r="U2310" t="str">
        <f>IF(L2310="","",P2310/'[1]LOCH Calc COE Calc'!$C$28)</f>
        <v/>
      </c>
      <c r="V2310" t="str">
        <f>IF(L2310="","",Q2310/'[1]LOCH Calc COE Calc'!$C$28)</f>
        <v/>
      </c>
      <c r="W2310" t="str">
        <f>IF(L2310="","",R2310/'[1]LOCH Calc COE Calc'!$C$28)</f>
        <v/>
      </c>
    </row>
    <row r="2311" spans="12:23" x14ac:dyDescent="0.25">
      <c r="L2311" s="4" t="str">
        <f>IF('[1]All Data '!BE2316="","",'[1]All Data '!BE2316)</f>
        <v/>
      </c>
      <c r="M2311" t="str">
        <f>IF('[1]All Data '!BF2316="","",'[1]All Data '!BF2316)</f>
        <v/>
      </c>
      <c r="N2311" s="5" t="str">
        <f>IF('[1]All Data '!BB2316="","",'[1]All Data '!BC2316/'[1]All Data '!BH2316)</f>
        <v/>
      </c>
      <c r="O2311" s="5" t="str">
        <f t="shared" si="38"/>
        <v/>
      </c>
      <c r="P2311" s="5" t="str">
        <f>IF(M2311="","",$C$2*(1-L2311)*907.2/0.621371*N2311*[1]Transportation!$M$40)</f>
        <v/>
      </c>
      <c r="Q2311" s="5" t="str">
        <f>IF(L2311="","",IF([1]Inputs_Outputs!$B$5="Herbaceous",(LCA!$E$29*'[1]LOCH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1" s="5" t="str">
        <f>IF(M2311="","",$E$2*1000*'[1]LOCH Calc COE Calc'!$C$44)</f>
        <v/>
      </c>
      <c r="S2311" s="6" t="str">
        <f>IF(N2311="","",SUM(O2311:R2311)/('[1]LOCH Calc COE Calc'!$C$28))</f>
        <v/>
      </c>
      <c r="T2311" t="str">
        <f>IF(L2311="","",O2311/'[1]LOCH Calc COE Calc'!$C$28)</f>
        <v/>
      </c>
      <c r="U2311" t="str">
        <f>IF(L2311="","",P2311/'[1]LOCH Calc COE Calc'!$C$28)</f>
        <v/>
      </c>
      <c r="V2311" t="str">
        <f>IF(L2311="","",Q2311/'[1]LOCH Calc COE Calc'!$C$28)</f>
        <v/>
      </c>
      <c r="W2311" t="str">
        <f>IF(L2311="","",R2311/'[1]LOCH Calc COE Calc'!$C$28)</f>
        <v/>
      </c>
    </row>
    <row r="2312" spans="12:23" x14ac:dyDescent="0.25">
      <c r="L2312" s="4" t="str">
        <f>IF('[1]All Data '!BE2317="","",'[1]All Data '!BE2317)</f>
        <v/>
      </c>
      <c r="M2312" t="str">
        <f>IF('[1]All Data '!BF2317="","",'[1]All Data '!BF2317)</f>
        <v/>
      </c>
      <c r="N2312" s="5" t="str">
        <f>IF('[1]All Data '!BB2317="","",'[1]All Data '!BC2317/'[1]All Data '!BH2317)</f>
        <v/>
      </c>
      <c r="O2312" s="5" t="str">
        <f t="shared" si="38"/>
        <v/>
      </c>
      <c r="P2312" s="5" t="str">
        <f>IF(M2312="","",$C$2*(1-L2312)*907.2/0.621371*N2312*[1]Transportation!$M$40)</f>
        <v/>
      </c>
      <c r="Q2312" s="5" t="str">
        <f>IF(L2312="","",IF([1]Inputs_Outputs!$B$5="Herbaceous",(LCA!$E$29*'[1]LOCH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2" s="5" t="str">
        <f>IF(M2312="","",$E$2*1000*'[1]LOCH Calc COE Calc'!$C$44)</f>
        <v/>
      </c>
      <c r="S2312" s="6" t="str">
        <f>IF(N2312="","",SUM(O2312:R2312)/('[1]LOCH Calc COE Calc'!$C$28))</f>
        <v/>
      </c>
      <c r="T2312" t="str">
        <f>IF(L2312="","",O2312/'[1]LOCH Calc COE Calc'!$C$28)</f>
        <v/>
      </c>
      <c r="U2312" t="str">
        <f>IF(L2312="","",P2312/'[1]LOCH Calc COE Calc'!$C$28)</f>
        <v/>
      </c>
      <c r="V2312" t="str">
        <f>IF(L2312="","",Q2312/'[1]LOCH Calc COE Calc'!$C$28)</f>
        <v/>
      </c>
      <c r="W2312" t="str">
        <f>IF(L2312="","",R2312/'[1]LOCH Calc COE Calc'!$C$28)</f>
        <v/>
      </c>
    </row>
    <row r="2313" spans="12:23" x14ac:dyDescent="0.25">
      <c r="L2313" s="4" t="str">
        <f>IF('[1]All Data '!BE2318="","",'[1]All Data '!BE2318)</f>
        <v/>
      </c>
      <c r="M2313" t="str">
        <f>IF('[1]All Data '!BF2318="","",'[1]All Data '!BF2318)</f>
        <v/>
      </c>
      <c r="N2313" s="5" t="str">
        <f>IF('[1]All Data '!BB2318="","",'[1]All Data '!BC2318/'[1]All Data '!BH2318)</f>
        <v/>
      </c>
      <c r="O2313" s="5" t="str">
        <f t="shared" si="38"/>
        <v/>
      </c>
      <c r="P2313" s="5" t="str">
        <f>IF(M2313="","",$C$2*(1-L2313)*907.2/0.621371*N2313*[1]Transportation!$M$40)</f>
        <v/>
      </c>
      <c r="Q2313" s="5" t="str">
        <f>IF(L2313="","",IF([1]Inputs_Outputs!$B$5="Herbaceous",(LCA!$E$29*'[1]LOCH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3" s="5" t="str">
        <f>IF(M2313="","",$E$2*1000*'[1]LOCH Calc COE Calc'!$C$44)</f>
        <v/>
      </c>
      <c r="S2313" s="6" t="str">
        <f>IF(N2313="","",SUM(O2313:R2313)/('[1]LOCH Calc COE Calc'!$C$28))</f>
        <v/>
      </c>
      <c r="T2313" t="str">
        <f>IF(L2313="","",O2313/'[1]LOCH Calc COE Calc'!$C$28)</f>
        <v/>
      </c>
      <c r="U2313" t="str">
        <f>IF(L2313="","",P2313/'[1]LOCH Calc COE Calc'!$C$28)</f>
        <v/>
      </c>
      <c r="V2313" t="str">
        <f>IF(L2313="","",Q2313/'[1]LOCH Calc COE Calc'!$C$28)</f>
        <v/>
      </c>
      <c r="W2313" t="str">
        <f>IF(L2313="","",R2313/'[1]LOCH Calc COE Calc'!$C$28)</f>
        <v/>
      </c>
    </row>
    <row r="2314" spans="12:23" x14ac:dyDescent="0.25">
      <c r="L2314" s="4" t="str">
        <f>IF('[1]All Data '!BE2319="","",'[1]All Data '!BE2319)</f>
        <v/>
      </c>
      <c r="M2314" t="str">
        <f>IF('[1]All Data '!BF2319="","",'[1]All Data '!BF2319)</f>
        <v/>
      </c>
      <c r="N2314" s="5" t="str">
        <f>IF('[1]All Data '!BB2319="","",'[1]All Data '!BC2319/'[1]All Data '!BH2319)</f>
        <v/>
      </c>
      <c r="O2314" s="5" t="str">
        <f t="shared" si="38"/>
        <v/>
      </c>
      <c r="P2314" s="5" t="str">
        <f>IF(M2314="","",$C$2*(1-L2314)*907.2/0.621371*N2314*[1]Transportation!$M$40)</f>
        <v/>
      </c>
      <c r="Q2314" s="5" t="str">
        <f>IF(L2314="","",IF([1]Inputs_Outputs!$B$5="Herbaceous",(LCA!$E$29*'[1]LOCH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4" s="5" t="str">
        <f>IF(M2314="","",$E$2*1000*'[1]LOCH Calc COE Calc'!$C$44)</f>
        <v/>
      </c>
      <c r="S2314" s="6" t="str">
        <f>IF(N2314="","",SUM(O2314:R2314)/('[1]LOCH Calc COE Calc'!$C$28))</f>
        <v/>
      </c>
      <c r="T2314" t="str">
        <f>IF(L2314="","",O2314/'[1]LOCH Calc COE Calc'!$C$28)</f>
        <v/>
      </c>
      <c r="U2314" t="str">
        <f>IF(L2314="","",P2314/'[1]LOCH Calc COE Calc'!$C$28)</f>
        <v/>
      </c>
      <c r="V2314" t="str">
        <f>IF(L2314="","",Q2314/'[1]LOCH Calc COE Calc'!$C$28)</f>
        <v/>
      </c>
      <c r="W2314" t="str">
        <f>IF(L2314="","",R2314/'[1]LOCH Calc COE Calc'!$C$28)</f>
        <v/>
      </c>
    </row>
    <row r="2315" spans="12:23" x14ac:dyDescent="0.25">
      <c r="L2315" s="4" t="str">
        <f>IF('[1]All Data '!BE2320="","",'[1]All Data '!BE2320)</f>
        <v/>
      </c>
      <c r="M2315" t="str">
        <f>IF('[1]All Data '!BF2320="","",'[1]All Data '!BF2320)</f>
        <v/>
      </c>
      <c r="N2315" s="5" t="str">
        <f>IF('[1]All Data '!BB2320="","",'[1]All Data '!BC2320/'[1]All Data '!BH2320)</f>
        <v/>
      </c>
      <c r="O2315" s="5" t="str">
        <f t="shared" si="38"/>
        <v/>
      </c>
      <c r="P2315" s="5" t="str">
        <f>IF(M2315="","",$C$2*(1-L2315)*907.2/0.621371*N2315*[1]Transportation!$M$40)</f>
        <v/>
      </c>
      <c r="Q2315" s="5" t="str">
        <f>IF(L2315="","",IF([1]Inputs_Outputs!$B$5="Herbaceous",(LCA!$E$29*'[1]LOCH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5" s="5" t="str">
        <f>IF(M2315="","",$E$2*1000*'[1]LOCH Calc COE Calc'!$C$44)</f>
        <v/>
      </c>
      <c r="S2315" s="6" t="str">
        <f>IF(N2315="","",SUM(O2315:R2315)/('[1]LOCH Calc COE Calc'!$C$28))</f>
        <v/>
      </c>
      <c r="T2315" t="str">
        <f>IF(L2315="","",O2315/'[1]LOCH Calc COE Calc'!$C$28)</f>
        <v/>
      </c>
      <c r="U2315" t="str">
        <f>IF(L2315="","",P2315/'[1]LOCH Calc COE Calc'!$C$28)</f>
        <v/>
      </c>
      <c r="V2315" t="str">
        <f>IF(L2315="","",Q2315/'[1]LOCH Calc COE Calc'!$C$28)</f>
        <v/>
      </c>
      <c r="W2315" t="str">
        <f>IF(L2315="","",R2315/'[1]LOCH Calc COE Calc'!$C$28)</f>
        <v/>
      </c>
    </row>
    <row r="2316" spans="12:23" x14ac:dyDescent="0.25">
      <c r="L2316" s="4" t="str">
        <f>IF('[1]All Data '!BE2321="","",'[1]All Data '!BE2321)</f>
        <v/>
      </c>
      <c r="M2316" t="str">
        <f>IF('[1]All Data '!BF2321="","",'[1]All Data '!BF2321)</f>
        <v/>
      </c>
      <c r="N2316" s="5" t="str">
        <f>IF('[1]All Data '!BB2321="","",'[1]All Data '!BC2321/'[1]All Data '!BH2321)</f>
        <v/>
      </c>
      <c r="O2316" s="5" t="str">
        <f t="shared" si="38"/>
        <v/>
      </c>
      <c r="P2316" s="5" t="str">
        <f>IF(M2316="","",$C$2*(1-L2316)*907.2/0.621371*N2316*[1]Transportation!$M$40)</f>
        <v/>
      </c>
      <c r="Q2316" s="5" t="str">
        <f>IF(L2316="","",IF([1]Inputs_Outputs!$B$5="Herbaceous",(LCA!$E$29*'[1]LOCH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6" s="5" t="str">
        <f>IF(M2316="","",$E$2*1000*'[1]LOCH Calc COE Calc'!$C$44)</f>
        <v/>
      </c>
      <c r="S2316" s="6" t="str">
        <f>IF(N2316="","",SUM(O2316:R2316)/('[1]LOCH Calc COE Calc'!$C$28))</f>
        <v/>
      </c>
      <c r="T2316" t="str">
        <f>IF(L2316="","",O2316/'[1]LOCH Calc COE Calc'!$C$28)</f>
        <v/>
      </c>
      <c r="U2316" t="str">
        <f>IF(L2316="","",P2316/'[1]LOCH Calc COE Calc'!$C$28)</f>
        <v/>
      </c>
      <c r="V2316" t="str">
        <f>IF(L2316="","",Q2316/'[1]LOCH Calc COE Calc'!$C$28)</f>
        <v/>
      </c>
      <c r="W2316" t="str">
        <f>IF(L2316="","",R2316/'[1]LOCH Calc COE Calc'!$C$28)</f>
        <v/>
      </c>
    </row>
    <row r="2317" spans="12:23" x14ac:dyDescent="0.25">
      <c r="L2317" s="4" t="str">
        <f>IF('[1]All Data '!BE2322="","",'[1]All Data '!BE2322)</f>
        <v/>
      </c>
      <c r="M2317" t="str">
        <f>IF('[1]All Data '!BF2322="","",'[1]All Data '!BF2322)</f>
        <v/>
      </c>
      <c r="N2317" s="5" t="str">
        <f>IF('[1]All Data '!BB2322="","",'[1]All Data '!BC2322/'[1]All Data '!BH2322)</f>
        <v/>
      </c>
      <c r="O2317" s="5" t="str">
        <f t="shared" si="38"/>
        <v/>
      </c>
      <c r="P2317" s="5" t="str">
        <f>IF(M2317="","",$C$2*(1-L2317)*907.2/0.621371*N2317*[1]Transportation!$M$40)</f>
        <v/>
      </c>
      <c r="Q2317" s="5" t="str">
        <f>IF(L2317="","",IF([1]Inputs_Outputs!$B$5="Herbaceous",(LCA!$E$29*'[1]LOCH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7" s="5" t="str">
        <f>IF(M2317="","",$E$2*1000*'[1]LOCH Calc COE Calc'!$C$44)</f>
        <v/>
      </c>
      <c r="S2317" s="6" t="str">
        <f>IF(N2317="","",SUM(O2317:R2317)/('[1]LOCH Calc COE Calc'!$C$28))</f>
        <v/>
      </c>
      <c r="T2317" t="str">
        <f>IF(L2317="","",O2317/'[1]LOCH Calc COE Calc'!$C$28)</f>
        <v/>
      </c>
      <c r="U2317" t="str">
        <f>IF(L2317="","",P2317/'[1]LOCH Calc COE Calc'!$C$28)</f>
        <v/>
      </c>
      <c r="V2317" t="str">
        <f>IF(L2317="","",Q2317/'[1]LOCH Calc COE Calc'!$C$28)</f>
        <v/>
      </c>
      <c r="W2317" t="str">
        <f>IF(L2317="","",R2317/'[1]LOCH Calc COE Calc'!$C$28)</f>
        <v/>
      </c>
    </row>
    <row r="2318" spans="12:23" x14ac:dyDescent="0.25">
      <c r="L2318" s="4" t="str">
        <f>IF('[1]All Data '!BE2323="","",'[1]All Data '!BE2323)</f>
        <v/>
      </c>
      <c r="M2318" t="str">
        <f>IF('[1]All Data '!BF2323="","",'[1]All Data '!BF2323)</f>
        <v/>
      </c>
      <c r="N2318" s="5" t="str">
        <f>IF('[1]All Data '!BB2323="","",'[1]All Data '!BC2323/'[1]All Data '!BH2323)</f>
        <v/>
      </c>
      <c r="O2318" s="5" t="str">
        <f t="shared" si="38"/>
        <v/>
      </c>
      <c r="P2318" s="5" t="str">
        <f>IF(M2318="","",$C$2*(1-L2318)*907.2/0.621371*N2318*[1]Transportation!$M$40)</f>
        <v/>
      </c>
      <c r="Q2318" s="5" t="str">
        <f>IF(L2318="","",IF([1]Inputs_Outputs!$B$5="Herbaceous",(LCA!$E$29*'[1]LOCH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8" s="5" t="str">
        <f>IF(M2318="","",$E$2*1000*'[1]LOCH Calc COE Calc'!$C$44)</f>
        <v/>
      </c>
      <c r="S2318" s="6" t="str">
        <f>IF(N2318="","",SUM(O2318:R2318)/('[1]LOCH Calc COE Calc'!$C$28))</f>
        <v/>
      </c>
      <c r="T2318" t="str">
        <f>IF(L2318="","",O2318/'[1]LOCH Calc COE Calc'!$C$28)</f>
        <v/>
      </c>
      <c r="U2318" t="str">
        <f>IF(L2318="","",P2318/'[1]LOCH Calc COE Calc'!$C$28)</f>
        <v/>
      </c>
      <c r="V2318" t="str">
        <f>IF(L2318="","",Q2318/'[1]LOCH Calc COE Calc'!$C$28)</f>
        <v/>
      </c>
      <c r="W2318" t="str">
        <f>IF(L2318="","",R2318/'[1]LOCH Calc COE Calc'!$C$28)</f>
        <v/>
      </c>
    </row>
    <row r="2319" spans="12:23" x14ac:dyDescent="0.25">
      <c r="L2319" s="4" t="str">
        <f>IF('[1]All Data '!BE2324="","",'[1]All Data '!BE2324)</f>
        <v/>
      </c>
      <c r="M2319" t="str">
        <f>IF('[1]All Data '!BF2324="","",'[1]All Data '!BF2324)</f>
        <v/>
      </c>
      <c r="N2319" s="5" t="str">
        <f>IF('[1]All Data '!BB2324="","",'[1]All Data '!BC2324/'[1]All Data '!BH2324)</f>
        <v/>
      </c>
      <c r="O2319" s="5" t="str">
        <f t="shared" si="38"/>
        <v/>
      </c>
      <c r="P2319" s="5" t="str">
        <f>IF(M2319="","",$C$2*(1-L2319)*907.2/0.621371*N2319*[1]Transportation!$M$40)</f>
        <v/>
      </c>
      <c r="Q2319" s="5" t="str">
        <f>IF(L2319="","",IF([1]Inputs_Outputs!$B$5="Herbaceous",(LCA!$E$29*'[1]LOCH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19" s="5" t="str">
        <f>IF(M2319="","",$E$2*1000*'[1]LOCH Calc COE Calc'!$C$44)</f>
        <v/>
      </c>
      <c r="S2319" s="6" t="str">
        <f>IF(N2319="","",SUM(O2319:R2319)/('[1]LOCH Calc COE Calc'!$C$28))</f>
        <v/>
      </c>
      <c r="T2319" t="str">
        <f>IF(L2319="","",O2319/'[1]LOCH Calc COE Calc'!$C$28)</f>
        <v/>
      </c>
      <c r="U2319" t="str">
        <f>IF(L2319="","",P2319/'[1]LOCH Calc COE Calc'!$C$28)</f>
        <v/>
      </c>
      <c r="V2319" t="str">
        <f>IF(L2319="","",Q2319/'[1]LOCH Calc COE Calc'!$C$28)</f>
        <v/>
      </c>
      <c r="W2319" t="str">
        <f>IF(L2319="","",R2319/'[1]LOCH Calc COE Calc'!$C$28)</f>
        <v/>
      </c>
    </row>
    <row r="2320" spans="12:23" x14ac:dyDescent="0.25">
      <c r="L2320" s="4" t="str">
        <f>IF('[1]All Data '!BE2325="","",'[1]All Data '!BE2325)</f>
        <v/>
      </c>
      <c r="M2320" t="str">
        <f>IF('[1]All Data '!BF2325="","",'[1]All Data '!BF2325)</f>
        <v/>
      </c>
      <c r="N2320" s="5" t="str">
        <f>IF('[1]All Data '!BB2325="","",'[1]All Data '!BC2325/'[1]All Data '!BH2325)</f>
        <v/>
      </c>
      <c r="O2320" s="5" t="str">
        <f t="shared" si="38"/>
        <v/>
      </c>
      <c r="P2320" s="5" t="str">
        <f>IF(M2320="","",$C$2*(1-L2320)*907.2/0.621371*N2320*[1]Transportation!$M$40)</f>
        <v/>
      </c>
      <c r="Q2320" s="5" t="str">
        <f>IF(L2320="","",IF([1]Inputs_Outputs!$B$5="Herbaceous",(LCA!$E$29*'[1]LOCH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0" s="5" t="str">
        <f>IF(M2320="","",$E$2*1000*'[1]LOCH Calc COE Calc'!$C$44)</f>
        <v/>
      </c>
      <c r="S2320" s="6" t="str">
        <f>IF(N2320="","",SUM(O2320:R2320)/('[1]LOCH Calc COE Calc'!$C$28))</f>
        <v/>
      </c>
      <c r="T2320" t="str">
        <f>IF(L2320="","",O2320/'[1]LOCH Calc COE Calc'!$C$28)</f>
        <v/>
      </c>
      <c r="U2320" t="str">
        <f>IF(L2320="","",P2320/'[1]LOCH Calc COE Calc'!$C$28)</f>
        <v/>
      </c>
      <c r="V2320" t="str">
        <f>IF(L2320="","",Q2320/'[1]LOCH Calc COE Calc'!$C$28)</f>
        <v/>
      </c>
      <c r="W2320" t="str">
        <f>IF(L2320="","",R2320/'[1]LOCH Calc COE Calc'!$C$28)</f>
        <v/>
      </c>
    </row>
    <row r="2321" spans="12:23" x14ac:dyDescent="0.25">
      <c r="L2321" s="4" t="str">
        <f>IF('[1]All Data '!BE2326="","",'[1]All Data '!BE2326)</f>
        <v/>
      </c>
      <c r="M2321" t="str">
        <f>IF('[1]All Data '!BF2326="","",'[1]All Data '!BF2326)</f>
        <v/>
      </c>
      <c r="N2321" s="5" t="str">
        <f>IF('[1]All Data '!BB2326="","",'[1]All Data '!BC2326/'[1]All Data '!BH2326)</f>
        <v/>
      </c>
      <c r="O2321" s="5" t="str">
        <f t="shared" si="38"/>
        <v/>
      </c>
      <c r="P2321" s="5" t="str">
        <f>IF(M2321="","",$C$2*(1-L2321)*907.2/0.621371*N2321*[1]Transportation!$M$40)</f>
        <v/>
      </c>
      <c r="Q2321" s="5" t="str">
        <f>IF(L2321="","",IF([1]Inputs_Outputs!$B$5="Herbaceous",(LCA!$E$29*'[1]LOCH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1" s="5" t="str">
        <f>IF(M2321="","",$E$2*1000*'[1]LOCH Calc COE Calc'!$C$44)</f>
        <v/>
      </c>
      <c r="S2321" s="6" t="str">
        <f>IF(N2321="","",SUM(O2321:R2321)/('[1]LOCH Calc COE Calc'!$C$28))</f>
        <v/>
      </c>
      <c r="T2321" t="str">
        <f>IF(L2321="","",O2321/'[1]LOCH Calc COE Calc'!$C$28)</f>
        <v/>
      </c>
      <c r="U2321" t="str">
        <f>IF(L2321="","",P2321/'[1]LOCH Calc COE Calc'!$C$28)</f>
        <v/>
      </c>
      <c r="V2321" t="str">
        <f>IF(L2321="","",Q2321/'[1]LOCH Calc COE Calc'!$C$28)</f>
        <v/>
      </c>
      <c r="W2321" t="str">
        <f>IF(L2321="","",R2321/'[1]LOCH Calc COE Calc'!$C$28)</f>
        <v/>
      </c>
    </row>
    <row r="2322" spans="12:23" x14ac:dyDescent="0.25">
      <c r="L2322" s="4" t="str">
        <f>IF('[1]All Data '!BE2327="","",'[1]All Data '!BE2327)</f>
        <v/>
      </c>
      <c r="M2322" t="str">
        <f>IF('[1]All Data '!BF2327="","",'[1]All Data '!BF2327)</f>
        <v/>
      </c>
      <c r="N2322" s="5" t="str">
        <f>IF('[1]All Data '!BB2327="","",'[1]All Data '!BC2327/'[1]All Data '!BH2327)</f>
        <v/>
      </c>
      <c r="O2322" s="5" t="str">
        <f t="shared" si="38"/>
        <v/>
      </c>
      <c r="P2322" s="5" t="str">
        <f>IF(M2322="","",$C$2*(1-L2322)*907.2/0.621371*N2322*[1]Transportation!$M$40)</f>
        <v/>
      </c>
      <c r="Q2322" s="5" t="str">
        <f>IF(L2322="","",IF([1]Inputs_Outputs!$B$5="Herbaceous",(LCA!$E$29*'[1]LOCH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2" s="5" t="str">
        <f>IF(M2322="","",$E$2*1000*'[1]LOCH Calc COE Calc'!$C$44)</f>
        <v/>
      </c>
      <c r="S2322" s="6" t="str">
        <f>IF(N2322="","",SUM(O2322:R2322)/('[1]LOCH Calc COE Calc'!$C$28))</f>
        <v/>
      </c>
      <c r="T2322" t="str">
        <f>IF(L2322="","",O2322/'[1]LOCH Calc COE Calc'!$C$28)</f>
        <v/>
      </c>
      <c r="U2322" t="str">
        <f>IF(L2322="","",P2322/'[1]LOCH Calc COE Calc'!$C$28)</f>
        <v/>
      </c>
      <c r="V2322" t="str">
        <f>IF(L2322="","",Q2322/'[1]LOCH Calc COE Calc'!$C$28)</f>
        <v/>
      </c>
      <c r="W2322" t="str">
        <f>IF(L2322="","",R2322/'[1]LOCH Calc COE Calc'!$C$28)</f>
        <v/>
      </c>
    </row>
    <row r="2323" spans="12:23" x14ac:dyDescent="0.25">
      <c r="L2323" s="4" t="str">
        <f>IF('[1]All Data '!BE2328="","",'[1]All Data '!BE2328)</f>
        <v/>
      </c>
      <c r="M2323" t="str">
        <f>IF('[1]All Data '!BF2328="","",'[1]All Data '!BF2328)</f>
        <v/>
      </c>
      <c r="N2323" s="5" t="str">
        <f>IF('[1]All Data '!BB2328="","",'[1]All Data '!BC2328/'[1]All Data '!BH2328)</f>
        <v/>
      </c>
      <c r="O2323" s="5" t="str">
        <f t="shared" si="38"/>
        <v/>
      </c>
      <c r="P2323" s="5" t="str">
        <f>IF(M2323="","",$C$2*(1-L2323)*907.2/0.621371*N2323*[1]Transportation!$M$40)</f>
        <v/>
      </c>
      <c r="Q2323" s="5" t="str">
        <f>IF(L2323="","",IF([1]Inputs_Outputs!$B$5="Herbaceous",(LCA!$E$29*'[1]LOCH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3" s="5" t="str">
        <f>IF(M2323="","",$E$2*1000*'[1]LOCH Calc COE Calc'!$C$44)</f>
        <v/>
      </c>
      <c r="S2323" s="6" t="str">
        <f>IF(N2323="","",SUM(O2323:R2323)/('[1]LOCH Calc COE Calc'!$C$28))</f>
        <v/>
      </c>
      <c r="T2323" t="str">
        <f>IF(L2323="","",O2323/'[1]LOCH Calc COE Calc'!$C$28)</f>
        <v/>
      </c>
      <c r="U2323" t="str">
        <f>IF(L2323="","",P2323/'[1]LOCH Calc COE Calc'!$C$28)</f>
        <v/>
      </c>
      <c r="V2323" t="str">
        <f>IF(L2323="","",Q2323/'[1]LOCH Calc COE Calc'!$C$28)</f>
        <v/>
      </c>
      <c r="W2323" t="str">
        <f>IF(L2323="","",R2323/'[1]LOCH Calc COE Calc'!$C$28)</f>
        <v/>
      </c>
    </row>
    <row r="2324" spans="12:23" x14ac:dyDescent="0.25">
      <c r="L2324" s="4" t="str">
        <f>IF('[1]All Data '!BE2329="","",'[1]All Data '!BE2329)</f>
        <v/>
      </c>
      <c r="M2324" t="str">
        <f>IF('[1]All Data '!BF2329="","",'[1]All Data '!BF2329)</f>
        <v/>
      </c>
      <c r="N2324" s="5" t="str">
        <f>IF('[1]All Data '!BB2329="","",'[1]All Data '!BC2329/'[1]All Data '!BH2329)</f>
        <v/>
      </c>
      <c r="O2324" s="5" t="str">
        <f t="shared" si="38"/>
        <v/>
      </c>
      <c r="P2324" s="5" t="str">
        <f>IF(M2324="","",$C$2*(1-L2324)*907.2/0.621371*N2324*[1]Transportation!$M$40)</f>
        <v/>
      </c>
      <c r="Q2324" s="5" t="str">
        <f>IF(L2324="","",IF([1]Inputs_Outputs!$B$5="Herbaceous",(LCA!$E$29*'[1]LOCH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4" s="5" t="str">
        <f>IF(M2324="","",$E$2*1000*'[1]LOCH Calc COE Calc'!$C$44)</f>
        <v/>
      </c>
      <c r="S2324" s="6" t="str">
        <f>IF(N2324="","",SUM(O2324:R2324)/('[1]LOCH Calc COE Calc'!$C$28))</f>
        <v/>
      </c>
      <c r="T2324" t="str">
        <f>IF(L2324="","",O2324/'[1]LOCH Calc COE Calc'!$C$28)</f>
        <v/>
      </c>
      <c r="U2324" t="str">
        <f>IF(L2324="","",P2324/'[1]LOCH Calc COE Calc'!$C$28)</f>
        <v/>
      </c>
      <c r="V2324" t="str">
        <f>IF(L2324="","",Q2324/'[1]LOCH Calc COE Calc'!$C$28)</f>
        <v/>
      </c>
      <c r="W2324" t="str">
        <f>IF(L2324="","",R2324/'[1]LOCH Calc COE Calc'!$C$28)</f>
        <v/>
      </c>
    </row>
    <row r="2325" spans="12:23" x14ac:dyDescent="0.25">
      <c r="L2325" s="4" t="str">
        <f>IF('[1]All Data '!BE2330="","",'[1]All Data '!BE2330)</f>
        <v/>
      </c>
      <c r="M2325" t="str">
        <f>IF('[1]All Data '!BF2330="","",'[1]All Data '!BF2330)</f>
        <v/>
      </c>
      <c r="N2325" s="5" t="str">
        <f>IF('[1]All Data '!BB2330="","",'[1]All Data '!BC2330/'[1]All Data '!BH2330)</f>
        <v/>
      </c>
      <c r="O2325" s="5" t="str">
        <f t="shared" si="38"/>
        <v/>
      </c>
      <c r="P2325" s="5" t="str">
        <f>IF(M2325="","",$C$2*(1-L2325)*907.2/0.621371*N2325*[1]Transportation!$M$40)</f>
        <v/>
      </c>
      <c r="Q2325" s="5" t="str">
        <f>IF(L2325="","",IF([1]Inputs_Outputs!$B$5="Herbaceous",(LCA!$E$29*'[1]LOCH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5" s="5" t="str">
        <f>IF(M2325="","",$E$2*1000*'[1]LOCH Calc COE Calc'!$C$44)</f>
        <v/>
      </c>
      <c r="S2325" s="6" t="str">
        <f>IF(N2325="","",SUM(O2325:R2325)/('[1]LOCH Calc COE Calc'!$C$28))</f>
        <v/>
      </c>
      <c r="T2325" t="str">
        <f>IF(L2325="","",O2325/'[1]LOCH Calc COE Calc'!$C$28)</f>
        <v/>
      </c>
      <c r="U2325" t="str">
        <f>IF(L2325="","",P2325/'[1]LOCH Calc COE Calc'!$C$28)</f>
        <v/>
      </c>
      <c r="V2325" t="str">
        <f>IF(L2325="","",Q2325/'[1]LOCH Calc COE Calc'!$C$28)</f>
        <v/>
      </c>
      <c r="W2325" t="str">
        <f>IF(L2325="","",R2325/'[1]LOCH Calc COE Calc'!$C$28)</f>
        <v/>
      </c>
    </row>
    <row r="2326" spans="12:23" x14ac:dyDescent="0.25">
      <c r="L2326" s="4" t="str">
        <f>IF('[1]All Data '!BE2331="","",'[1]All Data '!BE2331)</f>
        <v/>
      </c>
      <c r="M2326" t="str">
        <f>IF('[1]All Data '!BF2331="","",'[1]All Data '!BF2331)</f>
        <v/>
      </c>
      <c r="N2326" s="5" t="str">
        <f>IF('[1]All Data '!BB2331="","",'[1]All Data '!BC2331/'[1]All Data '!BH2331)</f>
        <v/>
      </c>
      <c r="O2326" s="5" t="str">
        <f t="shared" si="38"/>
        <v/>
      </c>
      <c r="P2326" s="5" t="str">
        <f>IF(M2326="","",$C$2*(1-L2326)*907.2/0.621371*N2326*[1]Transportation!$M$40)</f>
        <v/>
      </c>
      <c r="Q2326" s="5" t="str">
        <f>IF(L2326="","",IF([1]Inputs_Outputs!$B$5="Herbaceous",(LCA!$E$29*'[1]LOCH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6" s="5" t="str">
        <f>IF(M2326="","",$E$2*1000*'[1]LOCH Calc COE Calc'!$C$44)</f>
        <v/>
      </c>
      <c r="S2326" s="6" t="str">
        <f>IF(N2326="","",SUM(O2326:R2326)/('[1]LOCH Calc COE Calc'!$C$28))</f>
        <v/>
      </c>
      <c r="T2326" t="str">
        <f>IF(L2326="","",O2326/'[1]LOCH Calc COE Calc'!$C$28)</f>
        <v/>
      </c>
      <c r="U2326" t="str">
        <f>IF(L2326="","",P2326/'[1]LOCH Calc COE Calc'!$C$28)</f>
        <v/>
      </c>
      <c r="V2326" t="str">
        <f>IF(L2326="","",Q2326/'[1]LOCH Calc COE Calc'!$C$28)</f>
        <v/>
      </c>
      <c r="W2326" t="str">
        <f>IF(L2326="","",R2326/'[1]LOCH Calc COE Calc'!$C$28)</f>
        <v/>
      </c>
    </row>
    <row r="2327" spans="12:23" x14ac:dyDescent="0.25">
      <c r="L2327" s="4" t="str">
        <f>IF('[1]All Data '!BE2332="","",'[1]All Data '!BE2332)</f>
        <v/>
      </c>
      <c r="M2327" t="str">
        <f>IF('[1]All Data '!BF2332="","",'[1]All Data '!BF2332)</f>
        <v/>
      </c>
      <c r="N2327" s="5" t="str">
        <f>IF('[1]All Data '!BB2332="","",'[1]All Data '!BC2332/'[1]All Data '!BH2332)</f>
        <v/>
      </c>
      <c r="O2327" s="5" t="str">
        <f t="shared" si="38"/>
        <v/>
      </c>
      <c r="P2327" s="5" t="str">
        <f>IF(M2327="","",$C$2*(1-L2327)*907.2/0.621371*N2327*[1]Transportation!$M$40)</f>
        <v/>
      </c>
      <c r="Q2327" s="5" t="str">
        <f>IF(L2327="","",IF([1]Inputs_Outputs!$B$5="Herbaceous",(LCA!$E$29*'[1]LOCH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7" s="5" t="str">
        <f>IF(M2327="","",$E$2*1000*'[1]LOCH Calc COE Calc'!$C$44)</f>
        <v/>
      </c>
      <c r="S2327" s="6" t="str">
        <f>IF(N2327="","",SUM(O2327:R2327)/('[1]LOCH Calc COE Calc'!$C$28))</f>
        <v/>
      </c>
      <c r="T2327" t="str">
        <f>IF(L2327="","",O2327/'[1]LOCH Calc COE Calc'!$C$28)</f>
        <v/>
      </c>
      <c r="U2327" t="str">
        <f>IF(L2327="","",P2327/'[1]LOCH Calc COE Calc'!$C$28)</f>
        <v/>
      </c>
      <c r="V2327" t="str">
        <f>IF(L2327="","",Q2327/'[1]LOCH Calc COE Calc'!$C$28)</f>
        <v/>
      </c>
      <c r="W2327" t="str">
        <f>IF(L2327="","",R2327/'[1]LOCH Calc COE Calc'!$C$28)</f>
        <v/>
      </c>
    </row>
    <row r="2328" spans="12:23" x14ac:dyDescent="0.25">
      <c r="L2328" s="4" t="str">
        <f>IF('[1]All Data '!BE2333="","",'[1]All Data '!BE2333)</f>
        <v/>
      </c>
      <c r="M2328" t="str">
        <f>IF('[1]All Data '!BF2333="","",'[1]All Data '!BF2333)</f>
        <v/>
      </c>
      <c r="N2328" s="5" t="str">
        <f>IF('[1]All Data '!BB2333="","",'[1]All Data '!BC2333/'[1]All Data '!BH2333)</f>
        <v/>
      </c>
      <c r="O2328" s="5" t="str">
        <f t="shared" si="38"/>
        <v/>
      </c>
      <c r="P2328" s="5" t="str">
        <f>IF(M2328="","",$C$2*(1-L2328)*907.2/0.621371*N2328*[1]Transportation!$M$40)</f>
        <v/>
      </c>
      <c r="Q2328" s="5" t="str">
        <f>IF(L2328="","",IF([1]Inputs_Outputs!$B$5="Herbaceous",(LCA!$E$29*'[1]LOCH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8" s="5" t="str">
        <f>IF(M2328="","",$E$2*1000*'[1]LOCH Calc COE Calc'!$C$44)</f>
        <v/>
      </c>
      <c r="S2328" s="6" t="str">
        <f>IF(N2328="","",SUM(O2328:R2328)/('[1]LOCH Calc COE Calc'!$C$28))</f>
        <v/>
      </c>
      <c r="T2328" t="str">
        <f>IF(L2328="","",O2328/'[1]LOCH Calc COE Calc'!$C$28)</f>
        <v/>
      </c>
      <c r="U2328" t="str">
        <f>IF(L2328="","",P2328/'[1]LOCH Calc COE Calc'!$C$28)</f>
        <v/>
      </c>
      <c r="V2328" t="str">
        <f>IF(L2328="","",Q2328/'[1]LOCH Calc COE Calc'!$C$28)</f>
        <v/>
      </c>
      <c r="W2328" t="str">
        <f>IF(L2328="","",R2328/'[1]LOCH Calc COE Calc'!$C$28)</f>
        <v/>
      </c>
    </row>
    <row r="2329" spans="12:23" x14ac:dyDescent="0.25">
      <c r="L2329" s="4" t="str">
        <f>IF('[1]All Data '!BE2334="","",'[1]All Data '!BE2334)</f>
        <v/>
      </c>
      <c r="M2329" t="str">
        <f>IF('[1]All Data '!BF2334="","",'[1]All Data '!BF2334)</f>
        <v/>
      </c>
      <c r="N2329" s="5" t="str">
        <f>IF('[1]All Data '!BB2334="","",'[1]All Data '!BC2334/'[1]All Data '!BH2334)</f>
        <v/>
      </c>
      <c r="O2329" s="5" t="str">
        <f t="shared" si="38"/>
        <v/>
      </c>
      <c r="P2329" s="5" t="str">
        <f>IF(M2329="","",$C$2*(1-L2329)*907.2/0.621371*N2329*[1]Transportation!$M$40)</f>
        <v/>
      </c>
      <c r="Q2329" s="5" t="str">
        <f>IF(L2329="","",IF([1]Inputs_Outputs!$B$5="Herbaceous",(LCA!$E$29*'[1]LOCH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29" s="5" t="str">
        <f>IF(M2329="","",$E$2*1000*'[1]LOCH Calc COE Calc'!$C$44)</f>
        <v/>
      </c>
      <c r="S2329" s="6" t="str">
        <f>IF(N2329="","",SUM(O2329:R2329)/('[1]LOCH Calc COE Calc'!$C$28))</f>
        <v/>
      </c>
      <c r="T2329" t="str">
        <f>IF(L2329="","",O2329/'[1]LOCH Calc COE Calc'!$C$28)</f>
        <v/>
      </c>
      <c r="U2329" t="str">
        <f>IF(L2329="","",P2329/'[1]LOCH Calc COE Calc'!$C$28)</f>
        <v/>
      </c>
      <c r="V2329" t="str">
        <f>IF(L2329="","",Q2329/'[1]LOCH Calc COE Calc'!$C$28)</f>
        <v/>
      </c>
      <c r="W2329" t="str">
        <f>IF(L2329="","",R2329/'[1]LOCH Calc COE Calc'!$C$28)</f>
        <v/>
      </c>
    </row>
    <row r="2330" spans="12:23" x14ac:dyDescent="0.25">
      <c r="L2330" s="4" t="str">
        <f>IF('[1]All Data '!BE2335="","",'[1]All Data '!BE2335)</f>
        <v/>
      </c>
      <c r="M2330" t="str">
        <f>IF('[1]All Data '!BF2335="","",'[1]All Data '!BF2335)</f>
        <v/>
      </c>
      <c r="N2330" s="5" t="str">
        <f>IF('[1]All Data '!BB2335="","",'[1]All Data '!BC2335/'[1]All Data '!BH2335)</f>
        <v/>
      </c>
      <c r="O2330" s="5" t="str">
        <f t="shared" si="38"/>
        <v/>
      </c>
      <c r="P2330" s="5" t="str">
        <f>IF(M2330="","",$C$2*(1-L2330)*907.2/0.621371*N2330*[1]Transportation!$M$40)</f>
        <v/>
      </c>
      <c r="Q2330" s="5" t="str">
        <f>IF(L2330="","",IF([1]Inputs_Outputs!$B$5="Herbaceous",(LCA!$E$29*'[1]LOCH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0" s="5" t="str">
        <f>IF(M2330="","",$E$2*1000*'[1]LOCH Calc COE Calc'!$C$44)</f>
        <v/>
      </c>
      <c r="S2330" s="6" t="str">
        <f>IF(N2330="","",SUM(O2330:R2330)/('[1]LOCH Calc COE Calc'!$C$28))</f>
        <v/>
      </c>
      <c r="T2330" t="str">
        <f>IF(L2330="","",O2330/'[1]LOCH Calc COE Calc'!$C$28)</f>
        <v/>
      </c>
      <c r="U2330" t="str">
        <f>IF(L2330="","",P2330/'[1]LOCH Calc COE Calc'!$C$28)</f>
        <v/>
      </c>
      <c r="V2330" t="str">
        <f>IF(L2330="","",Q2330/'[1]LOCH Calc COE Calc'!$C$28)</f>
        <v/>
      </c>
      <c r="W2330" t="str">
        <f>IF(L2330="","",R2330/'[1]LOCH Calc COE Calc'!$C$28)</f>
        <v/>
      </c>
    </row>
    <row r="2331" spans="12:23" x14ac:dyDescent="0.25">
      <c r="L2331" s="4" t="str">
        <f>IF('[1]All Data '!BE2336="","",'[1]All Data '!BE2336)</f>
        <v/>
      </c>
      <c r="M2331" t="str">
        <f>IF('[1]All Data '!BF2336="","",'[1]All Data '!BF2336)</f>
        <v/>
      </c>
      <c r="N2331" s="5" t="str">
        <f>IF('[1]All Data '!BB2336="","",'[1]All Data '!BC2336/'[1]All Data '!BH2336)</f>
        <v/>
      </c>
      <c r="O2331" s="5" t="str">
        <f t="shared" si="38"/>
        <v/>
      </c>
      <c r="P2331" s="5" t="str">
        <f>IF(M2331="","",$C$2*(1-L2331)*907.2/0.621371*N2331*[1]Transportation!$M$40)</f>
        <v/>
      </c>
      <c r="Q2331" s="5" t="str">
        <f>IF(L2331="","",IF([1]Inputs_Outputs!$B$5="Herbaceous",(LCA!$E$29*'[1]LOCH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1" s="5" t="str">
        <f>IF(M2331="","",$E$2*1000*'[1]LOCH Calc COE Calc'!$C$44)</f>
        <v/>
      </c>
      <c r="S2331" s="6" t="str">
        <f>IF(N2331="","",SUM(O2331:R2331)/('[1]LOCH Calc COE Calc'!$C$28))</f>
        <v/>
      </c>
      <c r="T2331" t="str">
        <f>IF(L2331="","",O2331/'[1]LOCH Calc COE Calc'!$C$28)</f>
        <v/>
      </c>
      <c r="U2331" t="str">
        <f>IF(L2331="","",P2331/'[1]LOCH Calc COE Calc'!$C$28)</f>
        <v/>
      </c>
      <c r="V2331" t="str">
        <f>IF(L2331="","",Q2331/'[1]LOCH Calc COE Calc'!$C$28)</f>
        <v/>
      </c>
      <c r="W2331" t="str">
        <f>IF(L2331="","",R2331/'[1]LOCH Calc COE Calc'!$C$28)</f>
        <v/>
      </c>
    </row>
    <row r="2332" spans="12:23" x14ac:dyDescent="0.25">
      <c r="L2332" s="4" t="str">
        <f>IF('[1]All Data '!BE2337="","",'[1]All Data '!BE2337)</f>
        <v/>
      </c>
      <c r="M2332" t="str">
        <f>IF('[1]All Data '!BF2337="","",'[1]All Data '!BF2337)</f>
        <v/>
      </c>
      <c r="N2332" s="5" t="str">
        <f>IF('[1]All Data '!BB2337="","",'[1]All Data '!BC2337/'[1]All Data '!BH2337)</f>
        <v/>
      </c>
      <c r="O2332" s="5" t="str">
        <f t="shared" si="38"/>
        <v/>
      </c>
      <c r="P2332" s="5" t="str">
        <f>IF(M2332="","",$C$2*(1-L2332)*907.2/0.621371*N2332*[1]Transportation!$M$40)</f>
        <v/>
      </c>
      <c r="Q2332" s="5" t="str">
        <f>IF(L2332="","",IF([1]Inputs_Outputs!$B$5="Herbaceous",(LCA!$E$29*'[1]LOCH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2" s="5" t="str">
        <f>IF(M2332="","",$E$2*1000*'[1]LOCH Calc COE Calc'!$C$44)</f>
        <v/>
      </c>
      <c r="S2332" s="6" t="str">
        <f>IF(N2332="","",SUM(O2332:R2332)/('[1]LOCH Calc COE Calc'!$C$28))</f>
        <v/>
      </c>
      <c r="T2332" t="str">
        <f>IF(L2332="","",O2332/'[1]LOCH Calc COE Calc'!$C$28)</f>
        <v/>
      </c>
      <c r="U2332" t="str">
        <f>IF(L2332="","",P2332/'[1]LOCH Calc COE Calc'!$C$28)</f>
        <v/>
      </c>
      <c r="V2332" t="str">
        <f>IF(L2332="","",Q2332/'[1]LOCH Calc COE Calc'!$C$28)</f>
        <v/>
      </c>
      <c r="W2332" t="str">
        <f>IF(L2332="","",R2332/'[1]LOCH Calc COE Calc'!$C$28)</f>
        <v/>
      </c>
    </row>
    <row r="2333" spans="12:23" x14ac:dyDescent="0.25">
      <c r="L2333" s="4" t="str">
        <f>IF('[1]All Data '!BE2338="","",'[1]All Data '!BE2338)</f>
        <v/>
      </c>
      <c r="M2333" t="str">
        <f>IF('[1]All Data '!BF2338="","",'[1]All Data '!BF2338)</f>
        <v/>
      </c>
      <c r="N2333" s="5" t="str">
        <f>IF('[1]All Data '!BB2338="","",'[1]All Data '!BC2338/'[1]All Data '!BH2338)</f>
        <v/>
      </c>
      <c r="O2333" s="5" t="str">
        <f t="shared" si="38"/>
        <v/>
      </c>
      <c r="P2333" s="5" t="str">
        <f>IF(M2333="","",$C$2*(1-L2333)*907.2/0.621371*N2333*[1]Transportation!$M$40)</f>
        <v/>
      </c>
      <c r="Q2333" s="5" t="str">
        <f>IF(L2333="","",IF([1]Inputs_Outputs!$B$5="Herbaceous",(LCA!$E$29*'[1]LOCH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3" s="5" t="str">
        <f>IF(M2333="","",$E$2*1000*'[1]LOCH Calc COE Calc'!$C$44)</f>
        <v/>
      </c>
      <c r="S2333" s="6" t="str">
        <f>IF(N2333="","",SUM(O2333:R2333)/('[1]LOCH Calc COE Calc'!$C$28))</f>
        <v/>
      </c>
      <c r="T2333" t="str">
        <f>IF(L2333="","",O2333/'[1]LOCH Calc COE Calc'!$C$28)</f>
        <v/>
      </c>
      <c r="U2333" t="str">
        <f>IF(L2333="","",P2333/'[1]LOCH Calc COE Calc'!$C$28)</f>
        <v/>
      </c>
      <c r="V2333" t="str">
        <f>IF(L2333="","",Q2333/'[1]LOCH Calc COE Calc'!$C$28)</f>
        <v/>
      </c>
      <c r="W2333" t="str">
        <f>IF(L2333="","",R2333/'[1]LOCH Calc COE Calc'!$C$28)</f>
        <v/>
      </c>
    </row>
    <row r="2334" spans="12:23" x14ac:dyDescent="0.25">
      <c r="L2334" s="4" t="str">
        <f>IF('[1]All Data '!BE2339="","",'[1]All Data '!BE2339)</f>
        <v/>
      </c>
      <c r="M2334" t="str">
        <f>IF('[1]All Data '!BF2339="","",'[1]All Data '!BF2339)</f>
        <v/>
      </c>
      <c r="N2334" s="5" t="str">
        <f>IF('[1]All Data '!BB2339="","",'[1]All Data '!BC2339/'[1]All Data '!BH2339)</f>
        <v/>
      </c>
      <c r="O2334" s="5" t="str">
        <f t="shared" si="38"/>
        <v/>
      </c>
      <c r="P2334" s="5" t="str">
        <f>IF(M2334="","",$C$2*(1-L2334)*907.2/0.621371*N2334*[1]Transportation!$M$40)</f>
        <v/>
      </c>
      <c r="Q2334" s="5" t="str">
        <f>IF(L2334="","",IF([1]Inputs_Outputs!$B$5="Herbaceous",(LCA!$E$29*'[1]LOCH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4" s="5" t="str">
        <f>IF(M2334="","",$E$2*1000*'[1]LOCH Calc COE Calc'!$C$44)</f>
        <v/>
      </c>
      <c r="S2334" s="6" t="str">
        <f>IF(N2334="","",SUM(O2334:R2334)/('[1]LOCH Calc COE Calc'!$C$28))</f>
        <v/>
      </c>
      <c r="T2334" t="str">
        <f>IF(L2334="","",O2334/'[1]LOCH Calc COE Calc'!$C$28)</f>
        <v/>
      </c>
      <c r="U2334" t="str">
        <f>IF(L2334="","",P2334/'[1]LOCH Calc COE Calc'!$C$28)</f>
        <v/>
      </c>
      <c r="V2334" t="str">
        <f>IF(L2334="","",Q2334/'[1]LOCH Calc COE Calc'!$C$28)</f>
        <v/>
      </c>
      <c r="W2334" t="str">
        <f>IF(L2334="","",R2334/'[1]LOCH Calc COE Calc'!$C$28)</f>
        <v/>
      </c>
    </row>
    <row r="2335" spans="12:23" x14ac:dyDescent="0.25">
      <c r="L2335" s="4" t="str">
        <f>IF('[1]All Data '!BE2340="","",'[1]All Data '!BE2340)</f>
        <v/>
      </c>
      <c r="M2335" t="str">
        <f>IF('[1]All Data '!BF2340="","",'[1]All Data '!BF2340)</f>
        <v/>
      </c>
      <c r="N2335" s="5" t="str">
        <f>IF('[1]All Data '!BB2340="","",'[1]All Data '!BC2340/'[1]All Data '!BH2340)</f>
        <v/>
      </c>
      <c r="O2335" s="5" t="str">
        <f t="shared" si="38"/>
        <v/>
      </c>
      <c r="P2335" s="5" t="str">
        <f>IF(M2335="","",$C$2*(1-L2335)*907.2/0.621371*N2335*[1]Transportation!$M$40)</f>
        <v/>
      </c>
      <c r="Q2335" s="5" t="str">
        <f>IF(L2335="","",IF([1]Inputs_Outputs!$B$5="Herbaceous",(LCA!$E$29*'[1]LOCH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5" s="5" t="str">
        <f>IF(M2335="","",$E$2*1000*'[1]LOCH Calc COE Calc'!$C$44)</f>
        <v/>
      </c>
      <c r="S2335" s="6" t="str">
        <f>IF(N2335="","",SUM(O2335:R2335)/('[1]LOCH Calc COE Calc'!$C$28))</f>
        <v/>
      </c>
      <c r="T2335" t="str">
        <f>IF(L2335="","",O2335/'[1]LOCH Calc COE Calc'!$C$28)</f>
        <v/>
      </c>
      <c r="U2335" t="str">
        <f>IF(L2335="","",P2335/'[1]LOCH Calc COE Calc'!$C$28)</f>
        <v/>
      </c>
      <c r="V2335" t="str">
        <f>IF(L2335="","",Q2335/'[1]LOCH Calc COE Calc'!$C$28)</f>
        <v/>
      </c>
      <c r="W2335" t="str">
        <f>IF(L2335="","",R2335/'[1]LOCH Calc COE Calc'!$C$28)</f>
        <v/>
      </c>
    </row>
    <row r="2336" spans="12:23" x14ac:dyDescent="0.25">
      <c r="L2336" s="4" t="str">
        <f>IF('[1]All Data '!BE2341="","",'[1]All Data '!BE2341)</f>
        <v/>
      </c>
      <c r="M2336" t="str">
        <f>IF('[1]All Data '!BF2341="","",'[1]All Data '!BF2341)</f>
        <v/>
      </c>
      <c r="N2336" s="5" t="str">
        <f>IF('[1]All Data '!BB2341="","",'[1]All Data '!BC2341/'[1]All Data '!BH2341)</f>
        <v/>
      </c>
      <c r="O2336" s="5" t="str">
        <f t="shared" si="38"/>
        <v/>
      </c>
      <c r="P2336" s="5" t="str">
        <f>IF(M2336="","",$C$2*(1-L2336)*907.2/0.621371*N2336*[1]Transportation!$M$40)</f>
        <v/>
      </c>
      <c r="Q2336" s="5" t="str">
        <f>IF(L2336="","",IF([1]Inputs_Outputs!$B$5="Herbaceous",(LCA!$E$29*'[1]LOCH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6" s="5" t="str">
        <f>IF(M2336="","",$E$2*1000*'[1]LOCH Calc COE Calc'!$C$44)</f>
        <v/>
      </c>
      <c r="S2336" s="6" t="str">
        <f>IF(N2336="","",SUM(O2336:R2336)/('[1]LOCH Calc COE Calc'!$C$28))</f>
        <v/>
      </c>
      <c r="T2336" t="str">
        <f>IF(L2336="","",O2336/'[1]LOCH Calc COE Calc'!$C$28)</f>
        <v/>
      </c>
      <c r="U2336" t="str">
        <f>IF(L2336="","",P2336/'[1]LOCH Calc COE Calc'!$C$28)</f>
        <v/>
      </c>
      <c r="V2336" t="str">
        <f>IF(L2336="","",Q2336/'[1]LOCH Calc COE Calc'!$C$28)</f>
        <v/>
      </c>
      <c r="W2336" t="str">
        <f>IF(L2336="","",R2336/'[1]LOCH Calc COE Calc'!$C$28)</f>
        <v/>
      </c>
    </row>
    <row r="2337" spans="12:23" x14ac:dyDescent="0.25">
      <c r="L2337" s="4" t="str">
        <f>IF('[1]All Data '!BE2342="","",'[1]All Data '!BE2342)</f>
        <v/>
      </c>
      <c r="M2337" t="str">
        <f>IF('[1]All Data '!BF2342="","",'[1]All Data '!BF2342)</f>
        <v/>
      </c>
      <c r="N2337" s="5" t="str">
        <f>IF('[1]All Data '!BB2342="","",'[1]All Data '!BC2342/'[1]All Data '!BH2342)</f>
        <v/>
      </c>
      <c r="O2337" s="5" t="str">
        <f t="shared" si="38"/>
        <v/>
      </c>
      <c r="P2337" s="5" t="str">
        <f>IF(M2337="","",$C$2*(1-L2337)*907.2/0.621371*N2337*[1]Transportation!$M$40)</f>
        <v/>
      </c>
      <c r="Q2337" s="5" t="str">
        <f>IF(L2337="","",IF([1]Inputs_Outputs!$B$5="Herbaceous",(LCA!$E$29*'[1]LOCH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7" s="5" t="str">
        <f>IF(M2337="","",$E$2*1000*'[1]LOCH Calc COE Calc'!$C$44)</f>
        <v/>
      </c>
      <c r="S2337" s="6" t="str">
        <f>IF(N2337="","",SUM(O2337:R2337)/('[1]LOCH Calc COE Calc'!$C$28))</f>
        <v/>
      </c>
      <c r="T2337" t="str">
        <f>IF(L2337="","",O2337/'[1]LOCH Calc COE Calc'!$C$28)</f>
        <v/>
      </c>
      <c r="U2337" t="str">
        <f>IF(L2337="","",P2337/'[1]LOCH Calc COE Calc'!$C$28)</f>
        <v/>
      </c>
      <c r="V2337" t="str">
        <f>IF(L2337="","",Q2337/'[1]LOCH Calc COE Calc'!$C$28)</f>
        <v/>
      </c>
      <c r="W2337" t="str">
        <f>IF(L2337="","",R2337/'[1]LOCH Calc COE Calc'!$C$28)</f>
        <v/>
      </c>
    </row>
    <row r="2338" spans="12:23" x14ac:dyDescent="0.25">
      <c r="L2338" s="4" t="str">
        <f>IF('[1]All Data '!BE2343="","",'[1]All Data '!BE2343)</f>
        <v/>
      </c>
      <c r="M2338" t="str">
        <f>IF('[1]All Data '!BF2343="","",'[1]All Data '!BF2343)</f>
        <v/>
      </c>
      <c r="N2338" s="5" t="str">
        <f>IF('[1]All Data '!BB2343="","",'[1]All Data '!BC2343/'[1]All Data '!BH2343)</f>
        <v/>
      </c>
      <c r="O2338" s="5" t="str">
        <f t="shared" si="38"/>
        <v/>
      </c>
      <c r="P2338" s="5" t="str">
        <f>IF(M2338="","",$C$2*(1-L2338)*907.2/0.621371*N2338*[1]Transportation!$M$40)</f>
        <v/>
      </c>
      <c r="Q2338" s="5" t="str">
        <f>IF(L2338="","",IF([1]Inputs_Outputs!$B$5="Herbaceous",(LCA!$E$29*'[1]LOCH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8" s="5" t="str">
        <f>IF(M2338="","",$E$2*1000*'[1]LOCH Calc COE Calc'!$C$44)</f>
        <v/>
      </c>
      <c r="S2338" s="6" t="str">
        <f>IF(N2338="","",SUM(O2338:R2338)/('[1]LOCH Calc COE Calc'!$C$28))</f>
        <v/>
      </c>
      <c r="T2338" t="str">
        <f>IF(L2338="","",O2338/'[1]LOCH Calc COE Calc'!$C$28)</f>
        <v/>
      </c>
      <c r="U2338" t="str">
        <f>IF(L2338="","",P2338/'[1]LOCH Calc COE Calc'!$C$28)</f>
        <v/>
      </c>
      <c r="V2338" t="str">
        <f>IF(L2338="","",Q2338/'[1]LOCH Calc COE Calc'!$C$28)</f>
        <v/>
      </c>
      <c r="W2338" t="str">
        <f>IF(L2338="","",R2338/'[1]LOCH Calc COE Calc'!$C$28)</f>
        <v/>
      </c>
    </row>
    <row r="2339" spans="12:23" x14ac:dyDescent="0.25">
      <c r="L2339" s="4" t="str">
        <f>IF('[1]All Data '!BE2344="","",'[1]All Data '!BE2344)</f>
        <v/>
      </c>
      <c r="M2339" t="str">
        <f>IF('[1]All Data '!BF2344="","",'[1]All Data '!BF2344)</f>
        <v/>
      </c>
      <c r="N2339" s="5" t="str">
        <f>IF('[1]All Data '!BB2344="","",'[1]All Data '!BC2344/'[1]All Data '!BH2344)</f>
        <v/>
      </c>
      <c r="O2339" s="5" t="str">
        <f t="shared" si="38"/>
        <v/>
      </c>
      <c r="P2339" s="5" t="str">
        <f>IF(M2339="","",$C$2*(1-L2339)*907.2/0.621371*N2339*[1]Transportation!$M$40)</f>
        <v/>
      </c>
      <c r="Q2339" s="5" t="str">
        <f>IF(L2339="","",IF([1]Inputs_Outputs!$B$5="Herbaceous",(LCA!$E$29*'[1]LOCH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39" s="5" t="str">
        <f>IF(M2339="","",$E$2*1000*'[1]LOCH Calc COE Calc'!$C$44)</f>
        <v/>
      </c>
      <c r="S2339" s="6" t="str">
        <f>IF(N2339="","",SUM(O2339:R2339)/('[1]LOCH Calc COE Calc'!$C$28))</f>
        <v/>
      </c>
      <c r="T2339" t="str">
        <f>IF(L2339="","",O2339/'[1]LOCH Calc COE Calc'!$C$28)</f>
        <v/>
      </c>
      <c r="U2339" t="str">
        <f>IF(L2339="","",P2339/'[1]LOCH Calc COE Calc'!$C$28)</f>
        <v/>
      </c>
      <c r="V2339" t="str">
        <f>IF(L2339="","",Q2339/'[1]LOCH Calc COE Calc'!$C$28)</f>
        <v/>
      </c>
      <c r="W2339" t="str">
        <f>IF(L2339="","",R2339/'[1]LOCH Calc COE Calc'!$C$28)</f>
        <v/>
      </c>
    </row>
    <row r="2340" spans="12:23" x14ac:dyDescent="0.25">
      <c r="L2340" s="4" t="str">
        <f>IF('[1]All Data '!BE2345="","",'[1]All Data '!BE2345)</f>
        <v/>
      </c>
      <c r="M2340" t="str">
        <f>IF('[1]All Data '!BF2345="","",'[1]All Data '!BF2345)</f>
        <v/>
      </c>
      <c r="N2340" s="5" t="str">
        <f>IF('[1]All Data '!BB2345="","",'[1]All Data '!BC2345/'[1]All Data '!BH2345)</f>
        <v/>
      </c>
      <c r="O2340" s="5" t="str">
        <f t="shared" si="38"/>
        <v/>
      </c>
      <c r="P2340" s="5" t="str">
        <f>IF(M2340="","",$C$2*(1-L2340)*907.2/0.621371*N2340*[1]Transportation!$M$40)</f>
        <v/>
      </c>
      <c r="Q2340" s="5" t="str">
        <f>IF(L2340="","",IF([1]Inputs_Outputs!$B$5="Herbaceous",(LCA!$E$29*'[1]LOCH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0" s="5" t="str">
        <f>IF(M2340="","",$E$2*1000*'[1]LOCH Calc COE Calc'!$C$44)</f>
        <v/>
      </c>
      <c r="S2340" s="6" t="str">
        <f>IF(N2340="","",SUM(O2340:R2340)/('[1]LOCH Calc COE Calc'!$C$28))</f>
        <v/>
      </c>
      <c r="T2340" t="str">
        <f>IF(L2340="","",O2340/'[1]LOCH Calc COE Calc'!$C$28)</f>
        <v/>
      </c>
      <c r="U2340" t="str">
        <f>IF(L2340="","",P2340/'[1]LOCH Calc COE Calc'!$C$28)</f>
        <v/>
      </c>
      <c r="V2340" t="str">
        <f>IF(L2340="","",Q2340/'[1]LOCH Calc COE Calc'!$C$28)</f>
        <v/>
      </c>
      <c r="W2340" t="str">
        <f>IF(L2340="","",R2340/'[1]LOCH Calc COE Calc'!$C$28)</f>
        <v/>
      </c>
    </row>
    <row r="2341" spans="12:23" x14ac:dyDescent="0.25">
      <c r="L2341" s="4" t="str">
        <f>IF('[1]All Data '!BE2346="","",'[1]All Data '!BE2346)</f>
        <v/>
      </c>
      <c r="M2341" t="str">
        <f>IF('[1]All Data '!BF2346="","",'[1]All Data '!BF2346)</f>
        <v/>
      </c>
      <c r="N2341" s="5" t="str">
        <f>IF('[1]All Data '!BB2346="","",'[1]All Data '!BC2346/'[1]All Data '!BH2346)</f>
        <v/>
      </c>
      <c r="O2341" s="5" t="str">
        <f t="shared" si="38"/>
        <v/>
      </c>
      <c r="P2341" s="5" t="str">
        <f>IF(M2341="","",$C$2*(1-L2341)*907.2/0.621371*N2341*[1]Transportation!$M$40)</f>
        <v/>
      </c>
      <c r="Q2341" s="5" t="str">
        <f>IF(L2341="","",IF([1]Inputs_Outputs!$B$5="Herbaceous",(LCA!$E$29*'[1]LOCH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1" s="5" t="str">
        <f>IF(M2341="","",$E$2*1000*'[1]LOCH Calc COE Calc'!$C$44)</f>
        <v/>
      </c>
      <c r="S2341" s="6" t="str">
        <f>IF(N2341="","",SUM(O2341:R2341)/('[1]LOCH Calc COE Calc'!$C$28))</f>
        <v/>
      </c>
      <c r="T2341" t="str">
        <f>IF(L2341="","",O2341/'[1]LOCH Calc COE Calc'!$C$28)</f>
        <v/>
      </c>
      <c r="U2341" t="str">
        <f>IF(L2341="","",P2341/'[1]LOCH Calc COE Calc'!$C$28)</f>
        <v/>
      </c>
      <c r="V2341" t="str">
        <f>IF(L2341="","",Q2341/'[1]LOCH Calc COE Calc'!$C$28)</f>
        <v/>
      </c>
      <c r="W2341" t="str">
        <f>IF(L2341="","",R2341/'[1]LOCH Calc COE Calc'!$C$28)</f>
        <v/>
      </c>
    </row>
    <row r="2342" spans="12:23" x14ac:dyDescent="0.25">
      <c r="L2342" s="4" t="str">
        <f>IF('[1]All Data '!BE2347="","",'[1]All Data '!BE2347)</f>
        <v/>
      </c>
      <c r="M2342" t="str">
        <f>IF('[1]All Data '!BF2347="","",'[1]All Data '!BF2347)</f>
        <v/>
      </c>
      <c r="N2342" s="5" t="str">
        <f>IF('[1]All Data '!BB2347="","",'[1]All Data '!BC2347/'[1]All Data '!BH2347)</f>
        <v/>
      </c>
      <c r="O2342" s="5" t="str">
        <f t="shared" si="38"/>
        <v/>
      </c>
      <c r="P2342" s="5" t="str">
        <f>IF(M2342="","",$C$2*(1-L2342)*907.2/0.621371*N2342*[1]Transportation!$M$40)</f>
        <v/>
      </c>
      <c r="Q2342" s="5" t="str">
        <f>IF(L2342="","",IF([1]Inputs_Outputs!$B$5="Herbaceous",(LCA!$E$29*'[1]LOCH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2" s="5" t="str">
        <f>IF(M2342="","",$E$2*1000*'[1]LOCH Calc COE Calc'!$C$44)</f>
        <v/>
      </c>
      <c r="S2342" s="6" t="str">
        <f>IF(N2342="","",SUM(O2342:R2342)/('[1]LOCH Calc COE Calc'!$C$28))</f>
        <v/>
      </c>
      <c r="T2342" t="str">
        <f>IF(L2342="","",O2342/'[1]LOCH Calc COE Calc'!$C$28)</f>
        <v/>
      </c>
      <c r="U2342" t="str">
        <f>IF(L2342="","",P2342/'[1]LOCH Calc COE Calc'!$C$28)</f>
        <v/>
      </c>
      <c r="V2342" t="str">
        <f>IF(L2342="","",Q2342/'[1]LOCH Calc COE Calc'!$C$28)</f>
        <v/>
      </c>
      <c r="W2342" t="str">
        <f>IF(L2342="","",R2342/'[1]LOCH Calc COE Calc'!$C$28)</f>
        <v/>
      </c>
    </row>
    <row r="2343" spans="12:23" x14ac:dyDescent="0.25">
      <c r="L2343" s="4" t="str">
        <f>IF('[1]All Data '!BE2348="","",'[1]All Data '!BE2348)</f>
        <v/>
      </c>
      <c r="M2343" t="str">
        <f>IF('[1]All Data '!BF2348="","",'[1]All Data '!BF2348)</f>
        <v/>
      </c>
      <c r="N2343" s="5" t="str">
        <f>IF('[1]All Data '!BB2348="","",'[1]All Data '!BC2348/'[1]All Data '!BH2348)</f>
        <v/>
      </c>
      <c r="O2343" s="5" t="str">
        <f t="shared" si="38"/>
        <v/>
      </c>
      <c r="P2343" s="5" t="str">
        <f>IF(M2343="","",$C$2*(1-L2343)*907.2/0.621371*N2343*[1]Transportation!$M$40)</f>
        <v/>
      </c>
      <c r="Q2343" s="5" t="str">
        <f>IF(L2343="","",IF([1]Inputs_Outputs!$B$5="Herbaceous",(LCA!$E$29*'[1]LOCH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3" s="5" t="str">
        <f>IF(M2343="","",$E$2*1000*'[1]LOCH Calc COE Calc'!$C$44)</f>
        <v/>
      </c>
      <c r="S2343" s="6" t="str">
        <f>IF(N2343="","",SUM(O2343:R2343)/('[1]LOCH Calc COE Calc'!$C$28))</f>
        <v/>
      </c>
      <c r="T2343" t="str">
        <f>IF(L2343="","",O2343/'[1]LOCH Calc COE Calc'!$C$28)</f>
        <v/>
      </c>
      <c r="U2343" t="str">
        <f>IF(L2343="","",P2343/'[1]LOCH Calc COE Calc'!$C$28)</f>
        <v/>
      </c>
      <c r="V2343" t="str">
        <f>IF(L2343="","",Q2343/'[1]LOCH Calc COE Calc'!$C$28)</f>
        <v/>
      </c>
      <c r="W2343" t="str">
        <f>IF(L2343="","",R2343/'[1]LOCH Calc COE Calc'!$C$28)</f>
        <v/>
      </c>
    </row>
    <row r="2344" spans="12:23" x14ac:dyDescent="0.25">
      <c r="L2344" s="4" t="str">
        <f>IF('[1]All Data '!BE2349="","",'[1]All Data '!BE2349)</f>
        <v/>
      </c>
      <c r="M2344" t="str">
        <f>IF('[1]All Data '!BF2349="","",'[1]All Data '!BF2349)</f>
        <v/>
      </c>
      <c r="N2344" s="5" t="str">
        <f>IF('[1]All Data '!BB2349="","",'[1]All Data '!BC2349/'[1]All Data '!BH2349)</f>
        <v/>
      </c>
      <c r="O2344" s="5" t="str">
        <f t="shared" si="38"/>
        <v/>
      </c>
      <c r="P2344" s="5" t="str">
        <f>IF(M2344="","",$C$2*(1-L2344)*907.2/0.621371*N2344*[1]Transportation!$M$40)</f>
        <v/>
      </c>
      <c r="Q2344" s="5" t="str">
        <f>IF(L2344="","",IF([1]Inputs_Outputs!$B$5="Herbaceous",(LCA!$E$29*'[1]LOCH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4" s="5" t="str">
        <f>IF(M2344="","",$E$2*1000*'[1]LOCH Calc COE Calc'!$C$44)</f>
        <v/>
      </c>
      <c r="S2344" s="6" t="str">
        <f>IF(N2344="","",SUM(O2344:R2344)/('[1]LOCH Calc COE Calc'!$C$28))</f>
        <v/>
      </c>
      <c r="T2344" t="str">
        <f>IF(L2344="","",O2344/'[1]LOCH Calc COE Calc'!$C$28)</f>
        <v/>
      </c>
      <c r="U2344" t="str">
        <f>IF(L2344="","",P2344/'[1]LOCH Calc COE Calc'!$C$28)</f>
        <v/>
      </c>
      <c r="V2344" t="str">
        <f>IF(L2344="","",Q2344/'[1]LOCH Calc COE Calc'!$C$28)</f>
        <v/>
      </c>
      <c r="W2344" t="str">
        <f>IF(L2344="","",R2344/'[1]LOCH Calc COE Calc'!$C$28)</f>
        <v/>
      </c>
    </row>
    <row r="2345" spans="12:23" x14ac:dyDescent="0.25">
      <c r="L2345" s="4" t="str">
        <f>IF('[1]All Data '!BE2350="","",'[1]All Data '!BE2350)</f>
        <v/>
      </c>
      <c r="M2345" t="str">
        <f>IF('[1]All Data '!BF2350="","",'[1]All Data '!BF2350)</f>
        <v/>
      </c>
      <c r="N2345" s="5" t="str">
        <f>IF('[1]All Data '!BB2350="","",'[1]All Data '!BC2350/'[1]All Data '!BH2350)</f>
        <v/>
      </c>
      <c r="O2345" s="5" t="str">
        <f t="shared" si="38"/>
        <v/>
      </c>
      <c r="P2345" s="5" t="str">
        <f>IF(M2345="","",$C$2*(1-L2345)*907.2/0.621371*N2345*[1]Transportation!$M$40)</f>
        <v/>
      </c>
      <c r="Q2345" s="5" t="str">
        <f>IF(L2345="","",IF([1]Inputs_Outputs!$B$5="Herbaceous",(LCA!$E$29*'[1]LOCH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5" s="5" t="str">
        <f>IF(M2345="","",$E$2*1000*'[1]LOCH Calc COE Calc'!$C$44)</f>
        <v/>
      </c>
      <c r="S2345" s="6" t="str">
        <f>IF(N2345="","",SUM(O2345:R2345)/('[1]LOCH Calc COE Calc'!$C$28))</f>
        <v/>
      </c>
      <c r="T2345" t="str">
        <f>IF(L2345="","",O2345/'[1]LOCH Calc COE Calc'!$C$28)</f>
        <v/>
      </c>
      <c r="U2345" t="str">
        <f>IF(L2345="","",P2345/'[1]LOCH Calc COE Calc'!$C$28)</f>
        <v/>
      </c>
      <c r="V2345" t="str">
        <f>IF(L2345="","",Q2345/'[1]LOCH Calc COE Calc'!$C$28)</f>
        <v/>
      </c>
      <c r="W2345" t="str">
        <f>IF(L2345="","",R2345/'[1]LOCH Calc COE Calc'!$C$28)</f>
        <v/>
      </c>
    </row>
    <row r="2346" spans="12:23" x14ac:dyDescent="0.25">
      <c r="L2346" s="4" t="str">
        <f>IF('[1]All Data '!BE2351="","",'[1]All Data '!BE2351)</f>
        <v/>
      </c>
      <c r="M2346" t="str">
        <f>IF('[1]All Data '!BF2351="","",'[1]All Data '!BF2351)</f>
        <v/>
      </c>
      <c r="N2346" s="5" t="str">
        <f>IF('[1]All Data '!BB2351="","",'[1]All Data '!BC2351/'[1]All Data '!BH2351)</f>
        <v/>
      </c>
      <c r="O2346" s="5" t="str">
        <f t="shared" si="38"/>
        <v/>
      </c>
      <c r="P2346" s="5" t="str">
        <f>IF(M2346="","",$C$2*(1-L2346)*907.2/0.621371*N2346*[1]Transportation!$M$40)</f>
        <v/>
      </c>
      <c r="Q2346" s="5" t="str">
        <f>IF(L2346="","",IF([1]Inputs_Outputs!$B$5="Herbaceous",(LCA!$E$29*'[1]LOCH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6" s="5" t="str">
        <f>IF(M2346="","",$E$2*1000*'[1]LOCH Calc COE Calc'!$C$44)</f>
        <v/>
      </c>
      <c r="S2346" s="6" t="str">
        <f>IF(N2346="","",SUM(O2346:R2346)/('[1]LOCH Calc COE Calc'!$C$28))</f>
        <v/>
      </c>
      <c r="T2346" t="str">
        <f>IF(L2346="","",O2346/'[1]LOCH Calc COE Calc'!$C$28)</f>
        <v/>
      </c>
      <c r="U2346" t="str">
        <f>IF(L2346="","",P2346/'[1]LOCH Calc COE Calc'!$C$28)</f>
        <v/>
      </c>
      <c r="V2346" t="str">
        <f>IF(L2346="","",Q2346/'[1]LOCH Calc COE Calc'!$C$28)</f>
        <v/>
      </c>
      <c r="W2346" t="str">
        <f>IF(L2346="","",R2346/'[1]LOCH Calc COE Calc'!$C$28)</f>
        <v/>
      </c>
    </row>
    <row r="2347" spans="12:23" x14ac:dyDescent="0.25">
      <c r="L2347" s="4" t="str">
        <f>IF('[1]All Data '!BE2352="","",'[1]All Data '!BE2352)</f>
        <v/>
      </c>
      <c r="M2347" t="str">
        <f>IF('[1]All Data '!BF2352="","",'[1]All Data '!BF2352)</f>
        <v/>
      </c>
      <c r="N2347" s="5" t="str">
        <f>IF('[1]All Data '!BB2352="","",'[1]All Data '!BC2352/'[1]All Data '!BH2352)</f>
        <v/>
      </c>
      <c r="O2347" s="5" t="str">
        <f t="shared" si="38"/>
        <v/>
      </c>
      <c r="P2347" s="5" t="str">
        <f>IF(M2347="","",$C$2*(1-L2347)*907.2/0.621371*N2347*[1]Transportation!$M$40)</f>
        <v/>
      </c>
      <c r="Q2347" s="5" t="str">
        <f>IF(L2347="","",IF([1]Inputs_Outputs!$B$5="Herbaceous",(LCA!$E$29*'[1]LOCH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7" s="5" t="str">
        <f>IF(M2347="","",$E$2*1000*'[1]LOCH Calc COE Calc'!$C$44)</f>
        <v/>
      </c>
      <c r="S2347" s="6" t="str">
        <f>IF(N2347="","",SUM(O2347:R2347)/('[1]LOCH Calc COE Calc'!$C$28))</f>
        <v/>
      </c>
      <c r="T2347" t="str">
        <f>IF(L2347="","",O2347/'[1]LOCH Calc COE Calc'!$C$28)</f>
        <v/>
      </c>
      <c r="U2347" t="str">
        <f>IF(L2347="","",P2347/'[1]LOCH Calc COE Calc'!$C$28)</f>
        <v/>
      </c>
      <c r="V2347" t="str">
        <f>IF(L2347="","",Q2347/'[1]LOCH Calc COE Calc'!$C$28)</f>
        <v/>
      </c>
      <c r="W2347" t="str">
        <f>IF(L2347="","",R2347/'[1]LOCH Calc COE Calc'!$C$28)</f>
        <v/>
      </c>
    </row>
    <row r="2348" spans="12:23" x14ac:dyDescent="0.25">
      <c r="L2348" s="4" t="str">
        <f>IF('[1]All Data '!BE2353="","",'[1]All Data '!BE2353)</f>
        <v/>
      </c>
      <c r="M2348" t="str">
        <f>IF('[1]All Data '!BF2353="","",'[1]All Data '!BF2353)</f>
        <v/>
      </c>
      <c r="N2348" s="5" t="str">
        <f>IF('[1]All Data '!BB2353="","",'[1]All Data '!BC2353/'[1]All Data '!BH2353)</f>
        <v/>
      </c>
      <c r="O2348" s="5" t="str">
        <f t="shared" si="38"/>
        <v/>
      </c>
      <c r="P2348" s="5" t="str">
        <f>IF(M2348="","",$C$2*(1-L2348)*907.2/0.621371*N2348*[1]Transportation!$M$40)</f>
        <v/>
      </c>
      <c r="Q2348" s="5" t="str">
        <f>IF(L2348="","",IF([1]Inputs_Outputs!$B$5="Herbaceous",(LCA!$E$29*'[1]LOCH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8" s="5" t="str">
        <f>IF(M2348="","",$E$2*1000*'[1]LOCH Calc COE Calc'!$C$44)</f>
        <v/>
      </c>
      <c r="S2348" s="6" t="str">
        <f>IF(N2348="","",SUM(O2348:R2348)/('[1]LOCH Calc COE Calc'!$C$28))</f>
        <v/>
      </c>
      <c r="T2348" t="str">
        <f>IF(L2348="","",O2348/'[1]LOCH Calc COE Calc'!$C$28)</f>
        <v/>
      </c>
      <c r="U2348" t="str">
        <f>IF(L2348="","",P2348/'[1]LOCH Calc COE Calc'!$C$28)</f>
        <v/>
      </c>
      <c r="V2348" t="str">
        <f>IF(L2348="","",Q2348/'[1]LOCH Calc COE Calc'!$C$28)</f>
        <v/>
      </c>
      <c r="W2348" t="str">
        <f>IF(L2348="","",R2348/'[1]LOCH Calc COE Calc'!$C$28)</f>
        <v/>
      </c>
    </row>
    <row r="2349" spans="12:23" x14ac:dyDescent="0.25">
      <c r="L2349" s="4" t="str">
        <f>IF('[1]All Data '!BE2354="","",'[1]All Data '!BE2354)</f>
        <v/>
      </c>
      <c r="M2349" t="str">
        <f>IF('[1]All Data '!BF2354="","",'[1]All Data '!BF2354)</f>
        <v/>
      </c>
      <c r="N2349" s="5" t="str">
        <f>IF('[1]All Data '!BB2354="","",'[1]All Data '!BC2354/'[1]All Data '!BH2354)</f>
        <v/>
      </c>
      <c r="O2349" s="5" t="str">
        <f t="shared" si="38"/>
        <v/>
      </c>
      <c r="P2349" s="5" t="str">
        <f>IF(M2349="","",$C$2*(1-L2349)*907.2/0.621371*N2349*[1]Transportation!$M$40)</f>
        <v/>
      </c>
      <c r="Q2349" s="5" t="str">
        <f>IF(L2349="","",IF([1]Inputs_Outputs!$B$5="Herbaceous",(LCA!$E$29*'[1]LOCH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49" s="5" t="str">
        <f>IF(M2349="","",$E$2*1000*'[1]LOCH Calc COE Calc'!$C$44)</f>
        <v/>
      </c>
      <c r="S2349" s="6" t="str">
        <f>IF(N2349="","",SUM(O2349:R2349)/('[1]LOCH Calc COE Calc'!$C$28))</f>
        <v/>
      </c>
      <c r="T2349" t="str">
        <f>IF(L2349="","",O2349/'[1]LOCH Calc COE Calc'!$C$28)</f>
        <v/>
      </c>
      <c r="U2349" t="str">
        <f>IF(L2349="","",P2349/'[1]LOCH Calc COE Calc'!$C$28)</f>
        <v/>
      </c>
      <c r="V2349" t="str">
        <f>IF(L2349="","",Q2349/'[1]LOCH Calc COE Calc'!$C$28)</f>
        <v/>
      </c>
      <c r="W2349" t="str">
        <f>IF(L2349="","",R2349/'[1]LOCH Calc COE Calc'!$C$28)</f>
        <v/>
      </c>
    </row>
    <row r="2350" spans="12:23" x14ac:dyDescent="0.25">
      <c r="L2350" s="4" t="str">
        <f>IF('[1]All Data '!BE2355="","",'[1]All Data '!BE2355)</f>
        <v/>
      </c>
      <c r="M2350" t="str">
        <f>IF('[1]All Data '!BF2355="","",'[1]All Data '!BF2355)</f>
        <v/>
      </c>
      <c r="N2350" s="5" t="str">
        <f>IF('[1]All Data '!BB2355="","",'[1]All Data '!BC2355/'[1]All Data '!BH2355)</f>
        <v/>
      </c>
      <c r="O2350" s="5" t="str">
        <f t="shared" si="38"/>
        <v/>
      </c>
      <c r="P2350" s="5" t="str">
        <f>IF(M2350="","",$C$2*(1-L2350)*907.2/0.621371*N2350*[1]Transportation!$M$40)</f>
        <v/>
      </c>
      <c r="Q2350" s="5" t="str">
        <f>IF(L2350="","",IF([1]Inputs_Outputs!$B$5="Herbaceous",(LCA!$E$29*'[1]LOCH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0" s="5" t="str">
        <f>IF(M2350="","",$E$2*1000*'[1]LOCH Calc COE Calc'!$C$44)</f>
        <v/>
      </c>
      <c r="S2350" s="6" t="str">
        <f>IF(N2350="","",SUM(O2350:R2350)/('[1]LOCH Calc COE Calc'!$C$28))</f>
        <v/>
      </c>
      <c r="T2350" t="str">
        <f>IF(L2350="","",O2350/'[1]LOCH Calc COE Calc'!$C$28)</f>
        <v/>
      </c>
      <c r="U2350" t="str">
        <f>IF(L2350="","",P2350/'[1]LOCH Calc COE Calc'!$C$28)</f>
        <v/>
      </c>
      <c r="V2350" t="str">
        <f>IF(L2350="","",Q2350/'[1]LOCH Calc COE Calc'!$C$28)</f>
        <v/>
      </c>
      <c r="W2350" t="str">
        <f>IF(L2350="","",R2350/'[1]LOCH Calc COE Calc'!$C$28)</f>
        <v/>
      </c>
    </row>
    <row r="2351" spans="12:23" x14ac:dyDescent="0.25">
      <c r="L2351" s="4" t="str">
        <f>IF('[1]All Data '!BE2356="","",'[1]All Data '!BE2356)</f>
        <v/>
      </c>
      <c r="M2351" t="str">
        <f>IF('[1]All Data '!BF2356="","",'[1]All Data '!BF2356)</f>
        <v/>
      </c>
      <c r="N2351" s="5" t="str">
        <f>IF('[1]All Data '!BB2356="","",'[1]All Data '!BC2356/'[1]All Data '!BH2356)</f>
        <v/>
      </c>
      <c r="O2351" s="5" t="str">
        <f t="shared" si="38"/>
        <v/>
      </c>
      <c r="P2351" s="5" t="str">
        <f>IF(M2351="","",$C$2*(1-L2351)*907.2/0.621371*N2351*[1]Transportation!$M$40)</f>
        <v/>
      </c>
      <c r="Q2351" s="5" t="str">
        <f>IF(L2351="","",IF([1]Inputs_Outputs!$B$5="Herbaceous",(LCA!$E$29*'[1]LOCH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1" s="5" t="str">
        <f>IF(M2351="","",$E$2*1000*'[1]LOCH Calc COE Calc'!$C$44)</f>
        <v/>
      </c>
      <c r="S2351" s="6" t="str">
        <f>IF(N2351="","",SUM(O2351:R2351)/('[1]LOCH Calc COE Calc'!$C$28))</f>
        <v/>
      </c>
      <c r="T2351" t="str">
        <f>IF(L2351="","",O2351/'[1]LOCH Calc COE Calc'!$C$28)</f>
        <v/>
      </c>
      <c r="U2351" t="str">
        <f>IF(L2351="","",P2351/'[1]LOCH Calc COE Calc'!$C$28)</f>
        <v/>
      </c>
      <c r="V2351" t="str">
        <f>IF(L2351="","",Q2351/'[1]LOCH Calc COE Calc'!$C$28)</f>
        <v/>
      </c>
      <c r="W2351" t="str">
        <f>IF(L2351="","",R2351/'[1]LOCH Calc COE Calc'!$C$28)</f>
        <v/>
      </c>
    </row>
    <row r="2352" spans="12:23" x14ac:dyDescent="0.25">
      <c r="L2352" s="4" t="str">
        <f>IF('[1]All Data '!BE2357="","",'[1]All Data '!BE2357)</f>
        <v/>
      </c>
      <c r="M2352" t="str">
        <f>IF('[1]All Data '!BF2357="","",'[1]All Data '!BF2357)</f>
        <v/>
      </c>
      <c r="N2352" s="5" t="str">
        <f>IF('[1]All Data '!BB2357="","",'[1]All Data '!BC2357/'[1]All Data '!BH2357)</f>
        <v/>
      </c>
      <c r="O2352" s="5" t="str">
        <f t="shared" si="38"/>
        <v/>
      </c>
      <c r="P2352" s="5" t="str">
        <f>IF(M2352="","",$C$2*(1-L2352)*907.2/0.621371*N2352*[1]Transportation!$M$40)</f>
        <v/>
      </c>
      <c r="Q2352" s="5" t="str">
        <f>IF(L2352="","",IF([1]Inputs_Outputs!$B$5="Herbaceous",(LCA!$E$29*'[1]LOCH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2" s="5" t="str">
        <f>IF(M2352="","",$E$2*1000*'[1]LOCH Calc COE Calc'!$C$44)</f>
        <v/>
      </c>
      <c r="S2352" s="6" t="str">
        <f>IF(N2352="","",SUM(O2352:R2352)/('[1]LOCH Calc COE Calc'!$C$28))</f>
        <v/>
      </c>
      <c r="T2352" t="str">
        <f>IF(L2352="","",O2352/'[1]LOCH Calc COE Calc'!$C$28)</f>
        <v/>
      </c>
      <c r="U2352" t="str">
        <f>IF(L2352="","",P2352/'[1]LOCH Calc COE Calc'!$C$28)</f>
        <v/>
      </c>
      <c r="V2352" t="str">
        <f>IF(L2352="","",Q2352/'[1]LOCH Calc COE Calc'!$C$28)</f>
        <v/>
      </c>
      <c r="W2352" t="str">
        <f>IF(L2352="","",R2352/'[1]LOCH Calc COE Calc'!$C$28)</f>
        <v/>
      </c>
    </row>
    <row r="2353" spans="12:23" x14ac:dyDescent="0.25">
      <c r="L2353" s="4" t="str">
        <f>IF('[1]All Data '!BE2358="","",'[1]All Data '!BE2358)</f>
        <v/>
      </c>
      <c r="M2353" t="str">
        <f>IF('[1]All Data '!BF2358="","",'[1]All Data '!BF2358)</f>
        <v/>
      </c>
      <c r="N2353" s="5" t="str">
        <f>IF('[1]All Data '!BB2358="","",'[1]All Data '!BC2358/'[1]All Data '!BH2358)</f>
        <v/>
      </c>
      <c r="O2353" s="5" t="str">
        <f t="shared" si="38"/>
        <v/>
      </c>
      <c r="P2353" s="5" t="str">
        <f>IF(M2353="","",$C$2*(1-L2353)*907.2/0.621371*N2353*[1]Transportation!$M$40)</f>
        <v/>
      </c>
      <c r="Q2353" s="5" t="str">
        <f>IF(L2353="","",IF([1]Inputs_Outputs!$B$5="Herbaceous",(LCA!$E$29*'[1]LOCH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3" s="5" t="str">
        <f>IF(M2353="","",$E$2*1000*'[1]LOCH Calc COE Calc'!$C$44)</f>
        <v/>
      </c>
      <c r="S2353" s="6" t="str">
        <f>IF(N2353="","",SUM(O2353:R2353)/('[1]LOCH Calc COE Calc'!$C$28))</f>
        <v/>
      </c>
      <c r="T2353" t="str">
        <f>IF(L2353="","",O2353/'[1]LOCH Calc COE Calc'!$C$28)</f>
        <v/>
      </c>
      <c r="U2353" t="str">
        <f>IF(L2353="","",P2353/'[1]LOCH Calc COE Calc'!$C$28)</f>
        <v/>
      </c>
      <c r="V2353" t="str">
        <f>IF(L2353="","",Q2353/'[1]LOCH Calc COE Calc'!$C$28)</f>
        <v/>
      </c>
      <c r="W2353" t="str">
        <f>IF(L2353="","",R2353/'[1]LOCH Calc COE Calc'!$C$28)</f>
        <v/>
      </c>
    </row>
    <row r="2354" spans="12:23" x14ac:dyDescent="0.25">
      <c r="L2354" s="4" t="str">
        <f>IF('[1]All Data '!BE2359="","",'[1]All Data '!BE2359)</f>
        <v/>
      </c>
      <c r="M2354" t="str">
        <f>IF('[1]All Data '!BF2359="","",'[1]All Data '!BF2359)</f>
        <v/>
      </c>
      <c r="N2354" s="5" t="str">
        <f>IF('[1]All Data '!BB2359="","",'[1]All Data '!BC2359/'[1]All Data '!BH2359)</f>
        <v/>
      </c>
      <c r="O2354" s="5" t="str">
        <f t="shared" si="38"/>
        <v/>
      </c>
      <c r="P2354" s="5" t="str">
        <f>IF(M2354="","",$C$2*(1-L2354)*907.2/0.621371*N2354*[1]Transportation!$M$40)</f>
        <v/>
      </c>
      <c r="Q2354" s="5" t="str">
        <f>IF(L2354="","",IF([1]Inputs_Outputs!$B$5="Herbaceous",(LCA!$E$29*'[1]LOCH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4" s="5" t="str">
        <f>IF(M2354="","",$E$2*1000*'[1]LOCH Calc COE Calc'!$C$44)</f>
        <v/>
      </c>
      <c r="S2354" s="6" t="str">
        <f>IF(N2354="","",SUM(O2354:R2354)/('[1]LOCH Calc COE Calc'!$C$28))</f>
        <v/>
      </c>
      <c r="T2354" t="str">
        <f>IF(L2354="","",O2354/'[1]LOCH Calc COE Calc'!$C$28)</f>
        <v/>
      </c>
      <c r="U2354" t="str">
        <f>IF(L2354="","",P2354/'[1]LOCH Calc COE Calc'!$C$28)</f>
        <v/>
      </c>
      <c r="V2354" t="str">
        <f>IF(L2354="","",Q2354/'[1]LOCH Calc COE Calc'!$C$28)</f>
        <v/>
      </c>
      <c r="W2354" t="str">
        <f>IF(L2354="","",R2354/'[1]LOCH Calc COE Calc'!$C$28)</f>
        <v/>
      </c>
    </row>
    <row r="2355" spans="12:23" x14ac:dyDescent="0.25">
      <c r="L2355" s="4" t="str">
        <f>IF('[1]All Data '!BE2360="","",'[1]All Data '!BE2360)</f>
        <v/>
      </c>
      <c r="M2355" t="str">
        <f>IF('[1]All Data '!BF2360="","",'[1]All Data '!BF2360)</f>
        <v/>
      </c>
      <c r="N2355" s="5" t="str">
        <f>IF('[1]All Data '!BB2360="","",'[1]All Data '!BC2360/'[1]All Data '!BH2360)</f>
        <v/>
      </c>
      <c r="O2355" s="5" t="str">
        <f t="shared" si="38"/>
        <v/>
      </c>
      <c r="P2355" s="5" t="str">
        <f>IF(M2355="","",$C$2*(1-L2355)*907.2/0.621371*N2355*[1]Transportation!$M$40)</f>
        <v/>
      </c>
      <c r="Q2355" s="5" t="str">
        <f>IF(L2355="","",IF([1]Inputs_Outputs!$B$5="Herbaceous",(LCA!$E$29*'[1]LOCH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5" s="5" t="str">
        <f>IF(M2355="","",$E$2*1000*'[1]LOCH Calc COE Calc'!$C$44)</f>
        <v/>
      </c>
      <c r="S2355" s="6" t="str">
        <f>IF(N2355="","",SUM(O2355:R2355)/('[1]LOCH Calc COE Calc'!$C$28))</f>
        <v/>
      </c>
      <c r="T2355" t="str">
        <f>IF(L2355="","",O2355/'[1]LOCH Calc COE Calc'!$C$28)</f>
        <v/>
      </c>
      <c r="U2355" t="str">
        <f>IF(L2355="","",P2355/'[1]LOCH Calc COE Calc'!$C$28)</f>
        <v/>
      </c>
      <c r="V2355" t="str">
        <f>IF(L2355="","",Q2355/'[1]LOCH Calc COE Calc'!$C$28)</f>
        <v/>
      </c>
      <c r="W2355" t="str">
        <f>IF(L2355="","",R2355/'[1]LOCH Calc COE Calc'!$C$28)</f>
        <v/>
      </c>
    </row>
    <row r="2356" spans="12:23" x14ac:dyDescent="0.25">
      <c r="L2356" s="4" t="str">
        <f>IF('[1]All Data '!BE2361="","",'[1]All Data '!BE2361)</f>
        <v/>
      </c>
      <c r="M2356" t="str">
        <f>IF('[1]All Data '!BF2361="","",'[1]All Data '!BF2361)</f>
        <v/>
      </c>
      <c r="N2356" s="5" t="str">
        <f>IF('[1]All Data '!BB2361="","",'[1]All Data '!BC2361/'[1]All Data '!BH2361)</f>
        <v/>
      </c>
      <c r="O2356" s="5" t="str">
        <f t="shared" si="38"/>
        <v/>
      </c>
      <c r="P2356" s="5" t="str">
        <f>IF(M2356="","",$C$2*(1-L2356)*907.2/0.621371*N2356*[1]Transportation!$M$40)</f>
        <v/>
      </c>
      <c r="Q2356" s="5" t="str">
        <f>IF(L2356="","",IF([1]Inputs_Outputs!$B$5="Herbaceous",(LCA!$E$29*'[1]LOCH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6" s="5" t="str">
        <f>IF(M2356="","",$E$2*1000*'[1]LOCH Calc COE Calc'!$C$44)</f>
        <v/>
      </c>
      <c r="S2356" s="6" t="str">
        <f>IF(N2356="","",SUM(O2356:R2356)/('[1]LOCH Calc COE Calc'!$C$28))</f>
        <v/>
      </c>
      <c r="T2356" t="str">
        <f>IF(L2356="","",O2356/'[1]LOCH Calc COE Calc'!$C$28)</f>
        <v/>
      </c>
      <c r="U2356" t="str">
        <f>IF(L2356="","",P2356/'[1]LOCH Calc COE Calc'!$C$28)</f>
        <v/>
      </c>
      <c r="V2356" t="str">
        <f>IF(L2356="","",Q2356/'[1]LOCH Calc COE Calc'!$C$28)</f>
        <v/>
      </c>
      <c r="W2356" t="str">
        <f>IF(L2356="","",R2356/'[1]LOCH Calc COE Calc'!$C$28)</f>
        <v/>
      </c>
    </row>
    <row r="2357" spans="12:23" x14ac:dyDescent="0.25">
      <c r="L2357" s="4" t="str">
        <f>IF('[1]All Data '!BE2362="","",'[1]All Data '!BE2362)</f>
        <v/>
      </c>
      <c r="M2357" t="str">
        <f>IF('[1]All Data '!BF2362="","",'[1]All Data '!BF2362)</f>
        <v/>
      </c>
      <c r="N2357" s="5" t="str">
        <f>IF('[1]All Data '!BB2362="","",'[1]All Data '!BC2362/'[1]All Data '!BH2362)</f>
        <v/>
      </c>
      <c r="O2357" s="5" t="str">
        <f t="shared" si="38"/>
        <v/>
      </c>
      <c r="P2357" s="5" t="str">
        <f>IF(M2357="","",$C$2*(1-L2357)*907.2/0.621371*N2357*[1]Transportation!$M$40)</f>
        <v/>
      </c>
      <c r="Q2357" s="5" t="str">
        <f>IF(L2357="","",IF([1]Inputs_Outputs!$B$5="Herbaceous",(LCA!$E$29*'[1]LOCH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7" s="5" t="str">
        <f>IF(M2357="","",$E$2*1000*'[1]LOCH Calc COE Calc'!$C$44)</f>
        <v/>
      </c>
      <c r="S2357" s="6" t="str">
        <f>IF(N2357="","",SUM(O2357:R2357)/('[1]LOCH Calc COE Calc'!$C$28))</f>
        <v/>
      </c>
      <c r="T2357" t="str">
        <f>IF(L2357="","",O2357/'[1]LOCH Calc COE Calc'!$C$28)</f>
        <v/>
      </c>
      <c r="U2357" t="str">
        <f>IF(L2357="","",P2357/'[1]LOCH Calc COE Calc'!$C$28)</f>
        <v/>
      </c>
      <c r="V2357" t="str">
        <f>IF(L2357="","",Q2357/'[1]LOCH Calc COE Calc'!$C$28)</f>
        <v/>
      </c>
      <c r="W2357" t="str">
        <f>IF(L2357="","",R2357/'[1]LOCH Calc COE Calc'!$C$28)</f>
        <v/>
      </c>
    </row>
    <row r="2358" spans="12:23" x14ac:dyDescent="0.25">
      <c r="L2358" s="4" t="str">
        <f>IF('[1]All Data '!BE2363="","",'[1]All Data '!BE2363)</f>
        <v/>
      </c>
      <c r="M2358" t="str">
        <f>IF('[1]All Data '!BF2363="","",'[1]All Data '!BF2363)</f>
        <v/>
      </c>
      <c r="N2358" s="5" t="str">
        <f>IF('[1]All Data '!BB2363="","",'[1]All Data '!BC2363/'[1]All Data '!BH2363)</f>
        <v/>
      </c>
      <c r="O2358" s="5" t="str">
        <f t="shared" si="38"/>
        <v/>
      </c>
      <c r="P2358" s="5" t="str">
        <f>IF(M2358="","",$C$2*(1-L2358)*907.2/0.621371*N2358*[1]Transportation!$M$40)</f>
        <v/>
      </c>
      <c r="Q2358" s="5" t="str">
        <f>IF(L2358="","",IF([1]Inputs_Outputs!$B$5="Herbaceous",(LCA!$E$29*'[1]LOCH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8" s="5" t="str">
        <f>IF(M2358="","",$E$2*1000*'[1]LOCH Calc COE Calc'!$C$44)</f>
        <v/>
      </c>
      <c r="S2358" s="6" t="str">
        <f>IF(N2358="","",SUM(O2358:R2358)/('[1]LOCH Calc COE Calc'!$C$28))</f>
        <v/>
      </c>
      <c r="T2358" t="str">
        <f>IF(L2358="","",O2358/'[1]LOCH Calc COE Calc'!$C$28)</f>
        <v/>
      </c>
      <c r="U2358" t="str">
        <f>IF(L2358="","",P2358/'[1]LOCH Calc COE Calc'!$C$28)</f>
        <v/>
      </c>
      <c r="V2358" t="str">
        <f>IF(L2358="","",Q2358/'[1]LOCH Calc COE Calc'!$C$28)</f>
        <v/>
      </c>
      <c r="W2358" t="str">
        <f>IF(L2358="","",R2358/'[1]LOCH Calc COE Calc'!$C$28)</f>
        <v/>
      </c>
    </row>
    <row r="2359" spans="12:23" x14ac:dyDescent="0.25">
      <c r="L2359" s="4" t="str">
        <f>IF('[1]All Data '!BE2364="","",'[1]All Data '!BE2364)</f>
        <v/>
      </c>
      <c r="M2359" t="str">
        <f>IF('[1]All Data '!BF2364="","",'[1]All Data '!BF2364)</f>
        <v/>
      </c>
      <c r="N2359" s="5" t="str">
        <f>IF('[1]All Data '!BB2364="","",'[1]All Data '!BC2364/'[1]All Data '!BH2364)</f>
        <v/>
      </c>
      <c r="O2359" s="5" t="str">
        <f t="shared" si="38"/>
        <v/>
      </c>
      <c r="P2359" s="5" t="str">
        <f>IF(M2359="","",$C$2*(1-L2359)*907.2/0.621371*N2359*[1]Transportation!$M$40)</f>
        <v/>
      </c>
      <c r="Q2359" s="5" t="str">
        <f>IF(L2359="","",IF([1]Inputs_Outputs!$B$5="Herbaceous",(LCA!$E$29*'[1]LOCH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59" s="5" t="str">
        <f>IF(M2359="","",$E$2*1000*'[1]LOCH Calc COE Calc'!$C$44)</f>
        <v/>
      </c>
      <c r="S2359" s="6" t="str">
        <f>IF(N2359="","",SUM(O2359:R2359)/('[1]LOCH Calc COE Calc'!$C$28))</f>
        <v/>
      </c>
      <c r="T2359" t="str">
        <f>IF(L2359="","",O2359/'[1]LOCH Calc COE Calc'!$C$28)</f>
        <v/>
      </c>
      <c r="U2359" t="str">
        <f>IF(L2359="","",P2359/'[1]LOCH Calc COE Calc'!$C$28)</f>
        <v/>
      </c>
      <c r="V2359" t="str">
        <f>IF(L2359="","",Q2359/'[1]LOCH Calc COE Calc'!$C$28)</f>
        <v/>
      </c>
      <c r="W2359" t="str">
        <f>IF(L2359="","",R2359/'[1]LOCH Calc COE Calc'!$C$28)</f>
        <v/>
      </c>
    </row>
    <row r="2360" spans="12:23" x14ac:dyDescent="0.25">
      <c r="L2360" s="4" t="str">
        <f>IF('[1]All Data '!BE2365="","",'[1]All Data '!BE2365)</f>
        <v/>
      </c>
      <c r="M2360" t="str">
        <f>IF('[1]All Data '!BF2365="","",'[1]All Data '!BF2365)</f>
        <v/>
      </c>
      <c r="N2360" s="5" t="str">
        <f>IF('[1]All Data '!BB2365="","",'[1]All Data '!BC2365/'[1]All Data '!BH2365)</f>
        <v/>
      </c>
      <c r="O2360" s="5" t="str">
        <f t="shared" si="38"/>
        <v/>
      </c>
      <c r="P2360" s="5" t="str">
        <f>IF(M2360="","",$C$2*(1-L2360)*907.2/0.621371*N2360*[1]Transportation!$M$40)</f>
        <v/>
      </c>
      <c r="Q2360" s="5" t="str">
        <f>IF(L2360="","",IF([1]Inputs_Outputs!$B$5="Herbaceous",(LCA!$E$29*'[1]LOCH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0" s="5" t="str">
        <f>IF(M2360="","",$E$2*1000*'[1]LOCH Calc COE Calc'!$C$44)</f>
        <v/>
      </c>
      <c r="S2360" s="6" t="str">
        <f>IF(N2360="","",SUM(O2360:R2360)/('[1]LOCH Calc COE Calc'!$C$28))</f>
        <v/>
      </c>
      <c r="T2360" t="str">
        <f>IF(L2360="","",O2360/'[1]LOCH Calc COE Calc'!$C$28)</f>
        <v/>
      </c>
      <c r="U2360" t="str">
        <f>IF(L2360="","",P2360/'[1]LOCH Calc COE Calc'!$C$28)</f>
        <v/>
      </c>
      <c r="V2360" t="str">
        <f>IF(L2360="","",Q2360/'[1]LOCH Calc COE Calc'!$C$28)</f>
        <v/>
      </c>
      <c r="W2360" t="str">
        <f>IF(L2360="","",R2360/'[1]LOCH Calc COE Calc'!$C$28)</f>
        <v/>
      </c>
    </row>
    <row r="2361" spans="12:23" x14ac:dyDescent="0.25">
      <c r="L2361" s="4" t="str">
        <f>IF('[1]All Data '!BE2366="","",'[1]All Data '!BE2366)</f>
        <v/>
      </c>
      <c r="M2361" t="str">
        <f>IF('[1]All Data '!BF2366="","",'[1]All Data '!BF2366)</f>
        <v/>
      </c>
      <c r="N2361" s="5" t="str">
        <f>IF('[1]All Data '!BB2366="","",'[1]All Data '!BC2366/'[1]All Data '!BH2366)</f>
        <v/>
      </c>
      <c r="O2361" s="5" t="str">
        <f t="shared" si="38"/>
        <v/>
      </c>
      <c r="P2361" s="5" t="str">
        <f>IF(M2361="","",$C$2*(1-L2361)*907.2/0.621371*N2361*[1]Transportation!$M$40)</f>
        <v/>
      </c>
      <c r="Q2361" s="5" t="str">
        <f>IF(L2361="","",IF([1]Inputs_Outputs!$B$5="Herbaceous",(LCA!$E$29*'[1]LOCH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1" s="5" t="str">
        <f>IF(M2361="","",$E$2*1000*'[1]LOCH Calc COE Calc'!$C$44)</f>
        <v/>
      </c>
      <c r="S2361" s="6" t="str">
        <f>IF(N2361="","",SUM(O2361:R2361)/('[1]LOCH Calc COE Calc'!$C$28))</f>
        <v/>
      </c>
      <c r="T2361" t="str">
        <f>IF(L2361="","",O2361/'[1]LOCH Calc COE Calc'!$C$28)</f>
        <v/>
      </c>
      <c r="U2361" t="str">
        <f>IF(L2361="","",P2361/'[1]LOCH Calc COE Calc'!$C$28)</f>
        <v/>
      </c>
      <c r="V2361" t="str">
        <f>IF(L2361="","",Q2361/'[1]LOCH Calc COE Calc'!$C$28)</f>
        <v/>
      </c>
      <c r="W2361" t="str">
        <f>IF(L2361="","",R2361/'[1]LOCH Calc COE Calc'!$C$28)</f>
        <v/>
      </c>
    </row>
    <row r="2362" spans="12:23" x14ac:dyDescent="0.25">
      <c r="L2362" s="4" t="str">
        <f>IF('[1]All Data '!BE2367="","",'[1]All Data '!BE2367)</f>
        <v/>
      </c>
      <c r="M2362" t="str">
        <f>IF('[1]All Data '!BF2367="","",'[1]All Data '!BF2367)</f>
        <v/>
      </c>
      <c r="N2362" s="5" t="str">
        <f>IF('[1]All Data '!BB2367="","",'[1]All Data '!BC2367/'[1]All Data '!BH2367)</f>
        <v/>
      </c>
      <c r="O2362" s="5" t="str">
        <f t="shared" si="38"/>
        <v/>
      </c>
      <c r="P2362" s="5" t="str">
        <f>IF(M2362="","",$C$2*(1-L2362)*907.2/0.621371*N2362*[1]Transportation!$M$40)</f>
        <v/>
      </c>
      <c r="Q2362" s="5" t="str">
        <f>IF(L2362="","",IF([1]Inputs_Outputs!$B$5="Herbaceous",(LCA!$E$29*'[1]LOCH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2" s="5" t="str">
        <f>IF(M2362="","",$E$2*1000*'[1]LOCH Calc COE Calc'!$C$44)</f>
        <v/>
      </c>
      <c r="S2362" s="6" t="str">
        <f>IF(N2362="","",SUM(O2362:R2362)/('[1]LOCH Calc COE Calc'!$C$28))</f>
        <v/>
      </c>
      <c r="T2362" t="str">
        <f>IF(L2362="","",O2362/'[1]LOCH Calc COE Calc'!$C$28)</f>
        <v/>
      </c>
      <c r="U2362" t="str">
        <f>IF(L2362="","",P2362/'[1]LOCH Calc COE Calc'!$C$28)</f>
        <v/>
      </c>
      <c r="V2362" t="str">
        <f>IF(L2362="","",Q2362/'[1]LOCH Calc COE Calc'!$C$28)</f>
        <v/>
      </c>
      <c r="W2362" t="str">
        <f>IF(L2362="","",R2362/'[1]LOCH Calc COE Calc'!$C$28)</f>
        <v/>
      </c>
    </row>
    <row r="2363" spans="12:23" x14ac:dyDescent="0.25">
      <c r="L2363" s="4" t="str">
        <f>IF('[1]All Data '!BE2368="","",'[1]All Data '!BE2368)</f>
        <v/>
      </c>
      <c r="M2363" t="str">
        <f>IF('[1]All Data '!BF2368="","",'[1]All Data '!BF2368)</f>
        <v/>
      </c>
      <c r="N2363" s="5" t="str">
        <f>IF('[1]All Data '!BB2368="","",'[1]All Data '!BC2368/'[1]All Data '!BH2368)</f>
        <v/>
      </c>
      <c r="O2363" s="5" t="str">
        <f t="shared" si="38"/>
        <v/>
      </c>
      <c r="P2363" s="5" t="str">
        <f>IF(M2363="","",$C$2*(1-L2363)*907.2/0.621371*N2363*[1]Transportation!$M$40)</f>
        <v/>
      </c>
      <c r="Q2363" s="5" t="str">
        <f>IF(L2363="","",IF([1]Inputs_Outputs!$B$5="Herbaceous",(LCA!$E$29*'[1]LOCH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3" s="5" t="str">
        <f>IF(M2363="","",$E$2*1000*'[1]LOCH Calc COE Calc'!$C$44)</f>
        <v/>
      </c>
      <c r="S2363" s="6" t="str">
        <f>IF(N2363="","",SUM(O2363:R2363)/('[1]LOCH Calc COE Calc'!$C$28))</f>
        <v/>
      </c>
      <c r="T2363" t="str">
        <f>IF(L2363="","",O2363/'[1]LOCH Calc COE Calc'!$C$28)</f>
        <v/>
      </c>
      <c r="U2363" t="str">
        <f>IF(L2363="","",P2363/'[1]LOCH Calc COE Calc'!$C$28)</f>
        <v/>
      </c>
      <c r="V2363" t="str">
        <f>IF(L2363="","",Q2363/'[1]LOCH Calc COE Calc'!$C$28)</f>
        <v/>
      </c>
      <c r="W2363" t="str">
        <f>IF(L2363="","",R2363/'[1]LOCH Calc COE Calc'!$C$28)</f>
        <v/>
      </c>
    </row>
    <row r="2364" spans="12:23" x14ac:dyDescent="0.25">
      <c r="L2364" s="4" t="str">
        <f>IF('[1]All Data '!BE2369="","",'[1]All Data '!BE2369)</f>
        <v/>
      </c>
      <c r="M2364" t="str">
        <f>IF('[1]All Data '!BF2369="","",'[1]All Data '!BF2369)</f>
        <v/>
      </c>
      <c r="N2364" s="5" t="str">
        <f>IF('[1]All Data '!BB2369="","",'[1]All Data '!BC2369/'[1]All Data '!BH2369)</f>
        <v/>
      </c>
      <c r="O2364" s="5" t="str">
        <f t="shared" si="38"/>
        <v/>
      </c>
      <c r="P2364" s="5" t="str">
        <f>IF(M2364="","",$C$2*(1-L2364)*907.2/0.621371*N2364*[1]Transportation!$M$40)</f>
        <v/>
      </c>
      <c r="Q2364" s="5" t="str">
        <f>IF(L2364="","",IF([1]Inputs_Outputs!$B$5="Herbaceous",(LCA!$E$29*'[1]LOCH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4" s="5" t="str">
        <f>IF(M2364="","",$E$2*1000*'[1]LOCH Calc COE Calc'!$C$44)</f>
        <v/>
      </c>
      <c r="S2364" s="6" t="str">
        <f>IF(N2364="","",SUM(O2364:R2364)/('[1]LOCH Calc COE Calc'!$C$28))</f>
        <v/>
      </c>
      <c r="T2364" t="str">
        <f>IF(L2364="","",O2364/'[1]LOCH Calc COE Calc'!$C$28)</f>
        <v/>
      </c>
      <c r="U2364" t="str">
        <f>IF(L2364="","",P2364/'[1]LOCH Calc COE Calc'!$C$28)</f>
        <v/>
      </c>
      <c r="V2364" t="str">
        <f>IF(L2364="","",Q2364/'[1]LOCH Calc COE Calc'!$C$28)</f>
        <v/>
      </c>
      <c r="W2364" t="str">
        <f>IF(L2364="","",R2364/'[1]LOCH Calc COE Calc'!$C$28)</f>
        <v/>
      </c>
    </row>
    <row r="2365" spans="12:23" x14ac:dyDescent="0.25">
      <c r="L2365" s="4" t="str">
        <f>IF('[1]All Data '!BE2370="","",'[1]All Data '!BE2370)</f>
        <v/>
      </c>
      <c r="M2365" t="str">
        <f>IF('[1]All Data '!BF2370="","",'[1]All Data '!BF2370)</f>
        <v/>
      </c>
      <c r="N2365" s="5" t="str">
        <f>IF('[1]All Data '!BB2370="","",'[1]All Data '!BC2370/'[1]All Data '!BH2370)</f>
        <v/>
      </c>
      <c r="O2365" s="5" t="str">
        <f t="shared" si="38"/>
        <v/>
      </c>
      <c r="P2365" s="5" t="str">
        <f>IF(M2365="","",$C$2*(1-L2365)*907.2/0.621371*N2365*[1]Transportation!$M$40)</f>
        <v/>
      </c>
      <c r="Q2365" s="5" t="str">
        <f>IF(L2365="","",IF([1]Inputs_Outputs!$B$5="Herbaceous",(LCA!$E$29*'[1]LOCH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5" s="5" t="str">
        <f>IF(M2365="","",$E$2*1000*'[1]LOCH Calc COE Calc'!$C$44)</f>
        <v/>
      </c>
      <c r="S2365" s="6" t="str">
        <f>IF(N2365="","",SUM(O2365:R2365)/('[1]LOCH Calc COE Calc'!$C$28))</f>
        <v/>
      </c>
      <c r="T2365" t="str">
        <f>IF(L2365="","",O2365/'[1]LOCH Calc COE Calc'!$C$28)</f>
        <v/>
      </c>
      <c r="U2365" t="str">
        <f>IF(L2365="","",P2365/'[1]LOCH Calc COE Calc'!$C$28)</f>
        <v/>
      </c>
      <c r="V2365" t="str">
        <f>IF(L2365="","",Q2365/'[1]LOCH Calc COE Calc'!$C$28)</f>
        <v/>
      </c>
      <c r="W2365" t="str">
        <f>IF(L2365="","",R2365/'[1]LOCH Calc COE Calc'!$C$28)</f>
        <v/>
      </c>
    </row>
    <row r="2366" spans="12:23" x14ac:dyDescent="0.25">
      <c r="L2366" s="4" t="str">
        <f>IF('[1]All Data '!BE2371="","",'[1]All Data '!BE2371)</f>
        <v/>
      </c>
      <c r="M2366" t="str">
        <f>IF('[1]All Data '!BF2371="","",'[1]All Data '!BF2371)</f>
        <v/>
      </c>
      <c r="N2366" s="5" t="str">
        <f>IF('[1]All Data '!BB2371="","",'[1]All Data '!BC2371/'[1]All Data '!BH2371)</f>
        <v/>
      </c>
      <c r="O2366" s="5" t="str">
        <f t="shared" si="38"/>
        <v/>
      </c>
      <c r="P2366" s="5" t="str">
        <f>IF(M2366="","",$C$2*(1-L2366)*907.2/0.621371*N2366*[1]Transportation!$M$40)</f>
        <v/>
      </c>
      <c r="Q2366" s="5" t="str">
        <f>IF(L2366="","",IF([1]Inputs_Outputs!$B$5="Herbaceous",(LCA!$E$29*'[1]LOCH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6" s="5" t="str">
        <f>IF(M2366="","",$E$2*1000*'[1]LOCH Calc COE Calc'!$C$44)</f>
        <v/>
      </c>
      <c r="S2366" s="6" t="str">
        <f>IF(N2366="","",SUM(O2366:R2366)/('[1]LOCH Calc COE Calc'!$C$28))</f>
        <v/>
      </c>
      <c r="T2366" t="str">
        <f>IF(L2366="","",O2366/'[1]LOCH Calc COE Calc'!$C$28)</f>
        <v/>
      </c>
      <c r="U2366" t="str">
        <f>IF(L2366="","",P2366/'[1]LOCH Calc COE Calc'!$C$28)</f>
        <v/>
      </c>
      <c r="V2366" t="str">
        <f>IF(L2366="","",Q2366/'[1]LOCH Calc COE Calc'!$C$28)</f>
        <v/>
      </c>
      <c r="W2366" t="str">
        <f>IF(L2366="","",R2366/'[1]LOCH Calc COE Calc'!$C$28)</f>
        <v/>
      </c>
    </row>
    <row r="2367" spans="12:23" x14ac:dyDescent="0.25">
      <c r="L2367" s="4" t="str">
        <f>IF('[1]All Data '!BE2372="","",'[1]All Data '!BE2372)</f>
        <v/>
      </c>
      <c r="M2367" t="str">
        <f>IF('[1]All Data '!BF2372="","",'[1]All Data '!BF2372)</f>
        <v/>
      </c>
      <c r="N2367" s="5" t="str">
        <f>IF('[1]All Data '!BB2372="","",'[1]All Data '!BC2372/'[1]All Data '!BH2372)</f>
        <v/>
      </c>
      <c r="O2367" s="5" t="str">
        <f t="shared" si="38"/>
        <v/>
      </c>
      <c r="P2367" s="5" t="str">
        <f>IF(M2367="","",$C$2*(1-L2367)*907.2/0.621371*N2367*[1]Transportation!$M$40)</f>
        <v/>
      </c>
      <c r="Q2367" s="5" t="str">
        <f>IF(L2367="","",IF([1]Inputs_Outputs!$B$5="Herbaceous",(LCA!$E$29*'[1]LOCH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7" s="5" t="str">
        <f>IF(M2367="","",$E$2*1000*'[1]LOCH Calc COE Calc'!$C$44)</f>
        <v/>
      </c>
      <c r="S2367" s="6" t="str">
        <f>IF(N2367="","",SUM(O2367:R2367)/('[1]LOCH Calc COE Calc'!$C$28))</f>
        <v/>
      </c>
      <c r="T2367" t="str">
        <f>IF(L2367="","",O2367/'[1]LOCH Calc COE Calc'!$C$28)</f>
        <v/>
      </c>
      <c r="U2367" t="str">
        <f>IF(L2367="","",P2367/'[1]LOCH Calc COE Calc'!$C$28)</f>
        <v/>
      </c>
      <c r="V2367" t="str">
        <f>IF(L2367="","",Q2367/'[1]LOCH Calc COE Calc'!$C$28)</f>
        <v/>
      </c>
      <c r="W2367" t="str">
        <f>IF(L2367="","",R2367/'[1]LOCH Calc COE Calc'!$C$28)</f>
        <v/>
      </c>
    </row>
    <row r="2368" spans="12:23" x14ac:dyDescent="0.25">
      <c r="L2368" s="4" t="str">
        <f>IF('[1]All Data '!BE2373="","",'[1]All Data '!BE2373)</f>
        <v/>
      </c>
      <c r="M2368" t="str">
        <f>IF('[1]All Data '!BF2373="","",'[1]All Data '!BF2373)</f>
        <v/>
      </c>
      <c r="N2368" s="5" t="str">
        <f>IF('[1]All Data '!BB2373="","",'[1]All Data '!BC2373/'[1]All Data '!BH2373)</f>
        <v/>
      </c>
      <c r="O2368" s="5" t="str">
        <f t="shared" si="38"/>
        <v/>
      </c>
      <c r="P2368" s="5" t="str">
        <f>IF(M2368="","",$C$2*(1-L2368)*907.2/0.621371*N2368*[1]Transportation!$M$40)</f>
        <v/>
      </c>
      <c r="Q2368" s="5" t="str">
        <f>IF(L2368="","",IF([1]Inputs_Outputs!$B$5="Herbaceous",(LCA!$E$29*'[1]LOCH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8" s="5" t="str">
        <f>IF(M2368="","",$E$2*1000*'[1]LOCH Calc COE Calc'!$C$44)</f>
        <v/>
      </c>
      <c r="S2368" s="6" t="str">
        <f>IF(N2368="","",SUM(O2368:R2368)/('[1]LOCH Calc COE Calc'!$C$28))</f>
        <v/>
      </c>
      <c r="T2368" t="str">
        <f>IF(L2368="","",O2368/'[1]LOCH Calc COE Calc'!$C$28)</f>
        <v/>
      </c>
      <c r="U2368" t="str">
        <f>IF(L2368="","",P2368/'[1]LOCH Calc COE Calc'!$C$28)</f>
        <v/>
      </c>
      <c r="V2368" t="str">
        <f>IF(L2368="","",Q2368/'[1]LOCH Calc COE Calc'!$C$28)</f>
        <v/>
      </c>
      <c r="W2368" t="str">
        <f>IF(L2368="","",R2368/'[1]LOCH Calc COE Calc'!$C$28)</f>
        <v/>
      </c>
    </row>
    <row r="2369" spans="12:23" x14ac:dyDescent="0.25">
      <c r="L2369" s="4" t="str">
        <f>IF('[1]All Data '!BE2374="","",'[1]All Data '!BE2374)</f>
        <v/>
      </c>
      <c r="M2369" t="str">
        <f>IF('[1]All Data '!BF2374="","",'[1]All Data '!BF2374)</f>
        <v/>
      </c>
      <c r="N2369" s="5" t="str">
        <f>IF('[1]All Data '!BB2374="","",'[1]All Data '!BC2374/'[1]All Data '!BH2374)</f>
        <v/>
      </c>
      <c r="O2369" s="5" t="str">
        <f t="shared" si="38"/>
        <v/>
      </c>
      <c r="P2369" s="5" t="str">
        <f>IF(M2369="","",$C$2*(1-L2369)*907.2/0.621371*N2369*[1]Transportation!$M$40)</f>
        <v/>
      </c>
      <c r="Q2369" s="5" t="str">
        <f>IF(L2369="","",IF([1]Inputs_Outputs!$B$5="Herbaceous",(LCA!$E$29*'[1]LOCH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69" s="5" t="str">
        <f>IF(M2369="","",$E$2*1000*'[1]LOCH Calc COE Calc'!$C$44)</f>
        <v/>
      </c>
      <c r="S2369" s="6" t="str">
        <f>IF(N2369="","",SUM(O2369:R2369)/('[1]LOCH Calc COE Calc'!$C$28))</f>
        <v/>
      </c>
      <c r="T2369" t="str">
        <f>IF(L2369="","",O2369/'[1]LOCH Calc COE Calc'!$C$28)</f>
        <v/>
      </c>
      <c r="U2369" t="str">
        <f>IF(L2369="","",P2369/'[1]LOCH Calc COE Calc'!$C$28)</f>
        <v/>
      </c>
      <c r="V2369" t="str">
        <f>IF(L2369="","",Q2369/'[1]LOCH Calc COE Calc'!$C$28)</f>
        <v/>
      </c>
      <c r="W2369" t="str">
        <f>IF(L2369="","",R2369/'[1]LOCH Calc COE Calc'!$C$28)</f>
        <v/>
      </c>
    </row>
    <row r="2370" spans="12:23" x14ac:dyDescent="0.25">
      <c r="L2370" s="4" t="str">
        <f>IF('[1]All Data '!BE2375="","",'[1]All Data '!BE2375)</f>
        <v/>
      </c>
      <c r="M2370" t="str">
        <f>IF('[1]All Data '!BF2375="","",'[1]All Data '!BF2375)</f>
        <v/>
      </c>
      <c r="N2370" s="5" t="str">
        <f>IF('[1]All Data '!BB2375="","",'[1]All Data '!BC2375/'[1]All Data '!BH2375)</f>
        <v/>
      </c>
      <c r="O2370" s="5" t="str">
        <f t="shared" si="38"/>
        <v/>
      </c>
      <c r="P2370" s="5" t="str">
        <f>IF(M2370="","",$C$2*(1-L2370)*907.2/0.621371*N2370*[1]Transportation!$M$40)</f>
        <v/>
      </c>
      <c r="Q2370" s="5" t="str">
        <f>IF(L2370="","",IF([1]Inputs_Outputs!$B$5="Herbaceous",(LCA!$E$29*'[1]LOCH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0" s="5" t="str">
        <f>IF(M2370="","",$E$2*1000*'[1]LOCH Calc COE Calc'!$C$44)</f>
        <v/>
      </c>
      <c r="S2370" s="6" t="str">
        <f>IF(N2370="","",SUM(O2370:R2370)/('[1]LOCH Calc COE Calc'!$C$28))</f>
        <v/>
      </c>
      <c r="T2370" t="str">
        <f>IF(L2370="","",O2370/'[1]LOCH Calc COE Calc'!$C$28)</f>
        <v/>
      </c>
      <c r="U2370" t="str">
        <f>IF(L2370="","",P2370/'[1]LOCH Calc COE Calc'!$C$28)</f>
        <v/>
      </c>
      <c r="V2370" t="str">
        <f>IF(L2370="","",Q2370/'[1]LOCH Calc COE Calc'!$C$28)</f>
        <v/>
      </c>
      <c r="W2370" t="str">
        <f>IF(L2370="","",R2370/'[1]LOCH Calc COE Calc'!$C$28)</f>
        <v/>
      </c>
    </row>
    <row r="2371" spans="12:23" x14ac:dyDescent="0.25">
      <c r="L2371" s="4" t="str">
        <f>IF('[1]All Data '!BE2376="","",'[1]All Data '!BE2376)</f>
        <v/>
      </c>
      <c r="M2371" t="str">
        <f>IF('[1]All Data '!BF2376="","",'[1]All Data '!BF2376)</f>
        <v/>
      </c>
      <c r="N2371" s="5" t="str">
        <f>IF('[1]All Data '!BB2376="","",'[1]All Data '!BC2376/'[1]All Data '!BH2376)</f>
        <v/>
      </c>
      <c r="O2371" s="5" t="str">
        <f t="shared" si="38"/>
        <v/>
      </c>
      <c r="P2371" s="5" t="str">
        <f>IF(M2371="","",$C$2*(1-L2371)*907.2/0.621371*N2371*[1]Transportation!$M$40)</f>
        <v/>
      </c>
      <c r="Q2371" s="5" t="str">
        <f>IF(L2371="","",IF([1]Inputs_Outputs!$B$5="Herbaceous",(LCA!$E$29*'[1]LOCH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1" s="5" t="str">
        <f>IF(M2371="","",$E$2*1000*'[1]LOCH Calc COE Calc'!$C$44)</f>
        <v/>
      </c>
      <c r="S2371" s="6" t="str">
        <f>IF(N2371="","",SUM(O2371:R2371)/('[1]LOCH Calc COE Calc'!$C$28))</f>
        <v/>
      </c>
      <c r="T2371" t="str">
        <f>IF(L2371="","",O2371/'[1]LOCH Calc COE Calc'!$C$28)</f>
        <v/>
      </c>
      <c r="U2371" t="str">
        <f>IF(L2371="","",P2371/'[1]LOCH Calc COE Calc'!$C$28)</f>
        <v/>
      </c>
      <c r="V2371" t="str">
        <f>IF(L2371="","",Q2371/'[1]LOCH Calc COE Calc'!$C$28)</f>
        <v/>
      </c>
      <c r="W2371" t="str">
        <f>IF(L2371="","",R2371/'[1]LOCH Calc COE Calc'!$C$28)</f>
        <v/>
      </c>
    </row>
    <row r="2372" spans="12:23" x14ac:dyDescent="0.25">
      <c r="L2372" s="4" t="str">
        <f>IF('[1]All Data '!BE2377="","",'[1]All Data '!BE2377)</f>
        <v/>
      </c>
      <c r="M2372" t="str">
        <f>IF('[1]All Data '!BF2377="","",'[1]All Data '!BF2377)</f>
        <v/>
      </c>
      <c r="N2372" s="5" t="str">
        <f>IF('[1]All Data '!BB2377="","",'[1]All Data '!BC2377/'[1]All Data '!BH2377)</f>
        <v/>
      </c>
      <c r="O2372" s="5" t="str">
        <f t="shared" ref="O2372:O2435" si="39">IF(N2372="","",M2372*N2372)</f>
        <v/>
      </c>
      <c r="P2372" s="5" t="str">
        <f>IF(M2372="","",$C$2*(1-L2372)*907.2/0.621371*N2372*[1]Transportation!$M$40)</f>
        <v/>
      </c>
      <c r="Q2372" s="5" t="str">
        <f>IF(L2372="","",IF([1]Inputs_Outputs!$B$5="Herbaceous",(LCA!$E$29*'[1]LOCH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2" s="5" t="str">
        <f>IF(M2372="","",$E$2*1000*'[1]LOCH Calc COE Calc'!$C$44)</f>
        <v/>
      </c>
      <c r="S2372" s="6" t="str">
        <f>IF(N2372="","",SUM(O2372:R2372)/('[1]LOCH Calc COE Calc'!$C$28))</f>
        <v/>
      </c>
      <c r="T2372" t="str">
        <f>IF(L2372="","",O2372/'[1]LOCH Calc COE Calc'!$C$28)</f>
        <v/>
      </c>
      <c r="U2372" t="str">
        <f>IF(L2372="","",P2372/'[1]LOCH Calc COE Calc'!$C$28)</f>
        <v/>
      </c>
      <c r="V2372" t="str">
        <f>IF(L2372="","",Q2372/'[1]LOCH Calc COE Calc'!$C$28)</f>
        <v/>
      </c>
      <c r="W2372" t="str">
        <f>IF(L2372="","",R2372/'[1]LOCH Calc COE Calc'!$C$28)</f>
        <v/>
      </c>
    </row>
    <row r="2373" spans="12:23" x14ac:dyDescent="0.25">
      <c r="L2373" s="4" t="str">
        <f>IF('[1]All Data '!BE2378="","",'[1]All Data '!BE2378)</f>
        <v/>
      </c>
      <c r="M2373" t="str">
        <f>IF('[1]All Data '!BF2378="","",'[1]All Data '!BF2378)</f>
        <v/>
      </c>
      <c r="N2373" s="5" t="str">
        <f>IF('[1]All Data '!BB2378="","",'[1]All Data '!BC2378/'[1]All Data '!BH2378)</f>
        <v/>
      </c>
      <c r="O2373" s="5" t="str">
        <f t="shared" si="39"/>
        <v/>
      </c>
      <c r="P2373" s="5" t="str">
        <f>IF(M2373="","",$C$2*(1-L2373)*907.2/0.621371*N2373*[1]Transportation!$M$40)</f>
        <v/>
      </c>
      <c r="Q2373" s="5" t="str">
        <f>IF(L2373="","",IF([1]Inputs_Outputs!$B$5="Herbaceous",(LCA!$E$29*'[1]LOCH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3" s="5" t="str">
        <f>IF(M2373="","",$E$2*1000*'[1]LOCH Calc COE Calc'!$C$44)</f>
        <v/>
      </c>
      <c r="S2373" s="6" t="str">
        <f>IF(N2373="","",SUM(O2373:R2373)/('[1]LOCH Calc COE Calc'!$C$28))</f>
        <v/>
      </c>
      <c r="T2373" t="str">
        <f>IF(L2373="","",O2373/'[1]LOCH Calc COE Calc'!$C$28)</f>
        <v/>
      </c>
      <c r="U2373" t="str">
        <f>IF(L2373="","",P2373/'[1]LOCH Calc COE Calc'!$C$28)</f>
        <v/>
      </c>
      <c r="V2373" t="str">
        <f>IF(L2373="","",Q2373/'[1]LOCH Calc COE Calc'!$C$28)</f>
        <v/>
      </c>
      <c r="W2373" t="str">
        <f>IF(L2373="","",R2373/'[1]LOCH Calc COE Calc'!$C$28)</f>
        <v/>
      </c>
    </row>
    <row r="2374" spans="12:23" x14ac:dyDescent="0.25">
      <c r="L2374" s="4" t="str">
        <f>IF('[1]All Data '!BE2379="","",'[1]All Data '!BE2379)</f>
        <v/>
      </c>
      <c r="M2374" t="str">
        <f>IF('[1]All Data '!BF2379="","",'[1]All Data '!BF2379)</f>
        <v/>
      </c>
      <c r="N2374" s="5" t="str">
        <f>IF('[1]All Data '!BB2379="","",'[1]All Data '!BC2379/'[1]All Data '!BH2379)</f>
        <v/>
      </c>
      <c r="O2374" s="5" t="str">
        <f t="shared" si="39"/>
        <v/>
      </c>
      <c r="P2374" s="5" t="str">
        <f>IF(M2374="","",$C$2*(1-L2374)*907.2/0.621371*N2374*[1]Transportation!$M$40)</f>
        <v/>
      </c>
      <c r="Q2374" s="5" t="str">
        <f>IF(L2374="","",IF([1]Inputs_Outputs!$B$5="Herbaceous",(LCA!$E$29*'[1]LOCH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4" s="5" t="str">
        <f>IF(M2374="","",$E$2*1000*'[1]LOCH Calc COE Calc'!$C$44)</f>
        <v/>
      </c>
      <c r="S2374" s="6" t="str">
        <f>IF(N2374="","",SUM(O2374:R2374)/('[1]LOCH Calc COE Calc'!$C$28))</f>
        <v/>
      </c>
      <c r="T2374" t="str">
        <f>IF(L2374="","",O2374/'[1]LOCH Calc COE Calc'!$C$28)</f>
        <v/>
      </c>
      <c r="U2374" t="str">
        <f>IF(L2374="","",P2374/'[1]LOCH Calc COE Calc'!$C$28)</f>
        <v/>
      </c>
      <c r="V2374" t="str">
        <f>IF(L2374="","",Q2374/'[1]LOCH Calc COE Calc'!$C$28)</f>
        <v/>
      </c>
      <c r="W2374" t="str">
        <f>IF(L2374="","",R2374/'[1]LOCH Calc COE Calc'!$C$28)</f>
        <v/>
      </c>
    </row>
    <row r="2375" spans="12:23" x14ac:dyDescent="0.25">
      <c r="L2375" s="4" t="str">
        <f>IF('[1]All Data '!BE2380="","",'[1]All Data '!BE2380)</f>
        <v/>
      </c>
      <c r="M2375" t="str">
        <f>IF('[1]All Data '!BF2380="","",'[1]All Data '!BF2380)</f>
        <v/>
      </c>
      <c r="N2375" s="5" t="str">
        <f>IF('[1]All Data '!BB2380="","",'[1]All Data '!BC2380/'[1]All Data '!BH2380)</f>
        <v/>
      </c>
      <c r="O2375" s="5" t="str">
        <f t="shared" si="39"/>
        <v/>
      </c>
      <c r="P2375" s="5" t="str">
        <f>IF(M2375="","",$C$2*(1-L2375)*907.2/0.621371*N2375*[1]Transportation!$M$40)</f>
        <v/>
      </c>
      <c r="Q2375" s="5" t="str">
        <f>IF(L2375="","",IF([1]Inputs_Outputs!$B$5="Herbaceous",(LCA!$E$29*'[1]LOCH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5" s="5" t="str">
        <f>IF(M2375="","",$E$2*1000*'[1]LOCH Calc COE Calc'!$C$44)</f>
        <v/>
      </c>
      <c r="S2375" s="6" t="str">
        <f>IF(N2375="","",SUM(O2375:R2375)/('[1]LOCH Calc COE Calc'!$C$28))</f>
        <v/>
      </c>
      <c r="T2375" t="str">
        <f>IF(L2375="","",O2375/'[1]LOCH Calc COE Calc'!$C$28)</f>
        <v/>
      </c>
      <c r="U2375" t="str">
        <f>IF(L2375="","",P2375/'[1]LOCH Calc COE Calc'!$C$28)</f>
        <v/>
      </c>
      <c r="V2375" t="str">
        <f>IF(L2375="","",Q2375/'[1]LOCH Calc COE Calc'!$C$28)</f>
        <v/>
      </c>
      <c r="W2375" t="str">
        <f>IF(L2375="","",R2375/'[1]LOCH Calc COE Calc'!$C$28)</f>
        <v/>
      </c>
    </row>
    <row r="2376" spans="12:23" x14ac:dyDescent="0.25">
      <c r="L2376" s="4" t="str">
        <f>IF('[1]All Data '!BE2381="","",'[1]All Data '!BE2381)</f>
        <v/>
      </c>
      <c r="M2376" t="str">
        <f>IF('[1]All Data '!BF2381="","",'[1]All Data '!BF2381)</f>
        <v/>
      </c>
      <c r="N2376" s="5" t="str">
        <f>IF('[1]All Data '!BB2381="","",'[1]All Data '!BC2381/'[1]All Data '!BH2381)</f>
        <v/>
      </c>
      <c r="O2376" s="5" t="str">
        <f t="shared" si="39"/>
        <v/>
      </c>
      <c r="P2376" s="5" t="str">
        <f>IF(M2376="","",$C$2*(1-L2376)*907.2/0.621371*N2376*[1]Transportation!$M$40)</f>
        <v/>
      </c>
      <c r="Q2376" s="5" t="str">
        <f>IF(L2376="","",IF([1]Inputs_Outputs!$B$5="Herbaceous",(LCA!$E$29*'[1]LOCH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6" s="5" t="str">
        <f>IF(M2376="","",$E$2*1000*'[1]LOCH Calc COE Calc'!$C$44)</f>
        <v/>
      </c>
      <c r="S2376" s="6" t="str">
        <f>IF(N2376="","",SUM(O2376:R2376)/('[1]LOCH Calc COE Calc'!$C$28))</f>
        <v/>
      </c>
      <c r="T2376" t="str">
        <f>IF(L2376="","",O2376/'[1]LOCH Calc COE Calc'!$C$28)</f>
        <v/>
      </c>
      <c r="U2376" t="str">
        <f>IF(L2376="","",P2376/'[1]LOCH Calc COE Calc'!$C$28)</f>
        <v/>
      </c>
      <c r="V2376" t="str">
        <f>IF(L2376="","",Q2376/'[1]LOCH Calc COE Calc'!$C$28)</f>
        <v/>
      </c>
      <c r="W2376" t="str">
        <f>IF(L2376="","",R2376/'[1]LOCH Calc COE Calc'!$C$28)</f>
        <v/>
      </c>
    </row>
    <row r="2377" spans="12:23" x14ac:dyDescent="0.25">
      <c r="L2377" s="4" t="str">
        <f>IF('[1]All Data '!BE2382="","",'[1]All Data '!BE2382)</f>
        <v/>
      </c>
      <c r="M2377" t="str">
        <f>IF('[1]All Data '!BF2382="","",'[1]All Data '!BF2382)</f>
        <v/>
      </c>
      <c r="N2377" s="5" t="str">
        <f>IF('[1]All Data '!BB2382="","",'[1]All Data '!BC2382/'[1]All Data '!BH2382)</f>
        <v/>
      </c>
      <c r="O2377" s="5" t="str">
        <f t="shared" si="39"/>
        <v/>
      </c>
      <c r="P2377" s="5" t="str">
        <f>IF(M2377="","",$C$2*(1-L2377)*907.2/0.621371*N2377*[1]Transportation!$M$40)</f>
        <v/>
      </c>
      <c r="Q2377" s="5" t="str">
        <f>IF(L2377="","",IF([1]Inputs_Outputs!$B$5="Herbaceous",(LCA!$E$29*'[1]LOCH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7" s="5" t="str">
        <f>IF(M2377="","",$E$2*1000*'[1]LOCH Calc COE Calc'!$C$44)</f>
        <v/>
      </c>
      <c r="S2377" s="6" t="str">
        <f>IF(N2377="","",SUM(O2377:R2377)/('[1]LOCH Calc COE Calc'!$C$28))</f>
        <v/>
      </c>
      <c r="T2377" t="str">
        <f>IF(L2377="","",O2377/'[1]LOCH Calc COE Calc'!$C$28)</f>
        <v/>
      </c>
      <c r="U2377" t="str">
        <f>IF(L2377="","",P2377/'[1]LOCH Calc COE Calc'!$C$28)</f>
        <v/>
      </c>
      <c r="V2377" t="str">
        <f>IF(L2377="","",Q2377/'[1]LOCH Calc COE Calc'!$C$28)</f>
        <v/>
      </c>
      <c r="W2377" t="str">
        <f>IF(L2377="","",R2377/'[1]LOCH Calc COE Calc'!$C$28)</f>
        <v/>
      </c>
    </row>
    <row r="2378" spans="12:23" x14ac:dyDescent="0.25">
      <c r="L2378" s="4" t="str">
        <f>IF('[1]All Data '!BE2383="","",'[1]All Data '!BE2383)</f>
        <v/>
      </c>
      <c r="M2378" t="str">
        <f>IF('[1]All Data '!BF2383="","",'[1]All Data '!BF2383)</f>
        <v/>
      </c>
      <c r="N2378" s="5" t="str">
        <f>IF('[1]All Data '!BB2383="","",'[1]All Data '!BC2383/'[1]All Data '!BH2383)</f>
        <v/>
      </c>
      <c r="O2378" s="5" t="str">
        <f t="shared" si="39"/>
        <v/>
      </c>
      <c r="P2378" s="5" t="str">
        <f>IF(M2378="","",$C$2*(1-L2378)*907.2/0.621371*N2378*[1]Transportation!$M$40)</f>
        <v/>
      </c>
      <c r="Q2378" s="5" t="str">
        <f>IF(L2378="","",IF([1]Inputs_Outputs!$B$5="Herbaceous",(LCA!$E$29*'[1]LOCH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8" s="5" t="str">
        <f>IF(M2378="","",$E$2*1000*'[1]LOCH Calc COE Calc'!$C$44)</f>
        <v/>
      </c>
      <c r="S2378" s="6" t="str">
        <f>IF(N2378="","",SUM(O2378:R2378)/('[1]LOCH Calc COE Calc'!$C$28))</f>
        <v/>
      </c>
      <c r="T2378" t="str">
        <f>IF(L2378="","",O2378/'[1]LOCH Calc COE Calc'!$C$28)</f>
        <v/>
      </c>
      <c r="U2378" t="str">
        <f>IF(L2378="","",P2378/'[1]LOCH Calc COE Calc'!$C$28)</f>
        <v/>
      </c>
      <c r="V2378" t="str">
        <f>IF(L2378="","",Q2378/'[1]LOCH Calc COE Calc'!$C$28)</f>
        <v/>
      </c>
      <c r="W2378" t="str">
        <f>IF(L2378="","",R2378/'[1]LOCH Calc COE Calc'!$C$28)</f>
        <v/>
      </c>
    </row>
    <row r="2379" spans="12:23" x14ac:dyDescent="0.25">
      <c r="L2379" s="4" t="str">
        <f>IF('[1]All Data '!BE2384="","",'[1]All Data '!BE2384)</f>
        <v/>
      </c>
      <c r="M2379" t="str">
        <f>IF('[1]All Data '!BF2384="","",'[1]All Data '!BF2384)</f>
        <v/>
      </c>
      <c r="N2379" s="5" t="str">
        <f>IF('[1]All Data '!BB2384="","",'[1]All Data '!BC2384/'[1]All Data '!BH2384)</f>
        <v/>
      </c>
      <c r="O2379" s="5" t="str">
        <f t="shared" si="39"/>
        <v/>
      </c>
      <c r="P2379" s="5" t="str">
        <f>IF(M2379="","",$C$2*(1-L2379)*907.2/0.621371*N2379*[1]Transportation!$M$40)</f>
        <v/>
      </c>
      <c r="Q2379" s="5" t="str">
        <f>IF(L2379="","",IF([1]Inputs_Outputs!$B$5="Herbaceous",(LCA!$E$29*'[1]LOCH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79" s="5" t="str">
        <f>IF(M2379="","",$E$2*1000*'[1]LOCH Calc COE Calc'!$C$44)</f>
        <v/>
      </c>
      <c r="S2379" s="6" t="str">
        <f>IF(N2379="","",SUM(O2379:R2379)/('[1]LOCH Calc COE Calc'!$C$28))</f>
        <v/>
      </c>
      <c r="T2379" t="str">
        <f>IF(L2379="","",O2379/'[1]LOCH Calc COE Calc'!$C$28)</f>
        <v/>
      </c>
      <c r="U2379" t="str">
        <f>IF(L2379="","",P2379/'[1]LOCH Calc COE Calc'!$C$28)</f>
        <v/>
      </c>
      <c r="V2379" t="str">
        <f>IF(L2379="","",Q2379/'[1]LOCH Calc COE Calc'!$C$28)</f>
        <v/>
      </c>
      <c r="W2379" t="str">
        <f>IF(L2379="","",R2379/'[1]LOCH Calc COE Calc'!$C$28)</f>
        <v/>
      </c>
    </row>
    <row r="2380" spans="12:23" x14ac:dyDescent="0.25">
      <c r="L2380" s="4" t="str">
        <f>IF('[1]All Data '!BE2385="","",'[1]All Data '!BE2385)</f>
        <v/>
      </c>
      <c r="M2380" t="str">
        <f>IF('[1]All Data '!BF2385="","",'[1]All Data '!BF2385)</f>
        <v/>
      </c>
      <c r="N2380" s="5" t="str">
        <f>IF('[1]All Data '!BB2385="","",'[1]All Data '!BC2385/'[1]All Data '!BH2385)</f>
        <v/>
      </c>
      <c r="O2380" s="5" t="str">
        <f t="shared" si="39"/>
        <v/>
      </c>
      <c r="P2380" s="5" t="str">
        <f>IF(M2380="","",$C$2*(1-L2380)*907.2/0.621371*N2380*[1]Transportation!$M$40)</f>
        <v/>
      </c>
      <c r="Q2380" s="5" t="str">
        <f>IF(L2380="","",IF([1]Inputs_Outputs!$B$5="Herbaceous",(LCA!$E$29*'[1]LOCH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0" s="5" t="str">
        <f>IF(M2380="","",$E$2*1000*'[1]LOCH Calc COE Calc'!$C$44)</f>
        <v/>
      </c>
      <c r="S2380" s="6" t="str">
        <f>IF(N2380="","",SUM(O2380:R2380)/('[1]LOCH Calc COE Calc'!$C$28))</f>
        <v/>
      </c>
      <c r="T2380" t="str">
        <f>IF(L2380="","",O2380/'[1]LOCH Calc COE Calc'!$C$28)</f>
        <v/>
      </c>
      <c r="U2380" t="str">
        <f>IF(L2380="","",P2380/'[1]LOCH Calc COE Calc'!$C$28)</f>
        <v/>
      </c>
      <c r="V2380" t="str">
        <f>IF(L2380="","",Q2380/'[1]LOCH Calc COE Calc'!$C$28)</f>
        <v/>
      </c>
      <c r="W2380" t="str">
        <f>IF(L2380="","",R2380/'[1]LOCH Calc COE Calc'!$C$28)</f>
        <v/>
      </c>
    </row>
    <row r="2381" spans="12:23" x14ac:dyDescent="0.25">
      <c r="L2381" s="4" t="str">
        <f>IF('[1]All Data '!BE2386="","",'[1]All Data '!BE2386)</f>
        <v/>
      </c>
      <c r="M2381" t="str">
        <f>IF('[1]All Data '!BF2386="","",'[1]All Data '!BF2386)</f>
        <v/>
      </c>
      <c r="N2381" s="5" t="str">
        <f>IF('[1]All Data '!BB2386="","",'[1]All Data '!BC2386/'[1]All Data '!BH2386)</f>
        <v/>
      </c>
      <c r="O2381" s="5" t="str">
        <f t="shared" si="39"/>
        <v/>
      </c>
      <c r="P2381" s="5" t="str">
        <f>IF(M2381="","",$C$2*(1-L2381)*907.2/0.621371*N2381*[1]Transportation!$M$40)</f>
        <v/>
      </c>
      <c r="Q2381" s="5" t="str">
        <f>IF(L2381="","",IF([1]Inputs_Outputs!$B$5="Herbaceous",(LCA!$E$29*'[1]LOCH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1" s="5" t="str">
        <f>IF(M2381="","",$E$2*1000*'[1]LOCH Calc COE Calc'!$C$44)</f>
        <v/>
      </c>
      <c r="S2381" s="6" t="str">
        <f>IF(N2381="","",SUM(O2381:R2381)/('[1]LOCH Calc COE Calc'!$C$28))</f>
        <v/>
      </c>
      <c r="T2381" t="str">
        <f>IF(L2381="","",O2381/'[1]LOCH Calc COE Calc'!$C$28)</f>
        <v/>
      </c>
      <c r="U2381" t="str">
        <f>IF(L2381="","",P2381/'[1]LOCH Calc COE Calc'!$C$28)</f>
        <v/>
      </c>
      <c r="V2381" t="str">
        <f>IF(L2381="","",Q2381/'[1]LOCH Calc COE Calc'!$C$28)</f>
        <v/>
      </c>
      <c r="W2381" t="str">
        <f>IF(L2381="","",R2381/'[1]LOCH Calc COE Calc'!$C$28)</f>
        <v/>
      </c>
    </row>
    <row r="2382" spans="12:23" x14ac:dyDescent="0.25">
      <c r="L2382" s="4" t="str">
        <f>IF('[1]All Data '!BE2387="","",'[1]All Data '!BE2387)</f>
        <v/>
      </c>
      <c r="M2382" t="str">
        <f>IF('[1]All Data '!BF2387="","",'[1]All Data '!BF2387)</f>
        <v/>
      </c>
      <c r="N2382" s="5" t="str">
        <f>IF('[1]All Data '!BB2387="","",'[1]All Data '!BC2387/'[1]All Data '!BH2387)</f>
        <v/>
      </c>
      <c r="O2382" s="5" t="str">
        <f t="shared" si="39"/>
        <v/>
      </c>
      <c r="P2382" s="5" t="str">
        <f>IF(M2382="","",$C$2*(1-L2382)*907.2/0.621371*N2382*[1]Transportation!$M$40)</f>
        <v/>
      </c>
      <c r="Q2382" s="5" t="str">
        <f>IF(L2382="","",IF([1]Inputs_Outputs!$B$5="Herbaceous",(LCA!$E$29*'[1]LOCH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2" s="5" t="str">
        <f>IF(M2382="","",$E$2*1000*'[1]LOCH Calc COE Calc'!$C$44)</f>
        <v/>
      </c>
      <c r="S2382" s="6" t="str">
        <f>IF(N2382="","",SUM(O2382:R2382)/('[1]LOCH Calc COE Calc'!$C$28))</f>
        <v/>
      </c>
      <c r="T2382" t="str">
        <f>IF(L2382="","",O2382/'[1]LOCH Calc COE Calc'!$C$28)</f>
        <v/>
      </c>
      <c r="U2382" t="str">
        <f>IF(L2382="","",P2382/'[1]LOCH Calc COE Calc'!$C$28)</f>
        <v/>
      </c>
      <c r="V2382" t="str">
        <f>IF(L2382="","",Q2382/'[1]LOCH Calc COE Calc'!$C$28)</f>
        <v/>
      </c>
      <c r="W2382" t="str">
        <f>IF(L2382="","",R2382/'[1]LOCH Calc COE Calc'!$C$28)</f>
        <v/>
      </c>
    </row>
    <row r="2383" spans="12:23" x14ac:dyDescent="0.25">
      <c r="L2383" s="4" t="str">
        <f>IF('[1]All Data '!BE2388="","",'[1]All Data '!BE2388)</f>
        <v/>
      </c>
      <c r="M2383" t="str">
        <f>IF('[1]All Data '!BF2388="","",'[1]All Data '!BF2388)</f>
        <v/>
      </c>
      <c r="N2383" s="5" t="str">
        <f>IF('[1]All Data '!BB2388="","",'[1]All Data '!BC2388/'[1]All Data '!BH2388)</f>
        <v/>
      </c>
      <c r="O2383" s="5" t="str">
        <f t="shared" si="39"/>
        <v/>
      </c>
      <c r="P2383" s="5" t="str">
        <f>IF(M2383="","",$C$2*(1-L2383)*907.2/0.621371*N2383*[1]Transportation!$M$40)</f>
        <v/>
      </c>
      <c r="Q2383" s="5" t="str">
        <f>IF(L2383="","",IF([1]Inputs_Outputs!$B$5="Herbaceous",(LCA!$E$29*'[1]LOCH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3" s="5" t="str">
        <f>IF(M2383="","",$E$2*1000*'[1]LOCH Calc COE Calc'!$C$44)</f>
        <v/>
      </c>
      <c r="S2383" s="6" t="str">
        <f>IF(N2383="","",SUM(O2383:R2383)/('[1]LOCH Calc COE Calc'!$C$28))</f>
        <v/>
      </c>
      <c r="T2383" t="str">
        <f>IF(L2383="","",O2383/'[1]LOCH Calc COE Calc'!$C$28)</f>
        <v/>
      </c>
      <c r="U2383" t="str">
        <f>IF(L2383="","",P2383/'[1]LOCH Calc COE Calc'!$C$28)</f>
        <v/>
      </c>
      <c r="V2383" t="str">
        <f>IF(L2383="","",Q2383/'[1]LOCH Calc COE Calc'!$C$28)</f>
        <v/>
      </c>
      <c r="W2383" t="str">
        <f>IF(L2383="","",R2383/'[1]LOCH Calc COE Calc'!$C$28)</f>
        <v/>
      </c>
    </row>
    <row r="2384" spans="12:23" x14ac:dyDescent="0.25">
      <c r="L2384" s="4" t="str">
        <f>IF('[1]All Data '!BE2389="","",'[1]All Data '!BE2389)</f>
        <v/>
      </c>
      <c r="M2384" t="str">
        <f>IF('[1]All Data '!BF2389="","",'[1]All Data '!BF2389)</f>
        <v/>
      </c>
      <c r="N2384" s="5" t="str">
        <f>IF('[1]All Data '!BB2389="","",'[1]All Data '!BC2389/'[1]All Data '!BH2389)</f>
        <v/>
      </c>
      <c r="O2384" s="5" t="str">
        <f t="shared" si="39"/>
        <v/>
      </c>
      <c r="P2384" s="5" t="str">
        <f>IF(M2384="","",$C$2*(1-L2384)*907.2/0.621371*N2384*[1]Transportation!$M$40)</f>
        <v/>
      </c>
      <c r="Q2384" s="5" t="str">
        <f>IF(L2384="","",IF([1]Inputs_Outputs!$B$5="Herbaceous",(LCA!$E$29*'[1]LOCH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4" s="5" t="str">
        <f>IF(M2384="","",$E$2*1000*'[1]LOCH Calc COE Calc'!$C$44)</f>
        <v/>
      </c>
      <c r="S2384" s="6" t="str">
        <f>IF(N2384="","",SUM(O2384:R2384)/('[1]LOCH Calc COE Calc'!$C$28))</f>
        <v/>
      </c>
      <c r="T2384" t="str">
        <f>IF(L2384="","",O2384/'[1]LOCH Calc COE Calc'!$C$28)</f>
        <v/>
      </c>
      <c r="U2384" t="str">
        <f>IF(L2384="","",P2384/'[1]LOCH Calc COE Calc'!$C$28)</f>
        <v/>
      </c>
      <c r="V2384" t="str">
        <f>IF(L2384="","",Q2384/'[1]LOCH Calc COE Calc'!$C$28)</f>
        <v/>
      </c>
      <c r="W2384" t="str">
        <f>IF(L2384="","",R2384/'[1]LOCH Calc COE Calc'!$C$28)</f>
        <v/>
      </c>
    </row>
    <row r="2385" spans="12:23" x14ac:dyDescent="0.25">
      <c r="L2385" s="4" t="str">
        <f>IF('[1]All Data '!BE2390="","",'[1]All Data '!BE2390)</f>
        <v/>
      </c>
      <c r="M2385" t="str">
        <f>IF('[1]All Data '!BF2390="","",'[1]All Data '!BF2390)</f>
        <v/>
      </c>
      <c r="N2385" s="5" t="str">
        <f>IF('[1]All Data '!BB2390="","",'[1]All Data '!BC2390/'[1]All Data '!BH2390)</f>
        <v/>
      </c>
      <c r="O2385" s="5" t="str">
        <f t="shared" si="39"/>
        <v/>
      </c>
      <c r="P2385" s="5" t="str">
        <f>IF(M2385="","",$C$2*(1-L2385)*907.2/0.621371*N2385*[1]Transportation!$M$40)</f>
        <v/>
      </c>
      <c r="Q2385" s="5" t="str">
        <f>IF(L2385="","",IF([1]Inputs_Outputs!$B$5="Herbaceous",(LCA!$E$29*'[1]LOCH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5" s="5" t="str">
        <f>IF(M2385="","",$E$2*1000*'[1]LOCH Calc COE Calc'!$C$44)</f>
        <v/>
      </c>
      <c r="S2385" s="6" t="str">
        <f>IF(N2385="","",SUM(O2385:R2385)/('[1]LOCH Calc COE Calc'!$C$28))</f>
        <v/>
      </c>
      <c r="T2385" t="str">
        <f>IF(L2385="","",O2385/'[1]LOCH Calc COE Calc'!$C$28)</f>
        <v/>
      </c>
      <c r="U2385" t="str">
        <f>IF(L2385="","",P2385/'[1]LOCH Calc COE Calc'!$C$28)</f>
        <v/>
      </c>
      <c r="V2385" t="str">
        <f>IF(L2385="","",Q2385/'[1]LOCH Calc COE Calc'!$C$28)</f>
        <v/>
      </c>
      <c r="W2385" t="str">
        <f>IF(L2385="","",R2385/'[1]LOCH Calc COE Calc'!$C$28)</f>
        <v/>
      </c>
    </row>
    <row r="2386" spans="12:23" x14ac:dyDescent="0.25">
      <c r="L2386" s="4" t="str">
        <f>IF('[1]All Data '!BE2391="","",'[1]All Data '!BE2391)</f>
        <v/>
      </c>
      <c r="M2386" t="str">
        <f>IF('[1]All Data '!BF2391="","",'[1]All Data '!BF2391)</f>
        <v/>
      </c>
      <c r="N2386" s="5" t="str">
        <f>IF('[1]All Data '!BB2391="","",'[1]All Data '!BC2391/'[1]All Data '!BH2391)</f>
        <v/>
      </c>
      <c r="O2386" s="5" t="str">
        <f t="shared" si="39"/>
        <v/>
      </c>
      <c r="P2386" s="5" t="str">
        <f>IF(M2386="","",$C$2*(1-L2386)*907.2/0.621371*N2386*[1]Transportation!$M$40)</f>
        <v/>
      </c>
      <c r="Q2386" s="5" t="str">
        <f>IF(L2386="","",IF([1]Inputs_Outputs!$B$5="Herbaceous",(LCA!$E$29*'[1]LOCH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6" s="5" t="str">
        <f>IF(M2386="","",$E$2*1000*'[1]LOCH Calc COE Calc'!$C$44)</f>
        <v/>
      </c>
      <c r="S2386" s="6" t="str">
        <f>IF(N2386="","",SUM(O2386:R2386)/('[1]LOCH Calc COE Calc'!$C$28))</f>
        <v/>
      </c>
      <c r="T2386" t="str">
        <f>IF(L2386="","",O2386/'[1]LOCH Calc COE Calc'!$C$28)</f>
        <v/>
      </c>
      <c r="U2386" t="str">
        <f>IF(L2386="","",P2386/'[1]LOCH Calc COE Calc'!$C$28)</f>
        <v/>
      </c>
      <c r="V2386" t="str">
        <f>IF(L2386="","",Q2386/'[1]LOCH Calc COE Calc'!$C$28)</f>
        <v/>
      </c>
      <c r="W2386" t="str">
        <f>IF(L2386="","",R2386/'[1]LOCH Calc COE Calc'!$C$28)</f>
        <v/>
      </c>
    </row>
    <row r="2387" spans="12:23" x14ac:dyDescent="0.25">
      <c r="L2387" s="4" t="str">
        <f>IF('[1]All Data '!BE2392="","",'[1]All Data '!BE2392)</f>
        <v/>
      </c>
      <c r="M2387" t="str">
        <f>IF('[1]All Data '!BF2392="","",'[1]All Data '!BF2392)</f>
        <v/>
      </c>
      <c r="N2387" s="5" t="str">
        <f>IF('[1]All Data '!BB2392="","",'[1]All Data '!BC2392/'[1]All Data '!BH2392)</f>
        <v/>
      </c>
      <c r="O2387" s="5" t="str">
        <f t="shared" si="39"/>
        <v/>
      </c>
      <c r="P2387" s="5" t="str">
        <f>IF(M2387="","",$C$2*(1-L2387)*907.2/0.621371*N2387*[1]Transportation!$M$40)</f>
        <v/>
      </c>
      <c r="Q2387" s="5" t="str">
        <f>IF(L2387="","",IF([1]Inputs_Outputs!$B$5="Herbaceous",(LCA!$E$29*'[1]LOCH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7" s="5" t="str">
        <f>IF(M2387="","",$E$2*1000*'[1]LOCH Calc COE Calc'!$C$44)</f>
        <v/>
      </c>
      <c r="S2387" s="6" t="str">
        <f>IF(N2387="","",SUM(O2387:R2387)/('[1]LOCH Calc COE Calc'!$C$28))</f>
        <v/>
      </c>
      <c r="T2387" t="str">
        <f>IF(L2387="","",O2387/'[1]LOCH Calc COE Calc'!$C$28)</f>
        <v/>
      </c>
      <c r="U2387" t="str">
        <f>IF(L2387="","",P2387/'[1]LOCH Calc COE Calc'!$C$28)</f>
        <v/>
      </c>
      <c r="V2387" t="str">
        <f>IF(L2387="","",Q2387/'[1]LOCH Calc COE Calc'!$C$28)</f>
        <v/>
      </c>
      <c r="W2387" t="str">
        <f>IF(L2387="","",R2387/'[1]LOCH Calc COE Calc'!$C$28)</f>
        <v/>
      </c>
    </row>
    <row r="2388" spans="12:23" x14ac:dyDescent="0.25">
      <c r="L2388" s="4" t="str">
        <f>IF('[1]All Data '!BE2393="","",'[1]All Data '!BE2393)</f>
        <v/>
      </c>
      <c r="M2388" t="str">
        <f>IF('[1]All Data '!BF2393="","",'[1]All Data '!BF2393)</f>
        <v/>
      </c>
      <c r="N2388" s="5" t="str">
        <f>IF('[1]All Data '!BB2393="","",'[1]All Data '!BC2393/'[1]All Data '!BH2393)</f>
        <v/>
      </c>
      <c r="O2388" s="5" t="str">
        <f t="shared" si="39"/>
        <v/>
      </c>
      <c r="P2388" s="5" t="str">
        <f>IF(M2388="","",$C$2*(1-L2388)*907.2/0.621371*N2388*[1]Transportation!$M$40)</f>
        <v/>
      </c>
      <c r="Q2388" s="5" t="str">
        <f>IF(L2388="","",IF([1]Inputs_Outputs!$B$5="Herbaceous",(LCA!$E$29*'[1]LOCH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8" s="5" t="str">
        <f>IF(M2388="","",$E$2*1000*'[1]LOCH Calc COE Calc'!$C$44)</f>
        <v/>
      </c>
      <c r="S2388" s="6" t="str">
        <f>IF(N2388="","",SUM(O2388:R2388)/('[1]LOCH Calc COE Calc'!$C$28))</f>
        <v/>
      </c>
      <c r="T2388" t="str">
        <f>IF(L2388="","",O2388/'[1]LOCH Calc COE Calc'!$C$28)</f>
        <v/>
      </c>
      <c r="U2388" t="str">
        <f>IF(L2388="","",P2388/'[1]LOCH Calc COE Calc'!$C$28)</f>
        <v/>
      </c>
      <c r="V2388" t="str">
        <f>IF(L2388="","",Q2388/'[1]LOCH Calc COE Calc'!$C$28)</f>
        <v/>
      </c>
      <c r="W2388" t="str">
        <f>IF(L2388="","",R2388/'[1]LOCH Calc COE Calc'!$C$28)</f>
        <v/>
      </c>
    </row>
    <row r="2389" spans="12:23" x14ac:dyDescent="0.25">
      <c r="L2389" s="4" t="str">
        <f>IF('[1]All Data '!BE2394="","",'[1]All Data '!BE2394)</f>
        <v/>
      </c>
      <c r="M2389" t="str">
        <f>IF('[1]All Data '!BF2394="","",'[1]All Data '!BF2394)</f>
        <v/>
      </c>
      <c r="N2389" s="5" t="str">
        <f>IF('[1]All Data '!BB2394="","",'[1]All Data '!BC2394/'[1]All Data '!BH2394)</f>
        <v/>
      </c>
      <c r="O2389" s="5" t="str">
        <f t="shared" si="39"/>
        <v/>
      </c>
      <c r="P2389" s="5" t="str">
        <f>IF(M2389="","",$C$2*(1-L2389)*907.2/0.621371*N2389*[1]Transportation!$M$40)</f>
        <v/>
      </c>
      <c r="Q2389" s="5" t="str">
        <f>IF(L2389="","",IF([1]Inputs_Outputs!$B$5="Herbaceous",(LCA!$E$29*'[1]LOCH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89" s="5" t="str">
        <f>IF(M2389="","",$E$2*1000*'[1]LOCH Calc COE Calc'!$C$44)</f>
        <v/>
      </c>
      <c r="S2389" s="6" t="str">
        <f>IF(N2389="","",SUM(O2389:R2389)/('[1]LOCH Calc COE Calc'!$C$28))</f>
        <v/>
      </c>
      <c r="T2389" t="str">
        <f>IF(L2389="","",O2389/'[1]LOCH Calc COE Calc'!$C$28)</f>
        <v/>
      </c>
      <c r="U2389" t="str">
        <f>IF(L2389="","",P2389/'[1]LOCH Calc COE Calc'!$C$28)</f>
        <v/>
      </c>
      <c r="V2389" t="str">
        <f>IF(L2389="","",Q2389/'[1]LOCH Calc COE Calc'!$C$28)</f>
        <v/>
      </c>
      <c r="W2389" t="str">
        <f>IF(L2389="","",R2389/'[1]LOCH Calc COE Calc'!$C$28)</f>
        <v/>
      </c>
    </row>
    <row r="2390" spans="12:23" x14ac:dyDescent="0.25">
      <c r="L2390" s="4" t="str">
        <f>IF('[1]All Data '!BE2395="","",'[1]All Data '!BE2395)</f>
        <v/>
      </c>
      <c r="M2390" t="str">
        <f>IF('[1]All Data '!BF2395="","",'[1]All Data '!BF2395)</f>
        <v/>
      </c>
      <c r="N2390" s="5" t="str">
        <f>IF('[1]All Data '!BB2395="","",'[1]All Data '!BC2395/'[1]All Data '!BH2395)</f>
        <v/>
      </c>
      <c r="O2390" s="5" t="str">
        <f t="shared" si="39"/>
        <v/>
      </c>
      <c r="P2390" s="5" t="str">
        <f>IF(M2390="","",$C$2*(1-L2390)*907.2/0.621371*N2390*[1]Transportation!$M$40)</f>
        <v/>
      </c>
      <c r="Q2390" s="5" t="str">
        <f>IF(L2390="","",IF([1]Inputs_Outputs!$B$5="Herbaceous",(LCA!$E$29*'[1]LOCH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0" s="5" t="str">
        <f>IF(M2390="","",$E$2*1000*'[1]LOCH Calc COE Calc'!$C$44)</f>
        <v/>
      </c>
      <c r="S2390" s="6" t="str">
        <f>IF(N2390="","",SUM(O2390:R2390)/('[1]LOCH Calc COE Calc'!$C$28))</f>
        <v/>
      </c>
      <c r="T2390" t="str">
        <f>IF(L2390="","",O2390/'[1]LOCH Calc COE Calc'!$C$28)</f>
        <v/>
      </c>
      <c r="U2390" t="str">
        <f>IF(L2390="","",P2390/'[1]LOCH Calc COE Calc'!$C$28)</f>
        <v/>
      </c>
      <c r="V2390" t="str">
        <f>IF(L2390="","",Q2390/'[1]LOCH Calc COE Calc'!$C$28)</f>
        <v/>
      </c>
      <c r="W2390" t="str">
        <f>IF(L2390="","",R2390/'[1]LOCH Calc COE Calc'!$C$28)</f>
        <v/>
      </c>
    </row>
    <row r="2391" spans="12:23" x14ac:dyDescent="0.25">
      <c r="L2391" s="4" t="str">
        <f>IF('[1]All Data '!BE2396="","",'[1]All Data '!BE2396)</f>
        <v/>
      </c>
      <c r="M2391" t="str">
        <f>IF('[1]All Data '!BF2396="","",'[1]All Data '!BF2396)</f>
        <v/>
      </c>
      <c r="N2391" s="5" t="str">
        <f>IF('[1]All Data '!BB2396="","",'[1]All Data '!BC2396/'[1]All Data '!BH2396)</f>
        <v/>
      </c>
      <c r="O2391" s="5" t="str">
        <f t="shared" si="39"/>
        <v/>
      </c>
      <c r="P2391" s="5" t="str">
        <f>IF(M2391="","",$C$2*(1-L2391)*907.2/0.621371*N2391*[1]Transportation!$M$40)</f>
        <v/>
      </c>
      <c r="Q2391" s="5" t="str">
        <f>IF(L2391="","",IF([1]Inputs_Outputs!$B$5="Herbaceous",(LCA!$E$29*'[1]LOCH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1" s="5" t="str">
        <f>IF(M2391="","",$E$2*1000*'[1]LOCH Calc COE Calc'!$C$44)</f>
        <v/>
      </c>
      <c r="S2391" s="6" t="str">
        <f>IF(N2391="","",SUM(O2391:R2391)/('[1]LOCH Calc COE Calc'!$C$28))</f>
        <v/>
      </c>
      <c r="T2391" t="str">
        <f>IF(L2391="","",O2391/'[1]LOCH Calc COE Calc'!$C$28)</f>
        <v/>
      </c>
      <c r="U2391" t="str">
        <f>IF(L2391="","",P2391/'[1]LOCH Calc COE Calc'!$C$28)</f>
        <v/>
      </c>
      <c r="V2391" t="str">
        <f>IF(L2391="","",Q2391/'[1]LOCH Calc COE Calc'!$C$28)</f>
        <v/>
      </c>
      <c r="W2391" t="str">
        <f>IF(L2391="","",R2391/'[1]LOCH Calc COE Calc'!$C$28)</f>
        <v/>
      </c>
    </row>
    <row r="2392" spans="12:23" x14ac:dyDescent="0.25">
      <c r="L2392" s="4" t="str">
        <f>IF('[1]All Data '!BE2397="","",'[1]All Data '!BE2397)</f>
        <v/>
      </c>
      <c r="M2392" t="str">
        <f>IF('[1]All Data '!BF2397="","",'[1]All Data '!BF2397)</f>
        <v/>
      </c>
      <c r="N2392" s="5" t="str">
        <f>IF('[1]All Data '!BB2397="","",'[1]All Data '!BC2397/'[1]All Data '!BH2397)</f>
        <v/>
      </c>
      <c r="O2392" s="5" t="str">
        <f t="shared" si="39"/>
        <v/>
      </c>
      <c r="P2392" s="5" t="str">
        <f>IF(M2392="","",$C$2*(1-L2392)*907.2/0.621371*N2392*[1]Transportation!$M$40)</f>
        <v/>
      </c>
      <c r="Q2392" s="5" t="str">
        <f>IF(L2392="","",IF([1]Inputs_Outputs!$B$5="Herbaceous",(LCA!$E$29*'[1]LOCH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2" s="5" t="str">
        <f>IF(M2392="","",$E$2*1000*'[1]LOCH Calc COE Calc'!$C$44)</f>
        <v/>
      </c>
      <c r="S2392" s="6" t="str">
        <f>IF(N2392="","",SUM(O2392:R2392)/('[1]LOCH Calc COE Calc'!$C$28))</f>
        <v/>
      </c>
      <c r="T2392" t="str">
        <f>IF(L2392="","",O2392/'[1]LOCH Calc COE Calc'!$C$28)</f>
        <v/>
      </c>
      <c r="U2392" t="str">
        <f>IF(L2392="","",P2392/'[1]LOCH Calc COE Calc'!$C$28)</f>
        <v/>
      </c>
      <c r="V2392" t="str">
        <f>IF(L2392="","",Q2392/'[1]LOCH Calc COE Calc'!$C$28)</f>
        <v/>
      </c>
      <c r="W2392" t="str">
        <f>IF(L2392="","",R2392/'[1]LOCH Calc COE Calc'!$C$28)</f>
        <v/>
      </c>
    </row>
    <row r="2393" spans="12:23" x14ac:dyDescent="0.25">
      <c r="L2393" s="4" t="str">
        <f>IF('[1]All Data '!BE2398="","",'[1]All Data '!BE2398)</f>
        <v/>
      </c>
      <c r="M2393" t="str">
        <f>IF('[1]All Data '!BF2398="","",'[1]All Data '!BF2398)</f>
        <v/>
      </c>
      <c r="N2393" s="5" t="str">
        <f>IF('[1]All Data '!BB2398="","",'[1]All Data '!BC2398/'[1]All Data '!BH2398)</f>
        <v/>
      </c>
      <c r="O2393" s="5" t="str">
        <f t="shared" si="39"/>
        <v/>
      </c>
      <c r="P2393" s="5" t="str">
        <f>IF(M2393="","",$C$2*(1-L2393)*907.2/0.621371*N2393*[1]Transportation!$M$40)</f>
        <v/>
      </c>
      <c r="Q2393" s="5" t="str">
        <f>IF(L2393="","",IF([1]Inputs_Outputs!$B$5="Herbaceous",(LCA!$E$29*'[1]LOCH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3" s="5" t="str">
        <f>IF(M2393="","",$E$2*1000*'[1]LOCH Calc COE Calc'!$C$44)</f>
        <v/>
      </c>
      <c r="S2393" s="6" t="str">
        <f>IF(N2393="","",SUM(O2393:R2393)/('[1]LOCH Calc COE Calc'!$C$28))</f>
        <v/>
      </c>
      <c r="T2393" t="str">
        <f>IF(L2393="","",O2393/'[1]LOCH Calc COE Calc'!$C$28)</f>
        <v/>
      </c>
      <c r="U2393" t="str">
        <f>IF(L2393="","",P2393/'[1]LOCH Calc COE Calc'!$C$28)</f>
        <v/>
      </c>
      <c r="V2393" t="str">
        <f>IF(L2393="","",Q2393/'[1]LOCH Calc COE Calc'!$C$28)</f>
        <v/>
      </c>
      <c r="W2393" t="str">
        <f>IF(L2393="","",R2393/'[1]LOCH Calc COE Calc'!$C$28)</f>
        <v/>
      </c>
    </row>
    <row r="2394" spans="12:23" x14ac:dyDescent="0.25">
      <c r="L2394" s="4" t="str">
        <f>IF('[1]All Data '!BE2399="","",'[1]All Data '!BE2399)</f>
        <v/>
      </c>
      <c r="M2394" t="str">
        <f>IF('[1]All Data '!BF2399="","",'[1]All Data '!BF2399)</f>
        <v/>
      </c>
      <c r="N2394" s="5" t="str">
        <f>IF('[1]All Data '!BB2399="","",'[1]All Data '!BC2399/'[1]All Data '!BH2399)</f>
        <v/>
      </c>
      <c r="O2394" s="5" t="str">
        <f t="shared" si="39"/>
        <v/>
      </c>
      <c r="P2394" s="5" t="str">
        <f>IF(M2394="","",$C$2*(1-L2394)*907.2/0.621371*N2394*[1]Transportation!$M$40)</f>
        <v/>
      </c>
      <c r="Q2394" s="5" t="str">
        <f>IF(L2394="","",IF([1]Inputs_Outputs!$B$5="Herbaceous",(LCA!$E$29*'[1]LOCH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4" s="5" t="str">
        <f>IF(M2394="","",$E$2*1000*'[1]LOCH Calc COE Calc'!$C$44)</f>
        <v/>
      </c>
      <c r="S2394" s="6" t="str">
        <f>IF(N2394="","",SUM(O2394:R2394)/('[1]LOCH Calc COE Calc'!$C$28))</f>
        <v/>
      </c>
      <c r="T2394" t="str">
        <f>IF(L2394="","",O2394/'[1]LOCH Calc COE Calc'!$C$28)</f>
        <v/>
      </c>
      <c r="U2394" t="str">
        <f>IF(L2394="","",P2394/'[1]LOCH Calc COE Calc'!$C$28)</f>
        <v/>
      </c>
      <c r="V2394" t="str">
        <f>IF(L2394="","",Q2394/'[1]LOCH Calc COE Calc'!$C$28)</f>
        <v/>
      </c>
      <c r="W2394" t="str">
        <f>IF(L2394="","",R2394/'[1]LOCH Calc COE Calc'!$C$28)</f>
        <v/>
      </c>
    </row>
    <row r="2395" spans="12:23" x14ac:dyDescent="0.25">
      <c r="L2395" s="4" t="str">
        <f>IF('[1]All Data '!BE2400="","",'[1]All Data '!BE2400)</f>
        <v/>
      </c>
      <c r="M2395" t="str">
        <f>IF('[1]All Data '!BF2400="","",'[1]All Data '!BF2400)</f>
        <v/>
      </c>
      <c r="N2395" s="5" t="str">
        <f>IF('[1]All Data '!BB2400="","",'[1]All Data '!BC2400/'[1]All Data '!BH2400)</f>
        <v/>
      </c>
      <c r="O2395" s="5" t="str">
        <f t="shared" si="39"/>
        <v/>
      </c>
      <c r="P2395" s="5" t="str">
        <f>IF(M2395="","",$C$2*(1-L2395)*907.2/0.621371*N2395*[1]Transportation!$M$40)</f>
        <v/>
      </c>
      <c r="Q2395" s="5" t="str">
        <f>IF(L2395="","",IF([1]Inputs_Outputs!$B$5="Herbaceous",(LCA!$E$29*'[1]LOCH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5" s="5" t="str">
        <f>IF(M2395="","",$E$2*1000*'[1]LOCH Calc COE Calc'!$C$44)</f>
        <v/>
      </c>
      <c r="S2395" s="6" t="str">
        <f>IF(N2395="","",SUM(O2395:R2395)/('[1]LOCH Calc COE Calc'!$C$28))</f>
        <v/>
      </c>
      <c r="T2395" t="str">
        <f>IF(L2395="","",O2395/'[1]LOCH Calc COE Calc'!$C$28)</f>
        <v/>
      </c>
      <c r="U2395" t="str">
        <f>IF(L2395="","",P2395/'[1]LOCH Calc COE Calc'!$C$28)</f>
        <v/>
      </c>
      <c r="V2395" t="str">
        <f>IF(L2395="","",Q2395/'[1]LOCH Calc COE Calc'!$C$28)</f>
        <v/>
      </c>
      <c r="W2395" t="str">
        <f>IF(L2395="","",R2395/'[1]LOCH Calc COE Calc'!$C$28)</f>
        <v/>
      </c>
    </row>
    <row r="2396" spans="12:23" x14ac:dyDescent="0.25">
      <c r="L2396" s="4" t="str">
        <f>IF('[1]All Data '!BE2401="","",'[1]All Data '!BE2401)</f>
        <v/>
      </c>
      <c r="M2396" t="str">
        <f>IF('[1]All Data '!BF2401="","",'[1]All Data '!BF2401)</f>
        <v/>
      </c>
      <c r="N2396" s="5" t="str">
        <f>IF('[1]All Data '!BB2401="","",'[1]All Data '!BC2401/'[1]All Data '!BH2401)</f>
        <v/>
      </c>
      <c r="O2396" s="5" t="str">
        <f t="shared" si="39"/>
        <v/>
      </c>
      <c r="P2396" s="5" t="str">
        <f>IF(M2396="","",$C$2*(1-L2396)*907.2/0.621371*N2396*[1]Transportation!$M$40)</f>
        <v/>
      </c>
      <c r="Q2396" s="5" t="str">
        <f>IF(L2396="","",IF([1]Inputs_Outputs!$B$5="Herbaceous",(LCA!$E$29*'[1]LOCH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6" s="5" t="str">
        <f>IF(M2396="","",$E$2*1000*'[1]LOCH Calc COE Calc'!$C$44)</f>
        <v/>
      </c>
      <c r="S2396" s="6" t="str">
        <f>IF(N2396="","",SUM(O2396:R2396)/('[1]LOCH Calc COE Calc'!$C$28))</f>
        <v/>
      </c>
      <c r="T2396" t="str">
        <f>IF(L2396="","",O2396/'[1]LOCH Calc COE Calc'!$C$28)</f>
        <v/>
      </c>
      <c r="U2396" t="str">
        <f>IF(L2396="","",P2396/'[1]LOCH Calc COE Calc'!$C$28)</f>
        <v/>
      </c>
      <c r="V2396" t="str">
        <f>IF(L2396="","",Q2396/'[1]LOCH Calc COE Calc'!$C$28)</f>
        <v/>
      </c>
      <c r="W2396" t="str">
        <f>IF(L2396="","",R2396/'[1]LOCH Calc COE Calc'!$C$28)</f>
        <v/>
      </c>
    </row>
    <row r="2397" spans="12:23" x14ac:dyDescent="0.25">
      <c r="L2397" s="4" t="str">
        <f>IF('[1]All Data '!BE2402="","",'[1]All Data '!BE2402)</f>
        <v/>
      </c>
      <c r="M2397" t="str">
        <f>IF('[1]All Data '!BF2402="","",'[1]All Data '!BF2402)</f>
        <v/>
      </c>
      <c r="N2397" s="5" t="str">
        <f>IF('[1]All Data '!BB2402="","",'[1]All Data '!BC2402/'[1]All Data '!BH2402)</f>
        <v/>
      </c>
      <c r="O2397" s="5" t="str">
        <f t="shared" si="39"/>
        <v/>
      </c>
      <c r="P2397" s="5" t="str">
        <f>IF(M2397="","",$C$2*(1-L2397)*907.2/0.621371*N2397*[1]Transportation!$M$40)</f>
        <v/>
      </c>
      <c r="Q2397" s="5" t="str">
        <f>IF(L2397="","",IF([1]Inputs_Outputs!$B$5="Herbaceous",(LCA!$E$29*'[1]LOCH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7" s="5" t="str">
        <f>IF(M2397="","",$E$2*1000*'[1]LOCH Calc COE Calc'!$C$44)</f>
        <v/>
      </c>
      <c r="S2397" s="6" t="str">
        <f>IF(N2397="","",SUM(O2397:R2397)/('[1]LOCH Calc COE Calc'!$C$28))</f>
        <v/>
      </c>
      <c r="T2397" t="str">
        <f>IF(L2397="","",O2397/'[1]LOCH Calc COE Calc'!$C$28)</f>
        <v/>
      </c>
      <c r="U2397" t="str">
        <f>IF(L2397="","",P2397/'[1]LOCH Calc COE Calc'!$C$28)</f>
        <v/>
      </c>
      <c r="V2397" t="str">
        <f>IF(L2397="","",Q2397/'[1]LOCH Calc COE Calc'!$C$28)</f>
        <v/>
      </c>
      <c r="W2397" t="str">
        <f>IF(L2397="","",R2397/'[1]LOCH Calc COE Calc'!$C$28)</f>
        <v/>
      </c>
    </row>
    <row r="2398" spans="12:23" x14ac:dyDescent="0.25">
      <c r="L2398" s="4" t="str">
        <f>IF('[1]All Data '!BE2403="","",'[1]All Data '!BE2403)</f>
        <v/>
      </c>
      <c r="M2398" t="str">
        <f>IF('[1]All Data '!BF2403="","",'[1]All Data '!BF2403)</f>
        <v/>
      </c>
      <c r="N2398" s="5" t="str">
        <f>IF('[1]All Data '!BB2403="","",'[1]All Data '!BC2403/'[1]All Data '!BH2403)</f>
        <v/>
      </c>
      <c r="O2398" s="5" t="str">
        <f t="shared" si="39"/>
        <v/>
      </c>
      <c r="P2398" s="5" t="str">
        <f>IF(M2398="","",$C$2*(1-L2398)*907.2/0.621371*N2398*[1]Transportation!$M$40)</f>
        <v/>
      </c>
      <c r="Q2398" s="5" t="str">
        <f>IF(L2398="","",IF([1]Inputs_Outputs!$B$5="Herbaceous",(LCA!$E$29*'[1]LOCH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8" s="5" t="str">
        <f>IF(M2398="","",$E$2*1000*'[1]LOCH Calc COE Calc'!$C$44)</f>
        <v/>
      </c>
      <c r="S2398" s="6" t="str">
        <f>IF(N2398="","",SUM(O2398:R2398)/('[1]LOCH Calc COE Calc'!$C$28))</f>
        <v/>
      </c>
      <c r="T2398" t="str">
        <f>IF(L2398="","",O2398/'[1]LOCH Calc COE Calc'!$C$28)</f>
        <v/>
      </c>
      <c r="U2398" t="str">
        <f>IF(L2398="","",P2398/'[1]LOCH Calc COE Calc'!$C$28)</f>
        <v/>
      </c>
      <c r="V2398" t="str">
        <f>IF(L2398="","",Q2398/'[1]LOCH Calc COE Calc'!$C$28)</f>
        <v/>
      </c>
      <c r="W2398" t="str">
        <f>IF(L2398="","",R2398/'[1]LOCH Calc COE Calc'!$C$28)</f>
        <v/>
      </c>
    </row>
    <row r="2399" spans="12:23" x14ac:dyDescent="0.25">
      <c r="L2399" s="4" t="str">
        <f>IF('[1]All Data '!BE2404="","",'[1]All Data '!BE2404)</f>
        <v/>
      </c>
      <c r="M2399" t="str">
        <f>IF('[1]All Data '!BF2404="","",'[1]All Data '!BF2404)</f>
        <v/>
      </c>
      <c r="N2399" s="5" t="str">
        <f>IF('[1]All Data '!BB2404="","",'[1]All Data '!BC2404/'[1]All Data '!BH2404)</f>
        <v/>
      </c>
      <c r="O2399" s="5" t="str">
        <f t="shared" si="39"/>
        <v/>
      </c>
      <c r="P2399" s="5" t="str">
        <f>IF(M2399="","",$C$2*(1-L2399)*907.2/0.621371*N2399*[1]Transportation!$M$40)</f>
        <v/>
      </c>
      <c r="Q2399" s="5" t="str">
        <f>IF(L2399="","",IF([1]Inputs_Outputs!$B$5="Herbaceous",(LCA!$E$29*'[1]LOCH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399" s="5" t="str">
        <f>IF(M2399="","",$E$2*1000*'[1]LOCH Calc COE Calc'!$C$44)</f>
        <v/>
      </c>
      <c r="S2399" s="6" t="str">
        <f>IF(N2399="","",SUM(O2399:R2399)/('[1]LOCH Calc COE Calc'!$C$28))</f>
        <v/>
      </c>
      <c r="T2399" t="str">
        <f>IF(L2399="","",O2399/'[1]LOCH Calc COE Calc'!$C$28)</f>
        <v/>
      </c>
      <c r="U2399" t="str">
        <f>IF(L2399="","",P2399/'[1]LOCH Calc COE Calc'!$C$28)</f>
        <v/>
      </c>
      <c r="V2399" t="str">
        <f>IF(L2399="","",Q2399/'[1]LOCH Calc COE Calc'!$C$28)</f>
        <v/>
      </c>
      <c r="W2399" t="str">
        <f>IF(L2399="","",R2399/'[1]LOCH Calc COE Calc'!$C$28)</f>
        <v/>
      </c>
    </row>
    <row r="2400" spans="12:23" x14ac:dyDescent="0.25">
      <c r="L2400" s="4" t="str">
        <f>IF('[1]All Data '!BE2405="","",'[1]All Data '!BE2405)</f>
        <v/>
      </c>
      <c r="M2400" t="str">
        <f>IF('[1]All Data '!BF2405="","",'[1]All Data '!BF2405)</f>
        <v/>
      </c>
      <c r="N2400" s="5" t="str">
        <f>IF('[1]All Data '!BB2405="","",'[1]All Data '!BC2405/'[1]All Data '!BH2405)</f>
        <v/>
      </c>
      <c r="O2400" s="5" t="str">
        <f t="shared" si="39"/>
        <v/>
      </c>
      <c r="P2400" s="5" t="str">
        <f>IF(M2400="","",$C$2*(1-L2400)*907.2/0.621371*N2400*[1]Transportation!$M$40)</f>
        <v/>
      </c>
      <c r="Q2400" s="5" t="str">
        <f>IF(L2400="","",IF([1]Inputs_Outputs!$B$5="Herbaceous",(LCA!$E$29*'[1]LOCH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0" s="5" t="str">
        <f>IF(M2400="","",$E$2*1000*'[1]LOCH Calc COE Calc'!$C$44)</f>
        <v/>
      </c>
      <c r="S2400" s="6" t="str">
        <f>IF(N2400="","",SUM(O2400:R2400)/('[1]LOCH Calc COE Calc'!$C$28))</f>
        <v/>
      </c>
      <c r="T2400" t="str">
        <f>IF(L2400="","",O2400/'[1]LOCH Calc COE Calc'!$C$28)</f>
        <v/>
      </c>
      <c r="U2400" t="str">
        <f>IF(L2400="","",P2400/'[1]LOCH Calc COE Calc'!$C$28)</f>
        <v/>
      </c>
      <c r="V2400" t="str">
        <f>IF(L2400="","",Q2400/'[1]LOCH Calc COE Calc'!$C$28)</f>
        <v/>
      </c>
      <c r="W2400" t="str">
        <f>IF(L2400="","",R2400/'[1]LOCH Calc COE Calc'!$C$28)</f>
        <v/>
      </c>
    </row>
    <row r="2401" spans="12:23" x14ac:dyDescent="0.25">
      <c r="L2401" s="4" t="str">
        <f>IF('[1]All Data '!BE2406="","",'[1]All Data '!BE2406)</f>
        <v/>
      </c>
      <c r="M2401" t="str">
        <f>IF('[1]All Data '!BF2406="","",'[1]All Data '!BF2406)</f>
        <v/>
      </c>
      <c r="N2401" s="5" t="str">
        <f>IF('[1]All Data '!BB2406="","",'[1]All Data '!BC2406/'[1]All Data '!BH2406)</f>
        <v/>
      </c>
      <c r="O2401" s="5" t="str">
        <f t="shared" si="39"/>
        <v/>
      </c>
      <c r="P2401" s="5" t="str">
        <f>IF(M2401="","",$C$2*(1-L2401)*907.2/0.621371*N2401*[1]Transportation!$M$40)</f>
        <v/>
      </c>
      <c r="Q2401" s="5" t="str">
        <f>IF(L2401="","",IF([1]Inputs_Outputs!$B$5="Herbaceous",(LCA!$E$29*'[1]LOCH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1" s="5" t="str">
        <f>IF(M2401="","",$E$2*1000*'[1]LOCH Calc COE Calc'!$C$44)</f>
        <v/>
      </c>
      <c r="S2401" s="6" t="str">
        <f>IF(N2401="","",SUM(O2401:R2401)/('[1]LOCH Calc COE Calc'!$C$28))</f>
        <v/>
      </c>
      <c r="T2401" t="str">
        <f>IF(L2401="","",O2401/'[1]LOCH Calc COE Calc'!$C$28)</f>
        <v/>
      </c>
      <c r="U2401" t="str">
        <f>IF(L2401="","",P2401/'[1]LOCH Calc COE Calc'!$C$28)</f>
        <v/>
      </c>
      <c r="V2401" t="str">
        <f>IF(L2401="","",Q2401/'[1]LOCH Calc COE Calc'!$C$28)</f>
        <v/>
      </c>
      <c r="W2401" t="str">
        <f>IF(L2401="","",R2401/'[1]LOCH Calc COE Calc'!$C$28)</f>
        <v/>
      </c>
    </row>
    <row r="2402" spans="12:23" x14ac:dyDescent="0.25">
      <c r="L2402" s="4" t="str">
        <f>IF('[1]All Data '!BE2407="","",'[1]All Data '!BE2407)</f>
        <v/>
      </c>
      <c r="M2402" t="str">
        <f>IF('[1]All Data '!BF2407="","",'[1]All Data '!BF2407)</f>
        <v/>
      </c>
      <c r="N2402" s="5" t="str">
        <f>IF('[1]All Data '!BB2407="","",'[1]All Data '!BC2407/'[1]All Data '!BH2407)</f>
        <v/>
      </c>
      <c r="O2402" s="5" t="str">
        <f t="shared" si="39"/>
        <v/>
      </c>
      <c r="P2402" s="5" t="str">
        <f>IF(M2402="","",$C$2*(1-L2402)*907.2/0.621371*N2402*[1]Transportation!$M$40)</f>
        <v/>
      </c>
      <c r="Q2402" s="5" t="str">
        <f>IF(L2402="","",IF([1]Inputs_Outputs!$B$5="Herbaceous",(LCA!$E$29*'[1]LOCH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2" s="5" t="str">
        <f>IF(M2402="","",$E$2*1000*'[1]LOCH Calc COE Calc'!$C$44)</f>
        <v/>
      </c>
      <c r="S2402" s="6" t="str">
        <f>IF(N2402="","",SUM(O2402:R2402)/('[1]LOCH Calc COE Calc'!$C$28))</f>
        <v/>
      </c>
      <c r="T2402" t="str">
        <f>IF(L2402="","",O2402/'[1]LOCH Calc COE Calc'!$C$28)</f>
        <v/>
      </c>
      <c r="U2402" t="str">
        <f>IF(L2402="","",P2402/'[1]LOCH Calc COE Calc'!$C$28)</f>
        <v/>
      </c>
      <c r="V2402" t="str">
        <f>IF(L2402="","",Q2402/'[1]LOCH Calc COE Calc'!$C$28)</f>
        <v/>
      </c>
      <c r="W2402" t="str">
        <f>IF(L2402="","",R2402/'[1]LOCH Calc COE Calc'!$C$28)</f>
        <v/>
      </c>
    </row>
    <row r="2403" spans="12:23" x14ac:dyDescent="0.25">
      <c r="L2403" s="4" t="str">
        <f>IF('[1]All Data '!BE2408="","",'[1]All Data '!BE2408)</f>
        <v/>
      </c>
      <c r="M2403" t="str">
        <f>IF('[1]All Data '!BF2408="","",'[1]All Data '!BF2408)</f>
        <v/>
      </c>
      <c r="N2403" s="5" t="str">
        <f>IF('[1]All Data '!BB2408="","",'[1]All Data '!BC2408/'[1]All Data '!BH2408)</f>
        <v/>
      </c>
      <c r="O2403" s="5" t="str">
        <f t="shared" si="39"/>
        <v/>
      </c>
      <c r="P2403" s="5" t="str">
        <f>IF(M2403="","",$C$2*(1-L2403)*907.2/0.621371*N2403*[1]Transportation!$M$40)</f>
        <v/>
      </c>
      <c r="Q2403" s="5" t="str">
        <f>IF(L2403="","",IF([1]Inputs_Outputs!$B$5="Herbaceous",(LCA!$E$29*'[1]LOCH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3" s="5" t="str">
        <f>IF(M2403="","",$E$2*1000*'[1]LOCH Calc COE Calc'!$C$44)</f>
        <v/>
      </c>
      <c r="S2403" s="6" t="str">
        <f>IF(N2403="","",SUM(O2403:R2403)/('[1]LOCH Calc COE Calc'!$C$28))</f>
        <v/>
      </c>
      <c r="T2403" t="str">
        <f>IF(L2403="","",O2403/'[1]LOCH Calc COE Calc'!$C$28)</f>
        <v/>
      </c>
      <c r="U2403" t="str">
        <f>IF(L2403="","",P2403/'[1]LOCH Calc COE Calc'!$C$28)</f>
        <v/>
      </c>
      <c r="V2403" t="str">
        <f>IF(L2403="","",Q2403/'[1]LOCH Calc COE Calc'!$C$28)</f>
        <v/>
      </c>
      <c r="W2403" t="str">
        <f>IF(L2403="","",R2403/'[1]LOCH Calc COE Calc'!$C$28)</f>
        <v/>
      </c>
    </row>
    <row r="2404" spans="12:23" x14ac:dyDescent="0.25">
      <c r="L2404" s="4" t="str">
        <f>IF('[1]All Data '!BE2409="","",'[1]All Data '!BE2409)</f>
        <v/>
      </c>
      <c r="M2404" t="str">
        <f>IF('[1]All Data '!BF2409="","",'[1]All Data '!BF2409)</f>
        <v/>
      </c>
      <c r="N2404" s="5" t="str">
        <f>IF('[1]All Data '!BB2409="","",'[1]All Data '!BC2409/'[1]All Data '!BH2409)</f>
        <v/>
      </c>
      <c r="O2404" s="5" t="str">
        <f t="shared" si="39"/>
        <v/>
      </c>
      <c r="P2404" s="5" t="str">
        <f>IF(M2404="","",$C$2*(1-L2404)*907.2/0.621371*N2404*[1]Transportation!$M$40)</f>
        <v/>
      </c>
      <c r="Q2404" s="5" t="str">
        <f>IF(L2404="","",IF([1]Inputs_Outputs!$B$5="Herbaceous",(LCA!$E$29*'[1]LOCH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4" s="5" t="str">
        <f>IF(M2404="","",$E$2*1000*'[1]LOCH Calc COE Calc'!$C$44)</f>
        <v/>
      </c>
      <c r="S2404" s="6" t="str">
        <f>IF(N2404="","",SUM(O2404:R2404)/('[1]LOCH Calc COE Calc'!$C$28))</f>
        <v/>
      </c>
      <c r="T2404" t="str">
        <f>IF(L2404="","",O2404/'[1]LOCH Calc COE Calc'!$C$28)</f>
        <v/>
      </c>
      <c r="U2404" t="str">
        <f>IF(L2404="","",P2404/'[1]LOCH Calc COE Calc'!$C$28)</f>
        <v/>
      </c>
      <c r="V2404" t="str">
        <f>IF(L2404="","",Q2404/'[1]LOCH Calc COE Calc'!$C$28)</f>
        <v/>
      </c>
      <c r="W2404" t="str">
        <f>IF(L2404="","",R2404/'[1]LOCH Calc COE Calc'!$C$28)</f>
        <v/>
      </c>
    </row>
    <row r="2405" spans="12:23" x14ac:dyDescent="0.25">
      <c r="L2405" s="4" t="str">
        <f>IF('[1]All Data '!BE2410="","",'[1]All Data '!BE2410)</f>
        <v/>
      </c>
      <c r="M2405" t="str">
        <f>IF('[1]All Data '!BF2410="","",'[1]All Data '!BF2410)</f>
        <v/>
      </c>
      <c r="N2405" s="5" t="str">
        <f>IF('[1]All Data '!BB2410="","",'[1]All Data '!BC2410/'[1]All Data '!BH2410)</f>
        <v/>
      </c>
      <c r="O2405" s="5" t="str">
        <f t="shared" si="39"/>
        <v/>
      </c>
      <c r="P2405" s="5" t="str">
        <f>IF(M2405="","",$C$2*(1-L2405)*907.2/0.621371*N2405*[1]Transportation!$M$40)</f>
        <v/>
      </c>
      <c r="Q2405" s="5" t="str">
        <f>IF(L2405="","",IF([1]Inputs_Outputs!$B$5="Herbaceous",(LCA!$E$29*'[1]LOCH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5" s="5" t="str">
        <f>IF(M2405="","",$E$2*1000*'[1]LOCH Calc COE Calc'!$C$44)</f>
        <v/>
      </c>
      <c r="S2405" s="6" t="str">
        <f>IF(N2405="","",SUM(O2405:R2405)/('[1]LOCH Calc COE Calc'!$C$28))</f>
        <v/>
      </c>
      <c r="T2405" t="str">
        <f>IF(L2405="","",O2405/'[1]LOCH Calc COE Calc'!$C$28)</f>
        <v/>
      </c>
      <c r="U2405" t="str">
        <f>IF(L2405="","",P2405/'[1]LOCH Calc COE Calc'!$C$28)</f>
        <v/>
      </c>
      <c r="V2405" t="str">
        <f>IF(L2405="","",Q2405/'[1]LOCH Calc COE Calc'!$C$28)</f>
        <v/>
      </c>
      <c r="W2405" t="str">
        <f>IF(L2405="","",R2405/'[1]LOCH Calc COE Calc'!$C$28)</f>
        <v/>
      </c>
    </row>
    <row r="2406" spans="12:23" x14ac:dyDescent="0.25">
      <c r="L2406" s="4" t="str">
        <f>IF('[1]All Data '!BE2411="","",'[1]All Data '!BE2411)</f>
        <v/>
      </c>
      <c r="M2406" t="str">
        <f>IF('[1]All Data '!BF2411="","",'[1]All Data '!BF2411)</f>
        <v/>
      </c>
      <c r="N2406" s="5" t="str">
        <f>IF('[1]All Data '!BB2411="","",'[1]All Data '!BC2411/'[1]All Data '!BH2411)</f>
        <v/>
      </c>
      <c r="O2406" s="5" t="str">
        <f t="shared" si="39"/>
        <v/>
      </c>
      <c r="P2406" s="5" t="str">
        <f>IF(M2406="","",$C$2*(1-L2406)*907.2/0.621371*N2406*[1]Transportation!$M$40)</f>
        <v/>
      </c>
      <c r="Q2406" s="5" t="str">
        <f>IF(L2406="","",IF([1]Inputs_Outputs!$B$5="Herbaceous",(LCA!$E$29*'[1]LOCH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6" s="5" t="str">
        <f>IF(M2406="","",$E$2*1000*'[1]LOCH Calc COE Calc'!$C$44)</f>
        <v/>
      </c>
      <c r="S2406" s="6" t="str">
        <f>IF(N2406="","",SUM(O2406:R2406)/('[1]LOCH Calc COE Calc'!$C$28))</f>
        <v/>
      </c>
      <c r="T2406" t="str">
        <f>IF(L2406="","",O2406/'[1]LOCH Calc COE Calc'!$C$28)</f>
        <v/>
      </c>
      <c r="U2406" t="str">
        <f>IF(L2406="","",P2406/'[1]LOCH Calc COE Calc'!$C$28)</f>
        <v/>
      </c>
      <c r="V2406" t="str">
        <f>IF(L2406="","",Q2406/'[1]LOCH Calc COE Calc'!$C$28)</f>
        <v/>
      </c>
      <c r="W2406" t="str">
        <f>IF(L2406="","",R2406/'[1]LOCH Calc COE Calc'!$C$28)</f>
        <v/>
      </c>
    </row>
    <row r="2407" spans="12:23" x14ac:dyDescent="0.25">
      <c r="L2407" s="4" t="str">
        <f>IF('[1]All Data '!BE2412="","",'[1]All Data '!BE2412)</f>
        <v/>
      </c>
      <c r="M2407" t="str">
        <f>IF('[1]All Data '!BF2412="","",'[1]All Data '!BF2412)</f>
        <v/>
      </c>
      <c r="N2407" s="5" t="str">
        <f>IF('[1]All Data '!BB2412="","",'[1]All Data '!BC2412/'[1]All Data '!BH2412)</f>
        <v/>
      </c>
      <c r="O2407" s="5" t="str">
        <f t="shared" si="39"/>
        <v/>
      </c>
      <c r="P2407" s="5" t="str">
        <f>IF(M2407="","",$C$2*(1-L2407)*907.2/0.621371*N2407*[1]Transportation!$M$40)</f>
        <v/>
      </c>
      <c r="Q2407" s="5" t="str">
        <f>IF(L2407="","",IF([1]Inputs_Outputs!$B$5="Herbaceous",(LCA!$E$29*'[1]LOCH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7" s="5" t="str">
        <f>IF(M2407="","",$E$2*1000*'[1]LOCH Calc COE Calc'!$C$44)</f>
        <v/>
      </c>
      <c r="S2407" s="6" t="str">
        <f>IF(N2407="","",SUM(O2407:R2407)/('[1]LOCH Calc COE Calc'!$C$28))</f>
        <v/>
      </c>
      <c r="T2407" t="str">
        <f>IF(L2407="","",O2407/'[1]LOCH Calc COE Calc'!$C$28)</f>
        <v/>
      </c>
      <c r="U2407" t="str">
        <f>IF(L2407="","",P2407/'[1]LOCH Calc COE Calc'!$C$28)</f>
        <v/>
      </c>
      <c r="V2407" t="str">
        <f>IF(L2407="","",Q2407/'[1]LOCH Calc COE Calc'!$C$28)</f>
        <v/>
      </c>
      <c r="W2407" t="str">
        <f>IF(L2407="","",R2407/'[1]LOCH Calc COE Calc'!$C$28)</f>
        <v/>
      </c>
    </row>
    <row r="2408" spans="12:23" x14ac:dyDescent="0.25">
      <c r="L2408" s="4" t="str">
        <f>IF('[1]All Data '!BE2413="","",'[1]All Data '!BE2413)</f>
        <v/>
      </c>
      <c r="M2408" t="str">
        <f>IF('[1]All Data '!BF2413="","",'[1]All Data '!BF2413)</f>
        <v/>
      </c>
      <c r="N2408" s="5" t="str">
        <f>IF('[1]All Data '!BB2413="","",'[1]All Data '!BC2413/'[1]All Data '!BH2413)</f>
        <v/>
      </c>
      <c r="O2408" s="5" t="str">
        <f t="shared" si="39"/>
        <v/>
      </c>
      <c r="P2408" s="5" t="str">
        <f>IF(M2408="","",$C$2*(1-L2408)*907.2/0.621371*N2408*[1]Transportation!$M$40)</f>
        <v/>
      </c>
      <c r="Q2408" s="5" t="str">
        <f>IF(L2408="","",IF([1]Inputs_Outputs!$B$5="Herbaceous",(LCA!$E$29*'[1]LOCH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8" s="5" t="str">
        <f>IF(M2408="","",$E$2*1000*'[1]LOCH Calc COE Calc'!$C$44)</f>
        <v/>
      </c>
      <c r="S2408" s="6" t="str">
        <f>IF(N2408="","",SUM(O2408:R2408)/('[1]LOCH Calc COE Calc'!$C$28))</f>
        <v/>
      </c>
      <c r="T2408" t="str">
        <f>IF(L2408="","",O2408/'[1]LOCH Calc COE Calc'!$C$28)</f>
        <v/>
      </c>
      <c r="U2408" t="str">
        <f>IF(L2408="","",P2408/'[1]LOCH Calc COE Calc'!$C$28)</f>
        <v/>
      </c>
      <c r="V2408" t="str">
        <f>IF(L2408="","",Q2408/'[1]LOCH Calc COE Calc'!$C$28)</f>
        <v/>
      </c>
      <c r="W2408" t="str">
        <f>IF(L2408="","",R2408/'[1]LOCH Calc COE Calc'!$C$28)</f>
        <v/>
      </c>
    </row>
    <row r="2409" spans="12:23" x14ac:dyDescent="0.25">
      <c r="L2409" s="4" t="str">
        <f>IF('[1]All Data '!BE2414="","",'[1]All Data '!BE2414)</f>
        <v/>
      </c>
      <c r="M2409" t="str">
        <f>IF('[1]All Data '!BF2414="","",'[1]All Data '!BF2414)</f>
        <v/>
      </c>
      <c r="N2409" s="5" t="str">
        <f>IF('[1]All Data '!BB2414="","",'[1]All Data '!BC2414/'[1]All Data '!BH2414)</f>
        <v/>
      </c>
      <c r="O2409" s="5" t="str">
        <f t="shared" si="39"/>
        <v/>
      </c>
      <c r="P2409" s="5" t="str">
        <f>IF(M2409="","",$C$2*(1-L2409)*907.2/0.621371*N2409*[1]Transportation!$M$40)</f>
        <v/>
      </c>
      <c r="Q2409" s="5" t="str">
        <f>IF(L2409="","",IF([1]Inputs_Outputs!$B$5="Herbaceous",(LCA!$E$29*'[1]LOCH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09" s="5" t="str">
        <f>IF(M2409="","",$E$2*1000*'[1]LOCH Calc COE Calc'!$C$44)</f>
        <v/>
      </c>
      <c r="S2409" s="6" t="str">
        <f>IF(N2409="","",SUM(O2409:R2409)/('[1]LOCH Calc COE Calc'!$C$28))</f>
        <v/>
      </c>
      <c r="T2409" t="str">
        <f>IF(L2409="","",O2409/'[1]LOCH Calc COE Calc'!$C$28)</f>
        <v/>
      </c>
      <c r="U2409" t="str">
        <f>IF(L2409="","",P2409/'[1]LOCH Calc COE Calc'!$C$28)</f>
        <v/>
      </c>
      <c r="V2409" t="str">
        <f>IF(L2409="","",Q2409/'[1]LOCH Calc COE Calc'!$C$28)</f>
        <v/>
      </c>
      <c r="W2409" t="str">
        <f>IF(L2409="","",R2409/'[1]LOCH Calc COE Calc'!$C$28)</f>
        <v/>
      </c>
    </row>
    <row r="2410" spans="12:23" x14ac:dyDescent="0.25">
      <c r="L2410" s="4" t="str">
        <f>IF('[1]All Data '!BE2415="","",'[1]All Data '!BE2415)</f>
        <v/>
      </c>
      <c r="M2410" t="str">
        <f>IF('[1]All Data '!BF2415="","",'[1]All Data '!BF2415)</f>
        <v/>
      </c>
      <c r="N2410" s="5" t="str">
        <f>IF('[1]All Data '!BB2415="","",'[1]All Data '!BC2415/'[1]All Data '!BH2415)</f>
        <v/>
      </c>
      <c r="O2410" s="5" t="str">
        <f t="shared" si="39"/>
        <v/>
      </c>
      <c r="P2410" s="5" t="str">
        <f>IF(M2410="","",$C$2*(1-L2410)*907.2/0.621371*N2410*[1]Transportation!$M$40)</f>
        <v/>
      </c>
      <c r="Q2410" s="5" t="str">
        <f>IF(L2410="","",IF([1]Inputs_Outputs!$B$5="Herbaceous",(LCA!$E$29*'[1]LOCH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0" s="5" t="str">
        <f>IF(M2410="","",$E$2*1000*'[1]LOCH Calc COE Calc'!$C$44)</f>
        <v/>
      </c>
      <c r="S2410" s="6" t="str">
        <f>IF(N2410="","",SUM(O2410:R2410)/('[1]LOCH Calc COE Calc'!$C$28))</f>
        <v/>
      </c>
      <c r="T2410" t="str">
        <f>IF(L2410="","",O2410/'[1]LOCH Calc COE Calc'!$C$28)</f>
        <v/>
      </c>
      <c r="U2410" t="str">
        <f>IF(L2410="","",P2410/'[1]LOCH Calc COE Calc'!$C$28)</f>
        <v/>
      </c>
      <c r="V2410" t="str">
        <f>IF(L2410="","",Q2410/'[1]LOCH Calc COE Calc'!$C$28)</f>
        <v/>
      </c>
      <c r="W2410" t="str">
        <f>IF(L2410="","",R2410/'[1]LOCH Calc COE Calc'!$C$28)</f>
        <v/>
      </c>
    </row>
    <row r="2411" spans="12:23" x14ac:dyDescent="0.25">
      <c r="L2411" s="4" t="str">
        <f>IF('[1]All Data '!BE2416="","",'[1]All Data '!BE2416)</f>
        <v/>
      </c>
      <c r="M2411" t="str">
        <f>IF('[1]All Data '!BF2416="","",'[1]All Data '!BF2416)</f>
        <v/>
      </c>
      <c r="N2411" s="5" t="str">
        <f>IF('[1]All Data '!BB2416="","",'[1]All Data '!BC2416/'[1]All Data '!BH2416)</f>
        <v/>
      </c>
      <c r="O2411" s="5" t="str">
        <f t="shared" si="39"/>
        <v/>
      </c>
      <c r="P2411" s="5" t="str">
        <f>IF(M2411="","",$C$2*(1-L2411)*907.2/0.621371*N2411*[1]Transportation!$M$40)</f>
        <v/>
      </c>
      <c r="Q2411" s="5" t="str">
        <f>IF(L2411="","",IF([1]Inputs_Outputs!$B$5="Herbaceous",(LCA!$E$29*'[1]LOCH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1" s="5" t="str">
        <f>IF(M2411="","",$E$2*1000*'[1]LOCH Calc COE Calc'!$C$44)</f>
        <v/>
      </c>
      <c r="S2411" s="6" t="str">
        <f>IF(N2411="","",SUM(O2411:R2411)/('[1]LOCH Calc COE Calc'!$C$28))</f>
        <v/>
      </c>
      <c r="T2411" t="str">
        <f>IF(L2411="","",O2411/'[1]LOCH Calc COE Calc'!$C$28)</f>
        <v/>
      </c>
      <c r="U2411" t="str">
        <f>IF(L2411="","",P2411/'[1]LOCH Calc COE Calc'!$C$28)</f>
        <v/>
      </c>
      <c r="V2411" t="str">
        <f>IF(L2411="","",Q2411/'[1]LOCH Calc COE Calc'!$C$28)</f>
        <v/>
      </c>
      <c r="W2411" t="str">
        <f>IF(L2411="","",R2411/'[1]LOCH Calc COE Calc'!$C$28)</f>
        <v/>
      </c>
    </row>
    <row r="2412" spans="12:23" x14ac:dyDescent="0.25">
      <c r="L2412" s="4" t="str">
        <f>IF('[1]All Data '!BE2417="","",'[1]All Data '!BE2417)</f>
        <v/>
      </c>
      <c r="M2412" t="str">
        <f>IF('[1]All Data '!BF2417="","",'[1]All Data '!BF2417)</f>
        <v/>
      </c>
      <c r="N2412" s="5" t="str">
        <f>IF('[1]All Data '!BB2417="","",'[1]All Data '!BC2417/'[1]All Data '!BH2417)</f>
        <v/>
      </c>
      <c r="O2412" s="5" t="str">
        <f t="shared" si="39"/>
        <v/>
      </c>
      <c r="P2412" s="5" t="str">
        <f>IF(M2412="","",$C$2*(1-L2412)*907.2/0.621371*N2412*[1]Transportation!$M$40)</f>
        <v/>
      </c>
      <c r="Q2412" s="5" t="str">
        <f>IF(L2412="","",IF([1]Inputs_Outputs!$B$5="Herbaceous",(LCA!$E$29*'[1]LOCH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2" s="5" t="str">
        <f>IF(M2412="","",$E$2*1000*'[1]LOCH Calc COE Calc'!$C$44)</f>
        <v/>
      </c>
      <c r="S2412" s="6" t="str">
        <f>IF(N2412="","",SUM(O2412:R2412)/('[1]LOCH Calc COE Calc'!$C$28))</f>
        <v/>
      </c>
      <c r="T2412" t="str">
        <f>IF(L2412="","",O2412/'[1]LOCH Calc COE Calc'!$C$28)</f>
        <v/>
      </c>
      <c r="U2412" t="str">
        <f>IF(L2412="","",P2412/'[1]LOCH Calc COE Calc'!$C$28)</f>
        <v/>
      </c>
      <c r="V2412" t="str">
        <f>IF(L2412="","",Q2412/'[1]LOCH Calc COE Calc'!$C$28)</f>
        <v/>
      </c>
      <c r="W2412" t="str">
        <f>IF(L2412="","",R2412/'[1]LOCH Calc COE Calc'!$C$28)</f>
        <v/>
      </c>
    </row>
    <row r="2413" spans="12:23" x14ac:dyDescent="0.25">
      <c r="L2413" s="4" t="str">
        <f>IF('[1]All Data '!BE2418="","",'[1]All Data '!BE2418)</f>
        <v/>
      </c>
      <c r="M2413" t="str">
        <f>IF('[1]All Data '!BF2418="","",'[1]All Data '!BF2418)</f>
        <v/>
      </c>
      <c r="N2413" s="5" t="str">
        <f>IF('[1]All Data '!BB2418="","",'[1]All Data '!BC2418/'[1]All Data '!BH2418)</f>
        <v/>
      </c>
      <c r="O2413" s="5" t="str">
        <f t="shared" si="39"/>
        <v/>
      </c>
      <c r="P2413" s="5" t="str">
        <f>IF(M2413="","",$C$2*(1-L2413)*907.2/0.621371*N2413*[1]Transportation!$M$40)</f>
        <v/>
      </c>
      <c r="Q2413" s="5" t="str">
        <f>IF(L2413="","",IF([1]Inputs_Outputs!$B$5="Herbaceous",(LCA!$E$29*'[1]LOCH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3" s="5" t="str">
        <f>IF(M2413="","",$E$2*1000*'[1]LOCH Calc COE Calc'!$C$44)</f>
        <v/>
      </c>
      <c r="S2413" s="6" t="str">
        <f>IF(N2413="","",SUM(O2413:R2413)/('[1]LOCH Calc COE Calc'!$C$28))</f>
        <v/>
      </c>
      <c r="T2413" t="str">
        <f>IF(L2413="","",O2413/'[1]LOCH Calc COE Calc'!$C$28)</f>
        <v/>
      </c>
      <c r="U2413" t="str">
        <f>IF(L2413="","",P2413/'[1]LOCH Calc COE Calc'!$C$28)</f>
        <v/>
      </c>
      <c r="V2413" t="str">
        <f>IF(L2413="","",Q2413/'[1]LOCH Calc COE Calc'!$C$28)</f>
        <v/>
      </c>
      <c r="W2413" t="str">
        <f>IF(L2413="","",R2413/'[1]LOCH Calc COE Calc'!$C$28)</f>
        <v/>
      </c>
    </row>
    <row r="2414" spans="12:23" x14ac:dyDescent="0.25">
      <c r="L2414" s="4" t="str">
        <f>IF('[1]All Data '!BE2419="","",'[1]All Data '!BE2419)</f>
        <v/>
      </c>
      <c r="M2414" t="str">
        <f>IF('[1]All Data '!BF2419="","",'[1]All Data '!BF2419)</f>
        <v/>
      </c>
      <c r="N2414" s="5" t="str">
        <f>IF('[1]All Data '!BB2419="","",'[1]All Data '!BC2419/'[1]All Data '!BH2419)</f>
        <v/>
      </c>
      <c r="O2414" s="5" t="str">
        <f t="shared" si="39"/>
        <v/>
      </c>
      <c r="P2414" s="5" t="str">
        <f>IF(M2414="","",$C$2*(1-L2414)*907.2/0.621371*N2414*[1]Transportation!$M$40)</f>
        <v/>
      </c>
      <c r="Q2414" s="5" t="str">
        <f>IF(L2414="","",IF([1]Inputs_Outputs!$B$5="Herbaceous",(LCA!$E$29*'[1]LOCH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4" s="5" t="str">
        <f>IF(M2414="","",$E$2*1000*'[1]LOCH Calc COE Calc'!$C$44)</f>
        <v/>
      </c>
      <c r="S2414" s="6" t="str">
        <f>IF(N2414="","",SUM(O2414:R2414)/('[1]LOCH Calc COE Calc'!$C$28))</f>
        <v/>
      </c>
      <c r="T2414" t="str">
        <f>IF(L2414="","",O2414/'[1]LOCH Calc COE Calc'!$C$28)</f>
        <v/>
      </c>
      <c r="U2414" t="str">
        <f>IF(L2414="","",P2414/'[1]LOCH Calc COE Calc'!$C$28)</f>
        <v/>
      </c>
      <c r="V2414" t="str">
        <f>IF(L2414="","",Q2414/'[1]LOCH Calc COE Calc'!$C$28)</f>
        <v/>
      </c>
      <c r="W2414" t="str">
        <f>IF(L2414="","",R2414/'[1]LOCH Calc COE Calc'!$C$28)</f>
        <v/>
      </c>
    </row>
    <row r="2415" spans="12:23" x14ac:dyDescent="0.25">
      <c r="L2415" s="4" t="str">
        <f>IF('[1]All Data '!BE2420="","",'[1]All Data '!BE2420)</f>
        <v/>
      </c>
      <c r="M2415" t="str">
        <f>IF('[1]All Data '!BF2420="","",'[1]All Data '!BF2420)</f>
        <v/>
      </c>
      <c r="N2415" s="5" t="str">
        <f>IF('[1]All Data '!BB2420="","",'[1]All Data '!BC2420/'[1]All Data '!BH2420)</f>
        <v/>
      </c>
      <c r="O2415" s="5" t="str">
        <f t="shared" si="39"/>
        <v/>
      </c>
      <c r="P2415" s="5" t="str">
        <f>IF(M2415="","",$C$2*(1-L2415)*907.2/0.621371*N2415*[1]Transportation!$M$40)</f>
        <v/>
      </c>
      <c r="Q2415" s="5" t="str">
        <f>IF(L2415="","",IF([1]Inputs_Outputs!$B$5="Herbaceous",(LCA!$E$29*'[1]LOCH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5" s="5" t="str">
        <f>IF(M2415="","",$E$2*1000*'[1]LOCH Calc COE Calc'!$C$44)</f>
        <v/>
      </c>
      <c r="S2415" s="6" t="str">
        <f>IF(N2415="","",SUM(O2415:R2415)/('[1]LOCH Calc COE Calc'!$C$28))</f>
        <v/>
      </c>
      <c r="T2415" t="str">
        <f>IF(L2415="","",O2415/'[1]LOCH Calc COE Calc'!$C$28)</f>
        <v/>
      </c>
      <c r="U2415" t="str">
        <f>IF(L2415="","",P2415/'[1]LOCH Calc COE Calc'!$C$28)</f>
        <v/>
      </c>
      <c r="V2415" t="str">
        <f>IF(L2415="","",Q2415/'[1]LOCH Calc COE Calc'!$C$28)</f>
        <v/>
      </c>
      <c r="W2415" t="str">
        <f>IF(L2415="","",R2415/'[1]LOCH Calc COE Calc'!$C$28)</f>
        <v/>
      </c>
    </row>
    <row r="2416" spans="12:23" x14ac:dyDescent="0.25">
      <c r="L2416" s="4" t="str">
        <f>IF('[1]All Data '!BE2421="","",'[1]All Data '!BE2421)</f>
        <v/>
      </c>
      <c r="M2416" t="str">
        <f>IF('[1]All Data '!BF2421="","",'[1]All Data '!BF2421)</f>
        <v/>
      </c>
      <c r="N2416" s="5" t="str">
        <f>IF('[1]All Data '!BB2421="","",'[1]All Data '!BC2421/'[1]All Data '!BH2421)</f>
        <v/>
      </c>
      <c r="O2416" s="5" t="str">
        <f t="shared" si="39"/>
        <v/>
      </c>
      <c r="P2416" s="5" t="str">
        <f>IF(M2416="","",$C$2*(1-L2416)*907.2/0.621371*N2416*[1]Transportation!$M$40)</f>
        <v/>
      </c>
      <c r="Q2416" s="5" t="str">
        <f>IF(L2416="","",IF([1]Inputs_Outputs!$B$5="Herbaceous",(LCA!$E$29*'[1]LOCH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6" s="5" t="str">
        <f>IF(M2416="","",$E$2*1000*'[1]LOCH Calc COE Calc'!$C$44)</f>
        <v/>
      </c>
      <c r="S2416" s="6" t="str">
        <f>IF(N2416="","",SUM(O2416:R2416)/('[1]LOCH Calc COE Calc'!$C$28))</f>
        <v/>
      </c>
      <c r="T2416" t="str">
        <f>IF(L2416="","",O2416/'[1]LOCH Calc COE Calc'!$C$28)</f>
        <v/>
      </c>
      <c r="U2416" t="str">
        <f>IF(L2416="","",P2416/'[1]LOCH Calc COE Calc'!$C$28)</f>
        <v/>
      </c>
      <c r="V2416" t="str">
        <f>IF(L2416="","",Q2416/'[1]LOCH Calc COE Calc'!$C$28)</f>
        <v/>
      </c>
      <c r="W2416" t="str">
        <f>IF(L2416="","",R2416/'[1]LOCH Calc COE Calc'!$C$28)</f>
        <v/>
      </c>
    </row>
    <row r="2417" spans="12:23" x14ac:dyDescent="0.25">
      <c r="L2417" s="4" t="str">
        <f>IF('[1]All Data '!BE2422="","",'[1]All Data '!BE2422)</f>
        <v/>
      </c>
      <c r="M2417" t="str">
        <f>IF('[1]All Data '!BF2422="","",'[1]All Data '!BF2422)</f>
        <v/>
      </c>
      <c r="N2417" s="5" t="str">
        <f>IF('[1]All Data '!BB2422="","",'[1]All Data '!BC2422/'[1]All Data '!BH2422)</f>
        <v/>
      </c>
      <c r="O2417" s="5" t="str">
        <f t="shared" si="39"/>
        <v/>
      </c>
      <c r="P2417" s="5" t="str">
        <f>IF(M2417="","",$C$2*(1-L2417)*907.2/0.621371*N2417*[1]Transportation!$M$40)</f>
        <v/>
      </c>
      <c r="Q2417" s="5" t="str">
        <f>IF(L2417="","",IF([1]Inputs_Outputs!$B$5="Herbaceous",(LCA!$E$29*'[1]LOCH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7" s="5" t="str">
        <f>IF(M2417="","",$E$2*1000*'[1]LOCH Calc COE Calc'!$C$44)</f>
        <v/>
      </c>
      <c r="S2417" s="6" t="str">
        <f>IF(N2417="","",SUM(O2417:R2417)/('[1]LOCH Calc COE Calc'!$C$28))</f>
        <v/>
      </c>
      <c r="T2417" t="str">
        <f>IF(L2417="","",O2417/'[1]LOCH Calc COE Calc'!$C$28)</f>
        <v/>
      </c>
      <c r="U2417" t="str">
        <f>IF(L2417="","",P2417/'[1]LOCH Calc COE Calc'!$C$28)</f>
        <v/>
      </c>
      <c r="V2417" t="str">
        <f>IF(L2417="","",Q2417/'[1]LOCH Calc COE Calc'!$C$28)</f>
        <v/>
      </c>
      <c r="W2417" t="str">
        <f>IF(L2417="","",R2417/'[1]LOCH Calc COE Calc'!$C$28)</f>
        <v/>
      </c>
    </row>
    <row r="2418" spans="12:23" x14ac:dyDescent="0.25">
      <c r="L2418" s="4" t="str">
        <f>IF('[1]All Data '!BE2423="","",'[1]All Data '!BE2423)</f>
        <v/>
      </c>
      <c r="M2418" t="str">
        <f>IF('[1]All Data '!BF2423="","",'[1]All Data '!BF2423)</f>
        <v/>
      </c>
      <c r="N2418" s="5" t="str">
        <f>IF('[1]All Data '!BB2423="","",'[1]All Data '!BC2423/'[1]All Data '!BH2423)</f>
        <v/>
      </c>
      <c r="O2418" s="5" t="str">
        <f t="shared" si="39"/>
        <v/>
      </c>
      <c r="P2418" s="5" t="str">
        <f>IF(M2418="","",$C$2*(1-L2418)*907.2/0.621371*N2418*[1]Transportation!$M$40)</f>
        <v/>
      </c>
      <c r="Q2418" s="5" t="str">
        <f>IF(L2418="","",IF([1]Inputs_Outputs!$B$5="Herbaceous",(LCA!$E$29*'[1]LOCH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8" s="5" t="str">
        <f>IF(M2418="","",$E$2*1000*'[1]LOCH Calc COE Calc'!$C$44)</f>
        <v/>
      </c>
      <c r="S2418" s="6" t="str">
        <f>IF(N2418="","",SUM(O2418:R2418)/('[1]LOCH Calc COE Calc'!$C$28))</f>
        <v/>
      </c>
      <c r="T2418" t="str">
        <f>IF(L2418="","",O2418/'[1]LOCH Calc COE Calc'!$C$28)</f>
        <v/>
      </c>
      <c r="U2418" t="str">
        <f>IF(L2418="","",P2418/'[1]LOCH Calc COE Calc'!$C$28)</f>
        <v/>
      </c>
      <c r="V2418" t="str">
        <f>IF(L2418="","",Q2418/'[1]LOCH Calc COE Calc'!$C$28)</f>
        <v/>
      </c>
      <c r="W2418" t="str">
        <f>IF(L2418="","",R2418/'[1]LOCH Calc COE Calc'!$C$28)</f>
        <v/>
      </c>
    </row>
    <row r="2419" spans="12:23" x14ac:dyDescent="0.25">
      <c r="L2419" s="4" t="str">
        <f>IF('[1]All Data '!BE2424="","",'[1]All Data '!BE2424)</f>
        <v/>
      </c>
      <c r="M2419" t="str">
        <f>IF('[1]All Data '!BF2424="","",'[1]All Data '!BF2424)</f>
        <v/>
      </c>
      <c r="N2419" s="5" t="str">
        <f>IF('[1]All Data '!BB2424="","",'[1]All Data '!BC2424/'[1]All Data '!BH2424)</f>
        <v/>
      </c>
      <c r="O2419" s="5" t="str">
        <f t="shared" si="39"/>
        <v/>
      </c>
      <c r="P2419" s="5" t="str">
        <f>IF(M2419="","",$C$2*(1-L2419)*907.2/0.621371*N2419*[1]Transportation!$M$40)</f>
        <v/>
      </c>
      <c r="Q2419" s="5" t="str">
        <f>IF(L2419="","",IF([1]Inputs_Outputs!$B$5="Herbaceous",(LCA!$E$29*'[1]LOCH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19" s="5" t="str">
        <f>IF(M2419="","",$E$2*1000*'[1]LOCH Calc COE Calc'!$C$44)</f>
        <v/>
      </c>
      <c r="S2419" s="6" t="str">
        <f>IF(N2419="","",SUM(O2419:R2419)/('[1]LOCH Calc COE Calc'!$C$28))</f>
        <v/>
      </c>
      <c r="T2419" t="str">
        <f>IF(L2419="","",O2419/'[1]LOCH Calc COE Calc'!$C$28)</f>
        <v/>
      </c>
      <c r="U2419" t="str">
        <f>IF(L2419="","",P2419/'[1]LOCH Calc COE Calc'!$C$28)</f>
        <v/>
      </c>
      <c r="V2419" t="str">
        <f>IF(L2419="","",Q2419/'[1]LOCH Calc COE Calc'!$C$28)</f>
        <v/>
      </c>
      <c r="W2419" t="str">
        <f>IF(L2419="","",R2419/'[1]LOCH Calc COE Calc'!$C$28)</f>
        <v/>
      </c>
    </row>
    <row r="2420" spans="12:23" x14ac:dyDescent="0.25">
      <c r="L2420" s="4" t="str">
        <f>IF('[1]All Data '!BE2425="","",'[1]All Data '!BE2425)</f>
        <v/>
      </c>
      <c r="M2420" t="str">
        <f>IF('[1]All Data '!BF2425="","",'[1]All Data '!BF2425)</f>
        <v/>
      </c>
      <c r="N2420" s="5" t="str">
        <f>IF('[1]All Data '!BB2425="","",'[1]All Data '!BC2425/'[1]All Data '!BH2425)</f>
        <v/>
      </c>
      <c r="O2420" s="5" t="str">
        <f t="shared" si="39"/>
        <v/>
      </c>
      <c r="P2420" s="5" t="str">
        <f>IF(M2420="","",$C$2*(1-L2420)*907.2/0.621371*N2420*[1]Transportation!$M$40)</f>
        <v/>
      </c>
      <c r="Q2420" s="5" t="str">
        <f>IF(L2420="","",IF([1]Inputs_Outputs!$B$5="Herbaceous",(LCA!$E$29*'[1]LOCH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0" s="5" t="str">
        <f>IF(M2420="","",$E$2*1000*'[1]LOCH Calc COE Calc'!$C$44)</f>
        <v/>
      </c>
      <c r="S2420" s="6" t="str">
        <f>IF(N2420="","",SUM(O2420:R2420)/('[1]LOCH Calc COE Calc'!$C$28))</f>
        <v/>
      </c>
      <c r="T2420" t="str">
        <f>IF(L2420="","",O2420/'[1]LOCH Calc COE Calc'!$C$28)</f>
        <v/>
      </c>
      <c r="U2420" t="str">
        <f>IF(L2420="","",P2420/'[1]LOCH Calc COE Calc'!$C$28)</f>
        <v/>
      </c>
      <c r="V2420" t="str">
        <f>IF(L2420="","",Q2420/'[1]LOCH Calc COE Calc'!$C$28)</f>
        <v/>
      </c>
      <c r="W2420" t="str">
        <f>IF(L2420="","",R2420/'[1]LOCH Calc COE Calc'!$C$28)</f>
        <v/>
      </c>
    </row>
    <row r="2421" spans="12:23" x14ac:dyDescent="0.25">
      <c r="L2421" s="4" t="str">
        <f>IF('[1]All Data '!BE2426="","",'[1]All Data '!BE2426)</f>
        <v/>
      </c>
      <c r="M2421" t="str">
        <f>IF('[1]All Data '!BF2426="","",'[1]All Data '!BF2426)</f>
        <v/>
      </c>
      <c r="N2421" s="5" t="str">
        <f>IF('[1]All Data '!BB2426="","",'[1]All Data '!BC2426/'[1]All Data '!BH2426)</f>
        <v/>
      </c>
      <c r="O2421" s="5" t="str">
        <f t="shared" si="39"/>
        <v/>
      </c>
      <c r="P2421" s="5" t="str">
        <f>IF(M2421="","",$C$2*(1-L2421)*907.2/0.621371*N2421*[1]Transportation!$M$40)</f>
        <v/>
      </c>
      <c r="Q2421" s="5" t="str">
        <f>IF(L2421="","",IF([1]Inputs_Outputs!$B$5="Herbaceous",(LCA!$E$29*'[1]LOCH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1" s="5" t="str">
        <f>IF(M2421="","",$E$2*1000*'[1]LOCH Calc COE Calc'!$C$44)</f>
        <v/>
      </c>
      <c r="S2421" s="6" t="str">
        <f>IF(N2421="","",SUM(O2421:R2421)/('[1]LOCH Calc COE Calc'!$C$28))</f>
        <v/>
      </c>
      <c r="T2421" t="str">
        <f>IF(L2421="","",O2421/'[1]LOCH Calc COE Calc'!$C$28)</f>
        <v/>
      </c>
      <c r="U2421" t="str">
        <f>IF(L2421="","",P2421/'[1]LOCH Calc COE Calc'!$C$28)</f>
        <v/>
      </c>
      <c r="V2421" t="str">
        <f>IF(L2421="","",Q2421/'[1]LOCH Calc COE Calc'!$C$28)</f>
        <v/>
      </c>
      <c r="W2421" t="str">
        <f>IF(L2421="","",R2421/'[1]LOCH Calc COE Calc'!$C$28)</f>
        <v/>
      </c>
    </row>
    <row r="2422" spans="12:23" x14ac:dyDescent="0.25">
      <c r="L2422" s="4" t="str">
        <f>IF('[1]All Data '!BE2427="","",'[1]All Data '!BE2427)</f>
        <v/>
      </c>
      <c r="M2422" t="str">
        <f>IF('[1]All Data '!BF2427="","",'[1]All Data '!BF2427)</f>
        <v/>
      </c>
      <c r="N2422" s="5" t="str">
        <f>IF('[1]All Data '!BB2427="","",'[1]All Data '!BC2427/'[1]All Data '!BH2427)</f>
        <v/>
      </c>
      <c r="O2422" s="5" t="str">
        <f t="shared" si="39"/>
        <v/>
      </c>
      <c r="P2422" s="5" t="str">
        <f>IF(M2422="","",$C$2*(1-L2422)*907.2/0.621371*N2422*[1]Transportation!$M$40)</f>
        <v/>
      </c>
      <c r="Q2422" s="5" t="str">
        <f>IF(L2422="","",IF([1]Inputs_Outputs!$B$5="Herbaceous",(LCA!$E$29*'[1]LOCH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2" s="5" t="str">
        <f>IF(M2422="","",$E$2*1000*'[1]LOCH Calc COE Calc'!$C$44)</f>
        <v/>
      </c>
      <c r="S2422" s="6" t="str">
        <f>IF(N2422="","",SUM(O2422:R2422)/('[1]LOCH Calc COE Calc'!$C$28))</f>
        <v/>
      </c>
      <c r="T2422" t="str">
        <f>IF(L2422="","",O2422/'[1]LOCH Calc COE Calc'!$C$28)</f>
        <v/>
      </c>
      <c r="U2422" t="str">
        <f>IF(L2422="","",P2422/'[1]LOCH Calc COE Calc'!$C$28)</f>
        <v/>
      </c>
      <c r="V2422" t="str">
        <f>IF(L2422="","",Q2422/'[1]LOCH Calc COE Calc'!$C$28)</f>
        <v/>
      </c>
      <c r="W2422" t="str">
        <f>IF(L2422="","",R2422/'[1]LOCH Calc COE Calc'!$C$28)</f>
        <v/>
      </c>
    </row>
    <row r="2423" spans="12:23" x14ac:dyDescent="0.25">
      <c r="L2423" s="4" t="str">
        <f>IF('[1]All Data '!BE2428="","",'[1]All Data '!BE2428)</f>
        <v/>
      </c>
      <c r="M2423" t="str">
        <f>IF('[1]All Data '!BF2428="","",'[1]All Data '!BF2428)</f>
        <v/>
      </c>
      <c r="N2423" s="5" t="str">
        <f>IF('[1]All Data '!BB2428="","",'[1]All Data '!BC2428/'[1]All Data '!BH2428)</f>
        <v/>
      </c>
      <c r="O2423" s="5" t="str">
        <f t="shared" si="39"/>
        <v/>
      </c>
      <c r="P2423" s="5" t="str">
        <f>IF(M2423="","",$C$2*(1-L2423)*907.2/0.621371*N2423*[1]Transportation!$M$40)</f>
        <v/>
      </c>
      <c r="Q2423" s="5" t="str">
        <f>IF(L2423="","",IF([1]Inputs_Outputs!$B$5="Herbaceous",(LCA!$E$29*'[1]LOCH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3" s="5" t="str">
        <f>IF(M2423="","",$E$2*1000*'[1]LOCH Calc COE Calc'!$C$44)</f>
        <v/>
      </c>
      <c r="S2423" s="6" t="str">
        <f>IF(N2423="","",SUM(O2423:R2423)/('[1]LOCH Calc COE Calc'!$C$28))</f>
        <v/>
      </c>
      <c r="T2423" t="str">
        <f>IF(L2423="","",O2423/'[1]LOCH Calc COE Calc'!$C$28)</f>
        <v/>
      </c>
      <c r="U2423" t="str">
        <f>IF(L2423="","",P2423/'[1]LOCH Calc COE Calc'!$C$28)</f>
        <v/>
      </c>
      <c r="V2423" t="str">
        <f>IF(L2423="","",Q2423/'[1]LOCH Calc COE Calc'!$C$28)</f>
        <v/>
      </c>
      <c r="W2423" t="str">
        <f>IF(L2423="","",R2423/'[1]LOCH Calc COE Calc'!$C$28)</f>
        <v/>
      </c>
    </row>
    <row r="2424" spans="12:23" x14ac:dyDescent="0.25">
      <c r="L2424" s="4" t="str">
        <f>IF('[1]All Data '!BE2429="","",'[1]All Data '!BE2429)</f>
        <v/>
      </c>
      <c r="M2424" t="str">
        <f>IF('[1]All Data '!BF2429="","",'[1]All Data '!BF2429)</f>
        <v/>
      </c>
      <c r="N2424" s="5" t="str">
        <f>IF('[1]All Data '!BB2429="","",'[1]All Data '!BC2429/'[1]All Data '!BH2429)</f>
        <v/>
      </c>
      <c r="O2424" s="5" t="str">
        <f t="shared" si="39"/>
        <v/>
      </c>
      <c r="P2424" s="5" t="str">
        <f>IF(M2424="","",$C$2*(1-L2424)*907.2/0.621371*N2424*[1]Transportation!$M$40)</f>
        <v/>
      </c>
      <c r="Q2424" s="5" t="str">
        <f>IF(L2424="","",IF([1]Inputs_Outputs!$B$5="Herbaceous",(LCA!$E$29*'[1]LOCH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4" s="5" t="str">
        <f>IF(M2424="","",$E$2*1000*'[1]LOCH Calc COE Calc'!$C$44)</f>
        <v/>
      </c>
      <c r="S2424" s="6" t="str">
        <f>IF(N2424="","",SUM(O2424:R2424)/('[1]LOCH Calc COE Calc'!$C$28))</f>
        <v/>
      </c>
      <c r="T2424" t="str">
        <f>IF(L2424="","",O2424/'[1]LOCH Calc COE Calc'!$C$28)</f>
        <v/>
      </c>
      <c r="U2424" t="str">
        <f>IF(L2424="","",P2424/'[1]LOCH Calc COE Calc'!$C$28)</f>
        <v/>
      </c>
      <c r="V2424" t="str">
        <f>IF(L2424="","",Q2424/'[1]LOCH Calc COE Calc'!$C$28)</f>
        <v/>
      </c>
      <c r="W2424" t="str">
        <f>IF(L2424="","",R2424/'[1]LOCH Calc COE Calc'!$C$28)</f>
        <v/>
      </c>
    </row>
    <row r="2425" spans="12:23" x14ac:dyDescent="0.25">
      <c r="L2425" s="4" t="str">
        <f>IF('[1]All Data '!BE2430="","",'[1]All Data '!BE2430)</f>
        <v/>
      </c>
      <c r="M2425" t="str">
        <f>IF('[1]All Data '!BF2430="","",'[1]All Data '!BF2430)</f>
        <v/>
      </c>
      <c r="N2425" s="5" t="str">
        <f>IF('[1]All Data '!BB2430="","",'[1]All Data '!BC2430/'[1]All Data '!BH2430)</f>
        <v/>
      </c>
      <c r="O2425" s="5" t="str">
        <f t="shared" si="39"/>
        <v/>
      </c>
      <c r="P2425" s="5" t="str">
        <f>IF(M2425="","",$C$2*(1-L2425)*907.2/0.621371*N2425*[1]Transportation!$M$40)</f>
        <v/>
      </c>
      <c r="Q2425" s="5" t="str">
        <f>IF(L2425="","",IF([1]Inputs_Outputs!$B$5="Herbaceous",(LCA!$E$29*'[1]LOCH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5" s="5" t="str">
        <f>IF(M2425="","",$E$2*1000*'[1]LOCH Calc COE Calc'!$C$44)</f>
        <v/>
      </c>
      <c r="S2425" s="6" t="str">
        <f>IF(N2425="","",SUM(O2425:R2425)/('[1]LOCH Calc COE Calc'!$C$28))</f>
        <v/>
      </c>
      <c r="T2425" t="str">
        <f>IF(L2425="","",O2425/'[1]LOCH Calc COE Calc'!$C$28)</f>
        <v/>
      </c>
      <c r="U2425" t="str">
        <f>IF(L2425="","",P2425/'[1]LOCH Calc COE Calc'!$C$28)</f>
        <v/>
      </c>
      <c r="V2425" t="str">
        <f>IF(L2425="","",Q2425/'[1]LOCH Calc COE Calc'!$C$28)</f>
        <v/>
      </c>
      <c r="W2425" t="str">
        <f>IF(L2425="","",R2425/'[1]LOCH Calc COE Calc'!$C$28)</f>
        <v/>
      </c>
    </row>
    <row r="2426" spans="12:23" x14ac:dyDescent="0.25">
      <c r="L2426" s="4" t="str">
        <f>IF('[1]All Data '!BE2431="","",'[1]All Data '!BE2431)</f>
        <v/>
      </c>
      <c r="M2426" t="str">
        <f>IF('[1]All Data '!BF2431="","",'[1]All Data '!BF2431)</f>
        <v/>
      </c>
      <c r="N2426" s="5" t="str">
        <f>IF('[1]All Data '!BB2431="","",'[1]All Data '!BC2431/'[1]All Data '!BH2431)</f>
        <v/>
      </c>
      <c r="O2426" s="5" t="str">
        <f t="shared" si="39"/>
        <v/>
      </c>
      <c r="P2426" s="5" t="str">
        <f>IF(M2426="","",$C$2*(1-L2426)*907.2/0.621371*N2426*[1]Transportation!$M$40)</f>
        <v/>
      </c>
      <c r="Q2426" s="5" t="str">
        <f>IF(L2426="","",IF([1]Inputs_Outputs!$B$5="Herbaceous",(LCA!$E$29*'[1]LOCH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6" s="5" t="str">
        <f>IF(M2426="","",$E$2*1000*'[1]LOCH Calc COE Calc'!$C$44)</f>
        <v/>
      </c>
      <c r="S2426" s="6" t="str">
        <f>IF(N2426="","",SUM(O2426:R2426)/('[1]LOCH Calc COE Calc'!$C$28))</f>
        <v/>
      </c>
      <c r="T2426" t="str">
        <f>IF(L2426="","",O2426/'[1]LOCH Calc COE Calc'!$C$28)</f>
        <v/>
      </c>
      <c r="U2426" t="str">
        <f>IF(L2426="","",P2426/'[1]LOCH Calc COE Calc'!$C$28)</f>
        <v/>
      </c>
      <c r="V2426" t="str">
        <f>IF(L2426="","",Q2426/'[1]LOCH Calc COE Calc'!$C$28)</f>
        <v/>
      </c>
      <c r="W2426" t="str">
        <f>IF(L2426="","",R2426/'[1]LOCH Calc COE Calc'!$C$28)</f>
        <v/>
      </c>
    </row>
    <row r="2427" spans="12:23" x14ac:dyDescent="0.25">
      <c r="L2427" s="4" t="str">
        <f>IF('[1]All Data '!BE2432="","",'[1]All Data '!BE2432)</f>
        <v/>
      </c>
      <c r="M2427" t="str">
        <f>IF('[1]All Data '!BF2432="","",'[1]All Data '!BF2432)</f>
        <v/>
      </c>
      <c r="N2427" s="5" t="str">
        <f>IF('[1]All Data '!BB2432="","",'[1]All Data '!BC2432/'[1]All Data '!BH2432)</f>
        <v/>
      </c>
      <c r="O2427" s="5" t="str">
        <f t="shared" si="39"/>
        <v/>
      </c>
      <c r="P2427" s="5" t="str">
        <f>IF(M2427="","",$C$2*(1-L2427)*907.2/0.621371*N2427*[1]Transportation!$M$40)</f>
        <v/>
      </c>
      <c r="Q2427" s="5" t="str">
        <f>IF(L2427="","",IF([1]Inputs_Outputs!$B$5="Herbaceous",(LCA!$E$29*'[1]LOCH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7" s="5" t="str">
        <f>IF(M2427="","",$E$2*1000*'[1]LOCH Calc COE Calc'!$C$44)</f>
        <v/>
      </c>
      <c r="S2427" s="6" t="str">
        <f>IF(N2427="","",SUM(O2427:R2427)/('[1]LOCH Calc COE Calc'!$C$28))</f>
        <v/>
      </c>
      <c r="T2427" t="str">
        <f>IF(L2427="","",O2427/'[1]LOCH Calc COE Calc'!$C$28)</f>
        <v/>
      </c>
      <c r="U2427" t="str">
        <f>IF(L2427="","",P2427/'[1]LOCH Calc COE Calc'!$C$28)</f>
        <v/>
      </c>
      <c r="V2427" t="str">
        <f>IF(L2427="","",Q2427/'[1]LOCH Calc COE Calc'!$C$28)</f>
        <v/>
      </c>
      <c r="W2427" t="str">
        <f>IF(L2427="","",R2427/'[1]LOCH Calc COE Calc'!$C$28)</f>
        <v/>
      </c>
    </row>
    <row r="2428" spans="12:23" x14ac:dyDescent="0.25">
      <c r="L2428" s="4" t="str">
        <f>IF('[1]All Data '!BE2433="","",'[1]All Data '!BE2433)</f>
        <v/>
      </c>
      <c r="M2428" t="str">
        <f>IF('[1]All Data '!BF2433="","",'[1]All Data '!BF2433)</f>
        <v/>
      </c>
      <c r="N2428" s="5" t="str">
        <f>IF('[1]All Data '!BB2433="","",'[1]All Data '!BC2433/'[1]All Data '!BH2433)</f>
        <v/>
      </c>
      <c r="O2428" s="5" t="str">
        <f t="shared" si="39"/>
        <v/>
      </c>
      <c r="P2428" s="5" t="str">
        <f>IF(M2428="","",$C$2*(1-L2428)*907.2/0.621371*N2428*[1]Transportation!$M$40)</f>
        <v/>
      </c>
      <c r="Q2428" s="5" t="str">
        <f>IF(L2428="","",IF([1]Inputs_Outputs!$B$5="Herbaceous",(LCA!$E$29*'[1]LOCH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8" s="5" t="str">
        <f>IF(M2428="","",$E$2*1000*'[1]LOCH Calc COE Calc'!$C$44)</f>
        <v/>
      </c>
      <c r="S2428" s="6" t="str">
        <f>IF(N2428="","",SUM(O2428:R2428)/('[1]LOCH Calc COE Calc'!$C$28))</f>
        <v/>
      </c>
      <c r="T2428" t="str">
        <f>IF(L2428="","",O2428/'[1]LOCH Calc COE Calc'!$C$28)</f>
        <v/>
      </c>
      <c r="U2428" t="str">
        <f>IF(L2428="","",P2428/'[1]LOCH Calc COE Calc'!$C$28)</f>
        <v/>
      </c>
      <c r="V2428" t="str">
        <f>IF(L2428="","",Q2428/'[1]LOCH Calc COE Calc'!$C$28)</f>
        <v/>
      </c>
      <c r="W2428" t="str">
        <f>IF(L2428="","",R2428/'[1]LOCH Calc COE Calc'!$C$28)</f>
        <v/>
      </c>
    </row>
    <row r="2429" spans="12:23" x14ac:dyDescent="0.25">
      <c r="L2429" s="4" t="str">
        <f>IF('[1]All Data '!BE2434="","",'[1]All Data '!BE2434)</f>
        <v/>
      </c>
      <c r="M2429" t="str">
        <f>IF('[1]All Data '!BF2434="","",'[1]All Data '!BF2434)</f>
        <v/>
      </c>
      <c r="N2429" s="5" t="str">
        <f>IF('[1]All Data '!BB2434="","",'[1]All Data '!BC2434/'[1]All Data '!BH2434)</f>
        <v/>
      </c>
      <c r="O2429" s="5" t="str">
        <f t="shared" si="39"/>
        <v/>
      </c>
      <c r="P2429" s="5" t="str">
        <f>IF(M2429="","",$C$2*(1-L2429)*907.2/0.621371*N2429*[1]Transportation!$M$40)</f>
        <v/>
      </c>
      <c r="Q2429" s="5" t="str">
        <f>IF(L2429="","",IF([1]Inputs_Outputs!$B$5="Herbaceous",(LCA!$E$29*'[1]LOCH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29" s="5" t="str">
        <f>IF(M2429="","",$E$2*1000*'[1]LOCH Calc COE Calc'!$C$44)</f>
        <v/>
      </c>
      <c r="S2429" s="6" t="str">
        <f>IF(N2429="","",SUM(O2429:R2429)/('[1]LOCH Calc COE Calc'!$C$28))</f>
        <v/>
      </c>
      <c r="T2429" t="str">
        <f>IF(L2429="","",O2429/'[1]LOCH Calc COE Calc'!$C$28)</f>
        <v/>
      </c>
      <c r="U2429" t="str">
        <f>IF(L2429="","",P2429/'[1]LOCH Calc COE Calc'!$C$28)</f>
        <v/>
      </c>
      <c r="V2429" t="str">
        <f>IF(L2429="","",Q2429/'[1]LOCH Calc COE Calc'!$C$28)</f>
        <v/>
      </c>
      <c r="W2429" t="str">
        <f>IF(L2429="","",R2429/'[1]LOCH Calc COE Calc'!$C$28)</f>
        <v/>
      </c>
    </row>
    <row r="2430" spans="12:23" x14ac:dyDescent="0.25">
      <c r="L2430" s="4" t="str">
        <f>IF('[1]All Data '!BE2435="","",'[1]All Data '!BE2435)</f>
        <v/>
      </c>
      <c r="M2430" t="str">
        <f>IF('[1]All Data '!BF2435="","",'[1]All Data '!BF2435)</f>
        <v/>
      </c>
      <c r="N2430" s="5" t="str">
        <f>IF('[1]All Data '!BB2435="","",'[1]All Data '!BC2435/'[1]All Data '!BH2435)</f>
        <v/>
      </c>
      <c r="O2430" s="5" t="str">
        <f t="shared" si="39"/>
        <v/>
      </c>
      <c r="P2430" s="5" t="str">
        <f>IF(M2430="","",$C$2*(1-L2430)*907.2/0.621371*N2430*[1]Transportation!$M$40)</f>
        <v/>
      </c>
      <c r="Q2430" s="5" t="str">
        <f>IF(L2430="","",IF([1]Inputs_Outputs!$B$5="Herbaceous",(LCA!$E$29*'[1]LOCH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0" s="5" t="str">
        <f>IF(M2430="","",$E$2*1000*'[1]LOCH Calc COE Calc'!$C$44)</f>
        <v/>
      </c>
      <c r="S2430" s="6" t="str">
        <f>IF(N2430="","",SUM(O2430:R2430)/('[1]LOCH Calc COE Calc'!$C$28))</f>
        <v/>
      </c>
      <c r="T2430" t="str">
        <f>IF(L2430="","",O2430/'[1]LOCH Calc COE Calc'!$C$28)</f>
        <v/>
      </c>
      <c r="U2430" t="str">
        <f>IF(L2430="","",P2430/'[1]LOCH Calc COE Calc'!$C$28)</f>
        <v/>
      </c>
      <c r="V2430" t="str">
        <f>IF(L2430="","",Q2430/'[1]LOCH Calc COE Calc'!$C$28)</f>
        <v/>
      </c>
      <c r="W2430" t="str">
        <f>IF(L2430="","",R2430/'[1]LOCH Calc COE Calc'!$C$28)</f>
        <v/>
      </c>
    </row>
    <row r="2431" spans="12:23" x14ac:dyDescent="0.25">
      <c r="L2431" s="4" t="str">
        <f>IF('[1]All Data '!BE2436="","",'[1]All Data '!BE2436)</f>
        <v/>
      </c>
      <c r="M2431" t="str">
        <f>IF('[1]All Data '!BF2436="","",'[1]All Data '!BF2436)</f>
        <v/>
      </c>
      <c r="N2431" s="5" t="str">
        <f>IF('[1]All Data '!BB2436="","",'[1]All Data '!BC2436/'[1]All Data '!BH2436)</f>
        <v/>
      </c>
      <c r="O2431" s="5" t="str">
        <f t="shared" si="39"/>
        <v/>
      </c>
      <c r="P2431" s="5" t="str">
        <f>IF(M2431="","",$C$2*(1-L2431)*907.2/0.621371*N2431*[1]Transportation!$M$40)</f>
        <v/>
      </c>
      <c r="Q2431" s="5" t="str">
        <f>IF(L2431="","",IF([1]Inputs_Outputs!$B$5="Herbaceous",(LCA!$E$29*'[1]LOCH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1" s="5" t="str">
        <f>IF(M2431="","",$E$2*1000*'[1]LOCH Calc COE Calc'!$C$44)</f>
        <v/>
      </c>
      <c r="S2431" s="6" t="str">
        <f>IF(N2431="","",SUM(O2431:R2431)/('[1]LOCH Calc COE Calc'!$C$28))</f>
        <v/>
      </c>
      <c r="T2431" t="str">
        <f>IF(L2431="","",O2431/'[1]LOCH Calc COE Calc'!$C$28)</f>
        <v/>
      </c>
      <c r="U2431" t="str">
        <f>IF(L2431="","",P2431/'[1]LOCH Calc COE Calc'!$C$28)</f>
        <v/>
      </c>
      <c r="V2431" t="str">
        <f>IF(L2431="","",Q2431/'[1]LOCH Calc COE Calc'!$C$28)</f>
        <v/>
      </c>
      <c r="W2431" t="str">
        <f>IF(L2431="","",R2431/'[1]LOCH Calc COE Calc'!$C$28)</f>
        <v/>
      </c>
    </row>
    <row r="2432" spans="12:23" x14ac:dyDescent="0.25">
      <c r="L2432" s="4" t="str">
        <f>IF('[1]All Data '!BE2437="","",'[1]All Data '!BE2437)</f>
        <v/>
      </c>
      <c r="M2432" t="str">
        <f>IF('[1]All Data '!BF2437="","",'[1]All Data '!BF2437)</f>
        <v/>
      </c>
      <c r="N2432" s="5" t="str">
        <f>IF('[1]All Data '!BB2437="","",'[1]All Data '!BC2437/'[1]All Data '!BH2437)</f>
        <v/>
      </c>
      <c r="O2432" s="5" t="str">
        <f t="shared" si="39"/>
        <v/>
      </c>
      <c r="P2432" s="5" t="str">
        <f>IF(M2432="","",$C$2*(1-L2432)*907.2/0.621371*N2432*[1]Transportation!$M$40)</f>
        <v/>
      </c>
      <c r="Q2432" s="5" t="str">
        <f>IF(L2432="","",IF([1]Inputs_Outputs!$B$5="Herbaceous",(LCA!$E$29*'[1]LOCH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2" s="5" t="str">
        <f>IF(M2432="","",$E$2*1000*'[1]LOCH Calc COE Calc'!$C$44)</f>
        <v/>
      </c>
      <c r="S2432" s="6" t="str">
        <f>IF(N2432="","",SUM(O2432:R2432)/('[1]LOCH Calc COE Calc'!$C$28))</f>
        <v/>
      </c>
      <c r="T2432" t="str">
        <f>IF(L2432="","",O2432/'[1]LOCH Calc COE Calc'!$C$28)</f>
        <v/>
      </c>
      <c r="U2432" t="str">
        <f>IF(L2432="","",P2432/'[1]LOCH Calc COE Calc'!$C$28)</f>
        <v/>
      </c>
      <c r="V2432" t="str">
        <f>IF(L2432="","",Q2432/'[1]LOCH Calc COE Calc'!$C$28)</f>
        <v/>
      </c>
      <c r="W2432" t="str">
        <f>IF(L2432="","",R2432/'[1]LOCH Calc COE Calc'!$C$28)</f>
        <v/>
      </c>
    </row>
    <row r="2433" spans="12:23" x14ac:dyDescent="0.25">
      <c r="L2433" s="4" t="str">
        <f>IF('[1]All Data '!BE2438="","",'[1]All Data '!BE2438)</f>
        <v/>
      </c>
      <c r="M2433" t="str">
        <f>IF('[1]All Data '!BF2438="","",'[1]All Data '!BF2438)</f>
        <v/>
      </c>
      <c r="N2433" s="5" t="str">
        <f>IF('[1]All Data '!BB2438="","",'[1]All Data '!BC2438/'[1]All Data '!BH2438)</f>
        <v/>
      </c>
      <c r="O2433" s="5" t="str">
        <f t="shared" si="39"/>
        <v/>
      </c>
      <c r="P2433" s="5" t="str">
        <f>IF(M2433="","",$C$2*(1-L2433)*907.2/0.621371*N2433*[1]Transportation!$M$40)</f>
        <v/>
      </c>
      <c r="Q2433" s="5" t="str">
        <f>IF(L2433="","",IF([1]Inputs_Outputs!$B$5="Herbaceous",(LCA!$E$29*'[1]LOCH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3" s="5" t="str">
        <f>IF(M2433="","",$E$2*1000*'[1]LOCH Calc COE Calc'!$C$44)</f>
        <v/>
      </c>
      <c r="S2433" s="6" t="str">
        <f>IF(N2433="","",SUM(O2433:R2433)/('[1]LOCH Calc COE Calc'!$C$28))</f>
        <v/>
      </c>
      <c r="T2433" t="str">
        <f>IF(L2433="","",O2433/'[1]LOCH Calc COE Calc'!$C$28)</f>
        <v/>
      </c>
      <c r="U2433" t="str">
        <f>IF(L2433="","",P2433/'[1]LOCH Calc COE Calc'!$C$28)</f>
        <v/>
      </c>
      <c r="V2433" t="str">
        <f>IF(L2433="","",Q2433/'[1]LOCH Calc COE Calc'!$C$28)</f>
        <v/>
      </c>
      <c r="W2433" t="str">
        <f>IF(L2433="","",R2433/'[1]LOCH Calc COE Calc'!$C$28)</f>
        <v/>
      </c>
    </row>
    <row r="2434" spans="12:23" x14ac:dyDescent="0.25">
      <c r="L2434" s="4" t="str">
        <f>IF('[1]All Data '!BE2439="","",'[1]All Data '!BE2439)</f>
        <v/>
      </c>
      <c r="M2434" t="str">
        <f>IF('[1]All Data '!BF2439="","",'[1]All Data '!BF2439)</f>
        <v/>
      </c>
      <c r="N2434" s="5" t="str">
        <f>IF('[1]All Data '!BB2439="","",'[1]All Data '!BC2439/'[1]All Data '!BH2439)</f>
        <v/>
      </c>
      <c r="O2434" s="5" t="str">
        <f t="shared" si="39"/>
        <v/>
      </c>
      <c r="P2434" s="5" t="str">
        <f>IF(M2434="","",$C$2*(1-L2434)*907.2/0.621371*N2434*[1]Transportation!$M$40)</f>
        <v/>
      </c>
      <c r="Q2434" s="5" t="str">
        <f>IF(L2434="","",IF([1]Inputs_Outputs!$B$5="Herbaceous",(LCA!$E$29*'[1]LOCH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4" s="5" t="str">
        <f>IF(M2434="","",$E$2*1000*'[1]LOCH Calc COE Calc'!$C$44)</f>
        <v/>
      </c>
      <c r="S2434" s="6" t="str">
        <f>IF(N2434="","",SUM(O2434:R2434)/('[1]LOCH Calc COE Calc'!$C$28))</f>
        <v/>
      </c>
      <c r="T2434" t="str">
        <f>IF(L2434="","",O2434/'[1]LOCH Calc COE Calc'!$C$28)</f>
        <v/>
      </c>
      <c r="U2434" t="str">
        <f>IF(L2434="","",P2434/'[1]LOCH Calc COE Calc'!$C$28)</f>
        <v/>
      </c>
      <c r="V2434" t="str">
        <f>IF(L2434="","",Q2434/'[1]LOCH Calc COE Calc'!$C$28)</f>
        <v/>
      </c>
      <c r="W2434" t="str">
        <f>IF(L2434="","",R2434/'[1]LOCH Calc COE Calc'!$C$28)</f>
        <v/>
      </c>
    </row>
    <row r="2435" spans="12:23" x14ac:dyDescent="0.25">
      <c r="L2435" s="4" t="str">
        <f>IF('[1]All Data '!BE2440="","",'[1]All Data '!BE2440)</f>
        <v/>
      </c>
      <c r="M2435" t="str">
        <f>IF('[1]All Data '!BF2440="","",'[1]All Data '!BF2440)</f>
        <v/>
      </c>
      <c r="N2435" s="5" t="str">
        <f>IF('[1]All Data '!BB2440="","",'[1]All Data '!BC2440/'[1]All Data '!BH2440)</f>
        <v/>
      </c>
      <c r="O2435" s="5" t="str">
        <f t="shared" si="39"/>
        <v/>
      </c>
      <c r="P2435" s="5" t="str">
        <f>IF(M2435="","",$C$2*(1-L2435)*907.2/0.621371*N2435*[1]Transportation!$M$40)</f>
        <v/>
      </c>
      <c r="Q2435" s="5" t="str">
        <f>IF(L2435="","",IF([1]Inputs_Outputs!$B$5="Herbaceous",(LCA!$E$29*'[1]LOCH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5" s="5" t="str">
        <f>IF(M2435="","",$E$2*1000*'[1]LOCH Calc COE Calc'!$C$44)</f>
        <v/>
      </c>
      <c r="S2435" s="6" t="str">
        <f>IF(N2435="","",SUM(O2435:R2435)/('[1]LOCH Calc COE Calc'!$C$28))</f>
        <v/>
      </c>
      <c r="T2435" t="str">
        <f>IF(L2435="","",O2435/'[1]LOCH Calc COE Calc'!$C$28)</f>
        <v/>
      </c>
      <c r="U2435" t="str">
        <f>IF(L2435="","",P2435/'[1]LOCH Calc COE Calc'!$C$28)</f>
        <v/>
      </c>
      <c r="V2435" t="str">
        <f>IF(L2435="","",Q2435/'[1]LOCH Calc COE Calc'!$C$28)</f>
        <v/>
      </c>
      <c r="W2435" t="str">
        <f>IF(L2435="","",R2435/'[1]LOCH Calc COE Calc'!$C$28)</f>
        <v/>
      </c>
    </row>
    <row r="2436" spans="12:23" x14ac:dyDescent="0.25">
      <c r="L2436" s="4" t="str">
        <f>IF('[1]All Data '!BE2441="","",'[1]All Data '!BE2441)</f>
        <v/>
      </c>
      <c r="M2436" t="str">
        <f>IF('[1]All Data '!BF2441="","",'[1]All Data '!BF2441)</f>
        <v/>
      </c>
      <c r="N2436" s="5" t="str">
        <f>IF('[1]All Data '!BB2441="","",'[1]All Data '!BC2441/'[1]All Data '!BH2441)</f>
        <v/>
      </c>
      <c r="O2436" s="5" t="str">
        <f t="shared" ref="O2436:O2499" si="40">IF(N2436="","",M2436*N2436)</f>
        <v/>
      </c>
      <c r="P2436" s="5" t="str">
        <f>IF(M2436="","",$C$2*(1-L2436)*907.2/0.621371*N2436*[1]Transportation!$M$40)</f>
        <v/>
      </c>
      <c r="Q2436" s="5" t="str">
        <f>IF(L2436="","",IF([1]Inputs_Outputs!$B$5="Herbaceous",(LCA!$E$29*'[1]LOCH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6" s="5" t="str">
        <f>IF(M2436="","",$E$2*1000*'[1]LOCH Calc COE Calc'!$C$44)</f>
        <v/>
      </c>
      <c r="S2436" s="6" t="str">
        <f>IF(N2436="","",SUM(O2436:R2436)/('[1]LOCH Calc COE Calc'!$C$28))</f>
        <v/>
      </c>
      <c r="T2436" t="str">
        <f>IF(L2436="","",O2436/'[1]LOCH Calc COE Calc'!$C$28)</f>
        <v/>
      </c>
      <c r="U2436" t="str">
        <f>IF(L2436="","",P2436/'[1]LOCH Calc COE Calc'!$C$28)</f>
        <v/>
      </c>
      <c r="V2436" t="str">
        <f>IF(L2436="","",Q2436/'[1]LOCH Calc COE Calc'!$C$28)</f>
        <v/>
      </c>
      <c r="W2436" t="str">
        <f>IF(L2436="","",R2436/'[1]LOCH Calc COE Calc'!$C$28)</f>
        <v/>
      </c>
    </row>
    <row r="2437" spans="12:23" x14ac:dyDescent="0.25">
      <c r="L2437" s="4" t="str">
        <f>IF('[1]All Data '!BE2442="","",'[1]All Data '!BE2442)</f>
        <v/>
      </c>
      <c r="M2437" t="str">
        <f>IF('[1]All Data '!BF2442="","",'[1]All Data '!BF2442)</f>
        <v/>
      </c>
      <c r="N2437" s="5" t="str">
        <f>IF('[1]All Data '!BB2442="","",'[1]All Data '!BC2442/'[1]All Data '!BH2442)</f>
        <v/>
      </c>
      <c r="O2437" s="5" t="str">
        <f t="shared" si="40"/>
        <v/>
      </c>
      <c r="P2437" s="5" t="str">
        <f>IF(M2437="","",$C$2*(1-L2437)*907.2/0.621371*N2437*[1]Transportation!$M$40)</f>
        <v/>
      </c>
      <c r="Q2437" s="5" t="str">
        <f>IF(L2437="","",IF([1]Inputs_Outputs!$B$5="Herbaceous",(LCA!$E$29*'[1]LOCH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7" s="5" t="str">
        <f>IF(M2437="","",$E$2*1000*'[1]LOCH Calc COE Calc'!$C$44)</f>
        <v/>
      </c>
      <c r="S2437" s="6" t="str">
        <f>IF(N2437="","",SUM(O2437:R2437)/('[1]LOCH Calc COE Calc'!$C$28))</f>
        <v/>
      </c>
      <c r="T2437" t="str">
        <f>IF(L2437="","",O2437/'[1]LOCH Calc COE Calc'!$C$28)</f>
        <v/>
      </c>
      <c r="U2437" t="str">
        <f>IF(L2437="","",P2437/'[1]LOCH Calc COE Calc'!$C$28)</f>
        <v/>
      </c>
      <c r="V2437" t="str">
        <f>IF(L2437="","",Q2437/'[1]LOCH Calc COE Calc'!$C$28)</f>
        <v/>
      </c>
      <c r="W2437" t="str">
        <f>IF(L2437="","",R2437/'[1]LOCH Calc COE Calc'!$C$28)</f>
        <v/>
      </c>
    </row>
    <row r="2438" spans="12:23" x14ac:dyDescent="0.25">
      <c r="L2438" s="4" t="str">
        <f>IF('[1]All Data '!BE2443="","",'[1]All Data '!BE2443)</f>
        <v/>
      </c>
      <c r="M2438" t="str">
        <f>IF('[1]All Data '!BF2443="","",'[1]All Data '!BF2443)</f>
        <v/>
      </c>
      <c r="N2438" s="5" t="str">
        <f>IF('[1]All Data '!BB2443="","",'[1]All Data '!BC2443/'[1]All Data '!BH2443)</f>
        <v/>
      </c>
      <c r="O2438" s="5" t="str">
        <f t="shared" si="40"/>
        <v/>
      </c>
      <c r="P2438" s="5" t="str">
        <f>IF(M2438="","",$C$2*(1-L2438)*907.2/0.621371*N2438*[1]Transportation!$M$40)</f>
        <v/>
      </c>
      <c r="Q2438" s="5" t="str">
        <f>IF(L2438="","",IF([1]Inputs_Outputs!$B$5="Herbaceous",(LCA!$E$29*'[1]LOCH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8" s="5" t="str">
        <f>IF(M2438="","",$E$2*1000*'[1]LOCH Calc COE Calc'!$C$44)</f>
        <v/>
      </c>
      <c r="S2438" s="6" t="str">
        <f>IF(N2438="","",SUM(O2438:R2438)/('[1]LOCH Calc COE Calc'!$C$28))</f>
        <v/>
      </c>
      <c r="T2438" t="str">
        <f>IF(L2438="","",O2438/'[1]LOCH Calc COE Calc'!$C$28)</f>
        <v/>
      </c>
      <c r="U2438" t="str">
        <f>IF(L2438="","",P2438/'[1]LOCH Calc COE Calc'!$C$28)</f>
        <v/>
      </c>
      <c r="V2438" t="str">
        <f>IF(L2438="","",Q2438/'[1]LOCH Calc COE Calc'!$C$28)</f>
        <v/>
      </c>
      <c r="W2438" t="str">
        <f>IF(L2438="","",R2438/'[1]LOCH Calc COE Calc'!$C$28)</f>
        <v/>
      </c>
    </row>
    <row r="2439" spans="12:23" x14ac:dyDescent="0.25">
      <c r="L2439" s="4" t="str">
        <f>IF('[1]All Data '!BE2444="","",'[1]All Data '!BE2444)</f>
        <v/>
      </c>
      <c r="M2439" t="str">
        <f>IF('[1]All Data '!BF2444="","",'[1]All Data '!BF2444)</f>
        <v/>
      </c>
      <c r="N2439" s="5" t="str">
        <f>IF('[1]All Data '!BB2444="","",'[1]All Data '!BC2444/'[1]All Data '!BH2444)</f>
        <v/>
      </c>
      <c r="O2439" s="5" t="str">
        <f t="shared" si="40"/>
        <v/>
      </c>
      <c r="P2439" s="5" t="str">
        <f>IF(M2439="","",$C$2*(1-L2439)*907.2/0.621371*N2439*[1]Transportation!$M$40)</f>
        <v/>
      </c>
      <c r="Q2439" s="5" t="str">
        <f>IF(L2439="","",IF([1]Inputs_Outputs!$B$5="Herbaceous",(LCA!$E$29*'[1]LOCH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39" s="5" t="str">
        <f>IF(M2439="","",$E$2*1000*'[1]LOCH Calc COE Calc'!$C$44)</f>
        <v/>
      </c>
      <c r="S2439" s="6" t="str">
        <f>IF(N2439="","",SUM(O2439:R2439)/('[1]LOCH Calc COE Calc'!$C$28))</f>
        <v/>
      </c>
      <c r="T2439" t="str">
        <f>IF(L2439="","",O2439/'[1]LOCH Calc COE Calc'!$C$28)</f>
        <v/>
      </c>
      <c r="U2439" t="str">
        <f>IF(L2439="","",P2439/'[1]LOCH Calc COE Calc'!$C$28)</f>
        <v/>
      </c>
      <c r="V2439" t="str">
        <f>IF(L2439="","",Q2439/'[1]LOCH Calc COE Calc'!$C$28)</f>
        <v/>
      </c>
      <c r="W2439" t="str">
        <f>IF(L2439="","",R2439/'[1]LOCH Calc COE Calc'!$C$28)</f>
        <v/>
      </c>
    </row>
    <row r="2440" spans="12:23" x14ac:dyDescent="0.25">
      <c r="L2440" s="4" t="str">
        <f>IF('[1]All Data '!BE2445="","",'[1]All Data '!BE2445)</f>
        <v/>
      </c>
      <c r="M2440" t="str">
        <f>IF('[1]All Data '!BF2445="","",'[1]All Data '!BF2445)</f>
        <v/>
      </c>
      <c r="N2440" s="5" t="str">
        <f>IF('[1]All Data '!BB2445="","",'[1]All Data '!BC2445/'[1]All Data '!BH2445)</f>
        <v/>
      </c>
      <c r="O2440" s="5" t="str">
        <f t="shared" si="40"/>
        <v/>
      </c>
      <c r="P2440" s="5" t="str">
        <f>IF(M2440="","",$C$2*(1-L2440)*907.2/0.621371*N2440*[1]Transportation!$M$40)</f>
        <v/>
      </c>
      <c r="Q2440" s="5" t="str">
        <f>IF(L2440="","",IF([1]Inputs_Outputs!$B$5="Herbaceous",(LCA!$E$29*'[1]LOCH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0" s="5" t="str">
        <f>IF(M2440="","",$E$2*1000*'[1]LOCH Calc COE Calc'!$C$44)</f>
        <v/>
      </c>
      <c r="S2440" s="6" t="str">
        <f>IF(N2440="","",SUM(O2440:R2440)/('[1]LOCH Calc COE Calc'!$C$28))</f>
        <v/>
      </c>
      <c r="T2440" t="str">
        <f>IF(L2440="","",O2440/'[1]LOCH Calc COE Calc'!$C$28)</f>
        <v/>
      </c>
      <c r="U2440" t="str">
        <f>IF(L2440="","",P2440/'[1]LOCH Calc COE Calc'!$C$28)</f>
        <v/>
      </c>
      <c r="V2440" t="str">
        <f>IF(L2440="","",Q2440/'[1]LOCH Calc COE Calc'!$C$28)</f>
        <v/>
      </c>
      <c r="W2440" t="str">
        <f>IF(L2440="","",R2440/'[1]LOCH Calc COE Calc'!$C$28)</f>
        <v/>
      </c>
    </row>
    <row r="2441" spans="12:23" x14ac:dyDescent="0.25">
      <c r="L2441" s="4" t="str">
        <f>IF('[1]All Data '!BE2446="","",'[1]All Data '!BE2446)</f>
        <v/>
      </c>
      <c r="M2441" t="str">
        <f>IF('[1]All Data '!BF2446="","",'[1]All Data '!BF2446)</f>
        <v/>
      </c>
      <c r="N2441" s="5" t="str">
        <f>IF('[1]All Data '!BB2446="","",'[1]All Data '!BC2446/'[1]All Data '!BH2446)</f>
        <v/>
      </c>
      <c r="O2441" s="5" t="str">
        <f t="shared" si="40"/>
        <v/>
      </c>
      <c r="P2441" s="5" t="str">
        <f>IF(M2441="","",$C$2*(1-L2441)*907.2/0.621371*N2441*[1]Transportation!$M$40)</f>
        <v/>
      </c>
      <c r="Q2441" s="5" t="str">
        <f>IF(L2441="","",IF([1]Inputs_Outputs!$B$5="Herbaceous",(LCA!$E$29*'[1]LOCH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1" s="5" t="str">
        <f>IF(M2441="","",$E$2*1000*'[1]LOCH Calc COE Calc'!$C$44)</f>
        <v/>
      </c>
      <c r="S2441" s="6" t="str">
        <f>IF(N2441="","",SUM(O2441:R2441)/('[1]LOCH Calc COE Calc'!$C$28))</f>
        <v/>
      </c>
      <c r="T2441" t="str">
        <f>IF(L2441="","",O2441/'[1]LOCH Calc COE Calc'!$C$28)</f>
        <v/>
      </c>
      <c r="U2441" t="str">
        <f>IF(L2441="","",P2441/'[1]LOCH Calc COE Calc'!$C$28)</f>
        <v/>
      </c>
      <c r="V2441" t="str">
        <f>IF(L2441="","",Q2441/'[1]LOCH Calc COE Calc'!$C$28)</f>
        <v/>
      </c>
      <c r="W2441" t="str">
        <f>IF(L2441="","",R2441/'[1]LOCH Calc COE Calc'!$C$28)</f>
        <v/>
      </c>
    </row>
    <row r="2442" spans="12:23" x14ac:dyDescent="0.25">
      <c r="L2442" s="4" t="str">
        <f>IF('[1]All Data '!BE2447="","",'[1]All Data '!BE2447)</f>
        <v/>
      </c>
      <c r="M2442" t="str">
        <f>IF('[1]All Data '!BF2447="","",'[1]All Data '!BF2447)</f>
        <v/>
      </c>
      <c r="N2442" s="5" t="str">
        <f>IF('[1]All Data '!BB2447="","",'[1]All Data '!BC2447/'[1]All Data '!BH2447)</f>
        <v/>
      </c>
      <c r="O2442" s="5" t="str">
        <f t="shared" si="40"/>
        <v/>
      </c>
      <c r="P2442" s="5" t="str">
        <f>IF(M2442="","",$C$2*(1-L2442)*907.2/0.621371*N2442*[1]Transportation!$M$40)</f>
        <v/>
      </c>
      <c r="Q2442" s="5" t="str">
        <f>IF(L2442="","",IF([1]Inputs_Outputs!$B$5="Herbaceous",(LCA!$E$29*'[1]LOCH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2" s="5" t="str">
        <f>IF(M2442="","",$E$2*1000*'[1]LOCH Calc COE Calc'!$C$44)</f>
        <v/>
      </c>
      <c r="S2442" s="6" t="str">
        <f>IF(N2442="","",SUM(O2442:R2442)/('[1]LOCH Calc COE Calc'!$C$28))</f>
        <v/>
      </c>
      <c r="T2442" t="str">
        <f>IF(L2442="","",O2442/'[1]LOCH Calc COE Calc'!$C$28)</f>
        <v/>
      </c>
      <c r="U2442" t="str">
        <f>IF(L2442="","",P2442/'[1]LOCH Calc COE Calc'!$C$28)</f>
        <v/>
      </c>
      <c r="V2442" t="str">
        <f>IF(L2442="","",Q2442/'[1]LOCH Calc COE Calc'!$C$28)</f>
        <v/>
      </c>
      <c r="W2442" t="str">
        <f>IF(L2442="","",R2442/'[1]LOCH Calc COE Calc'!$C$28)</f>
        <v/>
      </c>
    </row>
    <row r="2443" spans="12:23" x14ac:dyDescent="0.25">
      <c r="L2443" s="4" t="str">
        <f>IF('[1]All Data '!BE2448="","",'[1]All Data '!BE2448)</f>
        <v/>
      </c>
      <c r="M2443" t="str">
        <f>IF('[1]All Data '!BF2448="","",'[1]All Data '!BF2448)</f>
        <v/>
      </c>
      <c r="N2443" s="5" t="str">
        <f>IF('[1]All Data '!BB2448="","",'[1]All Data '!BC2448/'[1]All Data '!BH2448)</f>
        <v/>
      </c>
      <c r="O2443" s="5" t="str">
        <f t="shared" si="40"/>
        <v/>
      </c>
      <c r="P2443" s="5" t="str">
        <f>IF(M2443="","",$C$2*(1-L2443)*907.2/0.621371*N2443*[1]Transportation!$M$40)</f>
        <v/>
      </c>
      <c r="Q2443" s="5" t="str">
        <f>IF(L2443="","",IF([1]Inputs_Outputs!$B$5="Herbaceous",(LCA!$E$29*'[1]LOCH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3" s="5" t="str">
        <f>IF(M2443="","",$E$2*1000*'[1]LOCH Calc COE Calc'!$C$44)</f>
        <v/>
      </c>
      <c r="S2443" s="6" t="str">
        <f>IF(N2443="","",SUM(O2443:R2443)/('[1]LOCH Calc COE Calc'!$C$28))</f>
        <v/>
      </c>
      <c r="T2443" t="str">
        <f>IF(L2443="","",O2443/'[1]LOCH Calc COE Calc'!$C$28)</f>
        <v/>
      </c>
      <c r="U2443" t="str">
        <f>IF(L2443="","",P2443/'[1]LOCH Calc COE Calc'!$C$28)</f>
        <v/>
      </c>
      <c r="V2443" t="str">
        <f>IF(L2443="","",Q2443/'[1]LOCH Calc COE Calc'!$C$28)</f>
        <v/>
      </c>
      <c r="W2443" t="str">
        <f>IF(L2443="","",R2443/'[1]LOCH Calc COE Calc'!$C$28)</f>
        <v/>
      </c>
    </row>
    <row r="2444" spans="12:23" x14ac:dyDescent="0.25">
      <c r="L2444" s="4" t="str">
        <f>IF('[1]All Data '!BE2449="","",'[1]All Data '!BE2449)</f>
        <v/>
      </c>
      <c r="M2444" t="str">
        <f>IF('[1]All Data '!BF2449="","",'[1]All Data '!BF2449)</f>
        <v/>
      </c>
      <c r="N2444" s="5" t="str">
        <f>IF('[1]All Data '!BB2449="","",'[1]All Data '!BC2449/'[1]All Data '!BH2449)</f>
        <v/>
      </c>
      <c r="O2444" s="5" t="str">
        <f t="shared" si="40"/>
        <v/>
      </c>
      <c r="P2444" s="5" t="str">
        <f>IF(M2444="","",$C$2*(1-L2444)*907.2/0.621371*N2444*[1]Transportation!$M$40)</f>
        <v/>
      </c>
      <c r="Q2444" s="5" t="str">
        <f>IF(L2444="","",IF([1]Inputs_Outputs!$B$5="Herbaceous",(LCA!$E$29*'[1]LOCH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4" s="5" t="str">
        <f>IF(M2444="","",$E$2*1000*'[1]LOCH Calc COE Calc'!$C$44)</f>
        <v/>
      </c>
      <c r="S2444" s="6" t="str">
        <f>IF(N2444="","",SUM(O2444:R2444)/('[1]LOCH Calc COE Calc'!$C$28))</f>
        <v/>
      </c>
      <c r="T2444" t="str">
        <f>IF(L2444="","",O2444/'[1]LOCH Calc COE Calc'!$C$28)</f>
        <v/>
      </c>
      <c r="U2444" t="str">
        <f>IF(L2444="","",P2444/'[1]LOCH Calc COE Calc'!$C$28)</f>
        <v/>
      </c>
      <c r="V2444" t="str">
        <f>IF(L2444="","",Q2444/'[1]LOCH Calc COE Calc'!$C$28)</f>
        <v/>
      </c>
      <c r="W2444" t="str">
        <f>IF(L2444="","",R2444/'[1]LOCH Calc COE Calc'!$C$28)</f>
        <v/>
      </c>
    </row>
    <row r="2445" spans="12:23" x14ac:dyDescent="0.25">
      <c r="L2445" s="4" t="str">
        <f>IF('[1]All Data '!BE2450="","",'[1]All Data '!BE2450)</f>
        <v/>
      </c>
      <c r="M2445" t="str">
        <f>IF('[1]All Data '!BF2450="","",'[1]All Data '!BF2450)</f>
        <v/>
      </c>
      <c r="N2445" s="5" t="str">
        <f>IF('[1]All Data '!BB2450="","",'[1]All Data '!BC2450/'[1]All Data '!BH2450)</f>
        <v/>
      </c>
      <c r="O2445" s="5" t="str">
        <f t="shared" si="40"/>
        <v/>
      </c>
      <c r="P2445" s="5" t="str">
        <f>IF(M2445="","",$C$2*(1-L2445)*907.2/0.621371*N2445*[1]Transportation!$M$40)</f>
        <v/>
      </c>
      <c r="Q2445" s="5" t="str">
        <f>IF(L2445="","",IF([1]Inputs_Outputs!$B$5="Herbaceous",(LCA!$E$29*'[1]LOCH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5" s="5" t="str">
        <f>IF(M2445="","",$E$2*1000*'[1]LOCH Calc COE Calc'!$C$44)</f>
        <v/>
      </c>
      <c r="S2445" s="6" t="str">
        <f>IF(N2445="","",SUM(O2445:R2445)/('[1]LOCH Calc COE Calc'!$C$28))</f>
        <v/>
      </c>
      <c r="T2445" t="str">
        <f>IF(L2445="","",O2445/'[1]LOCH Calc COE Calc'!$C$28)</f>
        <v/>
      </c>
      <c r="U2445" t="str">
        <f>IF(L2445="","",P2445/'[1]LOCH Calc COE Calc'!$C$28)</f>
        <v/>
      </c>
      <c r="V2445" t="str">
        <f>IF(L2445="","",Q2445/'[1]LOCH Calc COE Calc'!$C$28)</f>
        <v/>
      </c>
      <c r="W2445" t="str">
        <f>IF(L2445="","",R2445/'[1]LOCH Calc COE Calc'!$C$28)</f>
        <v/>
      </c>
    </row>
    <row r="2446" spans="12:23" x14ac:dyDescent="0.25">
      <c r="L2446" s="4" t="str">
        <f>IF('[1]All Data '!BE2451="","",'[1]All Data '!BE2451)</f>
        <v/>
      </c>
      <c r="M2446" t="str">
        <f>IF('[1]All Data '!BF2451="","",'[1]All Data '!BF2451)</f>
        <v/>
      </c>
      <c r="N2446" s="5" t="str">
        <f>IF('[1]All Data '!BB2451="","",'[1]All Data '!BC2451/'[1]All Data '!BH2451)</f>
        <v/>
      </c>
      <c r="O2446" s="5" t="str">
        <f t="shared" si="40"/>
        <v/>
      </c>
      <c r="P2446" s="5" t="str">
        <f>IF(M2446="","",$C$2*(1-L2446)*907.2/0.621371*N2446*[1]Transportation!$M$40)</f>
        <v/>
      </c>
      <c r="Q2446" s="5" t="str">
        <f>IF(L2446="","",IF([1]Inputs_Outputs!$B$5="Herbaceous",(LCA!$E$29*'[1]LOCH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6" s="5" t="str">
        <f>IF(M2446="","",$E$2*1000*'[1]LOCH Calc COE Calc'!$C$44)</f>
        <v/>
      </c>
      <c r="S2446" s="6" t="str">
        <f>IF(N2446="","",SUM(O2446:R2446)/('[1]LOCH Calc COE Calc'!$C$28))</f>
        <v/>
      </c>
      <c r="T2446" t="str">
        <f>IF(L2446="","",O2446/'[1]LOCH Calc COE Calc'!$C$28)</f>
        <v/>
      </c>
      <c r="U2446" t="str">
        <f>IF(L2446="","",P2446/'[1]LOCH Calc COE Calc'!$C$28)</f>
        <v/>
      </c>
      <c r="V2446" t="str">
        <f>IF(L2446="","",Q2446/'[1]LOCH Calc COE Calc'!$C$28)</f>
        <v/>
      </c>
      <c r="W2446" t="str">
        <f>IF(L2446="","",R2446/'[1]LOCH Calc COE Calc'!$C$28)</f>
        <v/>
      </c>
    </row>
    <row r="2447" spans="12:23" x14ac:dyDescent="0.25">
      <c r="L2447" s="4" t="str">
        <f>IF('[1]All Data '!BE2452="","",'[1]All Data '!BE2452)</f>
        <v/>
      </c>
      <c r="M2447" t="str">
        <f>IF('[1]All Data '!BF2452="","",'[1]All Data '!BF2452)</f>
        <v/>
      </c>
      <c r="N2447" s="5" t="str">
        <f>IF('[1]All Data '!BB2452="","",'[1]All Data '!BC2452/'[1]All Data '!BH2452)</f>
        <v/>
      </c>
      <c r="O2447" s="5" t="str">
        <f t="shared" si="40"/>
        <v/>
      </c>
      <c r="P2447" s="5" t="str">
        <f>IF(M2447="","",$C$2*(1-L2447)*907.2/0.621371*N2447*[1]Transportation!$M$40)</f>
        <v/>
      </c>
      <c r="Q2447" s="5" t="str">
        <f>IF(L2447="","",IF([1]Inputs_Outputs!$B$5="Herbaceous",(LCA!$E$29*'[1]LOCH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7" s="5" t="str">
        <f>IF(M2447="","",$E$2*1000*'[1]LOCH Calc COE Calc'!$C$44)</f>
        <v/>
      </c>
      <c r="S2447" s="6" t="str">
        <f>IF(N2447="","",SUM(O2447:R2447)/('[1]LOCH Calc COE Calc'!$C$28))</f>
        <v/>
      </c>
      <c r="T2447" t="str">
        <f>IF(L2447="","",O2447/'[1]LOCH Calc COE Calc'!$C$28)</f>
        <v/>
      </c>
      <c r="U2447" t="str">
        <f>IF(L2447="","",P2447/'[1]LOCH Calc COE Calc'!$C$28)</f>
        <v/>
      </c>
      <c r="V2447" t="str">
        <f>IF(L2447="","",Q2447/'[1]LOCH Calc COE Calc'!$C$28)</f>
        <v/>
      </c>
      <c r="W2447" t="str">
        <f>IF(L2447="","",R2447/'[1]LOCH Calc COE Calc'!$C$28)</f>
        <v/>
      </c>
    </row>
    <row r="2448" spans="12:23" x14ac:dyDescent="0.25">
      <c r="L2448" s="4" t="str">
        <f>IF('[1]All Data '!BE2453="","",'[1]All Data '!BE2453)</f>
        <v/>
      </c>
      <c r="M2448" t="str">
        <f>IF('[1]All Data '!BF2453="","",'[1]All Data '!BF2453)</f>
        <v/>
      </c>
      <c r="N2448" s="5" t="str">
        <f>IF('[1]All Data '!BB2453="","",'[1]All Data '!BC2453/'[1]All Data '!BH2453)</f>
        <v/>
      </c>
      <c r="O2448" s="5" t="str">
        <f t="shared" si="40"/>
        <v/>
      </c>
      <c r="P2448" s="5" t="str">
        <f>IF(M2448="","",$C$2*(1-L2448)*907.2/0.621371*N2448*[1]Transportation!$M$40)</f>
        <v/>
      </c>
      <c r="Q2448" s="5" t="str">
        <f>IF(L2448="","",IF([1]Inputs_Outputs!$B$5="Herbaceous",(LCA!$E$29*'[1]LOCH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8" s="5" t="str">
        <f>IF(M2448="","",$E$2*1000*'[1]LOCH Calc COE Calc'!$C$44)</f>
        <v/>
      </c>
      <c r="S2448" s="6" t="str">
        <f>IF(N2448="","",SUM(O2448:R2448)/('[1]LOCH Calc COE Calc'!$C$28))</f>
        <v/>
      </c>
      <c r="T2448" t="str">
        <f>IF(L2448="","",O2448/'[1]LOCH Calc COE Calc'!$C$28)</f>
        <v/>
      </c>
      <c r="U2448" t="str">
        <f>IF(L2448="","",P2448/'[1]LOCH Calc COE Calc'!$C$28)</f>
        <v/>
      </c>
      <c r="V2448" t="str">
        <f>IF(L2448="","",Q2448/'[1]LOCH Calc COE Calc'!$C$28)</f>
        <v/>
      </c>
      <c r="W2448" t="str">
        <f>IF(L2448="","",R2448/'[1]LOCH Calc COE Calc'!$C$28)</f>
        <v/>
      </c>
    </row>
    <row r="2449" spans="12:23" x14ac:dyDescent="0.25">
      <c r="L2449" s="4" t="str">
        <f>IF('[1]All Data '!BE2454="","",'[1]All Data '!BE2454)</f>
        <v/>
      </c>
      <c r="M2449" t="str">
        <f>IF('[1]All Data '!BF2454="","",'[1]All Data '!BF2454)</f>
        <v/>
      </c>
      <c r="N2449" s="5" t="str">
        <f>IF('[1]All Data '!BB2454="","",'[1]All Data '!BC2454/'[1]All Data '!BH2454)</f>
        <v/>
      </c>
      <c r="O2449" s="5" t="str">
        <f t="shared" si="40"/>
        <v/>
      </c>
      <c r="P2449" s="5" t="str">
        <f>IF(M2449="","",$C$2*(1-L2449)*907.2/0.621371*N2449*[1]Transportation!$M$40)</f>
        <v/>
      </c>
      <c r="Q2449" s="5" t="str">
        <f>IF(L2449="","",IF([1]Inputs_Outputs!$B$5="Herbaceous",(LCA!$E$29*'[1]LOCH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49" s="5" t="str">
        <f>IF(M2449="","",$E$2*1000*'[1]LOCH Calc COE Calc'!$C$44)</f>
        <v/>
      </c>
      <c r="S2449" s="6" t="str">
        <f>IF(N2449="","",SUM(O2449:R2449)/('[1]LOCH Calc COE Calc'!$C$28))</f>
        <v/>
      </c>
      <c r="T2449" t="str">
        <f>IF(L2449="","",O2449/'[1]LOCH Calc COE Calc'!$C$28)</f>
        <v/>
      </c>
      <c r="U2449" t="str">
        <f>IF(L2449="","",P2449/'[1]LOCH Calc COE Calc'!$C$28)</f>
        <v/>
      </c>
      <c r="V2449" t="str">
        <f>IF(L2449="","",Q2449/'[1]LOCH Calc COE Calc'!$C$28)</f>
        <v/>
      </c>
      <c r="W2449" t="str">
        <f>IF(L2449="","",R2449/'[1]LOCH Calc COE Calc'!$C$28)</f>
        <v/>
      </c>
    </row>
    <row r="2450" spans="12:23" x14ac:dyDescent="0.25">
      <c r="L2450" s="4" t="str">
        <f>IF('[1]All Data '!BE2455="","",'[1]All Data '!BE2455)</f>
        <v/>
      </c>
      <c r="M2450" t="str">
        <f>IF('[1]All Data '!BF2455="","",'[1]All Data '!BF2455)</f>
        <v/>
      </c>
      <c r="N2450" s="5" t="str">
        <f>IF('[1]All Data '!BB2455="","",'[1]All Data '!BC2455/'[1]All Data '!BH2455)</f>
        <v/>
      </c>
      <c r="O2450" s="5" t="str">
        <f t="shared" si="40"/>
        <v/>
      </c>
      <c r="P2450" s="5" t="str">
        <f>IF(M2450="","",$C$2*(1-L2450)*907.2/0.621371*N2450*[1]Transportation!$M$40)</f>
        <v/>
      </c>
      <c r="Q2450" s="5" t="str">
        <f>IF(L2450="","",IF([1]Inputs_Outputs!$B$5="Herbaceous",(LCA!$E$29*'[1]LOCH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0" s="5" t="str">
        <f>IF(M2450="","",$E$2*1000*'[1]LOCH Calc COE Calc'!$C$44)</f>
        <v/>
      </c>
      <c r="S2450" s="6" t="str">
        <f>IF(N2450="","",SUM(O2450:R2450)/('[1]LOCH Calc COE Calc'!$C$28))</f>
        <v/>
      </c>
      <c r="T2450" t="str">
        <f>IF(L2450="","",O2450/'[1]LOCH Calc COE Calc'!$C$28)</f>
        <v/>
      </c>
      <c r="U2450" t="str">
        <f>IF(L2450="","",P2450/'[1]LOCH Calc COE Calc'!$C$28)</f>
        <v/>
      </c>
      <c r="V2450" t="str">
        <f>IF(L2450="","",Q2450/'[1]LOCH Calc COE Calc'!$C$28)</f>
        <v/>
      </c>
      <c r="W2450" t="str">
        <f>IF(L2450="","",R2450/'[1]LOCH Calc COE Calc'!$C$28)</f>
        <v/>
      </c>
    </row>
    <row r="2451" spans="12:23" x14ac:dyDescent="0.25">
      <c r="L2451" s="4" t="str">
        <f>IF('[1]All Data '!BE2456="","",'[1]All Data '!BE2456)</f>
        <v/>
      </c>
      <c r="M2451" t="str">
        <f>IF('[1]All Data '!BF2456="","",'[1]All Data '!BF2456)</f>
        <v/>
      </c>
      <c r="N2451" s="5" t="str">
        <f>IF('[1]All Data '!BB2456="","",'[1]All Data '!BC2456/'[1]All Data '!BH2456)</f>
        <v/>
      </c>
      <c r="O2451" s="5" t="str">
        <f t="shared" si="40"/>
        <v/>
      </c>
      <c r="P2451" s="5" t="str">
        <f>IF(M2451="","",$C$2*(1-L2451)*907.2/0.621371*N2451*[1]Transportation!$M$40)</f>
        <v/>
      </c>
      <c r="Q2451" s="5" t="str">
        <f>IF(L2451="","",IF([1]Inputs_Outputs!$B$5="Herbaceous",(LCA!$E$29*'[1]LOCH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1" s="5" t="str">
        <f>IF(M2451="","",$E$2*1000*'[1]LOCH Calc COE Calc'!$C$44)</f>
        <v/>
      </c>
      <c r="S2451" s="6" t="str">
        <f>IF(N2451="","",SUM(O2451:R2451)/('[1]LOCH Calc COE Calc'!$C$28))</f>
        <v/>
      </c>
      <c r="T2451" t="str">
        <f>IF(L2451="","",O2451/'[1]LOCH Calc COE Calc'!$C$28)</f>
        <v/>
      </c>
      <c r="U2451" t="str">
        <f>IF(L2451="","",P2451/'[1]LOCH Calc COE Calc'!$C$28)</f>
        <v/>
      </c>
      <c r="V2451" t="str">
        <f>IF(L2451="","",Q2451/'[1]LOCH Calc COE Calc'!$C$28)</f>
        <v/>
      </c>
      <c r="W2451" t="str">
        <f>IF(L2451="","",R2451/'[1]LOCH Calc COE Calc'!$C$28)</f>
        <v/>
      </c>
    </row>
    <row r="2452" spans="12:23" x14ac:dyDescent="0.25">
      <c r="L2452" s="4" t="str">
        <f>IF('[1]All Data '!BE2457="","",'[1]All Data '!BE2457)</f>
        <v/>
      </c>
      <c r="M2452" t="str">
        <f>IF('[1]All Data '!BF2457="","",'[1]All Data '!BF2457)</f>
        <v/>
      </c>
      <c r="N2452" s="5" t="str">
        <f>IF('[1]All Data '!BB2457="","",'[1]All Data '!BC2457/'[1]All Data '!BH2457)</f>
        <v/>
      </c>
      <c r="O2452" s="5" t="str">
        <f t="shared" si="40"/>
        <v/>
      </c>
      <c r="P2452" s="5" t="str">
        <f>IF(M2452="","",$C$2*(1-L2452)*907.2/0.621371*N2452*[1]Transportation!$M$40)</f>
        <v/>
      </c>
      <c r="Q2452" s="5" t="str">
        <f>IF(L2452="","",IF([1]Inputs_Outputs!$B$5="Herbaceous",(LCA!$E$29*'[1]LOCH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2" s="5" t="str">
        <f>IF(M2452="","",$E$2*1000*'[1]LOCH Calc COE Calc'!$C$44)</f>
        <v/>
      </c>
      <c r="S2452" s="6" t="str">
        <f>IF(N2452="","",SUM(O2452:R2452)/('[1]LOCH Calc COE Calc'!$C$28))</f>
        <v/>
      </c>
      <c r="T2452" t="str">
        <f>IF(L2452="","",O2452/'[1]LOCH Calc COE Calc'!$C$28)</f>
        <v/>
      </c>
      <c r="U2452" t="str">
        <f>IF(L2452="","",P2452/'[1]LOCH Calc COE Calc'!$C$28)</f>
        <v/>
      </c>
      <c r="V2452" t="str">
        <f>IF(L2452="","",Q2452/'[1]LOCH Calc COE Calc'!$C$28)</f>
        <v/>
      </c>
      <c r="W2452" t="str">
        <f>IF(L2452="","",R2452/'[1]LOCH Calc COE Calc'!$C$28)</f>
        <v/>
      </c>
    </row>
    <row r="2453" spans="12:23" x14ac:dyDescent="0.25">
      <c r="L2453" s="4" t="str">
        <f>IF('[1]All Data '!BE2458="","",'[1]All Data '!BE2458)</f>
        <v/>
      </c>
      <c r="M2453" t="str">
        <f>IF('[1]All Data '!BF2458="","",'[1]All Data '!BF2458)</f>
        <v/>
      </c>
      <c r="N2453" s="5" t="str">
        <f>IF('[1]All Data '!BB2458="","",'[1]All Data '!BC2458/'[1]All Data '!BH2458)</f>
        <v/>
      </c>
      <c r="O2453" s="5" t="str">
        <f t="shared" si="40"/>
        <v/>
      </c>
      <c r="P2453" s="5" t="str">
        <f>IF(M2453="","",$C$2*(1-L2453)*907.2/0.621371*N2453*[1]Transportation!$M$40)</f>
        <v/>
      </c>
      <c r="Q2453" s="5" t="str">
        <f>IF(L2453="","",IF([1]Inputs_Outputs!$B$5="Herbaceous",(LCA!$E$29*'[1]LOCH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3" s="5" t="str">
        <f>IF(M2453="","",$E$2*1000*'[1]LOCH Calc COE Calc'!$C$44)</f>
        <v/>
      </c>
      <c r="S2453" s="6" t="str">
        <f>IF(N2453="","",SUM(O2453:R2453)/('[1]LOCH Calc COE Calc'!$C$28))</f>
        <v/>
      </c>
      <c r="T2453" t="str">
        <f>IF(L2453="","",O2453/'[1]LOCH Calc COE Calc'!$C$28)</f>
        <v/>
      </c>
      <c r="U2453" t="str">
        <f>IF(L2453="","",P2453/'[1]LOCH Calc COE Calc'!$C$28)</f>
        <v/>
      </c>
      <c r="V2453" t="str">
        <f>IF(L2453="","",Q2453/'[1]LOCH Calc COE Calc'!$C$28)</f>
        <v/>
      </c>
      <c r="W2453" t="str">
        <f>IF(L2453="","",R2453/'[1]LOCH Calc COE Calc'!$C$28)</f>
        <v/>
      </c>
    </row>
    <row r="2454" spans="12:23" x14ac:dyDescent="0.25">
      <c r="L2454" s="4" t="str">
        <f>IF('[1]All Data '!BE2459="","",'[1]All Data '!BE2459)</f>
        <v/>
      </c>
      <c r="M2454" t="str">
        <f>IF('[1]All Data '!BF2459="","",'[1]All Data '!BF2459)</f>
        <v/>
      </c>
      <c r="N2454" s="5" t="str">
        <f>IF('[1]All Data '!BB2459="","",'[1]All Data '!BC2459/'[1]All Data '!BH2459)</f>
        <v/>
      </c>
      <c r="O2454" s="5" t="str">
        <f t="shared" si="40"/>
        <v/>
      </c>
      <c r="P2454" s="5" t="str">
        <f>IF(M2454="","",$C$2*(1-L2454)*907.2/0.621371*N2454*[1]Transportation!$M$40)</f>
        <v/>
      </c>
      <c r="Q2454" s="5" t="str">
        <f>IF(L2454="","",IF([1]Inputs_Outputs!$B$5="Herbaceous",(LCA!$E$29*'[1]LOCH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4" s="5" t="str">
        <f>IF(M2454="","",$E$2*1000*'[1]LOCH Calc COE Calc'!$C$44)</f>
        <v/>
      </c>
      <c r="S2454" s="6" t="str">
        <f>IF(N2454="","",SUM(O2454:R2454)/('[1]LOCH Calc COE Calc'!$C$28))</f>
        <v/>
      </c>
      <c r="T2454" t="str">
        <f>IF(L2454="","",O2454/'[1]LOCH Calc COE Calc'!$C$28)</f>
        <v/>
      </c>
      <c r="U2454" t="str">
        <f>IF(L2454="","",P2454/'[1]LOCH Calc COE Calc'!$C$28)</f>
        <v/>
      </c>
      <c r="V2454" t="str">
        <f>IF(L2454="","",Q2454/'[1]LOCH Calc COE Calc'!$C$28)</f>
        <v/>
      </c>
      <c r="W2454" t="str">
        <f>IF(L2454="","",R2454/'[1]LOCH Calc COE Calc'!$C$28)</f>
        <v/>
      </c>
    </row>
    <row r="2455" spans="12:23" x14ac:dyDescent="0.25">
      <c r="L2455" s="4" t="str">
        <f>IF('[1]All Data '!BE2460="","",'[1]All Data '!BE2460)</f>
        <v/>
      </c>
      <c r="M2455" t="str">
        <f>IF('[1]All Data '!BF2460="","",'[1]All Data '!BF2460)</f>
        <v/>
      </c>
      <c r="N2455" s="5" t="str">
        <f>IF('[1]All Data '!BB2460="","",'[1]All Data '!BC2460/'[1]All Data '!BH2460)</f>
        <v/>
      </c>
      <c r="O2455" s="5" t="str">
        <f t="shared" si="40"/>
        <v/>
      </c>
      <c r="P2455" s="5" t="str">
        <f>IF(M2455="","",$C$2*(1-L2455)*907.2/0.621371*N2455*[1]Transportation!$M$40)</f>
        <v/>
      </c>
      <c r="Q2455" s="5" t="str">
        <f>IF(L2455="","",IF([1]Inputs_Outputs!$B$5="Herbaceous",(LCA!$E$29*'[1]LOCH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5" s="5" t="str">
        <f>IF(M2455="","",$E$2*1000*'[1]LOCH Calc COE Calc'!$C$44)</f>
        <v/>
      </c>
      <c r="S2455" s="6" t="str">
        <f>IF(N2455="","",SUM(O2455:R2455)/('[1]LOCH Calc COE Calc'!$C$28))</f>
        <v/>
      </c>
      <c r="T2455" t="str">
        <f>IF(L2455="","",O2455/'[1]LOCH Calc COE Calc'!$C$28)</f>
        <v/>
      </c>
      <c r="U2455" t="str">
        <f>IF(L2455="","",P2455/'[1]LOCH Calc COE Calc'!$C$28)</f>
        <v/>
      </c>
      <c r="V2455" t="str">
        <f>IF(L2455="","",Q2455/'[1]LOCH Calc COE Calc'!$C$28)</f>
        <v/>
      </c>
      <c r="W2455" t="str">
        <f>IF(L2455="","",R2455/'[1]LOCH Calc COE Calc'!$C$28)</f>
        <v/>
      </c>
    </row>
    <row r="2456" spans="12:23" x14ac:dyDescent="0.25">
      <c r="L2456" s="4" t="str">
        <f>IF('[1]All Data '!BE2461="","",'[1]All Data '!BE2461)</f>
        <v/>
      </c>
      <c r="M2456" t="str">
        <f>IF('[1]All Data '!BF2461="","",'[1]All Data '!BF2461)</f>
        <v/>
      </c>
      <c r="N2456" s="5" t="str">
        <f>IF('[1]All Data '!BB2461="","",'[1]All Data '!BC2461/'[1]All Data '!BH2461)</f>
        <v/>
      </c>
      <c r="O2456" s="5" t="str">
        <f t="shared" si="40"/>
        <v/>
      </c>
      <c r="P2456" s="5" t="str">
        <f>IF(M2456="","",$C$2*(1-L2456)*907.2/0.621371*N2456*[1]Transportation!$M$40)</f>
        <v/>
      </c>
      <c r="Q2456" s="5" t="str">
        <f>IF(L2456="","",IF([1]Inputs_Outputs!$B$5="Herbaceous",(LCA!$E$29*'[1]LOCH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6" s="5" t="str">
        <f>IF(M2456="","",$E$2*1000*'[1]LOCH Calc COE Calc'!$C$44)</f>
        <v/>
      </c>
      <c r="S2456" s="6" t="str">
        <f>IF(N2456="","",SUM(O2456:R2456)/('[1]LOCH Calc COE Calc'!$C$28))</f>
        <v/>
      </c>
      <c r="T2456" t="str">
        <f>IF(L2456="","",O2456/'[1]LOCH Calc COE Calc'!$C$28)</f>
        <v/>
      </c>
      <c r="U2456" t="str">
        <f>IF(L2456="","",P2456/'[1]LOCH Calc COE Calc'!$C$28)</f>
        <v/>
      </c>
      <c r="V2456" t="str">
        <f>IF(L2456="","",Q2456/'[1]LOCH Calc COE Calc'!$C$28)</f>
        <v/>
      </c>
      <c r="W2456" t="str">
        <f>IF(L2456="","",R2456/'[1]LOCH Calc COE Calc'!$C$28)</f>
        <v/>
      </c>
    </row>
    <row r="2457" spans="12:23" x14ac:dyDescent="0.25">
      <c r="L2457" s="4" t="str">
        <f>IF('[1]All Data '!BE2462="","",'[1]All Data '!BE2462)</f>
        <v/>
      </c>
      <c r="M2457" t="str">
        <f>IF('[1]All Data '!BF2462="","",'[1]All Data '!BF2462)</f>
        <v/>
      </c>
      <c r="N2457" s="5" t="str">
        <f>IF('[1]All Data '!BB2462="","",'[1]All Data '!BC2462/'[1]All Data '!BH2462)</f>
        <v/>
      </c>
      <c r="O2457" s="5" t="str">
        <f t="shared" si="40"/>
        <v/>
      </c>
      <c r="P2457" s="5" t="str">
        <f>IF(M2457="","",$C$2*(1-L2457)*907.2/0.621371*N2457*[1]Transportation!$M$40)</f>
        <v/>
      </c>
      <c r="Q2457" s="5" t="str">
        <f>IF(L2457="","",IF([1]Inputs_Outputs!$B$5="Herbaceous",(LCA!$E$29*'[1]LOCH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7" s="5" t="str">
        <f>IF(M2457="","",$E$2*1000*'[1]LOCH Calc COE Calc'!$C$44)</f>
        <v/>
      </c>
      <c r="S2457" s="6" t="str">
        <f>IF(N2457="","",SUM(O2457:R2457)/('[1]LOCH Calc COE Calc'!$C$28))</f>
        <v/>
      </c>
      <c r="T2457" t="str">
        <f>IF(L2457="","",O2457/'[1]LOCH Calc COE Calc'!$C$28)</f>
        <v/>
      </c>
      <c r="U2457" t="str">
        <f>IF(L2457="","",P2457/'[1]LOCH Calc COE Calc'!$C$28)</f>
        <v/>
      </c>
      <c r="V2457" t="str">
        <f>IF(L2457="","",Q2457/'[1]LOCH Calc COE Calc'!$C$28)</f>
        <v/>
      </c>
      <c r="W2457" t="str">
        <f>IF(L2457="","",R2457/'[1]LOCH Calc COE Calc'!$C$28)</f>
        <v/>
      </c>
    </row>
    <row r="2458" spans="12:23" x14ac:dyDescent="0.25">
      <c r="L2458" s="4" t="str">
        <f>IF('[1]All Data '!BE2463="","",'[1]All Data '!BE2463)</f>
        <v/>
      </c>
      <c r="M2458" t="str">
        <f>IF('[1]All Data '!BF2463="","",'[1]All Data '!BF2463)</f>
        <v/>
      </c>
      <c r="N2458" s="5" t="str">
        <f>IF('[1]All Data '!BB2463="","",'[1]All Data '!BC2463/'[1]All Data '!BH2463)</f>
        <v/>
      </c>
      <c r="O2458" s="5" t="str">
        <f t="shared" si="40"/>
        <v/>
      </c>
      <c r="P2458" s="5" t="str">
        <f>IF(M2458="","",$C$2*(1-L2458)*907.2/0.621371*N2458*[1]Transportation!$M$40)</f>
        <v/>
      </c>
      <c r="Q2458" s="5" t="str">
        <f>IF(L2458="","",IF([1]Inputs_Outputs!$B$5="Herbaceous",(LCA!$E$29*'[1]LOCH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8" s="5" t="str">
        <f>IF(M2458="","",$E$2*1000*'[1]LOCH Calc COE Calc'!$C$44)</f>
        <v/>
      </c>
      <c r="S2458" s="6" t="str">
        <f>IF(N2458="","",SUM(O2458:R2458)/('[1]LOCH Calc COE Calc'!$C$28))</f>
        <v/>
      </c>
      <c r="T2458" t="str">
        <f>IF(L2458="","",O2458/'[1]LOCH Calc COE Calc'!$C$28)</f>
        <v/>
      </c>
      <c r="U2458" t="str">
        <f>IF(L2458="","",P2458/'[1]LOCH Calc COE Calc'!$C$28)</f>
        <v/>
      </c>
      <c r="V2458" t="str">
        <f>IF(L2458="","",Q2458/'[1]LOCH Calc COE Calc'!$C$28)</f>
        <v/>
      </c>
      <c r="W2458" t="str">
        <f>IF(L2458="","",R2458/'[1]LOCH Calc COE Calc'!$C$28)</f>
        <v/>
      </c>
    </row>
    <row r="2459" spans="12:23" x14ac:dyDescent="0.25">
      <c r="L2459" s="4" t="str">
        <f>IF('[1]All Data '!BE2464="","",'[1]All Data '!BE2464)</f>
        <v/>
      </c>
      <c r="M2459" t="str">
        <f>IF('[1]All Data '!BF2464="","",'[1]All Data '!BF2464)</f>
        <v/>
      </c>
      <c r="N2459" s="5" t="str">
        <f>IF('[1]All Data '!BB2464="","",'[1]All Data '!BC2464/'[1]All Data '!BH2464)</f>
        <v/>
      </c>
      <c r="O2459" s="5" t="str">
        <f t="shared" si="40"/>
        <v/>
      </c>
      <c r="P2459" s="5" t="str">
        <f>IF(M2459="","",$C$2*(1-L2459)*907.2/0.621371*N2459*[1]Transportation!$M$40)</f>
        <v/>
      </c>
      <c r="Q2459" s="5" t="str">
        <f>IF(L2459="","",IF([1]Inputs_Outputs!$B$5="Herbaceous",(LCA!$E$29*'[1]LOCH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59" s="5" t="str">
        <f>IF(M2459="","",$E$2*1000*'[1]LOCH Calc COE Calc'!$C$44)</f>
        <v/>
      </c>
      <c r="S2459" s="6" t="str">
        <f>IF(N2459="","",SUM(O2459:R2459)/('[1]LOCH Calc COE Calc'!$C$28))</f>
        <v/>
      </c>
      <c r="T2459" t="str">
        <f>IF(L2459="","",O2459/'[1]LOCH Calc COE Calc'!$C$28)</f>
        <v/>
      </c>
      <c r="U2459" t="str">
        <f>IF(L2459="","",P2459/'[1]LOCH Calc COE Calc'!$C$28)</f>
        <v/>
      </c>
      <c r="V2459" t="str">
        <f>IF(L2459="","",Q2459/'[1]LOCH Calc COE Calc'!$C$28)</f>
        <v/>
      </c>
      <c r="W2459" t="str">
        <f>IF(L2459="","",R2459/'[1]LOCH Calc COE Calc'!$C$28)</f>
        <v/>
      </c>
    </row>
    <row r="2460" spans="12:23" x14ac:dyDescent="0.25">
      <c r="L2460" s="4" t="str">
        <f>IF('[1]All Data '!BE2465="","",'[1]All Data '!BE2465)</f>
        <v/>
      </c>
      <c r="M2460" t="str">
        <f>IF('[1]All Data '!BF2465="","",'[1]All Data '!BF2465)</f>
        <v/>
      </c>
      <c r="N2460" s="5" t="str">
        <f>IF('[1]All Data '!BB2465="","",'[1]All Data '!BC2465/'[1]All Data '!BH2465)</f>
        <v/>
      </c>
      <c r="O2460" s="5" t="str">
        <f t="shared" si="40"/>
        <v/>
      </c>
      <c r="P2460" s="5" t="str">
        <f>IF(M2460="","",$C$2*(1-L2460)*907.2/0.621371*N2460*[1]Transportation!$M$40)</f>
        <v/>
      </c>
      <c r="Q2460" s="5" t="str">
        <f>IF(L2460="","",IF([1]Inputs_Outputs!$B$5="Herbaceous",(LCA!$E$29*'[1]LOCH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0" s="5" t="str">
        <f>IF(M2460="","",$E$2*1000*'[1]LOCH Calc COE Calc'!$C$44)</f>
        <v/>
      </c>
      <c r="S2460" s="6" t="str">
        <f>IF(N2460="","",SUM(O2460:R2460)/('[1]LOCH Calc COE Calc'!$C$28))</f>
        <v/>
      </c>
      <c r="T2460" t="str">
        <f>IF(L2460="","",O2460/'[1]LOCH Calc COE Calc'!$C$28)</f>
        <v/>
      </c>
      <c r="U2460" t="str">
        <f>IF(L2460="","",P2460/'[1]LOCH Calc COE Calc'!$C$28)</f>
        <v/>
      </c>
      <c r="V2460" t="str">
        <f>IF(L2460="","",Q2460/'[1]LOCH Calc COE Calc'!$C$28)</f>
        <v/>
      </c>
      <c r="W2460" t="str">
        <f>IF(L2460="","",R2460/'[1]LOCH Calc COE Calc'!$C$28)</f>
        <v/>
      </c>
    </row>
    <row r="2461" spans="12:23" x14ac:dyDescent="0.25">
      <c r="L2461" s="4" t="str">
        <f>IF('[1]All Data '!BE2466="","",'[1]All Data '!BE2466)</f>
        <v/>
      </c>
      <c r="M2461" t="str">
        <f>IF('[1]All Data '!BF2466="","",'[1]All Data '!BF2466)</f>
        <v/>
      </c>
      <c r="N2461" s="5" t="str">
        <f>IF('[1]All Data '!BB2466="","",'[1]All Data '!BC2466/'[1]All Data '!BH2466)</f>
        <v/>
      </c>
      <c r="O2461" s="5" t="str">
        <f t="shared" si="40"/>
        <v/>
      </c>
      <c r="P2461" s="5" t="str">
        <f>IF(M2461="","",$C$2*(1-L2461)*907.2/0.621371*N2461*[1]Transportation!$M$40)</f>
        <v/>
      </c>
      <c r="Q2461" s="5" t="str">
        <f>IF(L2461="","",IF([1]Inputs_Outputs!$B$5="Herbaceous",(LCA!$E$29*'[1]LOCH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1" s="5" t="str">
        <f>IF(M2461="","",$E$2*1000*'[1]LOCH Calc COE Calc'!$C$44)</f>
        <v/>
      </c>
      <c r="S2461" s="6" t="str">
        <f>IF(N2461="","",SUM(O2461:R2461)/('[1]LOCH Calc COE Calc'!$C$28))</f>
        <v/>
      </c>
      <c r="T2461" t="str">
        <f>IF(L2461="","",O2461/'[1]LOCH Calc COE Calc'!$C$28)</f>
        <v/>
      </c>
      <c r="U2461" t="str">
        <f>IF(L2461="","",P2461/'[1]LOCH Calc COE Calc'!$C$28)</f>
        <v/>
      </c>
      <c r="V2461" t="str">
        <f>IF(L2461="","",Q2461/'[1]LOCH Calc COE Calc'!$C$28)</f>
        <v/>
      </c>
      <c r="W2461" t="str">
        <f>IF(L2461="","",R2461/'[1]LOCH Calc COE Calc'!$C$28)</f>
        <v/>
      </c>
    </row>
    <row r="2462" spans="12:23" x14ac:dyDescent="0.25">
      <c r="L2462" s="4" t="str">
        <f>IF('[1]All Data '!BE2467="","",'[1]All Data '!BE2467)</f>
        <v/>
      </c>
      <c r="M2462" t="str">
        <f>IF('[1]All Data '!BF2467="","",'[1]All Data '!BF2467)</f>
        <v/>
      </c>
      <c r="N2462" s="5" t="str">
        <f>IF('[1]All Data '!BB2467="","",'[1]All Data '!BC2467/'[1]All Data '!BH2467)</f>
        <v/>
      </c>
      <c r="O2462" s="5" t="str">
        <f t="shared" si="40"/>
        <v/>
      </c>
      <c r="P2462" s="5" t="str">
        <f>IF(M2462="","",$C$2*(1-L2462)*907.2/0.621371*N2462*[1]Transportation!$M$40)</f>
        <v/>
      </c>
      <c r="Q2462" s="5" t="str">
        <f>IF(L2462="","",IF([1]Inputs_Outputs!$B$5="Herbaceous",(LCA!$E$29*'[1]LOCH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2" s="5" t="str">
        <f>IF(M2462="","",$E$2*1000*'[1]LOCH Calc COE Calc'!$C$44)</f>
        <v/>
      </c>
      <c r="S2462" s="6" t="str">
        <f>IF(N2462="","",SUM(O2462:R2462)/('[1]LOCH Calc COE Calc'!$C$28))</f>
        <v/>
      </c>
      <c r="T2462" t="str">
        <f>IF(L2462="","",O2462/'[1]LOCH Calc COE Calc'!$C$28)</f>
        <v/>
      </c>
      <c r="U2462" t="str">
        <f>IF(L2462="","",P2462/'[1]LOCH Calc COE Calc'!$C$28)</f>
        <v/>
      </c>
      <c r="V2462" t="str">
        <f>IF(L2462="","",Q2462/'[1]LOCH Calc COE Calc'!$C$28)</f>
        <v/>
      </c>
      <c r="W2462" t="str">
        <f>IF(L2462="","",R2462/'[1]LOCH Calc COE Calc'!$C$28)</f>
        <v/>
      </c>
    </row>
    <row r="2463" spans="12:23" x14ac:dyDescent="0.25">
      <c r="L2463" s="4" t="str">
        <f>IF('[1]All Data '!BE2468="","",'[1]All Data '!BE2468)</f>
        <v/>
      </c>
      <c r="M2463" t="str">
        <f>IF('[1]All Data '!BF2468="","",'[1]All Data '!BF2468)</f>
        <v/>
      </c>
      <c r="N2463" s="5" t="str">
        <f>IF('[1]All Data '!BB2468="","",'[1]All Data '!BC2468/'[1]All Data '!BH2468)</f>
        <v/>
      </c>
      <c r="O2463" s="5" t="str">
        <f t="shared" si="40"/>
        <v/>
      </c>
      <c r="P2463" s="5" t="str">
        <f>IF(M2463="","",$C$2*(1-L2463)*907.2/0.621371*N2463*[1]Transportation!$M$40)</f>
        <v/>
      </c>
      <c r="Q2463" s="5" t="str">
        <f>IF(L2463="","",IF([1]Inputs_Outputs!$B$5="Herbaceous",(LCA!$E$29*'[1]LOCH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3" s="5" t="str">
        <f>IF(M2463="","",$E$2*1000*'[1]LOCH Calc COE Calc'!$C$44)</f>
        <v/>
      </c>
      <c r="S2463" s="6" t="str">
        <f>IF(N2463="","",SUM(O2463:R2463)/('[1]LOCH Calc COE Calc'!$C$28))</f>
        <v/>
      </c>
      <c r="T2463" t="str">
        <f>IF(L2463="","",O2463/'[1]LOCH Calc COE Calc'!$C$28)</f>
        <v/>
      </c>
      <c r="U2463" t="str">
        <f>IF(L2463="","",P2463/'[1]LOCH Calc COE Calc'!$C$28)</f>
        <v/>
      </c>
      <c r="V2463" t="str">
        <f>IF(L2463="","",Q2463/'[1]LOCH Calc COE Calc'!$C$28)</f>
        <v/>
      </c>
      <c r="W2463" t="str">
        <f>IF(L2463="","",R2463/'[1]LOCH Calc COE Calc'!$C$28)</f>
        <v/>
      </c>
    </row>
    <row r="2464" spans="12:23" x14ac:dyDescent="0.25">
      <c r="L2464" s="4" t="str">
        <f>IF('[1]All Data '!BE2469="","",'[1]All Data '!BE2469)</f>
        <v/>
      </c>
      <c r="M2464" t="str">
        <f>IF('[1]All Data '!BF2469="","",'[1]All Data '!BF2469)</f>
        <v/>
      </c>
      <c r="N2464" s="5" t="str">
        <f>IF('[1]All Data '!BB2469="","",'[1]All Data '!BC2469/'[1]All Data '!BH2469)</f>
        <v/>
      </c>
      <c r="O2464" s="5" t="str">
        <f t="shared" si="40"/>
        <v/>
      </c>
      <c r="P2464" s="5" t="str">
        <f>IF(M2464="","",$C$2*(1-L2464)*907.2/0.621371*N2464*[1]Transportation!$M$40)</f>
        <v/>
      </c>
      <c r="Q2464" s="5" t="str">
        <f>IF(L2464="","",IF([1]Inputs_Outputs!$B$5="Herbaceous",(LCA!$E$29*'[1]LOCH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4" s="5" t="str">
        <f>IF(M2464="","",$E$2*1000*'[1]LOCH Calc COE Calc'!$C$44)</f>
        <v/>
      </c>
      <c r="S2464" s="6" t="str">
        <f>IF(N2464="","",SUM(O2464:R2464)/('[1]LOCH Calc COE Calc'!$C$28))</f>
        <v/>
      </c>
      <c r="T2464" t="str">
        <f>IF(L2464="","",O2464/'[1]LOCH Calc COE Calc'!$C$28)</f>
        <v/>
      </c>
      <c r="U2464" t="str">
        <f>IF(L2464="","",P2464/'[1]LOCH Calc COE Calc'!$C$28)</f>
        <v/>
      </c>
      <c r="V2464" t="str">
        <f>IF(L2464="","",Q2464/'[1]LOCH Calc COE Calc'!$C$28)</f>
        <v/>
      </c>
      <c r="W2464" t="str">
        <f>IF(L2464="","",R2464/'[1]LOCH Calc COE Calc'!$C$28)</f>
        <v/>
      </c>
    </row>
    <row r="2465" spans="12:23" x14ac:dyDescent="0.25">
      <c r="L2465" s="4" t="str">
        <f>IF('[1]All Data '!BE2470="","",'[1]All Data '!BE2470)</f>
        <v/>
      </c>
      <c r="M2465" t="str">
        <f>IF('[1]All Data '!BF2470="","",'[1]All Data '!BF2470)</f>
        <v/>
      </c>
      <c r="N2465" s="5" t="str">
        <f>IF('[1]All Data '!BB2470="","",'[1]All Data '!BC2470/'[1]All Data '!BH2470)</f>
        <v/>
      </c>
      <c r="O2465" s="5" t="str">
        <f t="shared" si="40"/>
        <v/>
      </c>
      <c r="P2465" s="5" t="str">
        <f>IF(M2465="","",$C$2*(1-L2465)*907.2/0.621371*N2465*[1]Transportation!$M$40)</f>
        <v/>
      </c>
      <c r="Q2465" s="5" t="str">
        <f>IF(L2465="","",IF([1]Inputs_Outputs!$B$5="Herbaceous",(LCA!$E$29*'[1]LOCH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5" s="5" t="str">
        <f>IF(M2465="","",$E$2*1000*'[1]LOCH Calc COE Calc'!$C$44)</f>
        <v/>
      </c>
      <c r="S2465" s="6" t="str">
        <f>IF(N2465="","",SUM(O2465:R2465)/('[1]LOCH Calc COE Calc'!$C$28))</f>
        <v/>
      </c>
      <c r="T2465" t="str">
        <f>IF(L2465="","",O2465/'[1]LOCH Calc COE Calc'!$C$28)</f>
        <v/>
      </c>
      <c r="U2465" t="str">
        <f>IF(L2465="","",P2465/'[1]LOCH Calc COE Calc'!$C$28)</f>
        <v/>
      </c>
      <c r="V2465" t="str">
        <f>IF(L2465="","",Q2465/'[1]LOCH Calc COE Calc'!$C$28)</f>
        <v/>
      </c>
      <c r="W2465" t="str">
        <f>IF(L2465="","",R2465/'[1]LOCH Calc COE Calc'!$C$28)</f>
        <v/>
      </c>
    </row>
    <row r="2466" spans="12:23" x14ac:dyDescent="0.25">
      <c r="L2466" s="4" t="str">
        <f>IF('[1]All Data '!BE2471="","",'[1]All Data '!BE2471)</f>
        <v/>
      </c>
      <c r="M2466" t="str">
        <f>IF('[1]All Data '!BF2471="","",'[1]All Data '!BF2471)</f>
        <v/>
      </c>
      <c r="N2466" s="5" t="str">
        <f>IF('[1]All Data '!BB2471="","",'[1]All Data '!BC2471/'[1]All Data '!BH2471)</f>
        <v/>
      </c>
      <c r="O2466" s="5" t="str">
        <f t="shared" si="40"/>
        <v/>
      </c>
      <c r="P2466" s="5" t="str">
        <f>IF(M2466="","",$C$2*(1-L2466)*907.2/0.621371*N2466*[1]Transportation!$M$40)</f>
        <v/>
      </c>
      <c r="Q2466" s="5" t="str">
        <f>IF(L2466="","",IF([1]Inputs_Outputs!$B$5="Herbaceous",(LCA!$E$29*'[1]LOCH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6" s="5" t="str">
        <f>IF(M2466="","",$E$2*1000*'[1]LOCH Calc COE Calc'!$C$44)</f>
        <v/>
      </c>
      <c r="S2466" s="6" t="str">
        <f>IF(N2466="","",SUM(O2466:R2466)/('[1]LOCH Calc COE Calc'!$C$28))</f>
        <v/>
      </c>
      <c r="T2466" t="str">
        <f>IF(L2466="","",O2466/'[1]LOCH Calc COE Calc'!$C$28)</f>
        <v/>
      </c>
      <c r="U2466" t="str">
        <f>IF(L2466="","",P2466/'[1]LOCH Calc COE Calc'!$C$28)</f>
        <v/>
      </c>
      <c r="V2466" t="str">
        <f>IF(L2466="","",Q2466/'[1]LOCH Calc COE Calc'!$C$28)</f>
        <v/>
      </c>
      <c r="W2466" t="str">
        <f>IF(L2466="","",R2466/'[1]LOCH Calc COE Calc'!$C$28)</f>
        <v/>
      </c>
    </row>
    <row r="2467" spans="12:23" x14ac:dyDescent="0.25">
      <c r="L2467" s="4" t="str">
        <f>IF('[1]All Data '!BE2472="","",'[1]All Data '!BE2472)</f>
        <v/>
      </c>
      <c r="M2467" t="str">
        <f>IF('[1]All Data '!BF2472="","",'[1]All Data '!BF2472)</f>
        <v/>
      </c>
      <c r="N2467" s="5" t="str">
        <f>IF('[1]All Data '!BB2472="","",'[1]All Data '!BC2472/'[1]All Data '!BH2472)</f>
        <v/>
      </c>
      <c r="O2467" s="5" t="str">
        <f t="shared" si="40"/>
        <v/>
      </c>
      <c r="P2467" s="5" t="str">
        <f>IF(M2467="","",$C$2*(1-L2467)*907.2/0.621371*N2467*[1]Transportation!$M$40)</f>
        <v/>
      </c>
      <c r="Q2467" s="5" t="str">
        <f>IF(L2467="","",IF([1]Inputs_Outputs!$B$5="Herbaceous",(LCA!$E$29*'[1]LOCH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7" s="5" t="str">
        <f>IF(M2467="","",$E$2*1000*'[1]LOCH Calc COE Calc'!$C$44)</f>
        <v/>
      </c>
      <c r="S2467" s="6" t="str">
        <f>IF(N2467="","",SUM(O2467:R2467)/('[1]LOCH Calc COE Calc'!$C$28))</f>
        <v/>
      </c>
      <c r="T2467" t="str">
        <f>IF(L2467="","",O2467/'[1]LOCH Calc COE Calc'!$C$28)</f>
        <v/>
      </c>
      <c r="U2467" t="str">
        <f>IF(L2467="","",P2467/'[1]LOCH Calc COE Calc'!$C$28)</f>
        <v/>
      </c>
      <c r="V2467" t="str">
        <f>IF(L2467="","",Q2467/'[1]LOCH Calc COE Calc'!$C$28)</f>
        <v/>
      </c>
      <c r="W2467" t="str">
        <f>IF(L2467="","",R2467/'[1]LOCH Calc COE Calc'!$C$28)</f>
        <v/>
      </c>
    </row>
    <row r="2468" spans="12:23" x14ac:dyDescent="0.25">
      <c r="L2468" s="4" t="str">
        <f>IF('[1]All Data '!BE2473="","",'[1]All Data '!BE2473)</f>
        <v/>
      </c>
      <c r="M2468" t="str">
        <f>IF('[1]All Data '!BF2473="","",'[1]All Data '!BF2473)</f>
        <v/>
      </c>
      <c r="N2468" s="5" t="str">
        <f>IF('[1]All Data '!BB2473="","",'[1]All Data '!BC2473/'[1]All Data '!BH2473)</f>
        <v/>
      </c>
      <c r="O2468" s="5" t="str">
        <f t="shared" si="40"/>
        <v/>
      </c>
      <c r="P2468" s="5" t="str">
        <f>IF(M2468="","",$C$2*(1-L2468)*907.2/0.621371*N2468*[1]Transportation!$M$40)</f>
        <v/>
      </c>
      <c r="Q2468" s="5" t="str">
        <f>IF(L2468="","",IF([1]Inputs_Outputs!$B$5="Herbaceous",(LCA!$E$29*'[1]LOCH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8" s="5" t="str">
        <f>IF(M2468="","",$E$2*1000*'[1]LOCH Calc COE Calc'!$C$44)</f>
        <v/>
      </c>
      <c r="S2468" s="6" t="str">
        <f>IF(N2468="","",SUM(O2468:R2468)/('[1]LOCH Calc COE Calc'!$C$28))</f>
        <v/>
      </c>
      <c r="T2468" t="str">
        <f>IF(L2468="","",O2468/'[1]LOCH Calc COE Calc'!$C$28)</f>
        <v/>
      </c>
      <c r="U2468" t="str">
        <f>IF(L2468="","",P2468/'[1]LOCH Calc COE Calc'!$C$28)</f>
        <v/>
      </c>
      <c r="V2468" t="str">
        <f>IF(L2468="","",Q2468/'[1]LOCH Calc COE Calc'!$C$28)</f>
        <v/>
      </c>
      <c r="W2468" t="str">
        <f>IF(L2468="","",R2468/'[1]LOCH Calc COE Calc'!$C$28)</f>
        <v/>
      </c>
    </row>
    <row r="2469" spans="12:23" x14ac:dyDescent="0.25">
      <c r="L2469" s="4" t="str">
        <f>IF('[1]All Data '!BE2474="","",'[1]All Data '!BE2474)</f>
        <v/>
      </c>
      <c r="M2469" t="str">
        <f>IF('[1]All Data '!BF2474="","",'[1]All Data '!BF2474)</f>
        <v/>
      </c>
      <c r="N2469" s="5" t="str">
        <f>IF('[1]All Data '!BB2474="","",'[1]All Data '!BC2474/'[1]All Data '!BH2474)</f>
        <v/>
      </c>
      <c r="O2469" s="5" t="str">
        <f t="shared" si="40"/>
        <v/>
      </c>
      <c r="P2469" s="5" t="str">
        <f>IF(M2469="","",$C$2*(1-L2469)*907.2/0.621371*N2469*[1]Transportation!$M$40)</f>
        <v/>
      </c>
      <c r="Q2469" s="5" t="str">
        <f>IF(L2469="","",IF([1]Inputs_Outputs!$B$5="Herbaceous",(LCA!$E$29*'[1]LOCH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69" s="5" t="str">
        <f>IF(M2469="","",$E$2*1000*'[1]LOCH Calc COE Calc'!$C$44)</f>
        <v/>
      </c>
      <c r="S2469" s="6" t="str">
        <f>IF(N2469="","",SUM(O2469:R2469)/('[1]LOCH Calc COE Calc'!$C$28))</f>
        <v/>
      </c>
      <c r="T2469" t="str">
        <f>IF(L2469="","",O2469/'[1]LOCH Calc COE Calc'!$C$28)</f>
        <v/>
      </c>
      <c r="U2469" t="str">
        <f>IF(L2469="","",P2469/'[1]LOCH Calc COE Calc'!$C$28)</f>
        <v/>
      </c>
      <c r="V2469" t="str">
        <f>IF(L2469="","",Q2469/'[1]LOCH Calc COE Calc'!$C$28)</f>
        <v/>
      </c>
      <c r="W2469" t="str">
        <f>IF(L2469="","",R2469/'[1]LOCH Calc COE Calc'!$C$28)</f>
        <v/>
      </c>
    </row>
    <row r="2470" spans="12:23" x14ac:dyDescent="0.25">
      <c r="L2470" s="4" t="str">
        <f>IF('[1]All Data '!BE2475="","",'[1]All Data '!BE2475)</f>
        <v/>
      </c>
      <c r="M2470" t="str">
        <f>IF('[1]All Data '!BF2475="","",'[1]All Data '!BF2475)</f>
        <v/>
      </c>
      <c r="N2470" s="5" t="str">
        <f>IF('[1]All Data '!BB2475="","",'[1]All Data '!BC2475/'[1]All Data '!BH2475)</f>
        <v/>
      </c>
      <c r="O2470" s="5" t="str">
        <f t="shared" si="40"/>
        <v/>
      </c>
      <c r="P2470" s="5" t="str">
        <f>IF(M2470="","",$C$2*(1-L2470)*907.2/0.621371*N2470*[1]Transportation!$M$40)</f>
        <v/>
      </c>
      <c r="Q2470" s="5" t="str">
        <f>IF(L2470="","",IF([1]Inputs_Outputs!$B$5="Herbaceous",(LCA!$E$29*'[1]LOCH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0" s="5" t="str">
        <f>IF(M2470="","",$E$2*1000*'[1]LOCH Calc COE Calc'!$C$44)</f>
        <v/>
      </c>
      <c r="S2470" s="6" t="str">
        <f>IF(N2470="","",SUM(O2470:R2470)/('[1]LOCH Calc COE Calc'!$C$28))</f>
        <v/>
      </c>
      <c r="T2470" t="str">
        <f>IF(L2470="","",O2470/'[1]LOCH Calc COE Calc'!$C$28)</f>
        <v/>
      </c>
      <c r="U2470" t="str">
        <f>IF(L2470="","",P2470/'[1]LOCH Calc COE Calc'!$C$28)</f>
        <v/>
      </c>
      <c r="V2470" t="str">
        <f>IF(L2470="","",Q2470/'[1]LOCH Calc COE Calc'!$C$28)</f>
        <v/>
      </c>
      <c r="W2470" t="str">
        <f>IF(L2470="","",R2470/'[1]LOCH Calc COE Calc'!$C$28)</f>
        <v/>
      </c>
    </row>
    <row r="2471" spans="12:23" x14ac:dyDescent="0.25">
      <c r="L2471" s="4" t="str">
        <f>IF('[1]All Data '!BE2476="","",'[1]All Data '!BE2476)</f>
        <v/>
      </c>
      <c r="M2471" t="str">
        <f>IF('[1]All Data '!BF2476="","",'[1]All Data '!BF2476)</f>
        <v/>
      </c>
      <c r="N2471" s="5" t="str">
        <f>IF('[1]All Data '!BB2476="","",'[1]All Data '!BC2476/'[1]All Data '!BH2476)</f>
        <v/>
      </c>
      <c r="O2471" s="5" t="str">
        <f t="shared" si="40"/>
        <v/>
      </c>
      <c r="P2471" s="5" t="str">
        <f>IF(M2471="","",$C$2*(1-L2471)*907.2/0.621371*N2471*[1]Transportation!$M$40)</f>
        <v/>
      </c>
      <c r="Q2471" s="5" t="str">
        <f>IF(L2471="","",IF([1]Inputs_Outputs!$B$5="Herbaceous",(LCA!$E$29*'[1]LOCH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1" s="5" t="str">
        <f>IF(M2471="","",$E$2*1000*'[1]LOCH Calc COE Calc'!$C$44)</f>
        <v/>
      </c>
      <c r="S2471" s="6" t="str">
        <f>IF(N2471="","",SUM(O2471:R2471)/('[1]LOCH Calc COE Calc'!$C$28))</f>
        <v/>
      </c>
      <c r="T2471" t="str">
        <f>IF(L2471="","",O2471/'[1]LOCH Calc COE Calc'!$C$28)</f>
        <v/>
      </c>
      <c r="U2471" t="str">
        <f>IF(L2471="","",P2471/'[1]LOCH Calc COE Calc'!$C$28)</f>
        <v/>
      </c>
      <c r="V2471" t="str">
        <f>IF(L2471="","",Q2471/'[1]LOCH Calc COE Calc'!$C$28)</f>
        <v/>
      </c>
      <c r="W2471" t="str">
        <f>IF(L2471="","",R2471/'[1]LOCH Calc COE Calc'!$C$28)</f>
        <v/>
      </c>
    </row>
    <row r="2472" spans="12:23" x14ac:dyDescent="0.25">
      <c r="L2472" s="4" t="str">
        <f>IF('[1]All Data '!BE2477="","",'[1]All Data '!BE2477)</f>
        <v/>
      </c>
      <c r="M2472" t="str">
        <f>IF('[1]All Data '!BF2477="","",'[1]All Data '!BF2477)</f>
        <v/>
      </c>
      <c r="N2472" s="5" t="str">
        <f>IF('[1]All Data '!BB2477="","",'[1]All Data '!BC2477/'[1]All Data '!BH2477)</f>
        <v/>
      </c>
      <c r="O2472" s="5" t="str">
        <f t="shared" si="40"/>
        <v/>
      </c>
      <c r="P2472" s="5" t="str">
        <f>IF(M2472="","",$C$2*(1-L2472)*907.2/0.621371*N2472*[1]Transportation!$M$40)</f>
        <v/>
      </c>
      <c r="Q2472" s="5" t="str">
        <f>IF(L2472="","",IF([1]Inputs_Outputs!$B$5="Herbaceous",(LCA!$E$29*'[1]LOCH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2" s="5" t="str">
        <f>IF(M2472="","",$E$2*1000*'[1]LOCH Calc COE Calc'!$C$44)</f>
        <v/>
      </c>
      <c r="S2472" s="6" t="str">
        <f>IF(N2472="","",SUM(O2472:R2472)/('[1]LOCH Calc COE Calc'!$C$28))</f>
        <v/>
      </c>
      <c r="T2472" t="str">
        <f>IF(L2472="","",O2472/'[1]LOCH Calc COE Calc'!$C$28)</f>
        <v/>
      </c>
      <c r="U2472" t="str">
        <f>IF(L2472="","",P2472/'[1]LOCH Calc COE Calc'!$C$28)</f>
        <v/>
      </c>
      <c r="V2472" t="str">
        <f>IF(L2472="","",Q2472/'[1]LOCH Calc COE Calc'!$C$28)</f>
        <v/>
      </c>
      <c r="W2472" t="str">
        <f>IF(L2472="","",R2472/'[1]LOCH Calc COE Calc'!$C$28)</f>
        <v/>
      </c>
    </row>
    <row r="2473" spans="12:23" x14ac:dyDescent="0.25">
      <c r="L2473" s="4" t="str">
        <f>IF('[1]All Data '!BE2478="","",'[1]All Data '!BE2478)</f>
        <v/>
      </c>
      <c r="M2473" t="str">
        <f>IF('[1]All Data '!BF2478="","",'[1]All Data '!BF2478)</f>
        <v/>
      </c>
      <c r="N2473" s="5" t="str">
        <f>IF('[1]All Data '!BB2478="","",'[1]All Data '!BC2478/'[1]All Data '!BH2478)</f>
        <v/>
      </c>
      <c r="O2473" s="5" t="str">
        <f t="shared" si="40"/>
        <v/>
      </c>
      <c r="P2473" s="5" t="str">
        <f>IF(M2473="","",$C$2*(1-L2473)*907.2/0.621371*N2473*[1]Transportation!$M$40)</f>
        <v/>
      </c>
      <c r="Q2473" s="5" t="str">
        <f>IF(L2473="","",IF([1]Inputs_Outputs!$B$5="Herbaceous",(LCA!$E$29*'[1]LOCH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3" s="5" t="str">
        <f>IF(M2473="","",$E$2*1000*'[1]LOCH Calc COE Calc'!$C$44)</f>
        <v/>
      </c>
      <c r="S2473" s="6" t="str">
        <f>IF(N2473="","",SUM(O2473:R2473)/('[1]LOCH Calc COE Calc'!$C$28))</f>
        <v/>
      </c>
      <c r="T2473" t="str">
        <f>IF(L2473="","",O2473/'[1]LOCH Calc COE Calc'!$C$28)</f>
        <v/>
      </c>
      <c r="U2473" t="str">
        <f>IF(L2473="","",P2473/'[1]LOCH Calc COE Calc'!$C$28)</f>
        <v/>
      </c>
      <c r="V2473" t="str">
        <f>IF(L2473="","",Q2473/'[1]LOCH Calc COE Calc'!$C$28)</f>
        <v/>
      </c>
      <c r="W2473" t="str">
        <f>IF(L2473="","",R2473/'[1]LOCH Calc COE Calc'!$C$28)</f>
        <v/>
      </c>
    </row>
    <row r="2474" spans="12:23" x14ac:dyDescent="0.25">
      <c r="L2474" s="4" t="str">
        <f>IF('[1]All Data '!BE2479="","",'[1]All Data '!BE2479)</f>
        <v/>
      </c>
      <c r="M2474" t="str">
        <f>IF('[1]All Data '!BF2479="","",'[1]All Data '!BF2479)</f>
        <v/>
      </c>
      <c r="N2474" s="5" t="str">
        <f>IF('[1]All Data '!BB2479="","",'[1]All Data '!BC2479/'[1]All Data '!BH2479)</f>
        <v/>
      </c>
      <c r="O2474" s="5" t="str">
        <f t="shared" si="40"/>
        <v/>
      </c>
      <c r="P2474" s="5" t="str">
        <f>IF(M2474="","",$C$2*(1-L2474)*907.2/0.621371*N2474*[1]Transportation!$M$40)</f>
        <v/>
      </c>
      <c r="Q2474" s="5" t="str">
        <f>IF(L2474="","",IF([1]Inputs_Outputs!$B$5="Herbaceous",(LCA!$E$29*'[1]LOCH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4" s="5" t="str">
        <f>IF(M2474="","",$E$2*1000*'[1]LOCH Calc COE Calc'!$C$44)</f>
        <v/>
      </c>
      <c r="S2474" s="6" t="str">
        <f>IF(N2474="","",SUM(O2474:R2474)/('[1]LOCH Calc COE Calc'!$C$28))</f>
        <v/>
      </c>
      <c r="T2474" t="str">
        <f>IF(L2474="","",O2474/'[1]LOCH Calc COE Calc'!$C$28)</f>
        <v/>
      </c>
      <c r="U2474" t="str">
        <f>IF(L2474="","",P2474/'[1]LOCH Calc COE Calc'!$C$28)</f>
        <v/>
      </c>
      <c r="V2474" t="str">
        <f>IF(L2474="","",Q2474/'[1]LOCH Calc COE Calc'!$C$28)</f>
        <v/>
      </c>
      <c r="W2474" t="str">
        <f>IF(L2474="","",R2474/'[1]LOCH Calc COE Calc'!$C$28)</f>
        <v/>
      </c>
    </row>
    <row r="2475" spans="12:23" x14ac:dyDescent="0.25">
      <c r="L2475" s="4" t="str">
        <f>IF('[1]All Data '!BE2480="","",'[1]All Data '!BE2480)</f>
        <v/>
      </c>
      <c r="M2475" t="str">
        <f>IF('[1]All Data '!BF2480="","",'[1]All Data '!BF2480)</f>
        <v/>
      </c>
      <c r="N2475" s="5" t="str">
        <f>IF('[1]All Data '!BB2480="","",'[1]All Data '!BC2480/'[1]All Data '!BH2480)</f>
        <v/>
      </c>
      <c r="O2475" s="5" t="str">
        <f t="shared" si="40"/>
        <v/>
      </c>
      <c r="P2475" s="5" t="str">
        <f>IF(M2475="","",$C$2*(1-L2475)*907.2/0.621371*N2475*[1]Transportation!$M$40)</f>
        <v/>
      </c>
      <c r="Q2475" s="5" t="str">
        <f>IF(L2475="","",IF([1]Inputs_Outputs!$B$5="Herbaceous",(LCA!$E$29*'[1]LOCH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5" s="5" t="str">
        <f>IF(M2475="","",$E$2*1000*'[1]LOCH Calc COE Calc'!$C$44)</f>
        <v/>
      </c>
      <c r="S2475" s="6" t="str">
        <f>IF(N2475="","",SUM(O2475:R2475)/('[1]LOCH Calc COE Calc'!$C$28))</f>
        <v/>
      </c>
      <c r="T2475" t="str">
        <f>IF(L2475="","",O2475/'[1]LOCH Calc COE Calc'!$C$28)</f>
        <v/>
      </c>
      <c r="U2475" t="str">
        <f>IF(L2475="","",P2475/'[1]LOCH Calc COE Calc'!$C$28)</f>
        <v/>
      </c>
      <c r="V2475" t="str">
        <f>IF(L2475="","",Q2475/'[1]LOCH Calc COE Calc'!$C$28)</f>
        <v/>
      </c>
      <c r="W2475" t="str">
        <f>IF(L2475="","",R2475/'[1]LOCH Calc COE Calc'!$C$28)</f>
        <v/>
      </c>
    </row>
    <row r="2476" spans="12:23" x14ac:dyDescent="0.25">
      <c r="L2476" s="4" t="str">
        <f>IF('[1]All Data '!BE2481="","",'[1]All Data '!BE2481)</f>
        <v/>
      </c>
      <c r="M2476" t="str">
        <f>IF('[1]All Data '!BF2481="","",'[1]All Data '!BF2481)</f>
        <v/>
      </c>
      <c r="N2476" s="5" t="str">
        <f>IF('[1]All Data '!BB2481="","",'[1]All Data '!BC2481/'[1]All Data '!BH2481)</f>
        <v/>
      </c>
      <c r="O2476" s="5" t="str">
        <f t="shared" si="40"/>
        <v/>
      </c>
      <c r="P2476" s="5" t="str">
        <f>IF(M2476="","",$C$2*(1-L2476)*907.2/0.621371*N2476*[1]Transportation!$M$40)</f>
        <v/>
      </c>
      <c r="Q2476" s="5" t="str">
        <f>IF(L2476="","",IF([1]Inputs_Outputs!$B$5="Herbaceous",(LCA!$E$29*'[1]LOCH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6" s="5" t="str">
        <f>IF(M2476="","",$E$2*1000*'[1]LOCH Calc COE Calc'!$C$44)</f>
        <v/>
      </c>
      <c r="S2476" s="6" t="str">
        <f>IF(N2476="","",SUM(O2476:R2476)/('[1]LOCH Calc COE Calc'!$C$28))</f>
        <v/>
      </c>
      <c r="T2476" t="str">
        <f>IF(L2476="","",O2476/'[1]LOCH Calc COE Calc'!$C$28)</f>
        <v/>
      </c>
      <c r="U2476" t="str">
        <f>IF(L2476="","",P2476/'[1]LOCH Calc COE Calc'!$C$28)</f>
        <v/>
      </c>
      <c r="V2476" t="str">
        <f>IF(L2476="","",Q2476/'[1]LOCH Calc COE Calc'!$C$28)</f>
        <v/>
      </c>
      <c r="W2476" t="str">
        <f>IF(L2476="","",R2476/'[1]LOCH Calc COE Calc'!$C$28)</f>
        <v/>
      </c>
    </row>
    <row r="2477" spans="12:23" x14ac:dyDescent="0.25">
      <c r="L2477" s="4" t="str">
        <f>IF('[1]All Data '!BE2482="","",'[1]All Data '!BE2482)</f>
        <v/>
      </c>
      <c r="M2477" t="str">
        <f>IF('[1]All Data '!BF2482="","",'[1]All Data '!BF2482)</f>
        <v/>
      </c>
      <c r="N2477" s="5" t="str">
        <f>IF('[1]All Data '!BB2482="","",'[1]All Data '!BC2482/'[1]All Data '!BH2482)</f>
        <v/>
      </c>
      <c r="O2477" s="5" t="str">
        <f t="shared" si="40"/>
        <v/>
      </c>
      <c r="P2477" s="5" t="str">
        <f>IF(M2477="","",$C$2*(1-L2477)*907.2/0.621371*N2477*[1]Transportation!$M$40)</f>
        <v/>
      </c>
      <c r="Q2477" s="5" t="str">
        <f>IF(L2477="","",IF([1]Inputs_Outputs!$B$5="Herbaceous",(LCA!$E$29*'[1]LOCH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7" s="5" t="str">
        <f>IF(M2477="","",$E$2*1000*'[1]LOCH Calc COE Calc'!$C$44)</f>
        <v/>
      </c>
      <c r="S2477" s="6" t="str">
        <f>IF(N2477="","",SUM(O2477:R2477)/('[1]LOCH Calc COE Calc'!$C$28))</f>
        <v/>
      </c>
      <c r="T2477" t="str">
        <f>IF(L2477="","",O2477/'[1]LOCH Calc COE Calc'!$C$28)</f>
        <v/>
      </c>
      <c r="U2477" t="str">
        <f>IF(L2477="","",P2477/'[1]LOCH Calc COE Calc'!$C$28)</f>
        <v/>
      </c>
      <c r="V2477" t="str">
        <f>IF(L2477="","",Q2477/'[1]LOCH Calc COE Calc'!$C$28)</f>
        <v/>
      </c>
      <c r="W2477" t="str">
        <f>IF(L2477="","",R2477/'[1]LOCH Calc COE Calc'!$C$28)</f>
        <v/>
      </c>
    </row>
    <row r="2478" spans="12:23" x14ac:dyDescent="0.25">
      <c r="L2478" s="4" t="str">
        <f>IF('[1]All Data '!BE2483="","",'[1]All Data '!BE2483)</f>
        <v/>
      </c>
      <c r="M2478" t="str">
        <f>IF('[1]All Data '!BF2483="","",'[1]All Data '!BF2483)</f>
        <v/>
      </c>
      <c r="N2478" s="5" t="str">
        <f>IF('[1]All Data '!BB2483="","",'[1]All Data '!BC2483/'[1]All Data '!BH2483)</f>
        <v/>
      </c>
      <c r="O2478" s="5" t="str">
        <f t="shared" si="40"/>
        <v/>
      </c>
      <c r="P2478" s="5" t="str">
        <f>IF(M2478="","",$C$2*(1-L2478)*907.2/0.621371*N2478*[1]Transportation!$M$40)</f>
        <v/>
      </c>
      <c r="Q2478" s="5" t="str">
        <f>IF(L2478="","",IF([1]Inputs_Outputs!$B$5="Herbaceous",(LCA!$E$29*'[1]LOCH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8" s="5" t="str">
        <f>IF(M2478="","",$E$2*1000*'[1]LOCH Calc COE Calc'!$C$44)</f>
        <v/>
      </c>
      <c r="S2478" s="6" t="str">
        <f>IF(N2478="","",SUM(O2478:R2478)/('[1]LOCH Calc COE Calc'!$C$28))</f>
        <v/>
      </c>
      <c r="T2478" t="str">
        <f>IF(L2478="","",O2478/'[1]LOCH Calc COE Calc'!$C$28)</f>
        <v/>
      </c>
      <c r="U2478" t="str">
        <f>IF(L2478="","",P2478/'[1]LOCH Calc COE Calc'!$C$28)</f>
        <v/>
      </c>
      <c r="V2478" t="str">
        <f>IF(L2478="","",Q2478/'[1]LOCH Calc COE Calc'!$C$28)</f>
        <v/>
      </c>
      <c r="W2478" t="str">
        <f>IF(L2478="","",R2478/'[1]LOCH Calc COE Calc'!$C$28)</f>
        <v/>
      </c>
    </row>
    <row r="2479" spans="12:23" x14ac:dyDescent="0.25">
      <c r="L2479" s="4" t="str">
        <f>IF('[1]All Data '!BE2484="","",'[1]All Data '!BE2484)</f>
        <v/>
      </c>
      <c r="M2479" t="str">
        <f>IF('[1]All Data '!BF2484="","",'[1]All Data '!BF2484)</f>
        <v/>
      </c>
      <c r="N2479" s="5" t="str">
        <f>IF('[1]All Data '!BB2484="","",'[1]All Data '!BC2484/'[1]All Data '!BH2484)</f>
        <v/>
      </c>
      <c r="O2479" s="5" t="str">
        <f t="shared" si="40"/>
        <v/>
      </c>
      <c r="P2479" s="5" t="str">
        <f>IF(M2479="","",$C$2*(1-L2479)*907.2/0.621371*N2479*[1]Transportation!$M$40)</f>
        <v/>
      </c>
      <c r="Q2479" s="5" t="str">
        <f>IF(L2479="","",IF([1]Inputs_Outputs!$B$5="Herbaceous",(LCA!$E$29*'[1]LOCH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79" s="5" t="str">
        <f>IF(M2479="","",$E$2*1000*'[1]LOCH Calc COE Calc'!$C$44)</f>
        <v/>
      </c>
      <c r="S2479" s="6" t="str">
        <f>IF(N2479="","",SUM(O2479:R2479)/('[1]LOCH Calc COE Calc'!$C$28))</f>
        <v/>
      </c>
      <c r="T2479" t="str">
        <f>IF(L2479="","",O2479/'[1]LOCH Calc COE Calc'!$C$28)</f>
        <v/>
      </c>
      <c r="U2479" t="str">
        <f>IF(L2479="","",P2479/'[1]LOCH Calc COE Calc'!$C$28)</f>
        <v/>
      </c>
      <c r="V2479" t="str">
        <f>IF(L2479="","",Q2479/'[1]LOCH Calc COE Calc'!$C$28)</f>
        <v/>
      </c>
      <c r="W2479" t="str">
        <f>IF(L2479="","",R2479/'[1]LOCH Calc COE Calc'!$C$28)</f>
        <v/>
      </c>
    </row>
    <row r="2480" spans="12:23" x14ac:dyDescent="0.25">
      <c r="L2480" s="4" t="str">
        <f>IF('[1]All Data '!BE2485="","",'[1]All Data '!BE2485)</f>
        <v/>
      </c>
      <c r="M2480" t="str">
        <f>IF('[1]All Data '!BF2485="","",'[1]All Data '!BF2485)</f>
        <v/>
      </c>
      <c r="N2480" s="5" t="str">
        <f>IF('[1]All Data '!BB2485="","",'[1]All Data '!BC2485/'[1]All Data '!BH2485)</f>
        <v/>
      </c>
      <c r="O2480" s="5" t="str">
        <f t="shared" si="40"/>
        <v/>
      </c>
      <c r="P2480" s="5" t="str">
        <f>IF(M2480="","",$C$2*(1-L2480)*907.2/0.621371*N2480*[1]Transportation!$M$40)</f>
        <v/>
      </c>
      <c r="Q2480" s="5" t="str">
        <f>IF(L2480="","",IF([1]Inputs_Outputs!$B$5="Herbaceous",(LCA!$E$29*'[1]LOCH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0" s="5" t="str">
        <f>IF(M2480="","",$E$2*1000*'[1]LOCH Calc COE Calc'!$C$44)</f>
        <v/>
      </c>
      <c r="S2480" s="6" t="str">
        <f>IF(N2480="","",SUM(O2480:R2480)/('[1]LOCH Calc COE Calc'!$C$28))</f>
        <v/>
      </c>
      <c r="T2480" t="str">
        <f>IF(L2480="","",O2480/'[1]LOCH Calc COE Calc'!$C$28)</f>
        <v/>
      </c>
      <c r="U2480" t="str">
        <f>IF(L2480="","",P2480/'[1]LOCH Calc COE Calc'!$C$28)</f>
        <v/>
      </c>
      <c r="V2480" t="str">
        <f>IF(L2480="","",Q2480/'[1]LOCH Calc COE Calc'!$C$28)</f>
        <v/>
      </c>
      <c r="W2480" t="str">
        <f>IF(L2480="","",R2480/'[1]LOCH Calc COE Calc'!$C$28)</f>
        <v/>
      </c>
    </row>
    <row r="2481" spans="12:23" x14ac:dyDescent="0.25">
      <c r="L2481" s="4" t="str">
        <f>IF('[1]All Data '!BE2486="","",'[1]All Data '!BE2486)</f>
        <v/>
      </c>
      <c r="M2481" t="str">
        <f>IF('[1]All Data '!BF2486="","",'[1]All Data '!BF2486)</f>
        <v/>
      </c>
      <c r="N2481" s="5" t="str">
        <f>IF('[1]All Data '!BB2486="","",'[1]All Data '!BC2486/'[1]All Data '!BH2486)</f>
        <v/>
      </c>
      <c r="O2481" s="5" t="str">
        <f t="shared" si="40"/>
        <v/>
      </c>
      <c r="P2481" s="5" t="str">
        <f>IF(M2481="","",$C$2*(1-L2481)*907.2/0.621371*N2481*[1]Transportation!$M$40)</f>
        <v/>
      </c>
      <c r="Q2481" s="5" t="str">
        <f>IF(L2481="","",IF([1]Inputs_Outputs!$B$5="Herbaceous",(LCA!$E$29*'[1]LOCH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1" s="5" t="str">
        <f>IF(M2481="","",$E$2*1000*'[1]LOCH Calc COE Calc'!$C$44)</f>
        <v/>
      </c>
      <c r="S2481" s="6" t="str">
        <f>IF(N2481="","",SUM(O2481:R2481)/('[1]LOCH Calc COE Calc'!$C$28))</f>
        <v/>
      </c>
      <c r="T2481" t="str">
        <f>IF(L2481="","",O2481/'[1]LOCH Calc COE Calc'!$C$28)</f>
        <v/>
      </c>
      <c r="U2481" t="str">
        <f>IF(L2481="","",P2481/'[1]LOCH Calc COE Calc'!$C$28)</f>
        <v/>
      </c>
      <c r="V2481" t="str">
        <f>IF(L2481="","",Q2481/'[1]LOCH Calc COE Calc'!$C$28)</f>
        <v/>
      </c>
      <c r="W2481" t="str">
        <f>IF(L2481="","",R2481/'[1]LOCH Calc COE Calc'!$C$28)</f>
        <v/>
      </c>
    </row>
    <row r="2482" spans="12:23" x14ac:dyDescent="0.25">
      <c r="L2482" s="4" t="str">
        <f>IF('[1]All Data '!BE2487="","",'[1]All Data '!BE2487)</f>
        <v/>
      </c>
      <c r="M2482" t="str">
        <f>IF('[1]All Data '!BF2487="","",'[1]All Data '!BF2487)</f>
        <v/>
      </c>
      <c r="N2482" s="5" t="str">
        <f>IF('[1]All Data '!BB2487="","",'[1]All Data '!BC2487/'[1]All Data '!BH2487)</f>
        <v/>
      </c>
      <c r="O2482" s="5" t="str">
        <f t="shared" si="40"/>
        <v/>
      </c>
      <c r="P2482" s="5" t="str">
        <f>IF(M2482="","",$C$2*(1-L2482)*907.2/0.621371*N2482*[1]Transportation!$M$40)</f>
        <v/>
      </c>
      <c r="Q2482" s="5" t="str">
        <f>IF(L2482="","",IF([1]Inputs_Outputs!$B$5="Herbaceous",(LCA!$E$29*'[1]LOCH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2" s="5" t="str">
        <f>IF(M2482="","",$E$2*1000*'[1]LOCH Calc COE Calc'!$C$44)</f>
        <v/>
      </c>
      <c r="S2482" s="6" t="str">
        <f>IF(N2482="","",SUM(O2482:R2482)/('[1]LOCH Calc COE Calc'!$C$28))</f>
        <v/>
      </c>
      <c r="T2482" t="str">
        <f>IF(L2482="","",O2482/'[1]LOCH Calc COE Calc'!$C$28)</f>
        <v/>
      </c>
      <c r="U2482" t="str">
        <f>IF(L2482="","",P2482/'[1]LOCH Calc COE Calc'!$C$28)</f>
        <v/>
      </c>
      <c r="V2482" t="str">
        <f>IF(L2482="","",Q2482/'[1]LOCH Calc COE Calc'!$C$28)</f>
        <v/>
      </c>
      <c r="W2482" t="str">
        <f>IF(L2482="","",R2482/'[1]LOCH Calc COE Calc'!$C$28)</f>
        <v/>
      </c>
    </row>
    <row r="2483" spans="12:23" x14ac:dyDescent="0.25">
      <c r="L2483" s="4" t="str">
        <f>IF('[1]All Data '!BE2488="","",'[1]All Data '!BE2488)</f>
        <v/>
      </c>
      <c r="M2483" t="str">
        <f>IF('[1]All Data '!BF2488="","",'[1]All Data '!BF2488)</f>
        <v/>
      </c>
      <c r="N2483" s="5" t="str">
        <f>IF('[1]All Data '!BB2488="","",'[1]All Data '!BC2488/'[1]All Data '!BH2488)</f>
        <v/>
      </c>
      <c r="O2483" s="5" t="str">
        <f t="shared" si="40"/>
        <v/>
      </c>
      <c r="P2483" s="5" t="str">
        <f>IF(M2483="","",$C$2*(1-L2483)*907.2/0.621371*N2483*[1]Transportation!$M$40)</f>
        <v/>
      </c>
      <c r="Q2483" s="5" t="str">
        <f>IF(L2483="","",IF([1]Inputs_Outputs!$B$5="Herbaceous",(LCA!$E$29*'[1]LOCH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3" s="5" t="str">
        <f>IF(M2483="","",$E$2*1000*'[1]LOCH Calc COE Calc'!$C$44)</f>
        <v/>
      </c>
      <c r="S2483" s="6" t="str">
        <f>IF(N2483="","",SUM(O2483:R2483)/('[1]LOCH Calc COE Calc'!$C$28))</f>
        <v/>
      </c>
      <c r="T2483" t="str">
        <f>IF(L2483="","",O2483/'[1]LOCH Calc COE Calc'!$C$28)</f>
        <v/>
      </c>
      <c r="U2483" t="str">
        <f>IF(L2483="","",P2483/'[1]LOCH Calc COE Calc'!$C$28)</f>
        <v/>
      </c>
      <c r="V2483" t="str">
        <f>IF(L2483="","",Q2483/'[1]LOCH Calc COE Calc'!$C$28)</f>
        <v/>
      </c>
      <c r="W2483" t="str">
        <f>IF(L2483="","",R2483/'[1]LOCH Calc COE Calc'!$C$28)</f>
        <v/>
      </c>
    </row>
    <row r="2484" spans="12:23" x14ac:dyDescent="0.25">
      <c r="L2484" s="4" t="str">
        <f>IF('[1]All Data '!BE2489="","",'[1]All Data '!BE2489)</f>
        <v/>
      </c>
      <c r="M2484" t="str">
        <f>IF('[1]All Data '!BF2489="","",'[1]All Data '!BF2489)</f>
        <v/>
      </c>
      <c r="N2484" s="5" t="str">
        <f>IF('[1]All Data '!BB2489="","",'[1]All Data '!BC2489/'[1]All Data '!BH2489)</f>
        <v/>
      </c>
      <c r="O2484" s="5" t="str">
        <f t="shared" si="40"/>
        <v/>
      </c>
      <c r="P2484" s="5" t="str">
        <f>IF(M2484="","",$C$2*(1-L2484)*907.2/0.621371*N2484*[1]Transportation!$M$40)</f>
        <v/>
      </c>
      <c r="Q2484" s="5" t="str">
        <f>IF(L2484="","",IF([1]Inputs_Outputs!$B$5="Herbaceous",(LCA!$E$29*'[1]LOCH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4" s="5" t="str">
        <f>IF(M2484="","",$E$2*1000*'[1]LOCH Calc COE Calc'!$C$44)</f>
        <v/>
      </c>
      <c r="S2484" s="6" t="str">
        <f>IF(N2484="","",SUM(O2484:R2484)/('[1]LOCH Calc COE Calc'!$C$28))</f>
        <v/>
      </c>
      <c r="T2484" t="str">
        <f>IF(L2484="","",O2484/'[1]LOCH Calc COE Calc'!$C$28)</f>
        <v/>
      </c>
      <c r="U2484" t="str">
        <f>IF(L2484="","",P2484/'[1]LOCH Calc COE Calc'!$C$28)</f>
        <v/>
      </c>
      <c r="V2484" t="str">
        <f>IF(L2484="","",Q2484/'[1]LOCH Calc COE Calc'!$C$28)</f>
        <v/>
      </c>
      <c r="W2484" t="str">
        <f>IF(L2484="","",R2484/'[1]LOCH Calc COE Calc'!$C$28)</f>
        <v/>
      </c>
    </row>
    <row r="2485" spans="12:23" x14ac:dyDescent="0.25">
      <c r="L2485" s="4" t="str">
        <f>IF('[1]All Data '!BE2490="","",'[1]All Data '!BE2490)</f>
        <v/>
      </c>
      <c r="M2485" t="str">
        <f>IF('[1]All Data '!BF2490="","",'[1]All Data '!BF2490)</f>
        <v/>
      </c>
      <c r="N2485" s="5" t="str">
        <f>IF('[1]All Data '!BB2490="","",'[1]All Data '!BC2490/'[1]All Data '!BH2490)</f>
        <v/>
      </c>
      <c r="O2485" s="5" t="str">
        <f t="shared" si="40"/>
        <v/>
      </c>
      <c r="P2485" s="5" t="str">
        <f>IF(M2485="","",$C$2*(1-L2485)*907.2/0.621371*N2485*[1]Transportation!$M$40)</f>
        <v/>
      </c>
      <c r="Q2485" s="5" t="str">
        <f>IF(L2485="","",IF([1]Inputs_Outputs!$B$5="Herbaceous",(LCA!$E$29*'[1]LOCH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5" s="5" t="str">
        <f>IF(M2485="","",$E$2*1000*'[1]LOCH Calc COE Calc'!$C$44)</f>
        <v/>
      </c>
      <c r="S2485" s="6" t="str">
        <f>IF(N2485="","",SUM(O2485:R2485)/('[1]LOCH Calc COE Calc'!$C$28))</f>
        <v/>
      </c>
      <c r="T2485" t="str">
        <f>IF(L2485="","",O2485/'[1]LOCH Calc COE Calc'!$C$28)</f>
        <v/>
      </c>
      <c r="U2485" t="str">
        <f>IF(L2485="","",P2485/'[1]LOCH Calc COE Calc'!$C$28)</f>
        <v/>
      </c>
      <c r="V2485" t="str">
        <f>IF(L2485="","",Q2485/'[1]LOCH Calc COE Calc'!$C$28)</f>
        <v/>
      </c>
      <c r="W2485" t="str">
        <f>IF(L2485="","",R2485/'[1]LOCH Calc COE Calc'!$C$28)</f>
        <v/>
      </c>
    </row>
    <row r="2486" spans="12:23" x14ac:dyDescent="0.25">
      <c r="L2486" s="4" t="str">
        <f>IF('[1]All Data '!BE2491="","",'[1]All Data '!BE2491)</f>
        <v/>
      </c>
      <c r="M2486" t="str">
        <f>IF('[1]All Data '!BF2491="","",'[1]All Data '!BF2491)</f>
        <v/>
      </c>
      <c r="N2486" s="5" t="str">
        <f>IF('[1]All Data '!BB2491="","",'[1]All Data '!BC2491/'[1]All Data '!BH2491)</f>
        <v/>
      </c>
      <c r="O2486" s="5" t="str">
        <f t="shared" si="40"/>
        <v/>
      </c>
      <c r="P2486" s="5" t="str">
        <f>IF(M2486="","",$C$2*(1-L2486)*907.2/0.621371*N2486*[1]Transportation!$M$40)</f>
        <v/>
      </c>
      <c r="Q2486" s="5" t="str">
        <f>IF(L2486="","",IF([1]Inputs_Outputs!$B$5="Herbaceous",(LCA!$E$29*'[1]LOCH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6" s="5" t="str">
        <f>IF(M2486="","",$E$2*1000*'[1]LOCH Calc COE Calc'!$C$44)</f>
        <v/>
      </c>
      <c r="S2486" s="6" t="str">
        <f>IF(N2486="","",SUM(O2486:R2486)/('[1]LOCH Calc COE Calc'!$C$28))</f>
        <v/>
      </c>
      <c r="T2486" t="str">
        <f>IF(L2486="","",O2486/'[1]LOCH Calc COE Calc'!$C$28)</f>
        <v/>
      </c>
      <c r="U2486" t="str">
        <f>IF(L2486="","",P2486/'[1]LOCH Calc COE Calc'!$C$28)</f>
        <v/>
      </c>
      <c r="V2486" t="str">
        <f>IF(L2486="","",Q2486/'[1]LOCH Calc COE Calc'!$C$28)</f>
        <v/>
      </c>
      <c r="W2486" t="str">
        <f>IF(L2486="","",R2486/'[1]LOCH Calc COE Calc'!$C$28)</f>
        <v/>
      </c>
    </row>
    <row r="2487" spans="12:23" x14ac:dyDescent="0.25">
      <c r="L2487" s="4" t="str">
        <f>IF('[1]All Data '!BE2492="","",'[1]All Data '!BE2492)</f>
        <v/>
      </c>
      <c r="M2487" t="str">
        <f>IF('[1]All Data '!BF2492="","",'[1]All Data '!BF2492)</f>
        <v/>
      </c>
      <c r="N2487" s="5" t="str">
        <f>IF('[1]All Data '!BB2492="","",'[1]All Data '!BC2492/'[1]All Data '!BH2492)</f>
        <v/>
      </c>
      <c r="O2487" s="5" t="str">
        <f t="shared" si="40"/>
        <v/>
      </c>
      <c r="P2487" s="5" t="str">
        <f>IF(M2487="","",$C$2*(1-L2487)*907.2/0.621371*N2487*[1]Transportation!$M$40)</f>
        <v/>
      </c>
      <c r="Q2487" s="5" t="str">
        <f>IF(L2487="","",IF([1]Inputs_Outputs!$B$5="Herbaceous",(LCA!$E$29*'[1]LOCH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7" s="5" t="str">
        <f>IF(M2487="","",$E$2*1000*'[1]LOCH Calc COE Calc'!$C$44)</f>
        <v/>
      </c>
      <c r="S2487" s="6" t="str">
        <f>IF(N2487="","",SUM(O2487:R2487)/('[1]LOCH Calc COE Calc'!$C$28))</f>
        <v/>
      </c>
      <c r="T2487" t="str">
        <f>IF(L2487="","",O2487/'[1]LOCH Calc COE Calc'!$C$28)</f>
        <v/>
      </c>
      <c r="U2487" t="str">
        <f>IF(L2487="","",P2487/'[1]LOCH Calc COE Calc'!$C$28)</f>
        <v/>
      </c>
      <c r="V2487" t="str">
        <f>IF(L2487="","",Q2487/'[1]LOCH Calc COE Calc'!$C$28)</f>
        <v/>
      </c>
      <c r="W2487" t="str">
        <f>IF(L2487="","",R2487/'[1]LOCH Calc COE Calc'!$C$28)</f>
        <v/>
      </c>
    </row>
    <row r="2488" spans="12:23" x14ac:dyDescent="0.25">
      <c r="L2488" s="4" t="str">
        <f>IF('[1]All Data '!BE2493="","",'[1]All Data '!BE2493)</f>
        <v/>
      </c>
      <c r="M2488" t="str">
        <f>IF('[1]All Data '!BF2493="","",'[1]All Data '!BF2493)</f>
        <v/>
      </c>
      <c r="N2488" s="5" t="str">
        <f>IF('[1]All Data '!BB2493="","",'[1]All Data '!BC2493/'[1]All Data '!BH2493)</f>
        <v/>
      </c>
      <c r="O2488" s="5" t="str">
        <f t="shared" si="40"/>
        <v/>
      </c>
      <c r="P2488" s="5" t="str">
        <f>IF(M2488="","",$C$2*(1-L2488)*907.2/0.621371*N2488*[1]Transportation!$M$40)</f>
        <v/>
      </c>
      <c r="Q2488" s="5" t="str">
        <f>IF(L2488="","",IF([1]Inputs_Outputs!$B$5="Herbaceous",(LCA!$E$29*'[1]LOCH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8" s="5" t="str">
        <f>IF(M2488="","",$E$2*1000*'[1]LOCH Calc COE Calc'!$C$44)</f>
        <v/>
      </c>
      <c r="S2488" s="6" t="str">
        <f>IF(N2488="","",SUM(O2488:R2488)/('[1]LOCH Calc COE Calc'!$C$28))</f>
        <v/>
      </c>
      <c r="T2488" t="str">
        <f>IF(L2488="","",O2488/'[1]LOCH Calc COE Calc'!$C$28)</f>
        <v/>
      </c>
      <c r="U2488" t="str">
        <f>IF(L2488="","",P2488/'[1]LOCH Calc COE Calc'!$C$28)</f>
        <v/>
      </c>
      <c r="V2488" t="str">
        <f>IF(L2488="","",Q2488/'[1]LOCH Calc COE Calc'!$C$28)</f>
        <v/>
      </c>
      <c r="W2488" t="str">
        <f>IF(L2488="","",R2488/'[1]LOCH Calc COE Calc'!$C$28)</f>
        <v/>
      </c>
    </row>
    <row r="2489" spans="12:23" x14ac:dyDescent="0.25">
      <c r="L2489" s="4" t="str">
        <f>IF('[1]All Data '!BE2494="","",'[1]All Data '!BE2494)</f>
        <v/>
      </c>
      <c r="M2489" t="str">
        <f>IF('[1]All Data '!BF2494="","",'[1]All Data '!BF2494)</f>
        <v/>
      </c>
      <c r="N2489" s="5" t="str">
        <f>IF('[1]All Data '!BB2494="","",'[1]All Data '!BC2494/'[1]All Data '!BH2494)</f>
        <v/>
      </c>
      <c r="O2489" s="5" t="str">
        <f t="shared" si="40"/>
        <v/>
      </c>
      <c r="P2489" s="5" t="str">
        <f>IF(M2489="","",$C$2*(1-L2489)*907.2/0.621371*N2489*[1]Transportation!$M$40)</f>
        <v/>
      </c>
      <c r="Q2489" s="5" t="str">
        <f>IF(L2489="","",IF([1]Inputs_Outputs!$B$5="Herbaceous",(LCA!$E$29*'[1]LOCH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89" s="5" t="str">
        <f>IF(M2489="","",$E$2*1000*'[1]LOCH Calc COE Calc'!$C$44)</f>
        <v/>
      </c>
      <c r="S2489" s="6" t="str">
        <f>IF(N2489="","",SUM(O2489:R2489)/('[1]LOCH Calc COE Calc'!$C$28))</f>
        <v/>
      </c>
      <c r="T2489" t="str">
        <f>IF(L2489="","",O2489/'[1]LOCH Calc COE Calc'!$C$28)</f>
        <v/>
      </c>
      <c r="U2489" t="str">
        <f>IF(L2489="","",P2489/'[1]LOCH Calc COE Calc'!$C$28)</f>
        <v/>
      </c>
      <c r="V2489" t="str">
        <f>IF(L2489="","",Q2489/'[1]LOCH Calc COE Calc'!$C$28)</f>
        <v/>
      </c>
      <c r="W2489" t="str">
        <f>IF(L2489="","",R2489/'[1]LOCH Calc COE Calc'!$C$28)</f>
        <v/>
      </c>
    </row>
    <row r="2490" spans="12:23" x14ac:dyDescent="0.25">
      <c r="L2490" s="4" t="str">
        <f>IF('[1]All Data '!BE2495="","",'[1]All Data '!BE2495)</f>
        <v/>
      </c>
      <c r="M2490" t="str">
        <f>IF('[1]All Data '!BF2495="","",'[1]All Data '!BF2495)</f>
        <v/>
      </c>
      <c r="N2490" s="5" t="str">
        <f>IF('[1]All Data '!BB2495="","",'[1]All Data '!BC2495/'[1]All Data '!BH2495)</f>
        <v/>
      </c>
      <c r="O2490" s="5" t="str">
        <f t="shared" si="40"/>
        <v/>
      </c>
      <c r="P2490" s="5" t="str">
        <f>IF(M2490="","",$C$2*(1-L2490)*907.2/0.621371*N2490*[1]Transportation!$M$40)</f>
        <v/>
      </c>
      <c r="Q2490" s="5" t="str">
        <f>IF(L2490="","",IF([1]Inputs_Outputs!$B$5="Herbaceous",(LCA!$E$29*'[1]LOCH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0" s="5" t="str">
        <f>IF(M2490="","",$E$2*1000*'[1]LOCH Calc COE Calc'!$C$44)</f>
        <v/>
      </c>
      <c r="S2490" s="6" t="str">
        <f>IF(N2490="","",SUM(O2490:R2490)/('[1]LOCH Calc COE Calc'!$C$28))</f>
        <v/>
      </c>
      <c r="T2490" t="str">
        <f>IF(L2490="","",O2490/'[1]LOCH Calc COE Calc'!$C$28)</f>
        <v/>
      </c>
      <c r="U2490" t="str">
        <f>IF(L2490="","",P2490/'[1]LOCH Calc COE Calc'!$C$28)</f>
        <v/>
      </c>
      <c r="V2490" t="str">
        <f>IF(L2490="","",Q2490/'[1]LOCH Calc COE Calc'!$C$28)</f>
        <v/>
      </c>
      <c r="W2490" t="str">
        <f>IF(L2490="","",R2490/'[1]LOCH Calc COE Calc'!$C$28)</f>
        <v/>
      </c>
    </row>
    <row r="2491" spans="12:23" x14ac:dyDescent="0.25">
      <c r="L2491" s="4" t="str">
        <f>IF('[1]All Data '!BE2496="","",'[1]All Data '!BE2496)</f>
        <v/>
      </c>
      <c r="M2491" t="str">
        <f>IF('[1]All Data '!BF2496="","",'[1]All Data '!BF2496)</f>
        <v/>
      </c>
      <c r="N2491" s="5" t="str">
        <f>IF('[1]All Data '!BB2496="","",'[1]All Data '!BC2496/'[1]All Data '!BH2496)</f>
        <v/>
      </c>
      <c r="O2491" s="5" t="str">
        <f t="shared" si="40"/>
        <v/>
      </c>
      <c r="P2491" s="5" t="str">
        <f>IF(M2491="","",$C$2*(1-L2491)*907.2/0.621371*N2491*[1]Transportation!$M$40)</f>
        <v/>
      </c>
      <c r="Q2491" s="5" t="str">
        <f>IF(L2491="","",IF([1]Inputs_Outputs!$B$5="Herbaceous",(LCA!$E$29*'[1]LOCH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1" s="5" t="str">
        <f>IF(M2491="","",$E$2*1000*'[1]LOCH Calc COE Calc'!$C$44)</f>
        <v/>
      </c>
      <c r="S2491" s="6" t="str">
        <f>IF(N2491="","",SUM(O2491:R2491)/('[1]LOCH Calc COE Calc'!$C$28))</f>
        <v/>
      </c>
      <c r="T2491" t="str">
        <f>IF(L2491="","",O2491/'[1]LOCH Calc COE Calc'!$C$28)</f>
        <v/>
      </c>
      <c r="U2491" t="str">
        <f>IF(L2491="","",P2491/'[1]LOCH Calc COE Calc'!$C$28)</f>
        <v/>
      </c>
      <c r="V2491" t="str">
        <f>IF(L2491="","",Q2491/'[1]LOCH Calc COE Calc'!$C$28)</f>
        <v/>
      </c>
      <c r="W2491" t="str">
        <f>IF(L2491="","",R2491/'[1]LOCH Calc COE Calc'!$C$28)</f>
        <v/>
      </c>
    </row>
    <row r="2492" spans="12:23" x14ac:dyDescent="0.25">
      <c r="L2492" s="4" t="str">
        <f>IF('[1]All Data '!BE2497="","",'[1]All Data '!BE2497)</f>
        <v/>
      </c>
      <c r="M2492" t="str">
        <f>IF('[1]All Data '!BF2497="","",'[1]All Data '!BF2497)</f>
        <v/>
      </c>
      <c r="N2492" s="5" t="str">
        <f>IF('[1]All Data '!BB2497="","",'[1]All Data '!BC2497/'[1]All Data '!BH2497)</f>
        <v/>
      </c>
      <c r="O2492" s="5" t="str">
        <f t="shared" si="40"/>
        <v/>
      </c>
      <c r="P2492" s="5" t="str">
        <f>IF(M2492="","",$C$2*(1-L2492)*907.2/0.621371*N2492*[1]Transportation!$M$40)</f>
        <v/>
      </c>
      <c r="Q2492" s="5" t="str">
        <f>IF(L2492="","",IF([1]Inputs_Outputs!$B$5="Herbaceous",(LCA!$E$29*'[1]LOCH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2" s="5" t="str">
        <f>IF(M2492="","",$E$2*1000*'[1]LOCH Calc COE Calc'!$C$44)</f>
        <v/>
      </c>
      <c r="S2492" s="6" t="str">
        <f>IF(N2492="","",SUM(O2492:R2492)/('[1]LOCH Calc COE Calc'!$C$28))</f>
        <v/>
      </c>
      <c r="T2492" t="str">
        <f>IF(L2492="","",O2492/'[1]LOCH Calc COE Calc'!$C$28)</f>
        <v/>
      </c>
      <c r="U2492" t="str">
        <f>IF(L2492="","",P2492/'[1]LOCH Calc COE Calc'!$C$28)</f>
        <v/>
      </c>
      <c r="V2492" t="str">
        <f>IF(L2492="","",Q2492/'[1]LOCH Calc COE Calc'!$C$28)</f>
        <v/>
      </c>
      <c r="W2492" t="str">
        <f>IF(L2492="","",R2492/'[1]LOCH Calc COE Calc'!$C$28)</f>
        <v/>
      </c>
    </row>
    <row r="2493" spans="12:23" x14ac:dyDescent="0.25">
      <c r="L2493" s="4" t="str">
        <f>IF('[1]All Data '!BE2498="","",'[1]All Data '!BE2498)</f>
        <v/>
      </c>
      <c r="M2493" t="str">
        <f>IF('[1]All Data '!BF2498="","",'[1]All Data '!BF2498)</f>
        <v/>
      </c>
      <c r="N2493" s="5" t="str">
        <f>IF('[1]All Data '!BB2498="","",'[1]All Data '!BC2498/'[1]All Data '!BH2498)</f>
        <v/>
      </c>
      <c r="O2493" s="5" t="str">
        <f t="shared" si="40"/>
        <v/>
      </c>
      <c r="P2493" s="5" t="str">
        <f>IF(M2493="","",$C$2*(1-L2493)*907.2/0.621371*N2493*[1]Transportation!$M$40)</f>
        <v/>
      </c>
      <c r="Q2493" s="5" t="str">
        <f>IF(L2493="","",IF([1]Inputs_Outputs!$B$5="Herbaceous",(LCA!$E$29*'[1]LOCH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3" s="5" t="str">
        <f>IF(M2493="","",$E$2*1000*'[1]LOCH Calc COE Calc'!$C$44)</f>
        <v/>
      </c>
      <c r="S2493" s="6" t="str">
        <f>IF(N2493="","",SUM(O2493:R2493)/('[1]LOCH Calc COE Calc'!$C$28))</f>
        <v/>
      </c>
      <c r="T2493" t="str">
        <f>IF(L2493="","",O2493/'[1]LOCH Calc COE Calc'!$C$28)</f>
        <v/>
      </c>
      <c r="U2493" t="str">
        <f>IF(L2493="","",P2493/'[1]LOCH Calc COE Calc'!$C$28)</f>
        <v/>
      </c>
      <c r="V2493" t="str">
        <f>IF(L2493="","",Q2493/'[1]LOCH Calc COE Calc'!$C$28)</f>
        <v/>
      </c>
      <c r="W2493" t="str">
        <f>IF(L2493="","",R2493/'[1]LOCH Calc COE Calc'!$C$28)</f>
        <v/>
      </c>
    </row>
    <row r="2494" spans="12:23" x14ac:dyDescent="0.25">
      <c r="L2494" s="4" t="str">
        <f>IF('[1]All Data '!BE2499="","",'[1]All Data '!BE2499)</f>
        <v/>
      </c>
      <c r="M2494" t="str">
        <f>IF('[1]All Data '!BF2499="","",'[1]All Data '!BF2499)</f>
        <v/>
      </c>
      <c r="N2494" s="5" t="str">
        <f>IF('[1]All Data '!BB2499="","",'[1]All Data '!BC2499/'[1]All Data '!BH2499)</f>
        <v/>
      </c>
      <c r="O2494" s="5" t="str">
        <f t="shared" si="40"/>
        <v/>
      </c>
      <c r="P2494" s="5" t="str">
        <f>IF(M2494="","",$C$2*(1-L2494)*907.2/0.621371*N2494*[1]Transportation!$M$40)</f>
        <v/>
      </c>
      <c r="Q2494" s="5" t="str">
        <f>IF(L2494="","",IF([1]Inputs_Outputs!$B$5="Herbaceous",(LCA!$E$29*'[1]LOCH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4" s="5" t="str">
        <f>IF(M2494="","",$E$2*1000*'[1]LOCH Calc COE Calc'!$C$44)</f>
        <v/>
      </c>
      <c r="S2494" s="6" t="str">
        <f>IF(N2494="","",SUM(O2494:R2494)/('[1]LOCH Calc COE Calc'!$C$28))</f>
        <v/>
      </c>
      <c r="T2494" t="str">
        <f>IF(L2494="","",O2494/'[1]LOCH Calc COE Calc'!$C$28)</f>
        <v/>
      </c>
      <c r="U2494" t="str">
        <f>IF(L2494="","",P2494/'[1]LOCH Calc COE Calc'!$C$28)</f>
        <v/>
      </c>
      <c r="V2494" t="str">
        <f>IF(L2494="","",Q2494/'[1]LOCH Calc COE Calc'!$C$28)</f>
        <v/>
      </c>
      <c r="W2494" t="str">
        <f>IF(L2494="","",R2494/'[1]LOCH Calc COE Calc'!$C$28)</f>
        <v/>
      </c>
    </row>
    <row r="2495" spans="12:23" x14ac:dyDescent="0.25">
      <c r="L2495" s="4" t="str">
        <f>IF('[1]All Data '!BE2500="","",'[1]All Data '!BE2500)</f>
        <v/>
      </c>
      <c r="M2495" t="str">
        <f>IF('[1]All Data '!BF2500="","",'[1]All Data '!BF2500)</f>
        <v/>
      </c>
      <c r="N2495" s="5" t="str">
        <f>IF('[1]All Data '!BB2500="","",'[1]All Data '!BC2500/'[1]All Data '!BH2500)</f>
        <v/>
      </c>
      <c r="O2495" s="5" t="str">
        <f t="shared" si="40"/>
        <v/>
      </c>
      <c r="P2495" s="5" t="str">
        <f>IF(M2495="","",$C$2*(1-L2495)*907.2/0.621371*N2495*[1]Transportation!$M$40)</f>
        <v/>
      </c>
      <c r="Q2495" s="5" t="str">
        <f>IF(L2495="","",IF([1]Inputs_Outputs!$B$5="Herbaceous",(LCA!$E$29*'[1]LOCH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5" s="5" t="str">
        <f>IF(M2495="","",$E$2*1000*'[1]LOCH Calc COE Calc'!$C$44)</f>
        <v/>
      </c>
      <c r="S2495" s="6" t="str">
        <f>IF(N2495="","",SUM(O2495:R2495)/('[1]LOCH Calc COE Calc'!$C$28))</f>
        <v/>
      </c>
      <c r="T2495" t="str">
        <f>IF(L2495="","",O2495/'[1]LOCH Calc COE Calc'!$C$28)</f>
        <v/>
      </c>
      <c r="U2495" t="str">
        <f>IF(L2495="","",P2495/'[1]LOCH Calc COE Calc'!$C$28)</f>
        <v/>
      </c>
      <c r="V2495" t="str">
        <f>IF(L2495="","",Q2495/'[1]LOCH Calc COE Calc'!$C$28)</f>
        <v/>
      </c>
      <c r="W2495" t="str">
        <f>IF(L2495="","",R2495/'[1]LOCH Calc COE Calc'!$C$28)</f>
        <v/>
      </c>
    </row>
    <row r="2496" spans="12:23" x14ac:dyDescent="0.25">
      <c r="L2496" s="4" t="str">
        <f>IF('[1]All Data '!BE2501="","",'[1]All Data '!BE2501)</f>
        <v/>
      </c>
      <c r="M2496" t="str">
        <f>IF('[1]All Data '!BF2501="","",'[1]All Data '!BF2501)</f>
        <v/>
      </c>
      <c r="N2496" s="5" t="str">
        <f>IF('[1]All Data '!BB2501="","",'[1]All Data '!BC2501/'[1]All Data '!BH2501)</f>
        <v/>
      </c>
      <c r="O2496" s="5" t="str">
        <f t="shared" si="40"/>
        <v/>
      </c>
      <c r="P2496" s="5" t="str">
        <f>IF(M2496="","",$C$2*(1-L2496)*907.2/0.621371*N2496*[1]Transportation!$M$40)</f>
        <v/>
      </c>
      <c r="Q2496" s="5" t="str">
        <f>IF(L2496="","",IF([1]Inputs_Outputs!$B$5="Herbaceous",(LCA!$E$29*'[1]LOCH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6" s="5" t="str">
        <f>IF(M2496="","",$E$2*1000*'[1]LOCH Calc COE Calc'!$C$44)</f>
        <v/>
      </c>
      <c r="S2496" s="6" t="str">
        <f>IF(N2496="","",SUM(O2496:R2496)/('[1]LOCH Calc COE Calc'!$C$28))</f>
        <v/>
      </c>
      <c r="T2496" t="str">
        <f>IF(L2496="","",O2496/'[1]LOCH Calc COE Calc'!$C$28)</f>
        <v/>
      </c>
      <c r="U2496" t="str">
        <f>IF(L2496="","",P2496/'[1]LOCH Calc COE Calc'!$C$28)</f>
        <v/>
      </c>
      <c r="V2496" t="str">
        <f>IF(L2496="","",Q2496/'[1]LOCH Calc COE Calc'!$C$28)</f>
        <v/>
      </c>
      <c r="W2496" t="str">
        <f>IF(L2496="","",R2496/'[1]LOCH Calc COE Calc'!$C$28)</f>
        <v/>
      </c>
    </row>
    <row r="2497" spans="12:23" x14ac:dyDescent="0.25">
      <c r="L2497" s="4" t="str">
        <f>IF('[1]All Data '!BE2502="","",'[1]All Data '!BE2502)</f>
        <v/>
      </c>
      <c r="M2497" t="str">
        <f>IF('[1]All Data '!BF2502="","",'[1]All Data '!BF2502)</f>
        <v/>
      </c>
      <c r="N2497" s="5" t="str">
        <f>IF('[1]All Data '!BB2502="","",'[1]All Data '!BC2502/'[1]All Data '!BH2502)</f>
        <v/>
      </c>
      <c r="O2497" s="5" t="str">
        <f t="shared" si="40"/>
        <v/>
      </c>
      <c r="P2497" s="5" t="str">
        <f>IF(M2497="","",$C$2*(1-L2497)*907.2/0.621371*N2497*[1]Transportation!$M$40)</f>
        <v/>
      </c>
      <c r="Q2497" s="5" t="str">
        <f>IF(L2497="","",IF([1]Inputs_Outputs!$B$5="Herbaceous",(LCA!$E$29*'[1]LOCH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7" s="5" t="str">
        <f>IF(M2497="","",$E$2*1000*'[1]LOCH Calc COE Calc'!$C$44)</f>
        <v/>
      </c>
      <c r="S2497" s="6" t="str">
        <f>IF(N2497="","",SUM(O2497:R2497)/('[1]LOCH Calc COE Calc'!$C$28))</f>
        <v/>
      </c>
      <c r="T2497" t="str">
        <f>IF(L2497="","",O2497/'[1]LOCH Calc COE Calc'!$C$28)</f>
        <v/>
      </c>
      <c r="U2497" t="str">
        <f>IF(L2497="","",P2497/'[1]LOCH Calc COE Calc'!$C$28)</f>
        <v/>
      </c>
      <c r="V2497" t="str">
        <f>IF(L2497="","",Q2497/'[1]LOCH Calc COE Calc'!$C$28)</f>
        <v/>
      </c>
      <c r="W2497" t="str">
        <f>IF(L2497="","",R2497/'[1]LOCH Calc COE Calc'!$C$28)</f>
        <v/>
      </c>
    </row>
    <row r="2498" spans="12:23" x14ac:dyDescent="0.25">
      <c r="L2498" s="4" t="str">
        <f>IF('[1]All Data '!BE2503="","",'[1]All Data '!BE2503)</f>
        <v/>
      </c>
      <c r="M2498" t="str">
        <f>IF('[1]All Data '!BF2503="","",'[1]All Data '!BF2503)</f>
        <v/>
      </c>
      <c r="N2498" s="5" t="str">
        <f>IF('[1]All Data '!BB2503="","",'[1]All Data '!BC2503/'[1]All Data '!BH2503)</f>
        <v/>
      </c>
      <c r="O2498" s="5" t="str">
        <f t="shared" si="40"/>
        <v/>
      </c>
      <c r="P2498" s="5" t="str">
        <f>IF(M2498="","",$C$2*(1-L2498)*907.2/0.621371*N2498*[1]Transportation!$M$40)</f>
        <v/>
      </c>
      <c r="Q2498" s="5" t="str">
        <f>IF(L2498="","",IF([1]Inputs_Outputs!$B$5="Herbaceous",(LCA!$E$29*'[1]LOCH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8" s="5" t="str">
        <f>IF(M2498="","",$E$2*1000*'[1]LOCH Calc COE Calc'!$C$44)</f>
        <v/>
      </c>
      <c r="S2498" s="6" t="str">
        <f>IF(N2498="","",SUM(O2498:R2498)/('[1]LOCH Calc COE Calc'!$C$28))</f>
        <v/>
      </c>
      <c r="T2498" t="str">
        <f>IF(L2498="","",O2498/'[1]LOCH Calc COE Calc'!$C$28)</f>
        <v/>
      </c>
      <c r="U2498" t="str">
        <f>IF(L2498="","",P2498/'[1]LOCH Calc COE Calc'!$C$28)</f>
        <v/>
      </c>
      <c r="V2498" t="str">
        <f>IF(L2498="","",Q2498/'[1]LOCH Calc COE Calc'!$C$28)</f>
        <v/>
      </c>
      <c r="W2498" t="str">
        <f>IF(L2498="","",R2498/'[1]LOCH Calc COE Calc'!$C$28)</f>
        <v/>
      </c>
    </row>
    <row r="2499" spans="12:23" x14ac:dyDescent="0.25">
      <c r="L2499" s="4" t="str">
        <f>IF('[1]All Data '!BE2504="","",'[1]All Data '!BE2504)</f>
        <v/>
      </c>
      <c r="M2499" t="str">
        <f>IF('[1]All Data '!BF2504="","",'[1]All Data '!BF2504)</f>
        <v/>
      </c>
      <c r="N2499" s="5" t="str">
        <f>IF('[1]All Data '!BB2504="","",'[1]All Data '!BC2504/'[1]All Data '!BH2504)</f>
        <v/>
      </c>
      <c r="O2499" s="5" t="str">
        <f t="shared" si="40"/>
        <v/>
      </c>
      <c r="P2499" s="5" t="str">
        <f>IF(M2499="","",$C$2*(1-L2499)*907.2/0.621371*N2499*[1]Transportation!$M$40)</f>
        <v/>
      </c>
      <c r="Q2499" s="5" t="str">
        <f>IF(L2499="","",IF([1]Inputs_Outputs!$B$5="Herbaceous",(LCA!$E$29*'[1]LOCH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499" s="5" t="str">
        <f>IF(M2499="","",$E$2*1000*'[1]LOCH Calc COE Calc'!$C$44)</f>
        <v/>
      </c>
      <c r="S2499" s="6" t="str">
        <f>IF(N2499="","",SUM(O2499:R2499)/('[1]LOCH Calc COE Calc'!$C$28))</f>
        <v/>
      </c>
      <c r="T2499" t="str">
        <f>IF(L2499="","",O2499/'[1]LOCH Calc COE Calc'!$C$28)</f>
        <v/>
      </c>
      <c r="U2499" t="str">
        <f>IF(L2499="","",P2499/'[1]LOCH Calc COE Calc'!$C$28)</f>
        <v/>
      </c>
      <c r="V2499" t="str">
        <f>IF(L2499="","",Q2499/'[1]LOCH Calc COE Calc'!$C$28)</f>
        <v/>
      </c>
      <c r="W2499" t="str">
        <f>IF(L2499="","",R2499/'[1]LOCH Calc COE Calc'!$C$28)</f>
        <v/>
      </c>
    </row>
    <row r="2500" spans="12:23" x14ac:dyDescent="0.25">
      <c r="L2500" s="4" t="str">
        <f>IF('[1]All Data '!BE2505="","",'[1]All Data '!BE2505)</f>
        <v/>
      </c>
      <c r="M2500" t="str">
        <f>IF('[1]All Data '!BF2505="","",'[1]All Data '!BF2505)</f>
        <v/>
      </c>
      <c r="N2500" s="5" t="str">
        <f>IF('[1]All Data '!BB2505="","",'[1]All Data '!BC2505/'[1]All Data '!BH2505)</f>
        <v/>
      </c>
      <c r="O2500" s="5" t="str">
        <f t="shared" ref="O2500:O2563" si="41">IF(N2500="","",M2500*N2500)</f>
        <v/>
      </c>
      <c r="P2500" s="5" t="str">
        <f>IF(M2500="","",$C$2*(1-L2500)*907.2/0.621371*N2500*[1]Transportation!$M$40)</f>
        <v/>
      </c>
      <c r="Q2500" s="5" t="str">
        <f>IF(L2500="","",IF([1]Inputs_Outputs!$B$5="Herbaceous",(LCA!$E$29*'[1]LOCH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0" s="5" t="str">
        <f>IF(M2500="","",$E$2*1000*'[1]LOCH Calc COE Calc'!$C$44)</f>
        <v/>
      </c>
      <c r="S2500" s="6" t="str">
        <f>IF(N2500="","",SUM(O2500:R2500)/('[1]LOCH Calc COE Calc'!$C$28))</f>
        <v/>
      </c>
      <c r="T2500" t="str">
        <f>IF(L2500="","",O2500/'[1]LOCH Calc COE Calc'!$C$28)</f>
        <v/>
      </c>
      <c r="U2500" t="str">
        <f>IF(L2500="","",P2500/'[1]LOCH Calc COE Calc'!$C$28)</f>
        <v/>
      </c>
      <c r="V2500" t="str">
        <f>IF(L2500="","",Q2500/'[1]LOCH Calc COE Calc'!$C$28)</f>
        <v/>
      </c>
      <c r="W2500" t="str">
        <f>IF(L2500="","",R2500/'[1]LOCH Calc COE Calc'!$C$28)</f>
        <v/>
      </c>
    </row>
    <row r="2501" spans="12:23" x14ac:dyDescent="0.25">
      <c r="L2501" s="4" t="str">
        <f>IF('[1]All Data '!BE2506="","",'[1]All Data '!BE2506)</f>
        <v/>
      </c>
      <c r="M2501" t="str">
        <f>IF('[1]All Data '!BF2506="","",'[1]All Data '!BF2506)</f>
        <v/>
      </c>
      <c r="N2501" s="5" t="str">
        <f>IF('[1]All Data '!BB2506="","",'[1]All Data '!BC2506/'[1]All Data '!BH2506)</f>
        <v/>
      </c>
      <c r="O2501" s="5" t="str">
        <f t="shared" si="41"/>
        <v/>
      </c>
      <c r="P2501" s="5" t="str">
        <f>IF(M2501="","",$C$2*(1-L2501)*907.2/0.621371*N2501*[1]Transportation!$M$40)</f>
        <v/>
      </c>
      <c r="Q2501" s="5" t="str">
        <f>IF(L2501="","",IF([1]Inputs_Outputs!$B$5="Herbaceous",(LCA!$E$29*'[1]LOCH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1" s="5" t="str">
        <f>IF(M2501="","",$E$2*1000*'[1]LOCH Calc COE Calc'!$C$44)</f>
        <v/>
      </c>
      <c r="S2501" s="6" t="str">
        <f>IF(N2501="","",SUM(O2501:R2501)/('[1]LOCH Calc COE Calc'!$C$28))</f>
        <v/>
      </c>
      <c r="T2501" t="str">
        <f>IF(L2501="","",O2501/'[1]LOCH Calc COE Calc'!$C$28)</f>
        <v/>
      </c>
      <c r="U2501" t="str">
        <f>IF(L2501="","",P2501/'[1]LOCH Calc COE Calc'!$C$28)</f>
        <v/>
      </c>
      <c r="V2501" t="str">
        <f>IF(L2501="","",Q2501/'[1]LOCH Calc COE Calc'!$C$28)</f>
        <v/>
      </c>
      <c r="W2501" t="str">
        <f>IF(L2501="","",R2501/'[1]LOCH Calc COE Calc'!$C$28)</f>
        <v/>
      </c>
    </row>
    <row r="2502" spans="12:23" x14ac:dyDescent="0.25">
      <c r="L2502" s="4" t="str">
        <f>IF('[1]All Data '!BE2507="","",'[1]All Data '!BE2507)</f>
        <v/>
      </c>
      <c r="M2502" t="str">
        <f>IF('[1]All Data '!BF2507="","",'[1]All Data '!BF2507)</f>
        <v/>
      </c>
      <c r="N2502" s="5" t="str">
        <f>IF('[1]All Data '!BB2507="","",'[1]All Data '!BC2507/'[1]All Data '!BH2507)</f>
        <v/>
      </c>
      <c r="O2502" s="5" t="str">
        <f t="shared" si="41"/>
        <v/>
      </c>
      <c r="P2502" s="5" t="str">
        <f>IF(M2502="","",$C$2*(1-L2502)*907.2/0.621371*N2502*[1]Transportation!$M$40)</f>
        <v/>
      </c>
      <c r="Q2502" s="5" t="str">
        <f>IF(L2502="","",IF([1]Inputs_Outputs!$B$5="Herbaceous",(LCA!$E$29*'[1]LOCH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2" s="5" t="str">
        <f>IF(M2502="","",$E$2*1000*'[1]LOCH Calc COE Calc'!$C$44)</f>
        <v/>
      </c>
      <c r="S2502" s="6" t="str">
        <f>IF(N2502="","",SUM(O2502:R2502)/('[1]LOCH Calc COE Calc'!$C$28))</f>
        <v/>
      </c>
      <c r="T2502" t="str">
        <f>IF(L2502="","",O2502/'[1]LOCH Calc COE Calc'!$C$28)</f>
        <v/>
      </c>
      <c r="U2502" t="str">
        <f>IF(L2502="","",P2502/'[1]LOCH Calc COE Calc'!$C$28)</f>
        <v/>
      </c>
      <c r="V2502" t="str">
        <f>IF(L2502="","",Q2502/'[1]LOCH Calc COE Calc'!$C$28)</f>
        <v/>
      </c>
      <c r="W2502" t="str">
        <f>IF(L2502="","",R2502/'[1]LOCH Calc COE Calc'!$C$28)</f>
        <v/>
      </c>
    </row>
    <row r="2503" spans="12:23" x14ac:dyDescent="0.25">
      <c r="L2503" s="4" t="str">
        <f>IF('[1]All Data '!BE2508="","",'[1]All Data '!BE2508)</f>
        <v/>
      </c>
      <c r="M2503" t="str">
        <f>IF('[1]All Data '!BF2508="","",'[1]All Data '!BF2508)</f>
        <v/>
      </c>
      <c r="N2503" s="5" t="str">
        <f>IF('[1]All Data '!BB2508="","",'[1]All Data '!BC2508/'[1]All Data '!BH2508)</f>
        <v/>
      </c>
      <c r="O2503" s="5" t="str">
        <f t="shared" si="41"/>
        <v/>
      </c>
      <c r="P2503" s="5" t="str">
        <f>IF(M2503="","",$C$2*(1-L2503)*907.2/0.621371*N2503*[1]Transportation!$M$40)</f>
        <v/>
      </c>
      <c r="Q2503" s="5" t="str">
        <f>IF(L2503="","",IF([1]Inputs_Outputs!$B$5="Herbaceous",(LCA!$E$29*'[1]LOCH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3" s="5" t="str">
        <f>IF(M2503="","",$E$2*1000*'[1]LOCH Calc COE Calc'!$C$44)</f>
        <v/>
      </c>
      <c r="S2503" s="6" t="str">
        <f>IF(N2503="","",SUM(O2503:R2503)/('[1]LOCH Calc COE Calc'!$C$28))</f>
        <v/>
      </c>
      <c r="T2503" t="str">
        <f>IF(L2503="","",O2503/'[1]LOCH Calc COE Calc'!$C$28)</f>
        <v/>
      </c>
      <c r="U2503" t="str">
        <f>IF(L2503="","",P2503/'[1]LOCH Calc COE Calc'!$C$28)</f>
        <v/>
      </c>
      <c r="V2503" t="str">
        <f>IF(L2503="","",Q2503/'[1]LOCH Calc COE Calc'!$C$28)</f>
        <v/>
      </c>
      <c r="W2503" t="str">
        <f>IF(L2503="","",R2503/'[1]LOCH Calc COE Calc'!$C$28)</f>
        <v/>
      </c>
    </row>
    <row r="2504" spans="12:23" x14ac:dyDescent="0.25">
      <c r="L2504" s="4" t="str">
        <f>IF('[1]All Data '!BE2509="","",'[1]All Data '!BE2509)</f>
        <v/>
      </c>
      <c r="M2504" t="str">
        <f>IF('[1]All Data '!BF2509="","",'[1]All Data '!BF2509)</f>
        <v/>
      </c>
      <c r="N2504" s="5" t="str">
        <f>IF('[1]All Data '!BB2509="","",'[1]All Data '!BC2509/'[1]All Data '!BH2509)</f>
        <v/>
      </c>
      <c r="O2504" s="5" t="str">
        <f t="shared" si="41"/>
        <v/>
      </c>
      <c r="P2504" s="5" t="str">
        <f>IF(M2504="","",$C$2*(1-L2504)*907.2/0.621371*N2504*[1]Transportation!$M$40)</f>
        <v/>
      </c>
      <c r="Q2504" s="5" t="str">
        <f>IF(L2504="","",IF([1]Inputs_Outputs!$B$5="Herbaceous",(LCA!$E$29*'[1]LOCH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4" s="5" t="str">
        <f>IF(M2504="","",$E$2*1000*'[1]LOCH Calc COE Calc'!$C$44)</f>
        <v/>
      </c>
      <c r="S2504" s="6" t="str">
        <f>IF(N2504="","",SUM(O2504:R2504)/('[1]LOCH Calc COE Calc'!$C$28))</f>
        <v/>
      </c>
      <c r="T2504" t="str">
        <f>IF(L2504="","",O2504/'[1]LOCH Calc COE Calc'!$C$28)</f>
        <v/>
      </c>
      <c r="U2504" t="str">
        <f>IF(L2504="","",P2504/'[1]LOCH Calc COE Calc'!$C$28)</f>
        <v/>
      </c>
      <c r="V2504" t="str">
        <f>IF(L2504="","",Q2504/'[1]LOCH Calc COE Calc'!$C$28)</f>
        <v/>
      </c>
      <c r="W2504" t="str">
        <f>IF(L2504="","",R2504/'[1]LOCH Calc COE Calc'!$C$28)</f>
        <v/>
      </c>
    </row>
    <row r="2505" spans="12:23" x14ac:dyDescent="0.25">
      <c r="L2505" s="4" t="str">
        <f>IF('[1]All Data '!BE2510="","",'[1]All Data '!BE2510)</f>
        <v/>
      </c>
      <c r="M2505" t="str">
        <f>IF('[1]All Data '!BF2510="","",'[1]All Data '!BF2510)</f>
        <v/>
      </c>
      <c r="N2505" s="5" t="str">
        <f>IF('[1]All Data '!BB2510="","",'[1]All Data '!BC2510/'[1]All Data '!BH2510)</f>
        <v/>
      </c>
      <c r="O2505" s="5" t="str">
        <f t="shared" si="41"/>
        <v/>
      </c>
      <c r="P2505" s="5" t="str">
        <f>IF(M2505="","",$C$2*(1-L2505)*907.2/0.621371*N2505*[1]Transportation!$M$40)</f>
        <v/>
      </c>
      <c r="Q2505" s="5" t="str">
        <f>IF(L2505="","",IF([1]Inputs_Outputs!$B$5="Herbaceous",(LCA!$E$29*'[1]LOCH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5" s="5" t="str">
        <f>IF(M2505="","",$E$2*1000*'[1]LOCH Calc COE Calc'!$C$44)</f>
        <v/>
      </c>
      <c r="S2505" s="6" t="str">
        <f>IF(N2505="","",SUM(O2505:R2505)/('[1]LOCH Calc COE Calc'!$C$28))</f>
        <v/>
      </c>
      <c r="T2505" t="str">
        <f>IF(L2505="","",O2505/'[1]LOCH Calc COE Calc'!$C$28)</f>
        <v/>
      </c>
      <c r="U2505" t="str">
        <f>IF(L2505="","",P2505/'[1]LOCH Calc COE Calc'!$C$28)</f>
        <v/>
      </c>
      <c r="V2505" t="str">
        <f>IF(L2505="","",Q2505/'[1]LOCH Calc COE Calc'!$C$28)</f>
        <v/>
      </c>
      <c r="W2505" t="str">
        <f>IF(L2505="","",R2505/'[1]LOCH Calc COE Calc'!$C$28)</f>
        <v/>
      </c>
    </row>
    <row r="2506" spans="12:23" x14ac:dyDescent="0.25">
      <c r="L2506" s="4" t="str">
        <f>IF('[1]All Data '!BE2511="","",'[1]All Data '!BE2511)</f>
        <v/>
      </c>
      <c r="M2506" t="str">
        <f>IF('[1]All Data '!BF2511="","",'[1]All Data '!BF2511)</f>
        <v/>
      </c>
      <c r="N2506" s="5" t="str">
        <f>IF('[1]All Data '!BB2511="","",'[1]All Data '!BC2511/'[1]All Data '!BH2511)</f>
        <v/>
      </c>
      <c r="O2506" s="5" t="str">
        <f t="shared" si="41"/>
        <v/>
      </c>
      <c r="P2506" s="5" t="str">
        <f>IF(M2506="","",$C$2*(1-L2506)*907.2/0.621371*N2506*[1]Transportation!$M$40)</f>
        <v/>
      </c>
      <c r="Q2506" s="5" t="str">
        <f>IF(L2506="","",IF([1]Inputs_Outputs!$B$5="Herbaceous",(LCA!$E$29*'[1]LOCH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6" s="5" t="str">
        <f>IF(M2506="","",$E$2*1000*'[1]LOCH Calc COE Calc'!$C$44)</f>
        <v/>
      </c>
      <c r="S2506" s="6" t="str">
        <f>IF(N2506="","",SUM(O2506:R2506)/('[1]LOCH Calc COE Calc'!$C$28))</f>
        <v/>
      </c>
      <c r="T2506" t="str">
        <f>IF(L2506="","",O2506/'[1]LOCH Calc COE Calc'!$C$28)</f>
        <v/>
      </c>
      <c r="U2506" t="str">
        <f>IF(L2506="","",P2506/'[1]LOCH Calc COE Calc'!$C$28)</f>
        <v/>
      </c>
      <c r="V2506" t="str">
        <f>IF(L2506="","",Q2506/'[1]LOCH Calc COE Calc'!$C$28)</f>
        <v/>
      </c>
      <c r="W2506" t="str">
        <f>IF(L2506="","",R2506/'[1]LOCH Calc COE Calc'!$C$28)</f>
        <v/>
      </c>
    </row>
    <row r="2507" spans="12:23" x14ac:dyDescent="0.25">
      <c r="L2507" s="4" t="str">
        <f>IF('[1]All Data '!BE2512="","",'[1]All Data '!BE2512)</f>
        <v/>
      </c>
      <c r="M2507" t="str">
        <f>IF('[1]All Data '!BF2512="","",'[1]All Data '!BF2512)</f>
        <v/>
      </c>
      <c r="N2507" s="5" t="str">
        <f>IF('[1]All Data '!BB2512="","",'[1]All Data '!BC2512/'[1]All Data '!BH2512)</f>
        <v/>
      </c>
      <c r="O2507" s="5" t="str">
        <f t="shared" si="41"/>
        <v/>
      </c>
      <c r="P2507" s="5" t="str">
        <f>IF(M2507="","",$C$2*(1-L2507)*907.2/0.621371*N2507*[1]Transportation!$M$40)</f>
        <v/>
      </c>
      <c r="Q2507" s="5" t="str">
        <f>IF(L2507="","",IF([1]Inputs_Outputs!$B$5="Herbaceous",(LCA!$E$29*'[1]LOCH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7" s="5" t="str">
        <f>IF(M2507="","",$E$2*1000*'[1]LOCH Calc COE Calc'!$C$44)</f>
        <v/>
      </c>
      <c r="S2507" s="6" t="str">
        <f>IF(N2507="","",SUM(O2507:R2507)/('[1]LOCH Calc COE Calc'!$C$28))</f>
        <v/>
      </c>
      <c r="T2507" t="str">
        <f>IF(L2507="","",O2507/'[1]LOCH Calc COE Calc'!$C$28)</f>
        <v/>
      </c>
      <c r="U2507" t="str">
        <f>IF(L2507="","",P2507/'[1]LOCH Calc COE Calc'!$C$28)</f>
        <v/>
      </c>
      <c r="V2507" t="str">
        <f>IF(L2507="","",Q2507/'[1]LOCH Calc COE Calc'!$C$28)</f>
        <v/>
      </c>
      <c r="W2507" t="str">
        <f>IF(L2507="","",R2507/'[1]LOCH Calc COE Calc'!$C$28)</f>
        <v/>
      </c>
    </row>
    <row r="2508" spans="12:23" x14ac:dyDescent="0.25">
      <c r="L2508" s="4" t="str">
        <f>IF('[1]All Data '!BE2513="","",'[1]All Data '!BE2513)</f>
        <v/>
      </c>
      <c r="M2508" t="str">
        <f>IF('[1]All Data '!BF2513="","",'[1]All Data '!BF2513)</f>
        <v/>
      </c>
      <c r="N2508" s="5" t="str">
        <f>IF('[1]All Data '!BB2513="","",'[1]All Data '!BC2513/'[1]All Data '!BH2513)</f>
        <v/>
      </c>
      <c r="O2508" s="5" t="str">
        <f t="shared" si="41"/>
        <v/>
      </c>
      <c r="P2508" s="5" t="str">
        <f>IF(M2508="","",$C$2*(1-L2508)*907.2/0.621371*N2508*[1]Transportation!$M$40)</f>
        <v/>
      </c>
      <c r="Q2508" s="5" t="str">
        <f>IF(L2508="","",IF([1]Inputs_Outputs!$B$5="Herbaceous",(LCA!$E$29*'[1]LOCH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8" s="5" t="str">
        <f>IF(M2508="","",$E$2*1000*'[1]LOCH Calc COE Calc'!$C$44)</f>
        <v/>
      </c>
      <c r="S2508" s="6" t="str">
        <f>IF(N2508="","",SUM(O2508:R2508)/('[1]LOCH Calc COE Calc'!$C$28))</f>
        <v/>
      </c>
      <c r="T2508" t="str">
        <f>IF(L2508="","",O2508/'[1]LOCH Calc COE Calc'!$C$28)</f>
        <v/>
      </c>
      <c r="U2508" t="str">
        <f>IF(L2508="","",P2508/'[1]LOCH Calc COE Calc'!$C$28)</f>
        <v/>
      </c>
      <c r="V2508" t="str">
        <f>IF(L2508="","",Q2508/'[1]LOCH Calc COE Calc'!$C$28)</f>
        <v/>
      </c>
      <c r="W2508" t="str">
        <f>IF(L2508="","",R2508/'[1]LOCH Calc COE Calc'!$C$28)</f>
        <v/>
      </c>
    </row>
    <row r="2509" spans="12:23" x14ac:dyDescent="0.25">
      <c r="L2509" s="4" t="str">
        <f>IF('[1]All Data '!BE2514="","",'[1]All Data '!BE2514)</f>
        <v/>
      </c>
      <c r="M2509" t="str">
        <f>IF('[1]All Data '!BF2514="","",'[1]All Data '!BF2514)</f>
        <v/>
      </c>
      <c r="N2509" s="5" t="str">
        <f>IF('[1]All Data '!BB2514="","",'[1]All Data '!BC2514/'[1]All Data '!BH2514)</f>
        <v/>
      </c>
      <c r="O2509" s="5" t="str">
        <f t="shared" si="41"/>
        <v/>
      </c>
      <c r="P2509" s="5" t="str">
        <f>IF(M2509="","",$C$2*(1-L2509)*907.2/0.621371*N2509*[1]Transportation!$M$40)</f>
        <v/>
      </c>
      <c r="Q2509" s="5" t="str">
        <f>IF(L2509="","",IF([1]Inputs_Outputs!$B$5="Herbaceous",(LCA!$E$29*'[1]LOCH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09" s="5" t="str">
        <f>IF(M2509="","",$E$2*1000*'[1]LOCH Calc COE Calc'!$C$44)</f>
        <v/>
      </c>
      <c r="S2509" s="6" t="str">
        <f>IF(N2509="","",SUM(O2509:R2509)/('[1]LOCH Calc COE Calc'!$C$28))</f>
        <v/>
      </c>
      <c r="T2509" t="str">
        <f>IF(L2509="","",O2509/'[1]LOCH Calc COE Calc'!$C$28)</f>
        <v/>
      </c>
      <c r="U2509" t="str">
        <f>IF(L2509="","",P2509/'[1]LOCH Calc COE Calc'!$C$28)</f>
        <v/>
      </c>
      <c r="V2509" t="str">
        <f>IF(L2509="","",Q2509/'[1]LOCH Calc COE Calc'!$C$28)</f>
        <v/>
      </c>
      <c r="W2509" t="str">
        <f>IF(L2509="","",R2509/'[1]LOCH Calc COE Calc'!$C$28)</f>
        <v/>
      </c>
    </row>
    <row r="2510" spans="12:23" x14ac:dyDescent="0.25">
      <c r="L2510" s="4" t="str">
        <f>IF('[1]All Data '!BE2515="","",'[1]All Data '!BE2515)</f>
        <v/>
      </c>
      <c r="M2510" t="str">
        <f>IF('[1]All Data '!BF2515="","",'[1]All Data '!BF2515)</f>
        <v/>
      </c>
      <c r="N2510" s="5" t="str">
        <f>IF('[1]All Data '!BB2515="","",'[1]All Data '!BC2515/'[1]All Data '!BH2515)</f>
        <v/>
      </c>
      <c r="O2510" s="5" t="str">
        <f t="shared" si="41"/>
        <v/>
      </c>
      <c r="P2510" s="5" t="str">
        <f>IF(M2510="","",$C$2*(1-L2510)*907.2/0.621371*N2510*[1]Transportation!$M$40)</f>
        <v/>
      </c>
      <c r="Q2510" s="5" t="str">
        <f>IF(L2510="","",IF([1]Inputs_Outputs!$B$5="Herbaceous",(LCA!$E$29*'[1]LOCH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0" s="5" t="str">
        <f>IF(M2510="","",$E$2*1000*'[1]LOCH Calc COE Calc'!$C$44)</f>
        <v/>
      </c>
      <c r="S2510" s="6" t="str">
        <f>IF(N2510="","",SUM(O2510:R2510)/('[1]LOCH Calc COE Calc'!$C$28))</f>
        <v/>
      </c>
      <c r="T2510" t="str">
        <f>IF(L2510="","",O2510/'[1]LOCH Calc COE Calc'!$C$28)</f>
        <v/>
      </c>
      <c r="U2510" t="str">
        <f>IF(L2510="","",P2510/'[1]LOCH Calc COE Calc'!$C$28)</f>
        <v/>
      </c>
      <c r="V2510" t="str">
        <f>IF(L2510="","",Q2510/'[1]LOCH Calc COE Calc'!$C$28)</f>
        <v/>
      </c>
      <c r="W2510" t="str">
        <f>IF(L2510="","",R2510/'[1]LOCH Calc COE Calc'!$C$28)</f>
        <v/>
      </c>
    </row>
    <row r="2511" spans="12:23" x14ac:dyDescent="0.25">
      <c r="L2511" s="4" t="str">
        <f>IF('[1]All Data '!BE2516="","",'[1]All Data '!BE2516)</f>
        <v/>
      </c>
      <c r="M2511" t="str">
        <f>IF('[1]All Data '!BF2516="","",'[1]All Data '!BF2516)</f>
        <v/>
      </c>
      <c r="N2511" s="5" t="str">
        <f>IF('[1]All Data '!BB2516="","",'[1]All Data '!BC2516/'[1]All Data '!BH2516)</f>
        <v/>
      </c>
      <c r="O2511" s="5" t="str">
        <f t="shared" si="41"/>
        <v/>
      </c>
      <c r="P2511" s="5" t="str">
        <f>IF(M2511="","",$C$2*(1-L2511)*907.2/0.621371*N2511*[1]Transportation!$M$40)</f>
        <v/>
      </c>
      <c r="Q2511" s="5" t="str">
        <f>IF(L2511="","",IF([1]Inputs_Outputs!$B$5="Herbaceous",(LCA!$E$29*'[1]LOCH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1" s="5" t="str">
        <f>IF(M2511="","",$E$2*1000*'[1]LOCH Calc COE Calc'!$C$44)</f>
        <v/>
      </c>
      <c r="S2511" s="6" t="str">
        <f>IF(N2511="","",SUM(O2511:R2511)/('[1]LOCH Calc COE Calc'!$C$28))</f>
        <v/>
      </c>
      <c r="T2511" t="str">
        <f>IF(L2511="","",O2511/'[1]LOCH Calc COE Calc'!$C$28)</f>
        <v/>
      </c>
      <c r="U2511" t="str">
        <f>IF(L2511="","",P2511/'[1]LOCH Calc COE Calc'!$C$28)</f>
        <v/>
      </c>
      <c r="V2511" t="str">
        <f>IF(L2511="","",Q2511/'[1]LOCH Calc COE Calc'!$C$28)</f>
        <v/>
      </c>
      <c r="W2511" t="str">
        <f>IF(L2511="","",R2511/'[1]LOCH Calc COE Calc'!$C$28)</f>
        <v/>
      </c>
    </row>
    <row r="2512" spans="12:23" x14ac:dyDescent="0.25">
      <c r="L2512" s="4" t="str">
        <f>IF('[1]All Data '!BE2517="","",'[1]All Data '!BE2517)</f>
        <v/>
      </c>
      <c r="M2512" t="str">
        <f>IF('[1]All Data '!BF2517="","",'[1]All Data '!BF2517)</f>
        <v/>
      </c>
      <c r="N2512" s="5" t="str">
        <f>IF('[1]All Data '!BB2517="","",'[1]All Data '!BC2517/'[1]All Data '!BH2517)</f>
        <v/>
      </c>
      <c r="O2512" s="5" t="str">
        <f t="shared" si="41"/>
        <v/>
      </c>
      <c r="P2512" s="5" t="str">
        <f>IF(M2512="","",$C$2*(1-L2512)*907.2/0.621371*N2512*[1]Transportation!$M$40)</f>
        <v/>
      </c>
      <c r="Q2512" s="5" t="str">
        <f>IF(L2512="","",IF([1]Inputs_Outputs!$B$5="Herbaceous",(LCA!$E$29*'[1]LOCH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2" s="5" t="str">
        <f>IF(M2512="","",$E$2*1000*'[1]LOCH Calc COE Calc'!$C$44)</f>
        <v/>
      </c>
      <c r="S2512" s="6" t="str">
        <f>IF(N2512="","",SUM(O2512:R2512)/('[1]LOCH Calc COE Calc'!$C$28))</f>
        <v/>
      </c>
      <c r="T2512" t="str">
        <f>IF(L2512="","",O2512/'[1]LOCH Calc COE Calc'!$C$28)</f>
        <v/>
      </c>
      <c r="U2512" t="str">
        <f>IF(L2512="","",P2512/'[1]LOCH Calc COE Calc'!$C$28)</f>
        <v/>
      </c>
      <c r="V2512" t="str">
        <f>IF(L2512="","",Q2512/'[1]LOCH Calc COE Calc'!$C$28)</f>
        <v/>
      </c>
      <c r="W2512" t="str">
        <f>IF(L2512="","",R2512/'[1]LOCH Calc COE Calc'!$C$28)</f>
        <v/>
      </c>
    </row>
    <row r="2513" spans="12:23" x14ac:dyDescent="0.25">
      <c r="L2513" s="4" t="str">
        <f>IF('[1]All Data '!BE2518="","",'[1]All Data '!BE2518)</f>
        <v/>
      </c>
      <c r="M2513" t="str">
        <f>IF('[1]All Data '!BF2518="","",'[1]All Data '!BF2518)</f>
        <v/>
      </c>
      <c r="N2513" s="5" t="str">
        <f>IF('[1]All Data '!BB2518="","",'[1]All Data '!BC2518/'[1]All Data '!BH2518)</f>
        <v/>
      </c>
      <c r="O2513" s="5" t="str">
        <f t="shared" si="41"/>
        <v/>
      </c>
      <c r="P2513" s="5" t="str">
        <f>IF(M2513="","",$C$2*(1-L2513)*907.2/0.621371*N2513*[1]Transportation!$M$40)</f>
        <v/>
      </c>
      <c r="Q2513" s="5" t="str">
        <f>IF(L2513="","",IF([1]Inputs_Outputs!$B$5="Herbaceous",(LCA!$E$29*'[1]LOCH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3" s="5" t="str">
        <f>IF(M2513="","",$E$2*1000*'[1]LOCH Calc COE Calc'!$C$44)</f>
        <v/>
      </c>
      <c r="S2513" s="6" t="str">
        <f>IF(N2513="","",SUM(O2513:R2513)/('[1]LOCH Calc COE Calc'!$C$28))</f>
        <v/>
      </c>
      <c r="T2513" t="str">
        <f>IF(L2513="","",O2513/'[1]LOCH Calc COE Calc'!$C$28)</f>
        <v/>
      </c>
      <c r="U2513" t="str">
        <f>IF(L2513="","",P2513/'[1]LOCH Calc COE Calc'!$C$28)</f>
        <v/>
      </c>
      <c r="V2513" t="str">
        <f>IF(L2513="","",Q2513/'[1]LOCH Calc COE Calc'!$C$28)</f>
        <v/>
      </c>
      <c r="W2513" t="str">
        <f>IF(L2513="","",R2513/'[1]LOCH Calc COE Calc'!$C$28)</f>
        <v/>
      </c>
    </row>
    <row r="2514" spans="12:23" x14ac:dyDescent="0.25">
      <c r="L2514" s="4" t="str">
        <f>IF('[1]All Data '!BE2519="","",'[1]All Data '!BE2519)</f>
        <v/>
      </c>
      <c r="M2514" t="str">
        <f>IF('[1]All Data '!BF2519="","",'[1]All Data '!BF2519)</f>
        <v/>
      </c>
      <c r="N2514" s="5" t="str">
        <f>IF('[1]All Data '!BB2519="","",'[1]All Data '!BC2519/'[1]All Data '!BH2519)</f>
        <v/>
      </c>
      <c r="O2514" s="5" t="str">
        <f t="shared" si="41"/>
        <v/>
      </c>
      <c r="P2514" s="5" t="str">
        <f>IF(M2514="","",$C$2*(1-L2514)*907.2/0.621371*N2514*[1]Transportation!$M$40)</f>
        <v/>
      </c>
      <c r="Q2514" s="5" t="str">
        <f>IF(L2514="","",IF([1]Inputs_Outputs!$B$5="Herbaceous",(LCA!$E$29*'[1]LOCH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4" s="5" t="str">
        <f>IF(M2514="","",$E$2*1000*'[1]LOCH Calc COE Calc'!$C$44)</f>
        <v/>
      </c>
      <c r="S2514" s="6" t="str">
        <f>IF(N2514="","",SUM(O2514:R2514)/('[1]LOCH Calc COE Calc'!$C$28))</f>
        <v/>
      </c>
      <c r="T2514" t="str">
        <f>IF(L2514="","",O2514/'[1]LOCH Calc COE Calc'!$C$28)</f>
        <v/>
      </c>
      <c r="U2514" t="str">
        <f>IF(L2514="","",P2514/'[1]LOCH Calc COE Calc'!$C$28)</f>
        <v/>
      </c>
      <c r="V2514" t="str">
        <f>IF(L2514="","",Q2514/'[1]LOCH Calc COE Calc'!$C$28)</f>
        <v/>
      </c>
      <c r="W2514" t="str">
        <f>IF(L2514="","",R2514/'[1]LOCH Calc COE Calc'!$C$28)</f>
        <v/>
      </c>
    </row>
    <row r="2515" spans="12:23" x14ac:dyDescent="0.25">
      <c r="L2515" s="4" t="str">
        <f>IF('[1]All Data '!BE2520="","",'[1]All Data '!BE2520)</f>
        <v/>
      </c>
      <c r="M2515" t="str">
        <f>IF('[1]All Data '!BF2520="","",'[1]All Data '!BF2520)</f>
        <v/>
      </c>
      <c r="N2515" s="5" t="str">
        <f>IF('[1]All Data '!BB2520="","",'[1]All Data '!BC2520/'[1]All Data '!BH2520)</f>
        <v/>
      </c>
      <c r="O2515" s="5" t="str">
        <f t="shared" si="41"/>
        <v/>
      </c>
      <c r="P2515" s="5" t="str">
        <f>IF(M2515="","",$C$2*(1-L2515)*907.2/0.621371*N2515*[1]Transportation!$M$40)</f>
        <v/>
      </c>
      <c r="Q2515" s="5" t="str">
        <f>IF(L2515="","",IF([1]Inputs_Outputs!$B$5="Herbaceous",(LCA!$E$29*'[1]LOCH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5" s="5" t="str">
        <f>IF(M2515="","",$E$2*1000*'[1]LOCH Calc COE Calc'!$C$44)</f>
        <v/>
      </c>
      <c r="S2515" s="6" t="str">
        <f>IF(N2515="","",SUM(O2515:R2515)/('[1]LOCH Calc COE Calc'!$C$28))</f>
        <v/>
      </c>
      <c r="T2515" t="str">
        <f>IF(L2515="","",O2515/'[1]LOCH Calc COE Calc'!$C$28)</f>
        <v/>
      </c>
      <c r="U2515" t="str">
        <f>IF(L2515="","",P2515/'[1]LOCH Calc COE Calc'!$C$28)</f>
        <v/>
      </c>
      <c r="V2515" t="str">
        <f>IF(L2515="","",Q2515/'[1]LOCH Calc COE Calc'!$C$28)</f>
        <v/>
      </c>
      <c r="W2515" t="str">
        <f>IF(L2515="","",R2515/'[1]LOCH Calc COE Calc'!$C$28)</f>
        <v/>
      </c>
    </row>
    <row r="2516" spans="12:23" x14ac:dyDescent="0.25">
      <c r="L2516" s="4" t="str">
        <f>IF('[1]All Data '!BE2521="","",'[1]All Data '!BE2521)</f>
        <v/>
      </c>
      <c r="M2516" t="str">
        <f>IF('[1]All Data '!BF2521="","",'[1]All Data '!BF2521)</f>
        <v/>
      </c>
      <c r="N2516" s="5" t="str">
        <f>IF('[1]All Data '!BB2521="","",'[1]All Data '!BC2521/'[1]All Data '!BH2521)</f>
        <v/>
      </c>
      <c r="O2516" s="5" t="str">
        <f t="shared" si="41"/>
        <v/>
      </c>
      <c r="P2516" s="5" t="str">
        <f>IF(M2516="","",$C$2*(1-L2516)*907.2/0.621371*N2516*[1]Transportation!$M$40)</f>
        <v/>
      </c>
      <c r="Q2516" s="5" t="str">
        <f>IF(L2516="","",IF([1]Inputs_Outputs!$B$5="Herbaceous",(LCA!$E$29*'[1]LOCH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6" s="5" t="str">
        <f>IF(M2516="","",$E$2*1000*'[1]LOCH Calc COE Calc'!$C$44)</f>
        <v/>
      </c>
      <c r="S2516" s="6" t="str">
        <f>IF(N2516="","",SUM(O2516:R2516)/('[1]LOCH Calc COE Calc'!$C$28))</f>
        <v/>
      </c>
      <c r="T2516" t="str">
        <f>IF(L2516="","",O2516/'[1]LOCH Calc COE Calc'!$C$28)</f>
        <v/>
      </c>
      <c r="U2516" t="str">
        <f>IF(L2516="","",P2516/'[1]LOCH Calc COE Calc'!$C$28)</f>
        <v/>
      </c>
      <c r="V2516" t="str">
        <f>IF(L2516="","",Q2516/'[1]LOCH Calc COE Calc'!$C$28)</f>
        <v/>
      </c>
      <c r="W2516" t="str">
        <f>IF(L2516="","",R2516/'[1]LOCH Calc COE Calc'!$C$28)</f>
        <v/>
      </c>
    </row>
    <row r="2517" spans="12:23" x14ac:dyDescent="0.25">
      <c r="L2517" s="4" t="str">
        <f>IF('[1]All Data '!BE2522="","",'[1]All Data '!BE2522)</f>
        <v/>
      </c>
      <c r="M2517" t="str">
        <f>IF('[1]All Data '!BF2522="","",'[1]All Data '!BF2522)</f>
        <v/>
      </c>
      <c r="N2517" s="5" t="str">
        <f>IF('[1]All Data '!BB2522="","",'[1]All Data '!BC2522/'[1]All Data '!BH2522)</f>
        <v/>
      </c>
      <c r="O2517" s="5" t="str">
        <f t="shared" si="41"/>
        <v/>
      </c>
      <c r="P2517" s="5" t="str">
        <f>IF(M2517="","",$C$2*(1-L2517)*907.2/0.621371*N2517*[1]Transportation!$M$40)</f>
        <v/>
      </c>
      <c r="Q2517" s="5" t="str">
        <f>IF(L2517="","",IF([1]Inputs_Outputs!$B$5="Herbaceous",(LCA!$E$29*'[1]LOCH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7" s="5" t="str">
        <f>IF(M2517="","",$E$2*1000*'[1]LOCH Calc COE Calc'!$C$44)</f>
        <v/>
      </c>
      <c r="S2517" s="6" t="str">
        <f>IF(N2517="","",SUM(O2517:R2517)/('[1]LOCH Calc COE Calc'!$C$28))</f>
        <v/>
      </c>
      <c r="T2517" t="str">
        <f>IF(L2517="","",O2517/'[1]LOCH Calc COE Calc'!$C$28)</f>
        <v/>
      </c>
      <c r="U2517" t="str">
        <f>IF(L2517="","",P2517/'[1]LOCH Calc COE Calc'!$C$28)</f>
        <v/>
      </c>
      <c r="V2517" t="str">
        <f>IF(L2517="","",Q2517/'[1]LOCH Calc COE Calc'!$C$28)</f>
        <v/>
      </c>
      <c r="W2517" t="str">
        <f>IF(L2517="","",R2517/'[1]LOCH Calc COE Calc'!$C$28)</f>
        <v/>
      </c>
    </row>
    <row r="2518" spans="12:23" x14ac:dyDescent="0.25">
      <c r="L2518" s="4" t="str">
        <f>IF('[1]All Data '!BE2523="","",'[1]All Data '!BE2523)</f>
        <v/>
      </c>
      <c r="M2518" t="str">
        <f>IF('[1]All Data '!BF2523="","",'[1]All Data '!BF2523)</f>
        <v/>
      </c>
      <c r="N2518" s="5" t="str">
        <f>IF('[1]All Data '!BB2523="","",'[1]All Data '!BC2523/'[1]All Data '!BH2523)</f>
        <v/>
      </c>
      <c r="O2518" s="5" t="str">
        <f t="shared" si="41"/>
        <v/>
      </c>
      <c r="P2518" s="5" t="str">
        <f>IF(M2518="","",$C$2*(1-L2518)*907.2/0.621371*N2518*[1]Transportation!$M$40)</f>
        <v/>
      </c>
      <c r="Q2518" s="5" t="str">
        <f>IF(L2518="","",IF([1]Inputs_Outputs!$B$5="Herbaceous",(LCA!$E$29*'[1]LOCH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8" s="5" t="str">
        <f>IF(M2518="","",$E$2*1000*'[1]LOCH Calc COE Calc'!$C$44)</f>
        <v/>
      </c>
      <c r="S2518" s="6" t="str">
        <f>IF(N2518="","",SUM(O2518:R2518)/('[1]LOCH Calc COE Calc'!$C$28))</f>
        <v/>
      </c>
      <c r="T2518" t="str">
        <f>IF(L2518="","",O2518/'[1]LOCH Calc COE Calc'!$C$28)</f>
        <v/>
      </c>
      <c r="U2518" t="str">
        <f>IF(L2518="","",P2518/'[1]LOCH Calc COE Calc'!$C$28)</f>
        <v/>
      </c>
      <c r="V2518" t="str">
        <f>IF(L2518="","",Q2518/'[1]LOCH Calc COE Calc'!$C$28)</f>
        <v/>
      </c>
      <c r="W2518" t="str">
        <f>IF(L2518="","",R2518/'[1]LOCH Calc COE Calc'!$C$28)</f>
        <v/>
      </c>
    </row>
    <row r="2519" spans="12:23" x14ac:dyDescent="0.25">
      <c r="L2519" s="4" t="str">
        <f>IF('[1]All Data '!BE2524="","",'[1]All Data '!BE2524)</f>
        <v/>
      </c>
      <c r="M2519" t="str">
        <f>IF('[1]All Data '!BF2524="","",'[1]All Data '!BF2524)</f>
        <v/>
      </c>
      <c r="N2519" s="5" t="str">
        <f>IF('[1]All Data '!BB2524="","",'[1]All Data '!BC2524/'[1]All Data '!BH2524)</f>
        <v/>
      </c>
      <c r="O2519" s="5" t="str">
        <f t="shared" si="41"/>
        <v/>
      </c>
      <c r="P2519" s="5" t="str">
        <f>IF(M2519="","",$C$2*(1-L2519)*907.2/0.621371*N2519*[1]Transportation!$M$40)</f>
        <v/>
      </c>
      <c r="Q2519" s="5" t="str">
        <f>IF(L2519="","",IF([1]Inputs_Outputs!$B$5="Herbaceous",(LCA!$E$29*'[1]LOCH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19" s="5" t="str">
        <f>IF(M2519="","",$E$2*1000*'[1]LOCH Calc COE Calc'!$C$44)</f>
        <v/>
      </c>
      <c r="S2519" s="6" t="str">
        <f>IF(N2519="","",SUM(O2519:R2519)/('[1]LOCH Calc COE Calc'!$C$28))</f>
        <v/>
      </c>
      <c r="T2519" t="str">
        <f>IF(L2519="","",O2519/'[1]LOCH Calc COE Calc'!$C$28)</f>
        <v/>
      </c>
      <c r="U2519" t="str">
        <f>IF(L2519="","",P2519/'[1]LOCH Calc COE Calc'!$C$28)</f>
        <v/>
      </c>
      <c r="V2519" t="str">
        <f>IF(L2519="","",Q2519/'[1]LOCH Calc COE Calc'!$C$28)</f>
        <v/>
      </c>
      <c r="W2519" t="str">
        <f>IF(L2519="","",R2519/'[1]LOCH Calc COE Calc'!$C$28)</f>
        <v/>
      </c>
    </row>
    <row r="2520" spans="12:23" x14ac:dyDescent="0.25">
      <c r="L2520" s="4" t="str">
        <f>IF('[1]All Data '!BE2525="","",'[1]All Data '!BE2525)</f>
        <v/>
      </c>
      <c r="M2520" t="str">
        <f>IF('[1]All Data '!BF2525="","",'[1]All Data '!BF2525)</f>
        <v/>
      </c>
      <c r="N2520" s="5" t="str">
        <f>IF('[1]All Data '!BB2525="","",'[1]All Data '!BC2525/'[1]All Data '!BH2525)</f>
        <v/>
      </c>
      <c r="O2520" s="5" t="str">
        <f t="shared" si="41"/>
        <v/>
      </c>
      <c r="P2520" s="5" t="str">
        <f>IF(M2520="","",$C$2*(1-L2520)*907.2/0.621371*N2520*[1]Transportation!$M$40)</f>
        <v/>
      </c>
      <c r="Q2520" s="5" t="str">
        <f>IF(L2520="","",IF([1]Inputs_Outputs!$B$5="Herbaceous",(LCA!$E$29*'[1]LOCH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0" s="5" t="str">
        <f>IF(M2520="","",$E$2*1000*'[1]LOCH Calc COE Calc'!$C$44)</f>
        <v/>
      </c>
      <c r="S2520" s="6" t="str">
        <f>IF(N2520="","",SUM(O2520:R2520)/('[1]LOCH Calc COE Calc'!$C$28))</f>
        <v/>
      </c>
      <c r="T2520" t="str">
        <f>IF(L2520="","",O2520/'[1]LOCH Calc COE Calc'!$C$28)</f>
        <v/>
      </c>
      <c r="U2520" t="str">
        <f>IF(L2520="","",P2520/'[1]LOCH Calc COE Calc'!$C$28)</f>
        <v/>
      </c>
      <c r="V2520" t="str">
        <f>IF(L2520="","",Q2520/'[1]LOCH Calc COE Calc'!$C$28)</f>
        <v/>
      </c>
      <c r="W2520" t="str">
        <f>IF(L2520="","",R2520/'[1]LOCH Calc COE Calc'!$C$28)</f>
        <v/>
      </c>
    </row>
    <row r="2521" spans="12:23" x14ac:dyDescent="0.25">
      <c r="L2521" s="4" t="str">
        <f>IF('[1]All Data '!BE2526="","",'[1]All Data '!BE2526)</f>
        <v/>
      </c>
      <c r="M2521" t="str">
        <f>IF('[1]All Data '!BF2526="","",'[1]All Data '!BF2526)</f>
        <v/>
      </c>
      <c r="N2521" s="5" t="str">
        <f>IF('[1]All Data '!BB2526="","",'[1]All Data '!BC2526/'[1]All Data '!BH2526)</f>
        <v/>
      </c>
      <c r="O2521" s="5" t="str">
        <f t="shared" si="41"/>
        <v/>
      </c>
      <c r="P2521" s="5" t="str">
        <f>IF(M2521="","",$C$2*(1-L2521)*907.2/0.621371*N2521*[1]Transportation!$M$40)</f>
        <v/>
      </c>
      <c r="Q2521" s="5" t="str">
        <f>IF(L2521="","",IF([1]Inputs_Outputs!$B$5="Herbaceous",(LCA!$E$29*'[1]LOCH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1" s="5" t="str">
        <f>IF(M2521="","",$E$2*1000*'[1]LOCH Calc COE Calc'!$C$44)</f>
        <v/>
      </c>
      <c r="S2521" s="6" t="str">
        <f>IF(N2521="","",SUM(O2521:R2521)/('[1]LOCH Calc COE Calc'!$C$28))</f>
        <v/>
      </c>
      <c r="T2521" t="str">
        <f>IF(L2521="","",O2521/'[1]LOCH Calc COE Calc'!$C$28)</f>
        <v/>
      </c>
      <c r="U2521" t="str">
        <f>IF(L2521="","",P2521/'[1]LOCH Calc COE Calc'!$C$28)</f>
        <v/>
      </c>
      <c r="V2521" t="str">
        <f>IF(L2521="","",Q2521/'[1]LOCH Calc COE Calc'!$C$28)</f>
        <v/>
      </c>
      <c r="W2521" t="str">
        <f>IF(L2521="","",R2521/'[1]LOCH Calc COE Calc'!$C$28)</f>
        <v/>
      </c>
    </row>
    <row r="2522" spans="12:23" x14ac:dyDescent="0.25">
      <c r="L2522" s="4" t="str">
        <f>IF('[1]All Data '!BE2527="","",'[1]All Data '!BE2527)</f>
        <v/>
      </c>
      <c r="M2522" t="str">
        <f>IF('[1]All Data '!BF2527="","",'[1]All Data '!BF2527)</f>
        <v/>
      </c>
      <c r="N2522" s="5" t="str">
        <f>IF('[1]All Data '!BB2527="","",'[1]All Data '!BC2527/'[1]All Data '!BH2527)</f>
        <v/>
      </c>
      <c r="O2522" s="5" t="str">
        <f t="shared" si="41"/>
        <v/>
      </c>
      <c r="P2522" s="5" t="str">
        <f>IF(M2522="","",$C$2*(1-L2522)*907.2/0.621371*N2522*[1]Transportation!$M$40)</f>
        <v/>
      </c>
      <c r="Q2522" s="5" t="str">
        <f>IF(L2522="","",IF([1]Inputs_Outputs!$B$5="Herbaceous",(LCA!$E$29*'[1]LOCH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2" s="5" t="str">
        <f>IF(M2522="","",$E$2*1000*'[1]LOCH Calc COE Calc'!$C$44)</f>
        <v/>
      </c>
      <c r="S2522" s="6" t="str">
        <f>IF(N2522="","",SUM(O2522:R2522)/('[1]LOCH Calc COE Calc'!$C$28))</f>
        <v/>
      </c>
      <c r="T2522" t="str">
        <f>IF(L2522="","",O2522/'[1]LOCH Calc COE Calc'!$C$28)</f>
        <v/>
      </c>
      <c r="U2522" t="str">
        <f>IF(L2522="","",P2522/'[1]LOCH Calc COE Calc'!$C$28)</f>
        <v/>
      </c>
      <c r="V2522" t="str">
        <f>IF(L2522="","",Q2522/'[1]LOCH Calc COE Calc'!$C$28)</f>
        <v/>
      </c>
      <c r="W2522" t="str">
        <f>IF(L2522="","",R2522/'[1]LOCH Calc COE Calc'!$C$28)</f>
        <v/>
      </c>
    </row>
    <row r="2523" spans="12:23" x14ac:dyDescent="0.25">
      <c r="L2523" s="4" t="str">
        <f>IF('[1]All Data '!BE2528="","",'[1]All Data '!BE2528)</f>
        <v/>
      </c>
      <c r="M2523" t="str">
        <f>IF('[1]All Data '!BF2528="","",'[1]All Data '!BF2528)</f>
        <v/>
      </c>
      <c r="N2523" s="5" t="str">
        <f>IF('[1]All Data '!BB2528="","",'[1]All Data '!BC2528/'[1]All Data '!BH2528)</f>
        <v/>
      </c>
      <c r="O2523" s="5" t="str">
        <f t="shared" si="41"/>
        <v/>
      </c>
      <c r="P2523" s="5" t="str">
        <f>IF(M2523="","",$C$2*(1-L2523)*907.2/0.621371*N2523*[1]Transportation!$M$40)</f>
        <v/>
      </c>
      <c r="Q2523" s="5" t="str">
        <f>IF(L2523="","",IF([1]Inputs_Outputs!$B$5="Herbaceous",(LCA!$E$29*'[1]LOCH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3" s="5" t="str">
        <f>IF(M2523="","",$E$2*1000*'[1]LOCH Calc COE Calc'!$C$44)</f>
        <v/>
      </c>
      <c r="S2523" s="6" t="str">
        <f>IF(N2523="","",SUM(O2523:R2523)/('[1]LOCH Calc COE Calc'!$C$28))</f>
        <v/>
      </c>
      <c r="T2523" t="str">
        <f>IF(L2523="","",O2523/'[1]LOCH Calc COE Calc'!$C$28)</f>
        <v/>
      </c>
      <c r="U2523" t="str">
        <f>IF(L2523="","",P2523/'[1]LOCH Calc COE Calc'!$C$28)</f>
        <v/>
      </c>
      <c r="V2523" t="str">
        <f>IF(L2523="","",Q2523/'[1]LOCH Calc COE Calc'!$C$28)</f>
        <v/>
      </c>
      <c r="W2523" t="str">
        <f>IF(L2523="","",R2523/'[1]LOCH Calc COE Calc'!$C$28)</f>
        <v/>
      </c>
    </row>
    <row r="2524" spans="12:23" x14ac:dyDescent="0.25">
      <c r="L2524" s="4" t="str">
        <f>IF('[1]All Data '!BE2529="","",'[1]All Data '!BE2529)</f>
        <v/>
      </c>
      <c r="M2524" t="str">
        <f>IF('[1]All Data '!BF2529="","",'[1]All Data '!BF2529)</f>
        <v/>
      </c>
      <c r="N2524" s="5" t="str">
        <f>IF('[1]All Data '!BB2529="","",'[1]All Data '!BC2529/'[1]All Data '!BH2529)</f>
        <v/>
      </c>
      <c r="O2524" s="5" t="str">
        <f t="shared" si="41"/>
        <v/>
      </c>
      <c r="P2524" s="5" t="str">
        <f>IF(M2524="","",$C$2*(1-L2524)*907.2/0.621371*N2524*[1]Transportation!$M$40)</f>
        <v/>
      </c>
      <c r="Q2524" s="5" t="str">
        <f>IF(L2524="","",IF([1]Inputs_Outputs!$B$5="Herbaceous",(LCA!$E$29*'[1]LOCH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4" s="5" t="str">
        <f>IF(M2524="","",$E$2*1000*'[1]LOCH Calc COE Calc'!$C$44)</f>
        <v/>
      </c>
      <c r="S2524" s="6" t="str">
        <f>IF(N2524="","",SUM(O2524:R2524)/('[1]LOCH Calc COE Calc'!$C$28))</f>
        <v/>
      </c>
      <c r="T2524" t="str">
        <f>IF(L2524="","",O2524/'[1]LOCH Calc COE Calc'!$C$28)</f>
        <v/>
      </c>
      <c r="U2524" t="str">
        <f>IF(L2524="","",P2524/'[1]LOCH Calc COE Calc'!$C$28)</f>
        <v/>
      </c>
      <c r="V2524" t="str">
        <f>IF(L2524="","",Q2524/'[1]LOCH Calc COE Calc'!$C$28)</f>
        <v/>
      </c>
      <c r="W2524" t="str">
        <f>IF(L2524="","",R2524/'[1]LOCH Calc COE Calc'!$C$28)</f>
        <v/>
      </c>
    </row>
    <row r="2525" spans="12:23" x14ac:dyDescent="0.25">
      <c r="L2525" s="4" t="str">
        <f>IF('[1]All Data '!BE2530="","",'[1]All Data '!BE2530)</f>
        <v/>
      </c>
      <c r="M2525" t="str">
        <f>IF('[1]All Data '!BF2530="","",'[1]All Data '!BF2530)</f>
        <v/>
      </c>
      <c r="N2525" s="5" t="str">
        <f>IF('[1]All Data '!BB2530="","",'[1]All Data '!BC2530/'[1]All Data '!BH2530)</f>
        <v/>
      </c>
      <c r="O2525" s="5" t="str">
        <f t="shared" si="41"/>
        <v/>
      </c>
      <c r="P2525" s="5" t="str">
        <f>IF(M2525="","",$C$2*(1-L2525)*907.2/0.621371*N2525*[1]Transportation!$M$40)</f>
        <v/>
      </c>
      <c r="Q2525" s="5" t="str">
        <f>IF(L2525="","",IF([1]Inputs_Outputs!$B$5="Herbaceous",(LCA!$E$29*'[1]LOCH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5" s="5" t="str">
        <f>IF(M2525="","",$E$2*1000*'[1]LOCH Calc COE Calc'!$C$44)</f>
        <v/>
      </c>
      <c r="S2525" s="6" t="str">
        <f>IF(N2525="","",SUM(O2525:R2525)/('[1]LOCH Calc COE Calc'!$C$28))</f>
        <v/>
      </c>
      <c r="T2525" t="str">
        <f>IF(L2525="","",O2525/'[1]LOCH Calc COE Calc'!$C$28)</f>
        <v/>
      </c>
      <c r="U2525" t="str">
        <f>IF(L2525="","",P2525/'[1]LOCH Calc COE Calc'!$C$28)</f>
        <v/>
      </c>
      <c r="V2525" t="str">
        <f>IF(L2525="","",Q2525/'[1]LOCH Calc COE Calc'!$C$28)</f>
        <v/>
      </c>
      <c r="W2525" t="str">
        <f>IF(L2525="","",R2525/'[1]LOCH Calc COE Calc'!$C$28)</f>
        <v/>
      </c>
    </row>
    <row r="2526" spans="12:23" x14ac:dyDescent="0.25">
      <c r="L2526" s="4" t="str">
        <f>IF('[1]All Data '!BE2531="","",'[1]All Data '!BE2531)</f>
        <v/>
      </c>
      <c r="M2526" t="str">
        <f>IF('[1]All Data '!BF2531="","",'[1]All Data '!BF2531)</f>
        <v/>
      </c>
      <c r="N2526" s="5" t="str">
        <f>IF('[1]All Data '!BB2531="","",'[1]All Data '!BC2531/'[1]All Data '!BH2531)</f>
        <v/>
      </c>
      <c r="O2526" s="5" t="str">
        <f t="shared" si="41"/>
        <v/>
      </c>
      <c r="P2526" s="5" t="str">
        <f>IF(M2526="","",$C$2*(1-L2526)*907.2/0.621371*N2526*[1]Transportation!$M$40)</f>
        <v/>
      </c>
      <c r="Q2526" s="5" t="str">
        <f>IF(L2526="","",IF([1]Inputs_Outputs!$B$5="Herbaceous",(LCA!$E$29*'[1]LOCH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6" s="5" t="str">
        <f>IF(M2526="","",$E$2*1000*'[1]LOCH Calc COE Calc'!$C$44)</f>
        <v/>
      </c>
      <c r="S2526" s="6" t="str">
        <f>IF(N2526="","",SUM(O2526:R2526)/('[1]LOCH Calc COE Calc'!$C$28))</f>
        <v/>
      </c>
      <c r="T2526" t="str">
        <f>IF(L2526="","",O2526/'[1]LOCH Calc COE Calc'!$C$28)</f>
        <v/>
      </c>
      <c r="U2526" t="str">
        <f>IF(L2526="","",P2526/'[1]LOCH Calc COE Calc'!$C$28)</f>
        <v/>
      </c>
      <c r="V2526" t="str">
        <f>IF(L2526="","",Q2526/'[1]LOCH Calc COE Calc'!$C$28)</f>
        <v/>
      </c>
      <c r="W2526" t="str">
        <f>IF(L2526="","",R2526/'[1]LOCH Calc COE Calc'!$C$28)</f>
        <v/>
      </c>
    </row>
    <row r="2527" spans="12:23" x14ac:dyDescent="0.25">
      <c r="L2527" s="4" t="str">
        <f>IF('[1]All Data '!BE2532="","",'[1]All Data '!BE2532)</f>
        <v/>
      </c>
      <c r="M2527" t="str">
        <f>IF('[1]All Data '!BF2532="","",'[1]All Data '!BF2532)</f>
        <v/>
      </c>
      <c r="N2527" s="5" t="str">
        <f>IF('[1]All Data '!BB2532="","",'[1]All Data '!BC2532/'[1]All Data '!BH2532)</f>
        <v/>
      </c>
      <c r="O2527" s="5" t="str">
        <f t="shared" si="41"/>
        <v/>
      </c>
      <c r="P2527" s="5" t="str">
        <f>IF(M2527="","",$C$2*(1-L2527)*907.2/0.621371*N2527*[1]Transportation!$M$40)</f>
        <v/>
      </c>
      <c r="Q2527" s="5" t="str">
        <f>IF(L2527="","",IF([1]Inputs_Outputs!$B$5="Herbaceous",(LCA!$E$29*'[1]LOCH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7" s="5" t="str">
        <f>IF(M2527="","",$E$2*1000*'[1]LOCH Calc COE Calc'!$C$44)</f>
        <v/>
      </c>
      <c r="S2527" s="6" t="str">
        <f>IF(N2527="","",SUM(O2527:R2527)/('[1]LOCH Calc COE Calc'!$C$28))</f>
        <v/>
      </c>
      <c r="T2527" t="str">
        <f>IF(L2527="","",O2527/'[1]LOCH Calc COE Calc'!$C$28)</f>
        <v/>
      </c>
      <c r="U2527" t="str">
        <f>IF(L2527="","",P2527/'[1]LOCH Calc COE Calc'!$C$28)</f>
        <v/>
      </c>
      <c r="V2527" t="str">
        <f>IF(L2527="","",Q2527/'[1]LOCH Calc COE Calc'!$C$28)</f>
        <v/>
      </c>
      <c r="W2527" t="str">
        <f>IF(L2527="","",R2527/'[1]LOCH Calc COE Calc'!$C$28)</f>
        <v/>
      </c>
    </row>
    <row r="2528" spans="12:23" x14ac:dyDescent="0.25">
      <c r="L2528" s="4" t="str">
        <f>IF('[1]All Data '!BE2533="","",'[1]All Data '!BE2533)</f>
        <v/>
      </c>
      <c r="M2528" t="str">
        <f>IF('[1]All Data '!BF2533="","",'[1]All Data '!BF2533)</f>
        <v/>
      </c>
      <c r="N2528" s="5" t="str">
        <f>IF('[1]All Data '!BB2533="","",'[1]All Data '!BC2533/'[1]All Data '!BH2533)</f>
        <v/>
      </c>
      <c r="O2528" s="5" t="str">
        <f t="shared" si="41"/>
        <v/>
      </c>
      <c r="P2528" s="5" t="str">
        <f>IF(M2528="","",$C$2*(1-L2528)*907.2/0.621371*N2528*[1]Transportation!$M$40)</f>
        <v/>
      </c>
      <c r="Q2528" s="5" t="str">
        <f>IF(L2528="","",IF([1]Inputs_Outputs!$B$5="Herbaceous",(LCA!$E$29*'[1]LOCH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8" s="5" t="str">
        <f>IF(M2528="","",$E$2*1000*'[1]LOCH Calc COE Calc'!$C$44)</f>
        <v/>
      </c>
      <c r="S2528" s="6" t="str">
        <f>IF(N2528="","",SUM(O2528:R2528)/('[1]LOCH Calc COE Calc'!$C$28))</f>
        <v/>
      </c>
      <c r="T2528" t="str">
        <f>IF(L2528="","",O2528/'[1]LOCH Calc COE Calc'!$C$28)</f>
        <v/>
      </c>
      <c r="U2528" t="str">
        <f>IF(L2528="","",P2528/'[1]LOCH Calc COE Calc'!$C$28)</f>
        <v/>
      </c>
      <c r="V2528" t="str">
        <f>IF(L2528="","",Q2528/'[1]LOCH Calc COE Calc'!$C$28)</f>
        <v/>
      </c>
      <c r="W2528" t="str">
        <f>IF(L2528="","",R2528/'[1]LOCH Calc COE Calc'!$C$28)</f>
        <v/>
      </c>
    </row>
    <row r="2529" spans="12:23" x14ac:dyDescent="0.25">
      <c r="L2529" s="4" t="str">
        <f>IF('[1]All Data '!BE2534="","",'[1]All Data '!BE2534)</f>
        <v/>
      </c>
      <c r="M2529" t="str">
        <f>IF('[1]All Data '!BF2534="","",'[1]All Data '!BF2534)</f>
        <v/>
      </c>
      <c r="N2529" s="5" t="str">
        <f>IF('[1]All Data '!BB2534="","",'[1]All Data '!BC2534/'[1]All Data '!BH2534)</f>
        <v/>
      </c>
      <c r="O2529" s="5" t="str">
        <f t="shared" si="41"/>
        <v/>
      </c>
      <c r="P2529" s="5" t="str">
        <f>IF(M2529="","",$C$2*(1-L2529)*907.2/0.621371*N2529*[1]Transportation!$M$40)</f>
        <v/>
      </c>
      <c r="Q2529" s="5" t="str">
        <f>IF(L2529="","",IF([1]Inputs_Outputs!$B$5="Herbaceous",(LCA!$E$29*'[1]LOCH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29" s="5" t="str">
        <f>IF(M2529="","",$E$2*1000*'[1]LOCH Calc COE Calc'!$C$44)</f>
        <v/>
      </c>
      <c r="S2529" s="6" t="str">
        <f>IF(N2529="","",SUM(O2529:R2529)/('[1]LOCH Calc COE Calc'!$C$28))</f>
        <v/>
      </c>
      <c r="T2529" t="str">
        <f>IF(L2529="","",O2529/'[1]LOCH Calc COE Calc'!$C$28)</f>
        <v/>
      </c>
      <c r="U2529" t="str">
        <f>IF(L2529="","",P2529/'[1]LOCH Calc COE Calc'!$C$28)</f>
        <v/>
      </c>
      <c r="V2529" t="str">
        <f>IF(L2529="","",Q2529/'[1]LOCH Calc COE Calc'!$C$28)</f>
        <v/>
      </c>
      <c r="W2529" t="str">
        <f>IF(L2529="","",R2529/'[1]LOCH Calc COE Calc'!$C$28)</f>
        <v/>
      </c>
    </row>
    <row r="2530" spans="12:23" x14ac:dyDescent="0.25">
      <c r="L2530" s="4" t="str">
        <f>IF('[1]All Data '!BE2535="","",'[1]All Data '!BE2535)</f>
        <v/>
      </c>
      <c r="M2530" t="str">
        <f>IF('[1]All Data '!BF2535="","",'[1]All Data '!BF2535)</f>
        <v/>
      </c>
      <c r="N2530" s="5" t="str">
        <f>IF('[1]All Data '!BB2535="","",'[1]All Data '!BC2535/'[1]All Data '!BH2535)</f>
        <v/>
      </c>
      <c r="O2530" s="5" t="str">
        <f t="shared" si="41"/>
        <v/>
      </c>
      <c r="P2530" s="5" t="str">
        <f>IF(M2530="","",$C$2*(1-L2530)*907.2/0.621371*N2530*[1]Transportation!$M$40)</f>
        <v/>
      </c>
      <c r="Q2530" s="5" t="str">
        <f>IF(L2530="","",IF([1]Inputs_Outputs!$B$5="Herbaceous",(LCA!$E$29*'[1]LOCH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0" s="5" t="str">
        <f>IF(M2530="","",$E$2*1000*'[1]LOCH Calc COE Calc'!$C$44)</f>
        <v/>
      </c>
      <c r="S2530" s="6" t="str">
        <f>IF(N2530="","",SUM(O2530:R2530)/('[1]LOCH Calc COE Calc'!$C$28))</f>
        <v/>
      </c>
      <c r="T2530" t="str">
        <f>IF(L2530="","",O2530/'[1]LOCH Calc COE Calc'!$C$28)</f>
        <v/>
      </c>
      <c r="U2530" t="str">
        <f>IF(L2530="","",P2530/'[1]LOCH Calc COE Calc'!$C$28)</f>
        <v/>
      </c>
      <c r="V2530" t="str">
        <f>IF(L2530="","",Q2530/'[1]LOCH Calc COE Calc'!$C$28)</f>
        <v/>
      </c>
      <c r="W2530" t="str">
        <f>IF(L2530="","",R2530/'[1]LOCH Calc COE Calc'!$C$28)</f>
        <v/>
      </c>
    </row>
    <row r="2531" spans="12:23" x14ac:dyDescent="0.25">
      <c r="L2531" s="4" t="str">
        <f>IF('[1]All Data '!BE2536="","",'[1]All Data '!BE2536)</f>
        <v/>
      </c>
      <c r="M2531" t="str">
        <f>IF('[1]All Data '!BF2536="","",'[1]All Data '!BF2536)</f>
        <v/>
      </c>
      <c r="N2531" s="5" t="str">
        <f>IF('[1]All Data '!BB2536="","",'[1]All Data '!BC2536/'[1]All Data '!BH2536)</f>
        <v/>
      </c>
      <c r="O2531" s="5" t="str">
        <f t="shared" si="41"/>
        <v/>
      </c>
      <c r="P2531" s="5" t="str">
        <f>IF(M2531="","",$C$2*(1-L2531)*907.2/0.621371*N2531*[1]Transportation!$M$40)</f>
        <v/>
      </c>
      <c r="Q2531" s="5" t="str">
        <f>IF(L2531="","",IF([1]Inputs_Outputs!$B$5="Herbaceous",(LCA!$E$29*'[1]LOCH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1" s="5" t="str">
        <f>IF(M2531="","",$E$2*1000*'[1]LOCH Calc COE Calc'!$C$44)</f>
        <v/>
      </c>
      <c r="S2531" s="6" t="str">
        <f>IF(N2531="","",SUM(O2531:R2531)/('[1]LOCH Calc COE Calc'!$C$28))</f>
        <v/>
      </c>
      <c r="T2531" t="str">
        <f>IF(L2531="","",O2531/'[1]LOCH Calc COE Calc'!$C$28)</f>
        <v/>
      </c>
      <c r="U2531" t="str">
        <f>IF(L2531="","",P2531/'[1]LOCH Calc COE Calc'!$C$28)</f>
        <v/>
      </c>
      <c r="V2531" t="str">
        <f>IF(L2531="","",Q2531/'[1]LOCH Calc COE Calc'!$C$28)</f>
        <v/>
      </c>
      <c r="W2531" t="str">
        <f>IF(L2531="","",R2531/'[1]LOCH Calc COE Calc'!$C$28)</f>
        <v/>
      </c>
    </row>
    <row r="2532" spans="12:23" x14ac:dyDescent="0.25">
      <c r="L2532" s="4" t="str">
        <f>IF('[1]All Data '!BE2537="","",'[1]All Data '!BE2537)</f>
        <v/>
      </c>
      <c r="M2532" t="str">
        <f>IF('[1]All Data '!BF2537="","",'[1]All Data '!BF2537)</f>
        <v/>
      </c>
      <c r="N2532" s="5" t="str">
        <f>IF('[1]All Data '!BB2537="","",'[1]All Data '!BC2537/'[1]All Data '!BH2537)</f>
        <v/>
      </c>
      <c r="O2532" s="5" t="str">
        <f t="shared" si="41"/>
        <v/>
      </c>
      <c r="P2532" s="5" t="str">
        <f>IF(M2532="","",$C$2*(1-L2532)*907.2/0.621371*N2532*[1]Transportation!$M$40)</f>
        <v/>
      </c>
      <c r="Q2532" s="5" t="str">
        <f>IF(L2532="","",IF([1]Inputs_Outputs!$B$5="Herbaceous",(LCA!$E$29*'[1]LOCH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2" s="5" t="str">
        <f>IF(M2532="","",$E$2*1000*'[1]LOCH Calc COE Calc'!$C$44)</f>
        <v/>
      </c>
      <c r="S2532" s="6" t="str">
        <f>IF(N2532="","",SUM(O2532:R2532)/('[1]LOCH Calc COE Calc'!$C$28))</f>
        <v/>
      </c>
      <c r="T2532" t="str">
        <f>IF(L2532="","",O2532/'[1]LOCH Calc COE Calc'!$C$28)</f>
        <v/>
      </c>
      <c r="U2532" t="str">
        <f>IF(L2532="","",P2532/'[1]LOCH Calc COE Calc'!$C$28)</f>
        <v/>
      </c>
      <c r="V2532" t="str">
        <f>IF(L2532="","",Q2532/'[1]LOCH Calc COE Calc'!$C$28)</f>
        <v/>
      </c>
      <c r="W2532" t="str">
        <f>IF(L2532="","",R2532/'[1]LOCH Calc COE Calc'!$C$28)</f>
        <v/>
      </c>
    </row>
    <row r="2533" spans="12:23" x14ac:dyDescent="0.25">
      <c r="L2533" s="4" t="str">
        <f>IF('[1]All Data '!BE2538="","",'[1]All Data '!BE2538)</f>
        <v/>
      </c>
      <c r="M2533" t="str">
        <f>IF('[1]All Data '!BF2538="","",'[1]All Data '!BF2538)</f>
        <v/>
      </c>
      <c r="N2533" s="5" t="str">
        <f>IF('[1]All Data '!BB2538="","",'[1]All Data '!BC2538/'[1]All Data '!BH2538)</f>
        <v/>
      </c>
      <c r="O2533" s="5" t="str">
        <f t="shared" si="41"/>
        <v/>
      </c>
      <c r="P2533" s="5" t="str">
        <f>IF(M2533="","",$C$2*(1-L2533)*907.2/0.621371*N2533*[1]Transportation!$M$40)</f>
        <v/>
      </c>
      <c r="Q2533" s="5" t="str">
        <f>IF(L2533="","",IF([1]Inputs_Outputs!$B$5="Herbaceous",(LCA!$E$29*'[1]LOCH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3" s="5" t="str">
        <f>IF(M2533="","",$E$2*1000*'[1]LOCH Calc COE Calc'!$C$44)</f>
        <v/>
      </c>
      <c r="S2533" s="6" t="str">
        <f>IF(N2533="","",SUM(O2533:R2533)/('[1]LOCH Calc COE Calc'!$C$28))</f>
        <v/>
      </c>
      <c r="T2533" t="str">
        <f>IF(L2533="","",O2533/'[1]LOCH Calc COE Calc'!$C$28)</f>
        <v/>
      </c>
      <c r="U2533" t="str">
        <f>IF(L2533="","",P2533/'[1]LOCH Calc COE Calc'!$C$28)</f>
        <v/>
      </c>
      <c r="V2533" t="str">
        <f>IF(L2533="","",Q2533/'[1]LOCH Calc COE Calc'!$C$28)</f>
        <v/>
      </c>
      <c r="W2533" t="str">
        <f>IF(L2533="","",R2533/'[1]LOCH Calc COE Calc'!$C$28)</f>
        <v/>
      </c>
    </row>
    <row r="2534" spans="12:23" x14ac:dyDescent="0.25">
      <c r="L2534" s="4" t="str">
        <f>IF('[1]All Data '!BE2539="","",'[1]All Data '!BE2539)</f>
        <v/>
      </c>
      <c r="M2534" t="str">
        <f>IF('[1]All Data '!BF2539="","",'[1]All Data '!BF2539)</f>
        <v/>
      </c>
      <c r="N2534" s="5" t="str">
        <f>IF('[1]All Data '!BB2539="","",'[1]All Data '!BC2539/'[1]All Data '!BH2539)</f>
        <v/>
      </c>
      <c r="O2534" s="5" t="str">
        <f t="shared" si="41"/>
        <v/>
      </c>
      <c r="P2534" s="5" t="str">
        <f>IF(M2534="","",$C$2*(1-L2534)*907.2/0.621371*N2534*[1]Transportation!$M$40)</f>
        <v/>
      </c>
      <c r="Q2534" s="5" t="str">
        <f>IF(L2534="","",IF([1]Inputs_Outputs!$B$5="Herbaceous",(LCA!$E$29*'[1]LOCH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4" s="5" t="str">
        <f>IF(M2534="","",$E$2*1000*'[1]LOCH Calc COE Calc'!$C$44)</f>
        <v/>
      </c>
      <c r="S2534" s="6" t="str">
        <f>IF(N2534="","",SUM(O2534:R2534)/('[1]LOCH Calc COE Calc'!$C$28))</f>
        <v/>
      </c>
      <c r="T2534" t="str">
        <f>IF(L2534="","",O2534/'[1]LOCH Calc COE Calc'!$C$28)</f>
        <v/>
      </c>
      <c r="U2534" t="str">
        <f>IF(L2534="","",P2534/'[1]LOCH Calc COE Calc'!$C$28)</f>
        <v/>
      </c>
      <c r="V2534" t="str">
        <f>IF(L2534="","",Q2534/'[1]LOCH Calc COE Calc'!$C$28)</f>
        <v/>
      </c>
      <c r="W2534" t="str">
        <f>IF(L2534="","",R2534/'[1]LOCH Calc COE Calc'!$C$28)</f>
        <v/>
      </c>
    </row>
    <row r="2535" spans="12:23" x14ac:dyDescent="0.25">
      <c r="L2535" s="4" t="str">
        <f>IF('[1]All Data '!BE2540="","",'[1]All Data '!BE2540)</f>
        <v/>
      </c>
      <c r="M2535" t="str">
        <f>IF('[1]All Data '!BF2540="","",'[1]All Data '!BF2540)</f>
        <v/>
      </c>
      <c r="N2535" s="5" t="str">
        <f>IF('[1]All Data '!BB2540="","",'[1]All Data '!BC2540/'[1]All Data '!BH2540)</f>
        <v/>
      </c>
      <c r="O2535" s="5" t="str">
        <f t="shared" si="41"/>
        <v/>
      </c>
      <c r="P2535" s="5" t="str">
        <f>IF(M2535="","",$C$2*(1-L2535)*907.2/0.621371*N2535*[1]Transportation!$M$40)</f>
        <v/>
      </c>
      <c r="Q2535" s="5" t="str">
        <f>IF(L2535="","",IF([1]Inputs_Outputs!$B$5="Herbaceous",(LCA!$E$29*'[1]LOCH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5" s="5" t="str">
        <f>IF(M2535="","",$E$2*1000*'[1]LOCH Calc COE Calc'!$C$44)</f>
        <v/>
      </c>
      <c r="S2535" s="6" t="str">
        <f>IF(N2535="","",SUM(O2535:R2535)/('[1]LOCH Calc COE Calc'!$C$28))</f>
        <v/>
      </c>
      <c r="T2535" t="str">
        <f>IF(L2535="","",O2535/'[1]LOCH Calc COE Calc'!$C$28)</f>
        <v/>
      </c>
      <c r="U2535" t="str">
        <f>IF(L2535="","",P2535/'[1]LOCH Calc COE Calc'!$C$28)</f>
        <v/>
      </c>
      <c r="V2535" t="str">
        <f>IF(L2535="","",Q2535/'[1]LOCH Calc COE Calc'!$C$28)</f>
        <v/>
      </c>
      <c r="W2535" t="str">
        <f>IF(L2535="","",R2535/'[1]LOCH Calc COE Calc'!$C$28)</f>
        <v/>
      </c>
    </row>
    <row r="2536" spans="12:23" x14ac:dyDescent="0.25">
      <c r="L2536" s="4" t="str">
        <f>IF('[1]All Data '!BE2541="","",'[1]All Data '!BE2541)</f>
        <v/>
      </c>
      <c r="M2536" t="str">
        <f>IF('[1]All Data '!BF2541="","",'[1]All Data '!BF2541)</f>
        <v/>
      </c>
      <c r="N2536" s="5" t="str">
        <f>IF('[1]All Data '!BB2541="","",'[1]All Data '!BC2541/'[1]All Data '!BH2541)</f>
        <v/>
      </c>
      <c r="O2536" s="5" t="str">
        <f t="shared" si="41"/>
        <v/>
      </c>
      <c r="P2536" s="5" t="str">
        <f>IF(M2536="","",$C$2*(1-L2536)*907.2/0.621371*N2536*[1]Transportation!$M$40)</f>
        <v/>
      </c>
      <c r="Q2536" s="5" t="str">
        <f>IF(L2536="","",IF([1]Inputs_Outputs!$B$5="Herbaceous",(LCA!$E$29*'[1]LOCH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6" s="5" t="str">
        <f>IF(M2536="","",$E$2*1000*'[1]LOCH Calc COE Calc'!$C$44)</f>
        <v/>
      </c>
      <c r="S2536" s="6" t="str">
        <f>IF(N2536="","",SUM(O2536:R2536)/('[1]LOCH Calc COE Calc'!$C$28))</f>
        <v/>
      </c>
      <c r="T2536" t="str">
        <f>IF(L2536="","",O2536/'[1]LOCH Calc COE Calc'!$C$28)</f>
        <v/>
      </c>
      <c r="U2536" t="str">
        <f>IF(L2536="","",P2536/'[1]LOCH Calc COE Calc'!$C$28)</f>
        <v/>
      </c>
      <c r="V2536" t="str">
        <f>IF(L2536="","",Q2536/'[1]LOCH Calc COE Calc'!$C$28)</f>
        <v/>
      </c>
      <c r="W2536" t="str">
        <f>IF(L2536="","",R2536/'[1]LOCH Calc COE Calc'!$C$28)</f>
        <v/>
      </c>
    </row>
    <row r="2537" spans="12:23" x14ac:dyDescent="0.25">
      <c r="L2537" s="4" t="str">
        <f>IF('[1]All Data '!BE2542="","",'[1]All Data '!BE2542)</f>
        <v/>
      </c>
      <c r="M2537" t="str">
        <f>IF('[1]All Data '!BF2542="","",'[1]All Data '!BF2542)</f>
        <v/>
      </c>
      <c r="N2537" s="5" t="str">
        <f>IF('[1]All Data '!BB2542="","",'[1]All Data '!BC2542/'[1]All Data '!BH2542)</f>
        <v/>
      </c>
      <c r="O2537" s="5" t="str">
        <f t="shared" si="41"/>
        <v/>
      </c>
      <c r="P2537" s="5" t="str">
        <f>IF(M2537="","",$C$2*(1-L2537)*907.2/0.621371*N2537*[1]Transportation!$M$40)</f>
        <v/>
      </c>
      <c r="Q2537" s="5" t="str">
        <f>IF(L2537="","",IF([1]Inputs_Outputs!$B$5="Herbaceous",(LCA!$E$29*'[1]LOCH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7" s="5" t="str">
        <f>IF(M2537="","",$E$2*1000*'[1]LOCH Calc COE Calc'!$C$44)</f>
        <v/>
      </c>
      <c r="S2537" s="6" t="str">
        <f>IF(N2537="","",SUM(O2537:R2537)/('[1]LOCH Calc COE Calc'!$C$28))</f>
        <v/>
      </c>
      <c r="T2537" t="str">
        <f>IF(L2537="","",O2537/'[1]LOCH Calc COE Calc'!$C$28)</f>
        <v/>
      </c>
      <c r="U2537" t="str">
        <f>IF(L2537="","",P2537/'[1]LOCH Calc COE Calc'!$C$28)</f>
        <v/>
      </c>
      <c r="V2537" t="str">
        <f>IF(L2537="","",Q2537/'[1]LOCH Calc COE Calc'!$C$28)</f>
        <v/>
      </c>
      <c r="W2537" t="str">
        <f>IF(L2537="","",R2537/'[1]LOCH Calc COE Calc'!$C$28)</f>
        <v/>
      </c>
    </row>
    <row r="2538" spans="12:23" x14ac:dyDescent="0.25">
      <c r="L2538" s="4" t="str">
        <f>IF('[1]All Data '!BE2543="","",'[1]All Data '!BE2543)</f>
        <v/>
      </c>
      <c r="M2538" t="str">
        <f>IF('[1]All Data '!BF2543="","",'[1]All Data '!BF2543)</f>
        <v/>
      </c>
      <c r="N2538" s="5" t="str">
        <f>IF('[1]All Data '!BB2543="","",'[1]All Data '!BC2543/'[1]All Data '!BH2543)</f>
        <v/>
      </c>
      <c r="O2538" s="5" t="str">
        <f t="shared" si="41"/>
        <v/>
      </c>
      <c r="P2538" s="5" t="str">
        <f>IF(M2538="","",$C$2*(1-L2538)*907.2/0.621371*N2538*[1]Transportation!$M$40)</f>
        <v/>
      </c>
      <c r="Q2538" s="5" t="str">
        <f>IF(L2538="","",IF([1]Inputs_Outputs!$B$5="Herbaceous",(LCA!$E$29*'[1]LOCH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8" s="5" t="str">
        <f>IF(M2538="","",$E$2*1000*'[1]LOCH Calc COE Calc'!$C$44)</f>
        <v/>
      </c>
      <c r="S2538" s="6" t="str">
        <f>IF(N2538="","",SUM(O2538:R2538)/('[1]LOCH Calc COE Calc'!$C$28))</f>
        <v/>
      </c>
      <c r="T2538" t="str">
        <f>IF(L2538="","",O2538/'[1]LOCH Calc COE Calc'!$C$28)</f>
        <v/>
      </c>
      <c r="U2538" t="str">
        <f>IF(L2538="","",P2538/'[1]LOCH Calc COE Calc'!$C$28)</f>
        <v/>
      </c>
      <c r="V2538" t="str">
        <f>IF(L2538="","",Q2538/'[1]LOCH Calc COE Calc'!$C$28)</f>
        <v/>
      </c>
      <c r="W2538" t="str">
        <f>IF(L2538="","",R2538/'[1]LOCH Calc COE Calc'!$C$28)</f>
        <v/>
      </c>
    </row>
    <row r="2539" spans="12:23" x14ac:dyDescent="0.25">
      <c r="L2539" s="4" t="str">
        <f>IF('[1]All Data '!BE2544="","",'[1]All Data '!BE2544)</f>
        <v/>
      </c>
      <c r="M2539" t="str">
        <f>IF('[1]All Data '!BF2544="","",'[1]All Data '!BF2544)</f>
        <v/>
      </c>
      <c r="N2539" s="5" t="str">
        <f>IF('[1]All Data '!BB2544="","",'[1]All Data '!BC2544/'[1]All Data '!BH2544)</f>
        <v/>
      </c>
      <c r="O2539" s="5" t="str">
        <f t="shared" si="41"/>
        <v/>
      </c>
      <c r="P2539" s="5" t="str">
        <f>IF(M2539="","",$C$2*(1-L2539)*907.2/0.621371*N2539*[1]Transportation!$M$40)</f>
        <v/>
      </c>
      <c r="Q2539" s="5" t="str">
        <f>IF(L2539="","",IF([1]Inputs_Outputs!$B$5="Herbaceous",(LCA!$E$29*'[1]LOCH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39" s="5" t="str">
        <f>IF(M2539="","",$E$2*1000*'[1]LOCH Calc COE Calc'!$C$44)</f>
        <v/>
      </c>
      <c r="S2539" s="6" t="str">
        <f>IF(N2539="","",SUM(O2539:R2539)/('[1]LOCH Calc COE Calc'!$C$28))</f>
        <v/>
      </c>
      <c r="T2539" t="str">
        <f>IF(L2539="","",O2539/'[1]LOCH Calc COE Calc'!$C$28)</f>
        <v/>
      </c>
      <c r="U2539" t="str">
        <f>IF(L2539="","",P2539/'[1]LOCH Calc COE Calc'!$C$28)</f>
        <v/>
      </c>
      <c r="V2539" t="str">
        <f>IF(L2539="","",Q2539/'[1]LOCH Calc COE Calc'!$C$28)</f>
        <v/>
      </c>
      <c r="W2539" t="str">
        <f>IF(L2539="","",R2539/'[1]LOCH Calc COE Calc'!$C$28)</f>
        <v/>
      </c>
    </row>
    <row r="2540" spans="12:23" x14ac:dyDescent="0.25">
      <c r="L2540" s="4" t="str">
        <f>IF('[1]All Data '!BE2545="","",'[1]All Data '!BE2545)</f>
        <v/>
      </c>
      <c r="M2540" t="str">
        <f>IF('[1]All Data '!BF2545="","",'[1]All Data '!BF2545)</f>
        <v/>
      </c>
      <c r="N2540" s="5" t="str">
        <f>IF('[1]All Data '!BB2545="","",'[1]All Data '!BC2545/'[1]All Data '!BH2545)</f>
        <v/>
      </c>
      <c r="O2540" s="5" t="str">
        <f t="shared" si="41"/>
        <v/>
      </c>
      <c r="P2540" s="5" t="str">
        <f>IF(M2540="","",$C$2*(1-L2540)*907.2/0.621371*N2540*[1]Transportation!$M$40)</f>
        <v/>
      </c>
      <c r="Q2540" s="5" t="str">
        <f>IF(L2540="","",IF([1]Inputs_Outputs!$B$5="Herbaceous",(LCA!$E$29*'[1]LOCH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0" s="5" t="str">
        <f>IF(M2540="","",$E$2*1000*'[1]LOCH Calc COE Calc'!$C$44)</f>
        <v/>
      </c>
      <c r="S2540" s="6" t="str">
        <f>IF(N2540="","",SUM(O2540:R2540)/('[1]LOCH Calc COE Calc'!$C$28))</f>
        <v/>
      </c>
      <c r="T2540" t="str">
        <f>IF(L2540="","",O2540/'[1]LOCH Calc COE Calc'!$C$28)</f>
        <v/>
      </c>
      <c r="U2540" t="str">
        <f>IF(L2540="","",P2540/'[1]LOCH Calc COE Calc'!$C$28)</f>
        <v/>
      </c>
      <c r="V2540" t="str">
        <f>IF(L2540="","",Q2540/'[1]LOCH Calc COE Calc'!$C$28)</f>
        <v/>
      </c>
      <c r="W2540" t="str">
        <f>IF(L2540="","",R2540/'[1]LOCH Calc COE Calc'!$C$28)</f>
        <v/>
      </c>
    </row>
    <row r="2541" spans="12:23" x14ac:dyDescent="0.25">
      <c r="L2541" s="4" t="str">
        <f>IF('[1]All Data '!BE2546="","",'[1]All Data '!BE2546)</f>
        <v/>
      </c>
      <c r="M2541" t="str">
        <f>IF('[1]All Data '!BF2546="","",'[1]All Data '!BF2546)</f>
        <v/>
      </c>
      <c r="N2541" s="5" t="str">
        <f>IF('[1]All Data '!BB2546="","",'[1]All Data '!BC2546/'[1]All Data '!BH2546)</f>
        <v/>
      </c>
      <c r="O2541" s="5" t="str">
        <f t="shared" si="41"/>
        <v/>
      </c>
      <c r="P2541" s="5" t="str">
        <f>IF(M2541="","",$C$2*(1-L2541)*907.2/0.621371*N2541*[1]Transportation!$M$40)</f>
        <v/>
      </c>
      <c r="Q2541" s="5" t="str">
        <f>IF(L2541="","",IF([1]Inputs_Outputs!$B$5="Herbaceous",(LCA!$E$29*'[1]LOCH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1" s="5" t="str">
        <f>IF(M2541="","",$E$2*1000*'[1]LOCH Calc COE Calc'!$C$44)</f>
        <v/>
      </c>
      <c r="S2541" s="6" t="str">
        <f>IF(N2541="","",SUM(O2541:R2541)/('[1]LOCH Calc COE Calc'!$C$28))</f>
        <v/>
      </c>
      <c r="T2541" t="str">
        <f>IF(L2541="","",O2541/'[1]LOCH Calc COE Calc'!$C$28)</f>
        <v/>
      </c>
      <c r="U2541" t="str">
        <f>IF(L2541="","",P2541/'[1]LOCH Calc COE Calc'!$C$28)</f>
        <v/>
      </c>
      <c r="V2541" t="str">
        <f>IF(L2541="","",Q2541/'[1]LOCH Calc COE Calc'!$C$28)</f>
        <v/>
      </c>
      <c r="W2541" t="str">
        <f>IF(L2541="","",R2541/'[1]LOCH Calc COE Calc'!$C$28)</f>
        <v/>
      </c>
    </row>
    <row r="2542" spans="12:23" x14ac:dyDescent="0.25">
      <c r="L2542" s="4" t="str">
        <f>IF('[1]All Data '!BE2547="","",'[1]All Data '!BE2547)</f>
        <v/>
      </c>
      <c r="M2542" t="str">
        <f>IF('[1]All Data '!BF2547="","",'[1]All Data '!BF2547)</f>
        <v/>
      </c>
      <c r="N2542" s="5" t="str">
        <f>IF('[1]All Data '!BB2547="","",'[1]All Data '!BC2547/'[1]All Data '!BH2547)</f>
        <v/>
      </c>
      <c r="O2542" s="5" t="str">
        <f t="shared" si="41"/>
        <v/>
      </c>
      <c r="P2542" s="5" t="str">
        <f>IF(M2542="","",$C$2*(1-L2542)*907.2/0.621371*N2542*[1]Transportation!$M$40)</f>
        <v/>
      </c>
      <c r="Q2542" s="5" t="str">
        <f>IF(L2542="","",IF([1]Inputs_Outputs!$B$5="Herbaceous",(LCA!$E$29*'[1]LOCH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2" s="5" t="str">
        <f>IF(M2542="","",$E$2*1000*'[1]LOCH Calc COE Calc'!$C$44)</f>
        <v/>
      </c>
      <c r="S2542" s="6" t="str">
        <f>IF(N2542="","",SUM(O2542:R2542)/('[1]LOCH Calc COE Calc'!$C$28))</f>
        <v/>
      </c>
      <c r="T2542" t="str">
        <f>IF(L2542="","",O2542/'[1]LOCH Calc COE Calc'!$C$28)</f>
        <v/>
      </c>
      <c r="U2542" t="str">
        <f>IF(L2542="","",P2542/'[1]LOCH Calc COE Calc'!$C$28)</f>
        <v/>
      </c>
      <c r="V2542" t="str">
        <f>IF(L2542="","",Q2542/'[1]LOCH Calc COE Calc'!$C$28)</f>
        <v/>
      </c>
      <c r="W2542" t="str">
        <f>IF(L2542="","",R2542/'[1]LOCH Calc COE Calc'!$C$28)</f>
        <v/>
      </c>
    </row>
    <row r="2543" spans="12:23" x14ac:dyDescent="0.25">
      <c r="L2543" s="4" t="str">
        <f>IF('[1]All Data '!BE2548="","",'[1]All Data '!BE2548)</f>
        <v/>
      </c>
      <c r="M2543" t="str">
        <f>IF('[1]All Data '!BF2548="","",'[1]All Data '!BF2548)</f>
        <v/>
      </c>
      <c r="N2543" s="5" t="str">
        <f>IF('[1]All Data '!BB2548="","",'[1]All Data '!BC2548/'[1]All Data '!BH2548)</f>
        <v/>
      </c>
      <c r="O2543" s="5" t="str">
        <f t="shared" si="41"/>
        <v/>
      </c>
      <c r="P2543" s="5" t="str">
        <f>IF(M2543="","",$C$2*(1-L2543)*907.2/0.621371*N2543*[1]Transportation!$M$40)</f>
        <v/>
      </c>
      <c r="Q2543" s="5" t="str">
        <f>IF(L2543="","",IF([1]Inputs_Outputs!$B$5="Herbaceous",(LCA!$E$29*'[1]LOCH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3" s="5" t="str">
        <f>IF(M2543="","",$E$2*1000*'[1]LOCH Calc COE Calc'!$C$44)</f>
        <v/>
      </c>
      <c r="S2543" s="6" t="str">
        <f>IF(N2543="","",SUM(O2543:R2543)/('[1]LOCH Calc COE Calc'!$C$28))</f>
        <v/>
      </c>
      <c r="T2543" t="str">
        <f>IF(L2543="","",O2543/'[1]LOCH Calc COE Calc'!$C$28)</f>
        <v/>
      </c>
      <c r="U2543" t="str">
        <f>IF(L2543="","",P2543/'[1]LOCH Calc COE Calc'!$C$28)</f>
        <v/>
      </c>
      <c r="V2543" t="str">
        <f>IF(L2543="","",Q2543/'[1]LOCH Calc COE Calc'!$C$28)</f>
        <v/>
      </c>
      <c r="W2543" t="str">
        <f>IF(L2543="","",R2543/'[1]LOCH Calc COE Calc'!$C$28)</f>
        <v/>
      </c>
    </row>
    <row r="2544" spans="12:23" x14ac:dyDescent="0.25">
      <c r="L2544" s="4" t="str">
        <f>IF('[1]All Data '!BE2549="","",'[1]All Data '!BE2549)</f>
        <v/>
      </c>
      <c r="M2544" t="str">
        <f>IF('[1]All Data '!BF2549="","",'[1]All Data '!BF2549)</f>
        <v/>
      </c>
      <c r="N2544" s="5" t="str">
        <f>IF('[1]All Data '!BB2549="","",'[1]All Data '!BC2549/'[1]All Data '!BH2549)</f>
        <v/>
      </c>
      <c r="O2544" s="5" t="str">
        <f t="shared" si="41"/>
        <v/>
      </c>
      <c r="P2544" s="5" t="str">
        <f>IF(M2544="","",$C$2*(1-L2544)*907.2/0.621371*N2544*[1]Transportation!$M$40)</f>
        <v/>
      </c>
      <c r="Q2544" s="5" t="str">
        <f>IF(L2544="","",IF([1]Inputs_Outputs!$B$5="Herbaceous",(LCA!$E$29*'[1]LOCH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4" s="5" t="str">
        <f>IF(M2544="","",$E$2*1000*'[1]LOCH Calc COE Calc'!$C$44)</f>
        <v/>
      </c>
      <c r="S2544" s="6" t="str">
        <f>IF(N2544="","",SUM(O2544:R2544)/('[1]LOCH Calc COE Calc'!$C$28))</f>
        <v/>
      </c>
      <c r="T2544" t="str">
        <f>IF(L2544="","",O2544/'[1]LOCH Calc COE Calc'!$C$28)</f>
        <v/>
      </c>
      <c r="U2544" t="str">
        <f>IF(L2544="","",P2544/'[1]LOCH Calc COE Calc'!$C$28)</f>
        <v/>
      </c>
      <c r="V2544" t="str">
        <f>IF(L2544="","",Q2544/'[1]LOCH Calc COE Calc'!$C$28)</f>
        <v/>
      </c>
      <c r="W2544" t="str">
        <f>IF(L2544="","",R2544/'[1]LOCH Calc COE Calc'!$C$28)</f>
        <v/>
      </c>
    </row>
    <row r="2545" spans="12:23" x14ac:dyDescent="0.25">
      <c r="L2545" s="4" t="str">
        <f>IF('[1]All Data '!BE2550="","",'[1]All Data '!BE2550)</f>
        <v/>
      </c>
      <c r="M2545" t="str">
        <f>IF('[1]All Data '!BF2550="","",'[1]All Data '!BF2550)</f>
        <v/>
      </c>
      <c r="N2545" s="5" t="str">
        <f>IF('[1]All Data '!BB2550="","",'[1]All Data '!BC2550/'[1]All Data '!BH2550)</f>
        <v/>
      </c>
      <c r="O2545" s="5" t="str">
        <f t="shared" si="41"/>
        <v/>
      </c>
      <c r="P2545" s="5" t="str">
        <f>IF(M2545="","",$C$2*(1-L2545)*907.2/0.621371*N2545*[1]Transportation!$M$40)</f>
        <v/>
      </c>
      <c r="Q2545" s="5" t="str">
        <f>IF(L2545="","",IF([1]Inputs_Outputs!$B$5="Herbaceous",(LCA!$E$29*'[1]LOCH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5" s="5" t="str">
        <f>IF(M2545="","",$E$2*1000*'[1]LOCH Calc COE Calc'!$C$44)</f>
        <v/>
      </c>
      <c r="S2545" s="6" t="str">
        <f>IF(N2545="","",SUM(O2545:R2545)/('[1]LOCH Calc COE Calc'!$C$28))</f>
        <v/>
      </c>
      <c r="T2545" t="str">
        <f>IF(L2545="","",O2545/'[1]LOCH Calc COE Calc'!$C$28)</f>
        <v/>
      </c>
      <c r="U2545" t="str">
        <f>IF(L2545="","",P2545/'[1]LOCH Calc COE Calc'!$C$28)</f>
        <v/>
      </c>
      <c r="V2545" t="str">
        <f>IF(L2545="","",Q2545/'[1]LOCH Calc COE Calc'!$C$28)</f>
        <v/>
      </c>
      <c r="W2545" t="str">
        <f>IF(L2545="","",R2545/'[1]LOCH Calc COE Calc'!$C$28)</f>
        <v/>
      </c>
    </row>
    <row r="2546" spans="12:23" x14ac:dyDescent="0.25">
      <c r="L2546" s="4" t="str">
        <f>IF('[1]All Data '!BE2551="","",'[1]All Data '!BE2551)</f>
        <v/>
      </c>
      <c r="M2546" t="str">
        <f>IF('[1]All Data '!BF2551="","",'[1]All Data '!BF2551)</f>
        <v/>
      </c>
      <c r="N2546" s="5" t="str">
        <f>IF('[1]All Data '!BB2551="","",'[1]All Data '!BC2551/'[1]All Data '!BH2551)</f>
        <v/>
      </c>
      <c r="O2546" s="5" t="str">
        <f t="shared" si="41"/>
        <v/>
      </c>
      <c r="P2546" s="5" t="str">
        <f>IF(M2546="","",$C$2*(1-L2546)*907.2/0.621371*N2546*[1]Transportation!$M$40)</f>
        <v/>
      </c>
      <c r="Q2546" s="5" t="str">
        <f>IF(L2546="","",IF([1]Inputs_Outputs!$B$5="Herbaceous",(LCA!$E$29*'[1]LOCH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6" s="5" t="str">
        <f>IF(M2546="","",$E$2*1000*'[1]LOCH Calc COE Calc'!$C$44)</f>
        <v/>
      </c>
      <c r="S2546" s="6" t="str">
        <f>IF(N2546="","",SUM(O2546:R2546)/('[1]LOCH Calc COE Calc'!$C$28))</f>
        <v/>
      </c>
      <c r="T2546" t="str">
        <f>IF(L2546="","",O2546/'[1]LOCH Calc COE Calc'!$C$28)</f>
        <v/>
      </c>
      <c r="U2546" t="str">
        <f>IF(L2546="","",P2546/'[1]LOCH Calc COE Calc'!$C$28)</f>
        <v/>
      </c>
      <c r="V2546" t="str">
        <f>IF(L2546="","",Q2546/'[1]LOCH Calc COE Calc'!$C$28)</f>
        <v/>
      </c>
      <c r="W2546" t="str">
        <f>IF(L2546="","",R2546/'[1]LOCH Calc COE Calc'!$C$28)</f>
        <v/>
      </c>
    </row>
    <row r="2547" spans="12:23" x14ac:dyDescent="0.25">
      <c r="L2547" s="4" t="str">
        <f>IF('[1]All Data '!BE2552="","",'[1]All Data '!BE2552)</f>
        <v/>
      </c>
      <c r="M2547" t="str">
        <f>IF('[1]All Data '!BF2552="","",'[1]All Data '!BF2552)</f>
        <v/>
      </c>
      <c r="N2547" s="5" t="str">
        <f>IF('[1]All Data '!BB2552="","",'[1]All Data '!BC2552/'[1]All Data '!BH2552)</f>
        <v/>
      </c>
      <c r="O2547" s="5" t="str">
        <f t="shared" si="41"/>
        <v/>
      </c>
      <c r="P2547" s="5" t="str">
        <f>IF(M2547="","",$C$2*(1-L2547)*907.2/0.621371*N2547*[1]Transportation!$M$40)</f>
        <v/>
      </c>
      <c r="Q2547" s="5" t="str">
        <f>IF(L2547="","",IF([1]Inputs_Outputs!$B$5="Herbaceous",(LCA!$E$29*'[1]LOCH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7" s="5" t="str">
        <f>IF(M2547="","",$E$2*1000*'[1]LOCH Calc COE Calc'!$C$44)</f>
        <v/>
      </c>
      <c r="S2547" s="6" t="str">
        <f>IF(N2547="","",SUM(O2547:R2547)/('[1]LOCH Calc COE Calc'!$C$28))</f>
        <v/>
      </c>
      <c r="T2547" t="str">
        <f>IF(L2547="","",O2547/'[1]LOCH Calc COE Calc'!$C$28)</f>
        <v/>
      </c>
      <c r="U2547" t="str">
        <f>IF(L2547="","",P2547/'[1]LOCH Calc COE Calc'!$C$28)</f>
        <v/>
      </c>
      <c r="V2547" t="str">
        <f>IF(L2547="","",Q2547/'[1]LOCH Calc COE Calc'!$C$28)</f>
        <v/>
      </c>
      <c r="W2547" t="str">
        <f>IF(L2547="","",R2547/'[1]LOCH Calc COE Calc'!$C$28)</f>
        <v/>
      </c>
    </row>
    <row r="2548" spans="12:23" x14ac:dyDescent="0.25">
      <c r="L2548" s="4" t="str">
        <f>IF('[1]All Data '!BE2553="","",'[1]All Data '!BE2553)</f>
        <v/>
      </c>
      <c r="M2548" t="str">
        <f>IF('[1]All Data '!BF2553="","",'[1]All Data '!BF2553)</f>
        <v/>
      </c>
      <c r="N2548" s="5" t="str">
        <f>IF('[1]All Data '!BB2553="","",'[1]All Data '!BC2553/'[1]All Data '!BH2553)</f>
        <v/>
      </c>
      <c r="O2548" s="5" t="str">
        <f t="shared" si="41"/>
        <v/>
      </c>
      <c r="P2548" s="5" t="str">
        <f>IF(M2548="","",$C$2*(1-L2548)*907.2/0.621371*N2548*[1]Transportation!$M$40)</f>
        <v/>
      </c>
      <c r="Q2548" s="5" t="str">
        <f>IF(L2548="","",IF([1]Inputs_Outputs!$B$5="Herbaceous",(LCA!$E$29*'[1]LOCH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8" s="5" t="str">
        <f>IF(M2548="","",$E$2*1000*'[1]LOCH Calc COE Calc'!$C$44)</f>
        <v/>
      </c>
      <c r="S2548" s="6" t="str">
        <f>IF(N2548="","",SUM(O2548:R2548)/('[1]LOCH Calc COE Calc'!$C$28))</f>
        <v/>
      </c>
      <c r="T2548" t="str">
        <f>IF(L2548="","",O2548/'[1]LOCH Calc COE Calc'!$C$28)</f>
        <v/>
      </c>
      <c r="U2548" t="str">
        <f>IF(L2548="","",P2548/'[1]LOCH Calc COE Calc'!$C$28)</f>
        <v/>
      </c>
      <c r="V2548" t="str">
        <f>IF(L2548="","",Q2548/'[1]LOCH Calc COE Calc'!$C$28)</f>
        <v/>
      </c>
      <c r="W2548" t="str">
        <f>IF(L2548="","",R2548/'[1]LOCH Calc COE Calc'!$C$28)</f>
        <v/>
      </c>
    </row>
    <row r="2549" spans="12:23" x14ac:dyDescent="0.25">
      <c r="L2549" s="4" t="str">
        <f>IF('[1]All Data '!BE2554="","",'[1]All Data '!BE2554)</f>
        <v/>
      </c>
      <c r="M2549" t="str">
        <f>IF('[1]All Data '!BF2554="","",'[1]All Data '!BF2554)</f>
        <v/>
      </c>
      <c r="N2549" s="5" t="str">
        <f>IF('[1]All Data '!BB2554="","",'[1]All Data '!BC2554/'[1]All Data '!BH2554)</f>
        <v/>
      </c>
      <c r="O2549" s="5" t="str">
        <f t="shared" si="41"/>
        <v/>
      </c>
      <c r="P2549" s="5" t="str">
        <f>IF(M2549="","",$C$2*(1-L2549)*907.2/0.621371*N2549*[1]Transportation!$M$40)</f>
        <v/>
      </c>
      <c r="Q2549" s="5" t="str">
        <f>IF(L2549="","",IF([1]Inputs_Outputs!$B$5="Herbaceous",(LCA!$E$29*'[1]LOCH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49" s="5" t="str">
        <f>IF(M2549="","",$E$2*1000*'[1]LOCH Calc COE Calc'!$C$44)</f>
        <v/>
      </c>
      <c r="S2549" s="6" t="str">
        <f>IF(N2549="","",SUM(O2549:R2549)/('[1]LOCH Calc COE Calc'!$C$28))</f>
        <v/>
      </c>
      <c r="T2549" t="str">
        <f>IF(L2549="","",O2549/'[1]LOCH Calc COE Calc'!$C$28)</f>
        <v/>
      </c>
      <c r="U2549" t="str">
        <f>IF(L2549="","",P2549/'[1]LOCH Calc COE Calc'!$C$28)</f>
        <v/>
      </c>
      <c r="V2549" t="str">
        <f>IF(L2549="","",Q2549/'[1]LOCH Calc COE Calc'!$C$28)</f>
        <v/>
      </c>
      <c r="W2549" t="str">
        <f>IF(L2549="","",R2549/'[1]LOCH Calc COE Calc'!$C$28)</f>
        <v/>
      </c>
    </row>
    <row r="2550" spans="12:23" x14ac:dyDescent="0.25">
      <c r="L2550" s="4" t="str">
        <f>IF('[1]All Data '!BE2555="","",'[1]All Data '!BE2555)</f>
        <v/>
      </c>
      <c r="M2550" t="str">
        <f>IF('[1]All Data '!BF2555="","",'[1]All Data '!BF2555)</f>
        <v/>
      </c>
      <c r="N2550" s="5" t="str">
        <f>IF('[1]All Data '!BB2555="","",'[1]All Data '!BC2555/'[1]All Data '!BH2555)</f>
        <v/>
      </c>
      <c r="O2550" s="5" t="str">
        <f t="shared" si="41"/>
        <v/>
      </c>
      <c r="P2550" s="5" t="str">
        <f>IF(M2550="","",$C$2*(1-L2550)*907.2/0.621371*N2550*[1]Transportation!$M$40)</f>
        <v/>
      </c>
      <c r="Q2550" s="5" t="str">
        <f>IF(L2550="","",IF([1]Inputs_Outputs!$B$5="Herbaceous",(LCA!$E$29*'[1]LOCH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0" s="5" t="str">
        <f>IF(M2550="","",$E$2*1000*'[1]LOCH Calc COE Calc'!$C$44)</f>
        <v/>
      </c>
      <c r="S2550" s="6" t="str">
        <f>IF(N2550="","",SUM(O2550:R2550)/('[1]LOCH Calc COE Calc'!$C$28))</f>
        <v/>
      </c>
      <c r="T2550" t="str">
        <f>IF(L2550="","",O2550/'[1]LOCH Calc COE Calc'!$C$28)</f>
        <v/>
      </c>
      <c r="U2550" t="str">
        <f>IF(L2550="","",P2550/'[1]LOCH Calc COE Calc'!$C$28)</f>
        <v/>
      </c>
      <c r="V2550" t="str">
        <f>IF(L2550="","",Q2550/'[1]LOCH Calc COE Calc'!$C$28)</f>
        <v/>
      </c>
      <c r="W2550" t="str">
        <f>IF(L2550="","",R2550/'[1]LOCH Calc COE Calc'!$C$28)</f>
        <v/>
      </c>
    </row>
    <row r="2551" spans="12:23" x14ac:dyDescent="0.25">
      <c r="L2551" s="4" t="str">
        <f>IF('[1]All Data '!BE2556="","",'[1]All Data '!BE2556)</f>
        <v/>
      </c>
      <c r="M2551" t="str">
        <f>IF('[1]All Data '!BF2556="","",'[1]All Data '!BF2556)</f>
        <v/>
      </c>
      <c r="N2551" s="5" t="str">
        <f>IF('[1]All Data '!BB2556="","",'[1]All Data '!BC2556/'[1]All Data '!BH2556)</f>
        <v/>
      </c>
      <c r="O2551" s="5" t="str">
        <f t="shared" si="41"/>
        <v/>
      </c>
      <c r="P2551" s="5" t="str">
        <f>IF(M2551="","",$C$2*(1-L2551)*907.2/0.621371*N2551*[1]Transportation!$M$40)</f>
        <v/>
      </c>
      <c r="Q2551" s="5" t="str">
        <f>IF(L2551="","",IF([1]Inputs_Outputs!$B$5="Herbaceous",(LCA!$E$29*'[1]LOCH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1" s="5" t="str">
        <f>IF(M2551="","",$E$2*1000*'[1]LOCH Calc COE Calc'!$C$44)</f>
        <v/>
      </c>
      <c r="S2551" s="6" t="str">
        <f>IF(N2551="","",SUM(O2551:R2551)/('[1]LOCH Calc COE Calc'!$C$28))</f>
        <v/>
      </c>
      <c r="T2551" t="str">
        <f>IF(L2551="","",O2551/'[1]LOCH Calc COE Calc'!$C$28)</f>
        <v/>
      </c>
      <c r="U2551" t="str">
        <f>IF(L2551="","",P2551/'[1]LOCH Calc COE Calc'!$C$28)</f>
        <v/>
      </c>
      <c r="V2551" t="str">
        <f>IF(L2551="","",Q2551/'[1]LOCH Calc COE Calc'!$C$28)</f>
        <v/>
      </c>
      <c r="W2551" t="str">
        <f>IF(L2551="","",R2551/'[1]LOCH Calc COE Calc'!$C$28)</f>
        <v/>
      </c>
    </row>
    <row r="2552" spans="12:23" x14ac:dyDescent="0.25">
      <c r="L2552" s="4" t="str">
        <f>IF('[1]All Data '!BE2557="","",'[1]All Data '!BE2557)</f>
        <v/>
      </c>
      <c r="M2552" t="str">
        <f>IF('[1]All Data '!BF2557="","",'[1]All Data '!BF2557)</f>
        <v/>
      </c>
      <c r="N2552" s="5" t="str">
        <f>IF('[1]All Data '!BB2557="","",'[1]All Data '!BC2557/'[1]All Data '!BH2557)</f>
        <v/>
      </c>
      <c r="O2552" s="5" t="str">
        <f t="shared" si="41"/>
        <v/>
      </c>
      <c r="P2552" s="5" t="str">
        <f>IF(M2552="","",$C$2*(1-L2552)*907.2/0.621371*N2552*[1]Transportation!$M$40)</f>
        <v/>
      </c>
      <c r="Q2552" s="5" t="str">
        <f>IF(L2552="","",IF([1]Inputs_Outputs!$B$5="Herbaceous",(LCA!$E$29*'[1]LOCH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2" s="5" t="str">
        <f>IF(M2552="","",$E$2*1000*'[1]LOCH Calc COE Calc'!$C$44)</f>
        <v/>
      </c>
      <c r="S2552" s="6" t="str">
        <f>IF(N2552="","",SUM(O2552:R2552)/('[1]LOCH Calc COE Calc'!$C$28))</f>
        <v/>
      </c>
      <c r="T2552" t="str">
        <f>IF(L2552="","",O2552/'[1]LOCH Calc COE Calc'!$C$28)</f>
        <v/>
      </c>
      <c r="U2552" t="str">
        <f>IF(L2552="","",P2552/'[1]LOCH Calc COE Calc'!$C$28)</f>
        <v/>
      </c>
      <c r="V2552" t="str">
        <f>IF(L2552="","",Q2552/'[1]LOCH Calc COE Calc'!$C$28)</f>
        <v/>
      </c>
      <c r="W2552" t="str">
        <f>IF(L2552="","",R2552/'[1]LOCH Calc COE Calc'!$C$28)</f>
        <v/>
      </c>
    </row>
    <row r="2553" spans="12:23" x14ac:dyDescent="0.25">
      <c r="L2553" s="4" t="str">
        <f>IF('[1]All Data '!BE2558="","",'[1]All Data '!BE2558)</f>
        <v/>
      </c>
      <c r="M2553" t="str">
        <f>IF('[1]All Data '!BF2558="","",'[1]All Data '!BF2558)</f>
        <v/>
      </c>
      <c r="N2553" s="5" t="str">
        <f>IF('[1]All Data '!BB2558="","",'[1]All Data '!BC2558/'[1]All Data '!BH2558)</f>
        <v/>
      </c>
      <c r="O2553" s="5" t="str">
        <f t="shared" si="41"/>
        <v/>
      </c>
      <c r="P2553" s="5" t="str">
        <f>IF(M2553="","",$C$2*(1-L2553)*907.2/0.621371*N2553*[1]Transportation!$M$40)</f>
        <v/>
      </c>
      <c r="Q2553" s="5" t="str">
        <f>IF(L2553="","",IF([1]Inputs_Outputs!$B$5="Herbaceous",(LCA!$E$29*'[1]LOCH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3" s="5" t="str">
        <f>IF(M2553="","",$E$2*1000*'[1]LOCH Calc COE Calc'!$C$44)</f>
        <v/>
      </c>
      <c r="S2553" s="6" t="str">
        <f>IF(N2553="","",SUM(O2553:R2553)/('[1]LOCH Calc COE Calc'!$C$28))</f>
        <v/>
      </c>
      <c r="T2553" t="str">
        <f>IF(L2553="","",O2553/'[1]LOCH Calc COE Calc'!$C$28)</f>
        <v/>
      </c>
      <c r="U2553" t="str">
        <f>IF(L2553="","",P2553/'[1]LOCH Calc COE Calc'!$C$28)</f>
        <v/>
      </c>
      <c r="V2553" t="str">
        <f>IF(L2553="","",Q2553/'[1]LOCH Calc COE Calc'!$C$28)</f>
        <v/>
      </c>
      <c r="W2553" t="str">
        <f>IF(L2553="","",R2553/'[1]LOCH Calc COE Calc'!$C$28)</f>
        <v/>
      </c>
    </row>
    <row r="2554" spans="12:23" x14ac:dyDescent="0.25">
      <c r="L2554" s="4" t="str">
        <f>IF('[1]All Data '!BE2559="","",'[1]All Data '!BE2559)</f>
        <v/>
      </c>
      <c r="M2554" t="str">
        <f>IF('[1]All Data '!BF2559="","",'[1]All Data '!BF2559)</f>
        <v/>
      </c>
      <c r="N2554" s="5" t="str">
        <f>IF('[1]All Data '!BB2559="","",'[1]All Data '!BC2559/'[1]All Data '!BH2559)</f>
        <v/>
      </c>
      <c r="O2554" s="5" t="str">
        <f t="shared" si="41"/>
        <v/>
      </c>
      <c r="P2554" s="5" t="str">
        <f>IF(M2554="","",$C$2*(1-L2554)*907.2/0.621371*N2554*[1]Transportation!$M$40)</f>
        <v/>
      </c>
      <c r="Q2554" s="5" t="str">
        <f>IF(L2554="","",IF([1]Inputs_Outputs!$B$5="Herbaceous",(LCA!$E$29*'[1]LOCH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4" s="5" t="str">
        <f>IF(M2554="","",$E$2*1000*'[1]LOCH Calc COE Calc'!$C$44)</f>
        <v/>
      </c>
      <c r="S2554" s="6" t="str">
        <f>IF(N2554="","",SUM(O2554:R2554)/('[1]LOCH Calc COE Calc'!$C$28))</f>
        <v/>
      </c>
      <c r="T2554" t="str">
        <f>IF(L2554="","",O2554/'[1]LOCH Calc COE Calc'!$C$28)</f>
        <v/>
      </c>
      <c r="U2554" t="str">
        <f>IF(L2554="","",P2554/'[1]LOCH Calc COE Calc'!$C$28)</f>
        <v/>
      </c>
      <c r="V2554" t="str">
        <f>IF(L2554="","",Q2554/'[1]LOCH Calc COE Calc'!$C$28)</f>
        <v/>
      </c>
      <c r="W2554" t="str">
        <f>IF(L2554="","",R2554/'[1]LOCH Calc COE Calc'!$C$28)</f>
        <v/>
      </c>
    </row>
    <row r="2555" spans="12:23" x14ac:dyDescent="0.25">
      <c r="L2555" s="4" t="str">
        <f>IF('[1]All Data '!BE2560="","",'[1]All Data '!BE2560)</f>
        <v/>
      </c>
      <c r="M2555" t="str">
        <f>IF('[1]All Data '!BF2560="","",'[1]All Data '!BF2560)</f>
        <v/>
      </c>
      <c r="N2555" s="5" t="str">
        <f>IF('[1]All Data '!BB2560="","",'[1]All Data '!BC2560/'[1]All Data '!BH2560)</f>
        <v/>
      </c>
      <c r="O2555" s="5" t="str">
        <f t="shared" si="41"/>
        <v/>
      </c>
      <c r="P2555" s="5" t="str">
        <f>IF(M2555="","",$C$2*(1-L2555)*907.2/0.621371*N2555*[1]Transportation!$M$40)</f>
        <v/>
      </c>
      <c r="Q2555" s="5" t="str">
        <f>IF(L2555="","",IF([1]Inputs_Outputs!$B$5="Herbaceous",(LCA!$E$29*'[1]LOCH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5" s="5" t="str">
        <f>IF(M2555="","",$E$2*1000*'[1]LOCH Calc COE Calc'!$C$44)</f>
        <v/>
      </c>
      <c r="S2555" s="6" t="str">
        <f>IF(N2555="","",SUM(O2555:R2555)/('[1]LOCH Calc COE Calc'!$C$28))</f>
        <v/>
      </c>
      <c r="T2555" t="str">
        <f>IF(L2555="","",O2555/'[1]LOCH Calc COE Calc'!$C$28)</f>
        <v/>
      </c>
      <c r="U2555" t="str">
        <f>IF(L2555="","",P2555/'[1]LOCH Calc COE Calc'!$C$28)</f>
        <v/>
      </c>
      <c r="V2555" t="str">
        <f>IF(L2555="","",Q2555/'[1]LOCH Calc COE Calc'!$C$28)</f>
        <v/>
      </c>
      <c r="W2555" t="str">
        <f>IF(L2555="","",R2555/'[1]LOCH Calc COE Calc'!$C$28)</f>
        <v/>
      </c>
    </row>
    <row r="2556" spans="12:23" x14ac:dyDescent="0.25">
      <c r="L2556" s="4" t="str">
        <f>IF('[1]All Data '!BE2561="","",'[1]All Data '!BE2561)</f>
        <v/>
      </c>
      <c r="M2556" t="str">
        <f>IF('[1]All Data '!BF2561="","",'[1]All Data '!BF2561)</f>
        <v/>
      </c>
      <c r="N2556" s="5" t="str">
        <f>IF('[1]All Data '!BB2561="","",'[1]All Data '!BC2561/'[1]All Data '!BH2561)</f>
        <v/>
      </c>
      <c r="O2556" s="5" t="str">
        <f t="shared" si="41"/>
        <v/>
      </c>
      <c r="P2556" s="5" t="str">
        <f>IF(M2556="","",$C$2*(1-L2556)*907.2/0.621371*N2556*[1]Transportation!$M$40)</f>
        <v/>
      </c>
      <c r="Q2556" s="5" t="str">
        <f>IF(L2556="","",IF([1]Inputs_Outputs!$B$5="Herbaceous",(LCA!$E$29*'[1]LOCH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6" s="5" t="str">
        <f>IF(M2556="","",$E$2*1000*'[1]LOCH Calc COE Calc'!$C$44)</f>
        <v/>
      </c>
      <c r="S2556" s="6" t="str">
        <f>IF(N2556="","",SUM(O2556:R2556)/('[1]LOCH Calc COE Calc'!$C$28))</f>
        <v/>
      </c>
      <c r="T2556" t="str">
        <f>IF(L2556="","",O2556/'[1]LOCH Calc COE Calc'!$C$28)</f>
        <v/>
      </c>
      <c r="U2556" t="str">
        <f>IF(L2556="","",P2556/'[1]LOCH Calc COE Calc'!$C$28)</f>
        <v/>
      </c>
      <c r="V2556" t="str">
        <f>IF(L2556="","",Q2556/'[1]LOCH Calc COE Calc'!$C$28)</f>
        <v/>
      </c>
      <c r="W2556" t="str">
        <f>IF(L2556="","",R2556/'[1]LOCH Calc COE Calc'!$C$28)</f>
        <v/>
      </c>
    </row>
    <row r="2557" spans="12:23" x14ac:dyDescent="0.25">
      <c r="L2557" s="4" t="str">
        <f>IF('[1]All Data '!BE2562="","",'[1]All Data '!BE2562)</f>
        <v/>
      </c>
      <c r="M2557" t="str">
        <f>IF('[1]All Data '!BF2562="","",'[1]All Data '!BF2562)</f>
        <v/>
      </c>
      <c r="N2557" s="5" t="str">
        <f>IF('[1]All Data '!BB2562="","",'[1]All Data '!BC2562/'[1]All Data '!BH2562)</f>
        <v/>
      </c>
      <c r="O2557" s="5" t="str">
        <f t="shared" si="41"/>
        <v/>
      </c>
      <c r="P2557" s="5" t="str">
        <f>IF(M2557="","",$C$2*(1-L2557)*907.2/0.621371*N2557*[1]Transportation!$M$40)</f>
        <v/>
      </c>
      <c r="Q2557" s="5" t="str">
        <f>IF(L2557="","",IF([1]Inputs_Outputs!$B$5="Herbaceous",(LCA!$E$29*'[1]LOCH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7" s="5" t="str">
        <f>IF(M2557="","",$E$2*1000*'[1]LOCH Calc COE Calc'!$C$44)</f>
        <v/>
      </c>
      <c r="S2557" s="6" t="str">
        <f>IF(N2557="","",SUM(O2557:R2557)/('[1]LOCH Calc COE Calc'!$C$28))</f>
        <v/>
      </c>
      <c r="T2557" t="str">
        <f>IF(L2557="","",O2557/'[1]LOCH Calc COE Calc'!$C$28)</f>
        <v/>
      </c>
      <c r="U2557" t="str">
        <f>IF(L2557="","",P2557/'[1]LOCH Calc COE Calc'!$C$28)</f>
        <v/>
      </c>
      <c r="V2557" t="str">
        <f>IF(L2557="","",Q2557/'[1]LOCH Calc COE Calc'!$C$28)</f>
        <v/>
      </c>
      <c r="W2557" t="str">
        <f>IF(L2557="","",R2557/'[1]LOCH Calc COE Calc'!$C$28)</f>
        <v/>
      </c>
    </row>
    <row r="2558" spans="12:23" x14ac:dyDescent="0.25">
      <c r="L2558" s="4" t="str">
        <f>IF('[1]All Data '!BE2563="","",'[1]All Data '!BE2563)</f>
        <v/>
      </c>
      <c r="M2558" t="str">
        <f>IF('[1]All Data '!BF2563="","",'[1]All Data '!BF2563)</f>
        <v/>
      </c>
      <c r="N2558" s="5" t="str">
        <f>IF('[1]All Data '!BB2563="","",'[1]All Data '!BC2563/'[1]All Data '!BH2563)</f>
        <v/>
      </c>
      <c r="O2558" s="5" t="str">
        <f t="shared" si="41"/>
        <v/>
      </c>
      <c r="P2558" s="5" t="str">
        <f>IF(M2558="","",$C$2*(1-L2558)*907.2/0.621371*N2558*[1]Transportation!$M$40)</f>
        <v/>
      </c>
      <c r="Q2558" s="5" t="str">
        <f>IF(L2558="","",IF([1]Inputs_Outputs!$B$5="Herbaceous",(LCA!$E$29*'[1]LOCH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8" s="5" t="str">
        <f>IF(M2558="","",$E$2*1000*'[1]LOCH Calc COE Calc'!$C$44)</f>
        <v/>
      </c>
      <c r="S2558" s="6" t="str">
        <f>IF(N2558="","",SUM(O2558:R2558)/('[1]LOCH Calc COE Calc'!$C$28))</f>
        <v/>
      </c>
      <c r="T2558" t="str">
        <f>IF(L2558="","",O2558/'[1]LOCH Calc COE Calc'!$C$28)</f>
        <v/>
      </c>
      <c r="U2558" t="str">
        <f>IF(L2558="","",P2558/'[1]LOCH Calc COE Calc'!$C$28)</f>
        <v/>
      </c>
      <c r="V2558" t="str">
        <f>IF(L2558="","",Q2558/'[1]LOCH Calc COE Calc'!$C$28)</f>
        <v/>
      </c>
      <c r="W2558" t="str">
        <f>IF(L2558="","",R2558/'[1]LOCH Calc COE Calc'!$C$28)</f>
        <v/>
      </c>
    </row>
    <row r="2559" spans="12:23" x14ac:dyDescent="0.25">
      <c r="L2559" s="4" t="str">
        <f>IF('[1]All Data '!BE2564="","",'[1]All Data '!BE2564)</f>
        <v/>
      </c>
      <c r="M2559" t="str">
        <f>IF('[1]All Data '!BF2564="","",'[1]All Data '!BF2564)</f>
        <v/>
      </c>
      <c r="N2559" s="5" t="str">
        <f>IF('[1]All Data '!BB2564="","",'[1]All Data '!BC2564/'[1]All Data '!BH2564)</f>
        <v/>
      </c>
      <c r="O2559" s="5" t="str">
        <f t="shared" si="41"/>
        <v/>
      </c>
      <c r="P2559" s="5" t="str">
        <f>IF(M2559="","",$C$2*(1-L2559)*907.2/0.621371*N2559*[1]Transportation!$M$40)</f>
        <v/>
      </c>
      <c r="Q2559" s="5" t="str">
        <f>IF(L2559="","",IF([1]Inputs_Outputs!$B$5="Herbaceous",(LCA!$E$29*'[1]LOCH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59" s="5" t="str">
        <f>IF(M2559="","",$E$2*1000*'[1]LOCH Calc COE Calc'!$C$44)</f>
        <v/>
      </c>
      <c r="S2559" s="6" t="str">
        <f>IF(N2559="","",SUM(O2559:R2559)/('[1]LOCH Calc COE Calc'!$C$28))</f>
        <v/>
      </c>
      <c r="T2559" t="str">
        <f>IF(L2559="","",O2559/'[1]LOCH Calc COE Calc'!$C$28)</f>
        <v/>
      </c>
      <c r="U2559" t="str">
        <f>IF(L2559="","",P2559/'[1]LOCH Calc COE Calc'!$C$28)</f>
        <v/>
      </c>
      <c r="V2559" t="str">
        <f>IF(L2559="","",Q2559/'[1]LOCH Calc COE Calc'!$C$28)</f>
        <v/>
      </c>
      <c r="W2559" t="str">
        <f>IF(L2559="","",R2559/'[1]LOCH Calc COE Calc'!$C$28)</f>
        <v/>
      </c>
    </row>
    <row r="2560" spans="12:23" x14ac:dyDescent="0.25">
      <c r="L2560" s="4" t="str">
        <f>IF('[1]All Data '!BE2565="","",'[1]All Data '!BE2565)</f>
        <v/>
      </c>
      <c r="M2560" t="str">
        <f>IF('[1]All Data '!BF2565="","",'[1]All Data '!BF2565)</f>
        <v/>
      </c>
      <c r="N2560" s="5" t="str">
        <f>IF('[1]All Data '!BB2565="","",'[1]All Data '!BC2565/'[1]All Data '!BH2565)</f>
        <v/>
      </c>
      <c r="O2560" s="5" t="str">
        <f t="shared" si="41"/>
        <v/>
      </c>
      <c r="P2560" s="5" t="str">
        <f>IF(M2560="","",$C$2*(1-L2560)*907.2/0.621371*N2560*[1]Transportation!$M$40)</f>
        <v/>
      </c>
      <c r="Q2560" s="5" t="str">
        <f>IF(L2560="","",IF([1]Inputs_Outputs!$B$5="Herbaceous",(LCA!$E$29*'[1]LOCH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0" s="5" t="str">
        <f>IF(M2560="","",$E$2*1000*'[1]LOCH Calc COE Calc'!$C$44)</f>
        <v/>
      </c>
      <c r="S2560" s="6" t="str">
        <f>IF(N2560="","",SUM(O2560:R2560)/('[1]LOCH Calc COE Calc'!$C$28))</f>
        <v/>
      </c>
      <c r="T2560" t="str">
        <f>IF(L2560="","",O2560/'[1]LOCH Calc COE Calc'!$C$28)</f>
        <v/>
      </c>
      <c r="U2560" t="str">
        <f>IF(L2560="","",P2560/'[1]LOCH Calc COE Calc'!$C$28)</f>
        <v/>
      </c>
      <c r="V2560" t="str">
        <f>IF(L2560="","",Q2560/'[1]LOCH Calc COE Calc'!$C$28)</f>
        <v/>
      </c>
      <c r="W2560" t="str">
        <f>IF(L2560="","",R2560/'[1]LOCH Calc COE Calc'!$C$28)</f>
        <v/>
      </c>
    </row>
    <row r="2561" spans="12:23" x14ac:dyDescent="0.25">
      <c r="L2561" s="4" t="str">
        <f>IF('[1]All Data '!BE2566="","",'[1]All Data '!BE2566)</f>
        <v/>
      </c>
      <c r="M2561" t="str">
        <f>IF('[1]All Data '!BF2566="","",'[1]All Data '!BF2566)</f>
        <v/>
      </c>
      <c r="N2561" s="5" t="str">
        <f>IF('[1]All Data '!BB2566="","",'[1]All Data '!BC2566/'[1]All Data '!BH2566)</f>
        <v/>
      </c>
      <c r="O2561" s="5" t="str">
        <f t="shared" si="41"/>
        <v/>
      </c>
      <c r="P2561" s="5" t="str">
        <f>IF(M2561="","",$C$2*(1-L2561)*907.2/0.621371*N2561*[1]Transportation!$M$40)</f>
        <v/>
      </c>
      <c r="Q2561" s="5" t="str">
        <f>IF(L2561="","",IF([1]Inputs_Outputs!$B$5="Herbaceous",(LCA!$E$29*'[1]LOCH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1" s="5" t="str">
        <f>IF(M2561="","",$E$2*1000*'[1]LOCH Calc COE Calc'!$C$44)</f>
        <v/>
      </c>
      <c r="S2561" s="6" t="str">
        <f>IF(N2561="","",SUM(O2561:R2561)/('[1]LOCH Calc COE Calc'!$C$28))</f>
        <v/>
      </c>
      <c r="T2561" t="str">
        <f>IF(L2561="","",O2561/'[1]LOCH Calc COE Calc'!$C$28)</f>
        <v/>
      </c>
      <c r="U2561" t="str">
        <f>IF(L2561="","",P2561/'[1]LOCH Calc COE Calc'!$C$28)</f>
        <v/>
      </c>
      <c r="V2561" t="str">
        <f>IF(L2561="","",Q2561/'[1]LOCH Calc COE Calc'!$C$28)</f>
        <v/>
      </c>
      <c r="W2561" t="str">
        <f>IF(L2561="","",R2561/'[1]LOCH Calc COE Calc'!$C$28)</f>
        <v/>
      </c>
    </row>
    <row r="2562" spans="12:23" x14ac:dyDescent="0.25">
      <c r="L2562" s="4" t="str">
        <f>IF('[1]All Data '!BE2567="","",'[1]All Data '!BE2567)</f>
        <v/>
      </c>
      <c r="M2562" t="str">
        <f>IF('[1]All Data '!BF2567="","",'[1]All Data '!BF2567)</f>
        <v/>
      </c>
      <c r="N2562" s="5" t="str">
        <f>IF('[1]All Data '!BB2567="","",'[1]All Data '!BC2567/'[1]All Data '!BH2567)</f>
        <v/>
      </c>
      <c r="O2562" s="5" t="str">
        <f t="shared" si="41"/>
        <v/>
      </c>
      <c r="P2562" s="5" t="str">
        <f>IF(M2562="","",$C$2*(1-L2562)*907.2/0.621371*N2562*[1]Transportation!$M$40)</f>
        <v/>
      </c>
      <c r="Q2562" s="5" t="str">
        <f>IF(L2562="","",IF([1]Inputs_Outputs!$B$5="Herbaceous",(LCA!$E$29*'[1]LOCH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2" s="5" t="str">
        <f>IF(M2562="","",$E$2*1000*'[1]LOCH Calc COE Calc'!$C$44)</f>
        <v/>
      </c>
      <c r="S2562" s="6" t="str">
        <f>IF(N2562="","",SUM(O2562:R2562)/('[1]LOCH Calc COE Calc'!$C$28))</f>
        <v/>
      </c>
      <c r="T2562" t="str">
        <f>IF(L2562="","",O2562/'[1]LOCH Calc COE Calc'!$C$28)</f>
        <v/>
      </c>
      <c r="U2562" t="str">
        <f>IF(L2562="","",P2562/'[1]LOCH Calc COE Calc'!$C$28)</f>
        <v/>
      </c>
      <c r="V2562" t="str">
        <f>IF(L2562="","",Q2562/'[1]LOCH Calc COE Calc'!$C$28)</f>
        <v/>
      </c>
      <c r="W2562" t="str">
        <f>IF(L2562="","",R2562/'[1]LOCH Calc COE Calc'!$C$28)</f>
        <v/>
      </c>
    </row>
    <row r="2563" spans="12:23" x14ac:dyDescent="0.25">
      <c r="L2563" s="4" t="str">
        <f>IF('[1]All Data '!BE2568="","",'[1]All Data '!BE2568)</f>
        <v/>
      </c>
      <c r="M2563" t="str">
        <f>IF('[1]All Data '!BF2568="","",'[1]All Data '!BF2568)</f>
        <v/>
      </c>
      <c r="N2563" s="5" t="str">
        <f>IF('[1]All Data '!BB2568="","",'[1]All Data '!BC2568/'[1]All Data '!BH2568)</f>
        <v/>
      </c>
      <c r="O2563" s="5" t="str">
        <f t="shared" si="41"/>
        <v/>
      </c>
      <c r="P2563" s="5" t="str">
        <f>IF(M2563="","",$C$2*(1-L2563)*907.2/0.621371*N2563*[1]Transportation!$M$40)</f>
        <v/>
      </c>
      <c r="Q2563" s="5" t="str">
        <f>IF(L2563="","",IF([1]Inputs_Outputs!$B$5="Herbaceous",(LCA!$E$29*'[1]LOCH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3" s="5" t="str">
        <f>IF(M2563="","",$E$2*1000*'[1]LOCH Calc COE Calc'!$C$44)</f>
        <v/>
      </c>
      <c r="S2563" s="6" t="str">
        <f>IF(N2563="","",SUM(O2563:R2563)/('[1]LOCH Calc COE Calc'!$C$28))</f>
        <v/>
      </c>
      <c r="T2563" t="str">
        <f>IF(L2563="","",O2563/'[1]LOCH Calc COE Calc'!$C$28)</f>
        <v/>
      </c>
      <c r="U2563" t="str">
        <f>IF(L2563="","",P2563/'[1]LOCH Calc COE Calc'!$C$28)</f>
        <v/>
      </c>
      <c r="V2563" t="str">
        <f>IF(L2563="","",Q2563/'[1]LOCH Calc COE Calc'!$C$28)</f>
        <v/>
      </c>
      <c r="W2563" t="str">
        <f>IF(L2563="","",R2563/'[1]LOCH Calc COE Calc'!$C$28)</f>
        <v/>
      </c>
    </row>
    <row r="2564" spans="12:23" x14ac:dyDescent="0.25">
      <c r="L2564" s="4" t="str">
        <f>IF('[1]All Data '!BE2569="","",'[1]All Data '!BE2569)</f>
        <v/>
      </c>
      <c r="M2564" t="str">
        <f>IF('[1]All Data '!BF2569="","",'[1]All Data '!BF2569)</f>
        <v/>
      </c>
      <c r="N2564" s="5" t="str">
        <f>IF('[1]All Data '!BB2569="","",'[1]All Data '!BC2569/'[1]All Data '!BH2569)</f>
        <v/>
      </c>
      <c r="O2564" s="5" t="str">
        <f t="shared" ref="O2564:O2627" si="42">IF(N2564="","",M2564*N2564)</f>
        <v/>
      </c>
      <c r="P2564" s="5" t="str">
        <f>IF(M2564="","",$C$2*(1-L2564)*907.2/0.621371*N2564*[1]Transportation!$M$40)</f>
        <v/>
      </c>
      <c r="Q2564" s="5" t="str">
        <f>IF(L2564="","",IF([1]Inputs_Outputs!$B$5="Herbaceous",(LCA!$E$29*'[1]LOCH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4" s="5" t="str">
        <f>IF(M2564="","",$E$2*1000*'[1]LOCH Calc COE Calc'!$C$44)</f>
        <v/>
      </c>
      <c r="S2564" s="6" t="str">
        <f>IF(N2564="","",SUM(O2564:R2564)/('[1]LOCH Calc COE Calc'!$C$28))</f>
        <v/>
      </c>
      <c r="T2564" t="str">
        <f>IF(L2564="","",O2564/'[1]LOCH Calc COE Calc'!$C$28)</f>
        <v/>
      </c>
      <c r="U2564" t="str">
        <f>IF(L2564="","",P2564/'[1]LOCH Calc COE Calc'!$C$28)</f>
        <v/>
      </c>
      <c r="V2564" t="str">
        <f>IF(L2564="","",Q2564/'[1]LOCH Calc COE Calc'!$C$28)</f>
        <v/>
      </c>
      <c r="W2564" t="str">
        <f>IF(L2564="","",R2564/'[1]LOCH Calc COE Calc'!$C$28)</f>
        <v/>
      </c>
    </row>
    <row r="2565" spans="12:23" x14ac:dyDescent="0.25">
      <c r="L2565" s="4" t="str">
        <f>IF('[1]All Data '!BE2570="","",'[1]All Data '!BE2570)</f>
        <v/>
      </c>
      <c r="M2565" t="str">
        <f>IF('[1]All Data '!BF2570="","",'[1]All Data '!BF2570)</f>
        <v/>
      </c>
      <c r="N2565" s="5" t="str">
        <f>IF('[1]All Data '!BB2570="","",'[1]All Data '!BC2570/'[1]All Data '!BH2570)</f>
        <v/>
      </c>
      <c r="O2565" s="5" t="str">
        <f t="shared" si="42"/>
        <v/>
      </c>
      <c r="P2565" s="5" t="str">
        <f>IF(M2565="","",$C$2*(1-L2565)*907.2/0.621371*N2565*[1]Transportation!$M$40)</f>
        <v/>
      </c>
      <c r="Q2565" s="5" t="str">
        <f>IF(L2565="","",IF([1]Inputs_Outputs!$B$5="Herbaceous",(LCA!$E$29*'[1]LOCH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5" s="5" t="str">
        <f>IF(M2565="","",$E$2*1000*'[1]LOCH Calc COE Calc'!$C$44)</f>
        <v/>
      </c>
      <c r="S2565" s="6" t="str">
        <f>IF(N2565="","",SUM(O2565:R2565)/('[1]LOCH Calc COE Calc'!$C$28))</f>
        <v/>
      </c>
      <c r="T2565" t="str">
        <f>IF(L2565="","",O2565/'[1]LOCH Calc COE Calc'!$C$28)</f>
        <v/>
      </c>
      <c r="U2565" t="str">
        <f>IF(L2565="","",P2565/'[1]LOCH Calc COE Calc'!$C$28)</f>
        <v/>
      </c>
      <c r="V2565" t="str">
        <f>IF(L2565="","",Q2565/'[1]LOCH Calc COE Calc'!$C$28)</f>
        <v/>
      </c>
      <c r="W2565" t="str">
        <f>IF(L2565="","",R2565/'[1]LOCH Calc COE Calc'!$C$28)</f>
        <v/>
      </c>
    </row>
    <row r="2566" spans="12:23" x14ac:dyDescent="0.25">
      <c r="L2566" s="4" t="str">
        <f>IF('[1]All Data '!BE2571="","",'[1]All Data '!BE2571)</f>
        <v/>
      </c>
      <c r="M2566" t="str">
        <f>IF('[1]All Data '!BF2571="","",'[1]All Data '!BF2571)</f>
        <v/>
      </c>
      <c r="N2566" s="5" t="str">
        <f>IF('[1]All Data '!BB2571="","",'[1]All Data '!BC2571/'[1]All Data '!BH2571)</f>
        <v/>
      </c>
      <c r="O2566" s="5" t="str">
        <f t="shared" si="42"/>
        <v/>
      </c>
      <c r="P2566" s="5" t="str">
        <f>IF(M2566="","",$C$2*(1-L2566)*907.2/0.621371*N2566*[1]Transportation!$M$40)</f>
        <v/>
      </c>
      <c r="Q2566" s="5" t="str">
        <f>IF(L2566="","",IF([1]Inputs_Outputs!$B$5="Herbaceous",(LCA!$E$29*'[1]LOCH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6" s="5" t="str">
        <f>IF(M2566="","",$E$2*1000*'[1]LOCH Calc COE Calc'!$C$44)</f>
        <v/>
      </c>
      <c r="S2566" s="6" t="str">
        <f>IF(N2566="","",SUM(O2566:R2566)/('[1]LOCH Calc COE Calc'!$C$28))</f>
        <v/>
      </c>
      <c r="T2566" t="str">
        <f>IF(L2566="","",O2566/'[1]LOCH Calc COE Calc'!$C$28)</f>
        <v/>
      </c>
      <c r="U2566" t="str">
        <f>IF(L2566="","",P2566/'[1]LOCH Calc COE Calc'!$C$28)</f>
        <v/>
      </c>
      <c r="V2566" t="str">
        <f>IF(L2566="","",Q2566/'[1]LOCH Calc COE Calc'!$C$28)</f>
        <v/>
      </c>
      <c r="W2566" t="str">
        <f>IF(L2566="","",R2566/'[1]LOCH Calc COE Calc'!$C$28)</f>
        <v/>
      </c>
    </row>
    <row r="2567" spans="12:23" x14ac:dyDescent="0.25">
      <c r="L2567" s="4" t="str">
        <f>IF('[1]All Data '!BE2572="","",'[1]All Data '!BE2572)</f>
        <v/>
      </c>
      <c r="M2567" t="str">
        <f>IF('[1]All Data '!BF2572="","",'[1]All Data '!BF2572)</f>
        <v/>
      </c>
      <c r="N2567" s="5" t="str">
        <f>IF('[1]All Data '!BB2572="","",'[1]All Data '!BC2572/'[1]All Data '!BH2572)</f>
        <v/>
      </c>
      <c r="O2567" s="5" t="str">
        <f t="shared" si="42"/>
        <v/>
      </c>
      <c r="P2567" s="5" t="str">
        <f>IF(M2567="","",$C$2*(1-L2567)*907.2/0.621371*N2567*[1]Transportation!$M$40)</f>
        <v/>
      </c>
      <c r="Q2567" s="5" t="str">
        <f>IF(L2567="","",IF([1]Inputs_Outputs!$B$5="Herbaceous",(LCA!$E$29*'[1]LOCH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7" s="5" t="str">
        <f>IF(M2567="","",$E$2*1000*'[1]LOCH Calc COE Calc'!$C$44)</f>
        <v/>
      </c>
      <c r="S2567" s="6" t="str">
        <f>IF(N2567="","",SUM(O2567:R2567)/('[1]LOCH Calc COE Calc'!$C$28))</f>
        <v/>
      </c>
      <c r="T2567" t="str">
        <f>IF(L2567="","",O2567/'[1]LOCH Calc COE Calc'!$C$28)</f>
        <v/>
      </c>
      <c r="U2567" t="str">
        <f>IF(L2567="","",P2567/'[1]LOCH Calc COE Calc'!$C$28)</f>
        <v/>
      </c>
      <c r="V2567" t="str">
        <f>IF(L2567="","",Q2567/'[1]LOCH Calc COE Calc'!$C$28)</f>
        <v/>
      </c>
      <c r="W2567" t="str">
        <f>IF(L2567="","",R2567/'[1]LOCH Calc COE Calc'!$C$28)</f>
        <v/>
      </c>
    </row>
    <row r="2568" spans="12:23" x14ac:dyDescent="0.25">
      <c r="L2568" s="4" t="str">
        <f>IF('[1]All Data '!BE2573="","",'[1]All Data '!BE2573)</f>
        <v/>
      </c>
      <c r="M2568" t="str">
        <f>IF('[1]All Data '!BF2573="","",'[1]All Data '!BF2573)</f>
        <v/>
      </c>
      <c r="N2568" s="5" t="str">
        <f>IF('[1]All Data '!BB2573="","",'[1]All Data '!BC2573/'[1]All Data '!BH2573)</f>
        <v/>
      </c>
      <c r="O2568" s="5" t="str">
        <f t="shared" si="42"/>
        <v/>
      </c>
      <c r="P2568" s="5" t="str">
        <f>IF(M2568="","",$C$2*(1-L2568)*907.2/0.621371*N2568*[1]Transportation!$M$40)</f>
        <v/>
      </c>
      <c r="Q2568" s="5" t="str">
        <f>IF(L2568="","",IF([1]Inputs_Outputs!$B$5="Herbaceous",(LCA!$E$29*'[1]LOCH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8" s="5" t="str">
        <f>IF(M2568="","",$E$2*1000*'[1]LOCH Calc COE Calc'!$C$44)</f>
        <v/>
      </c>
      <c r="S2568" s="6" t="str">
        <f>IF(N2568="","",SUM(O2568:R2568)/('[1]LOCH Calc COE Calc'!$C$28))</f>
        <v/>
      </c>
      <c r="T2568" t="str">
        <f>IF(L2568="","",O2568/'[1]LOCH Calc COE Calc'!$C$28)</f>
        <v/>
      </c>
      <c r="U2568" t="str">
        <f>IF(L2568="","",P2568/'[1]LOCH Calc COE Calc'!$C$28)</f>
        <v/>
      </c>
      <c r="V2568" t="str">
        <f>IF(L2568="","",Q2568/'[1]LOCH Calc COE Calc'!$C$28)</f>
        <v/>
      </c>
      <c r="W2568" t="str">
        <f>IF(L2568="","",R2568/'[1]LOCH Calc COE Calc'!$C$28)</f>
        <v/>
      </c>
    </row>
    <row r="2569" spans="12:23" x14ac:dyDescent="0.25">
      <c r="L2569" s="4" t="str">
        <f>IF('[1]All Data '!BE2574="","",'[1]All Data '!BE2574)</f>
        <v/>
      </c>
      <c r="M2569" t="str">
        <f>IF('[1]All Data '!BF2574="","",'[1]All Data '!BF2574)</f>
        <v/>
      </c>
      <c r="N2569" s="5" t="str">
        <f>IF('[1]All Data '!BB2574="","",'[1]All Data '!BC2574/'[1]All Data '!BH2574)</f>
        <v/>
      </c>
      <c r="O2569" s="5" t="str">
        <f t="shared" si="42"/>
        <v/>
      </c>
      <c r="P2569" s="5" t="str">
        <f>IF(M2569="","",$C$2*(1-L2569)*907.2/0.621371*N2569*[1]Transportation!$M$40)</f>
        <v/>
      </c>
      <c r="Q2569" s="5" t="str">
        <f>IF(L2569="","",IF([1]Inputs_Outputs!$B$5="Herbaceous",(LCA!$E$29*'[1]LOCH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69" s="5" t="str">
        <f>IF(M2569="","",$E$2*1000*'[1]LOCH Calc COE Calc'!$C$44)</f>
        <v/>
      </c>
      <c r="S2569" s="6" t="str">
        <f>IF(N2569="","",SUM(O2569:R2569)/('[1]LOCH Calc COE Calc'!$C$28))</f>
        <v/>
      </c>
      <c r="T2569" t="str">
        <f>IF(L2569="","",O2569/'[1]LOCH Calc COE Calc'!$C$28)</f>
        <v/>
      </c>
      <c r="U2569" t="str">
        <f>IF(L2569="","",P2569/'[1]LOCH Calc COE Calc'!$C$28)</f>
        <v/>
      </c>
      <c r="V2569" t="str">
        <f>IF(L2569="","",Q2569/'[1]LOCH Calc COE Calc'!$C$28)</f>
        <v/>
      </c>
      <c r="W2569" t="str">
        <f>IF(L2569="","",R2569/'[1]LOCH Calc COE Calc'!$C$28)</f>
        <v/>
      </c>
    </row>
    <row r="2570" spans="12:23" x14ac:dyDescent="0.25">
      <c r="L2570" s="4" t="str">
        <f>IF('[1]All Data '!BE2575="","",'[1]All Data '!BE2575)</f>
        <v/>
      </c>
      <c r="M2570" t="str">
        <f>IF('[1]All Data '!BF2575="","",'[1]All Data '!BF2575)</f>
        <v/>
      </c>
      <c r="N2570" s="5" t="str">
        <f>IF('[1]All Data '!BB2575="","",'[1]All Data '!BC2575/'[1]All Data '!BH2575)</f>
        <v/>
      </c>
      <c r="O2570" s="5" t="str">
        <f t="shared" si="42"/>
        <v/>
      </c>
      <c r="P2570" s="5" t="str">
        <f>IF(M2570="","",$C$2*(1-L2570)*907.2/0.621371*N2570*[1]Transportation!$M$40)</f>
        <v/>
      </c>
      <c r="Q2570" s="5" t="str">
        <f>IF(L2570="","",IF([1]Inputs_Outputs!$B$5="Herbaceous",(LCA!$E$29*'[1]LOCH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0" s="5" t="str">
        <f>IF(M2570="","",$E$2*1000*'[1]LOCH Calc COE Calc'!$C$44)</f>
        <v/>
      </c>
      <c r="S2570" s="6" t="str">
        <f>IF(N2570="","",SUM(O2570:R2570)/('[1]LOCH Calc COE Calc'!$C$28))</f>
        <v/>
      </c>
      <c r="T2570" t="str">
        <f>IF(L2570="","",O2570/'[1]LOCH Calc COE Calc'!$C$28)</f>
        <v/>
      </c>
      <c r="U2570" t="str">
        <f>IF(L2570="","",P2570/'[1]LOCH Calc COE Calc'!$C$28)</f>
        <v/>
      </c>
      <c r="V2570" t="str">
        <f>IF(L2570="","",Q2570/'[1]LOCH Calc COE Calc'!$C$28)</f>
        <v/>
      </c>
      <c r="W2570" t="str">
        <f>IF(L2570="","",R2570/'[1]LOCH Calc COE Calc'!$C$28)</f>
        <v/>
      </c>
    </row>
    <row r="2571" spans="12:23" x14ac:dyDescent="0.25">
      <c r="L2571" s="4" t="str">
        <f>IF('[1]All Data '!BE2576="","",'[1]All Data '!BE2576)</f>
        <v/>
      </c>
      <c r="M2571" t="str">
        <f>IF('[1]All Data '!BF2576="","",'[1]All Data '!BF2576)</f>
        <v/>
      </c>
      <c r="N2571" s="5" t="str">
        <f>IF('[1]All Data '!BB2576="","",'[1]All Data '!BC2576/'[1]All Data '!BH2576)</f>
        <v/>
      </c>
      <c r="O2571" s="5" t="str">
        <f t="shared" si="42"/>
        <v/>
      </c>
      <c r="P2571" s="5" t="str">
        <f>IF(M2571="","",$C$2*(1-L2571)*907.2/0.621371*N2571*[1]Transportation!$M$40)</f>
        <v/>
      </c>
      <c r="Q2571" s="5" t="str">
        <f>IF(L2571="","",IF([1]Inputs_Outputs!$B$5="Herbaceous",(LCA!$E$29*'[1]LOCH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1" s="5" t="str">
        <f>IF(M2571="","",$E$2*1000*'[1]LOCH Calc COE Calc'!$C$44)</f>
        <v/>
      </c>
      <c r="S2571" s="6" t="str">
        <f>IF(N2571="","",SUM(O2571:R2571)/('[1]LOCH Calc COE Calc'!$C$28))</f>
        <v/>
      </c>
      <c r="T2571" t="str">
        <f>IF(L2571="","",O2571/'[1]LOCH Calc COE Calc'!$C$28)</f>
        <v/>
      </c>
      <c r="U2571" t="str">
        <f>IF(L2571="","",P2571/'[1]LOCH Calc COE Calc'!$C$28)</f>
        <v/>
      </c>
      <c r="V2571" t="str">
        <f>IF(L2571="","",Q2571/'[1]LOCH Calc COE Calc'!$C$28)</f>
        <v/>
      </c>
      <c r="W2571" t="str">
        <f>IF(L2571="","",R2571/'[1]LOCH Calc COE Calc'!$C$28)</f>
        <v/>
      </c>
    </row>
    <row r="2572" spans="12:23" x14ac:dyDescent="0.25">
      <c r="L2572" s="4" t="str">
        <f>IF('[1]All Data '!BE2577="","",'[1]All Data '!BE2577)</f>
        <v/>
      </c>
      <c r="M2572" t="str">
        <f>IF('[1]All Data '!BF2577="","",'[1]All Data '!BF2577)</f>
        <v/>
      </c>
      <c r="N2572" s="5" t="str">
        <f>IF('[1]All Data '!BB2577="","",'[1]All Data '!BC2577/'[1]All Data '!BH2577)</f>
        <v/>
      </c>
      <c r="O2572" s="5" t="str">
        <f t="shared" si="42"/>
        <v/>
      </c>
      <c r="P2572" s="5" t="str">
        <f>IF(M2572="","",$C$2*(1-L2572)*907.2/0.621371*N2572*[1]Transportation!$M$40)</f>
        <v/>
      </c>
      <c r="Q2572" s="5" t="str">
        <f>IF(L2572="","",IF([1]Inputs_Outputs!$B$5="Herbaceous",(LCA!$E$29*'[1]LOCH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2" s="5" t="str">
        <f>IF(M2572="","",$E$2*1000*'[1]LOCH Calc COE Calc'!$C$44)</f>
        <v/>
      </c>
      <c r="S2572" s="6" t="str">
        <f>IF(N2572="","",SUM(O2572:R2572)/('[1]LOCH Calc COE Calc'!$C$28))</f>
        <v/>
      </c>
      <c r="T2572" t="str">
        <f>IF(L2572="","",O2572/'[1]LOCH Calc COE Calc'!$C$28)</f>
        <v/>
      </c>
      <c r="U2572" t="str">
        <f>IF(L2572="","",P2572/'[1]LOCH Calc COE Calc'!$C$28)</f>
        <v/>
      </c>
      <c r="V2572" t="str">
        <f>IF(L2572="","",Q2572/'[1]LOCH Calc COE Calc'!$C$28)</f>
        <v/>
      </c>
      <c r="W2572" t="str">
        <f>IF(L2572="","",R2572/'[1]LOCH Calc COE Calc'!$C$28)</f>
        <v/>
      </c>
    </row>
    <row r="2573" spans="12:23" x14ac:dyDescent="0.25">
      <c r="L2573" s="4" t="str">
        <f>IF('[1]All Data '!BE2578="","",'[1]All Data '!BE2578)</f>
        <v/>
      </c>
      <c r="M2573" t="str">
        <f>IF('[1]All Data '!BF2578="","",'[1]All Data '!BF2578)</f>
        <v/>
      </c>
      <c r="N2573" s="5" t="str">
        <f>IF('[1]All Data '!BB2578="","",'[1]All Data '!BC2578/'[1]All Data '!BH2578)</f>
        <v/>
      </c>
      <c r="O2573" s="5" t="str">
        <f t="shared" si="42"/>
        <v/>
      </c>
      <c r="P2573" s="5" t="str">
        <f>IF(M2573="","",$C$2*(1-L2573)*907.2/0.621371*N2573*[1]Transportation!$M$40)</f>
        <v/>
      </c>
      <c r="Q2573" s="5" t="str">
        <f>IF(L2573="","",IF([1]Inputs_Outputs!$B$5="Herbaceous",(LCA!$E$29*'[1]LOCH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3" s="5" t="str">
        <f>IF(M2573="","",$E$2*1000*'[1]LOCH Calc COE Calc'!$C$44)</f>
        <v/>
      </c>
      <c r="S2573" s="6" t="str">
        <f>IF(N2573="","",SUM(O2573:R2573)/('[1]LOCH Calc COE Calc'!$C$28))</f>
        <v/>
      </c>
      <c r="T2573" t="str">
        <f>IF(L2573="","",O2573/'[1]LOCH Calc COE Calc'!$C$28)</f>
        <v/>
      </c>
      <c r="U2573" t="str">
        <f>IF(L2573="","",P2573/'[1]LOCH Calc COE Calc'!$C$28)</f>
        <v/>
      </c>
      <c r="V2573" t="str">
        <f>IF(L2573="","",Q2573/'[1]LOCH Calc COE Calc'!$C$28)</f>
        <v/>
      </c>
      <c r="W2573" t="str">
        <f>IF(L2573="","",R2573/'[1]LOCH Calc COE Calc'!$C$28)</f>
        <v/>
      </c>
    </row>
    <row r="2574" spans="12:23" x14ac:dyDescent="0.25">
      <c r="L2574" s="4" t="str">
        <f>IF('[1]All Data '!BE2579="","",'[1]All Data '!BE2579)</f>
        <v/>
      </c>
      <c r="M2574" t="str">
        <f>IF('[1]All Data '!BF2579="","",'[1]All Data '!BF2579)</f>
        <v/>
      </c>
      <c r="N2574" s="5" t="str">
        <f>IF('[1]All Data '!BB2579="","",'[1]All Data '!BC2579/'[1]All Data '!BH2579)</f>
        <v/>
      </c>
      <c r="O2574" s="5" t="str">
        <f t="shared" si="42"/>
        <v/>
      </c>
      <c r="P2574" s="5" t="str">
        <f>IF(M2574="","",$C$2*(1-L2574)*907.2/0.621371*N2574*[1]Transportation!$M$40)</f>
        <v/>
      </c>
      <c r="Q2574" s="5" t="str">
        <f>IF(L2574="","",IF([1]Inputs_Outputs!$B$5="Herbaceous",(LCA!$E$29*'[1]LOCH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4" s="5" t="str">
        <f>IF(M2574="","",$E$2*1000*'[1]LOCH Calc COE Calc'!$C$44)</f>
        <v/>
      </c>
      <c r="S2574" s="6" t="str">
        <f>IF(N2574="","",SUM(O2574:R2574)/('[1]LOCH Calc COE Calc'!$C$28))</f>
        <v/>
      </c>
      <c r="T2574" t="str">
        <f>IF(L2574="","",O2574/'[1]LOCH Calc COE Calc'!$C$28)</f>
        <v/>
      </c>
      <c r="U2574" t="str">
        <f>IF(L2574="","",P2574/'[1]LOCH Calc COE Calc'!$C$28)</f>
        <v/>
      </c>
      <c r="V2574" t="str">
        <f>IF(L2574="","",Q2574/'[1]LOCH Calc COE Calc'!$C$28)</f>
        <v/>
      </c>
      <c r="W2574" t="str">
        <f>IF(L2574="","",R2574/'[1]LOCH Calc COE Calc'!$C$28)</f>
        <v/>
      </c>
    </row>
    <row r="2575" spans="12:23" x14ac:dyDescent="0.25">
      <c r="L2575" s="4" t="str">
        <f>IF('[1]All Data '!BE2580="","",'[1]All Data '!BE2580)</f>
        <v/>
      </c>
      <c r="M2575" t="str">
        <f>IF('[1]All Data '!BF2580="","",'[1]All Data '!BF2580)</f>
        <v/>
      </c>
      <c r="N2575" s="5" t="str">
        <f>IF('[1]All Data '!BB2580="","",'[1]All Data '!BC2580/'[1]All Data '!BH2580)</f>
        <v/>
      </c>
      <c r="O2575" s="5" t="str">
        <f t="shared" si="42"/>
        <v/>
      </c>
      <c r="P2575" s="5" t="str">
        <f>IF(M2575="","",$C$2*(1-L2575)*907.2/0.621371*N2575*[1]Transportation!$M$40)</f>
        <v/>
      </c>
      <c r="Q2575" s="5" t="str">
        <f>IF(L2575="","",IF([1]Inputs_Outputs!$B$5="Herbaceous",(LCA!$E$29*'[1]LOCH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5" s="5" t="str">
        <f>IF(M2575="","",$E$2*1000*'[1]LOCH Calc COE Calc'!$C$44)</f>
        <v/>
      </c>
      <c r="S2575" s="6" t="str">
        <f>IF(N2575="","",SUM(O2575:R2575)/('[1]LOCH Calc COE Calc'!$C$28))</f>
        <v/>
      </c>
      <c r="T2575" t="str">
        <f>IF(L2575="","",O2575/'[1]LOCH Calc COE Calc'!$C$28)</f>
        <v/>
      </c>
      <c r="U2575" t="str">
        <f>IF(L2575="","",P2575/'[1]LOCH Calc COE Calc'!$C$28)</f>
        <v/>
      </c>
      <c r="V2575" t="str">
        <f>IF(L2575="","",Q2575/'[1]LOCH Calc COE Calc'!$C$28)</f>
        <v/>
      </c>
      <c r="W2575" t="str">
        <f>IF(L2575="","",R2575/'[1]LOCH Calc COE Calc'!$C$28)</f>
        <v/>
      </c>
    </row>
    <row r="2576" spans="12:23" x14ac:dyDescent="0.25">
      <c r="L2576" s="4" t="str">
        <f>IF('[1]All Data '!BE2581="","",'[1]All Data '!BE2581)</f>
        <v/>
      </c>
      <c r="M2576" t="str">
        <f>IF('[1]All Data '!BF2581="","",'[1]All Data '!BF2581)</f>
        <v/>
      </c>
      <c r="N2576" s="5" t="str">
        <f>IF('[1]All Data '!BB2581="","",'[1]All Data '!BC2581/'[1]All Data '!BH2581)</f>
        <v/>
      </c>
      <c r="O2576" s="5" t="str">
        <f t="shared" si="42"/>
        <v/>
      </c>
      <c r="P2576" s="5" t="str">
        <f>IF(M2576="","",$C$2*(1-L2576)*907.2/0.621371*N2576*[1]Transportation!$M$40)</f>
        <v/>
      </c>
      <c r="Q2576" s="5" t="str">
        <f>IF(L2576="","",IF([1]Inputs_Outputs!$B$5="Herbaceous",(LCA!$E$29*'[1]LOCH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6" s="5" t="str">
        <f>IF(M2576="","",$E$2*1000*'[1]LOCH Calc COE Calc'!$C$44)</f>
        <v/>
      </c>
      <c r="S2576" s="6" t="str">
        <f>IF(N2576="","",SUM(O2576:R2576)/('[1]LOCH Calc COE Calc'!$C$28))</f>
        <v/>
      </c>
      <c r="T2576" t="str">
        <f>IF(L2576="","",O2576/'[1]LOCH Calc COE Calc'!$C$28)</f>
        <v/>
      </c>
      <c r="U2576" t="str">
        <f>IF(L2576="","",P2576/'[1]LOCH Calc COE Calc'!$C$28)</f>
        <v/>
      </c>
      <c r="V2576" t="str">
        <f>IF(L2576="","",Q2576/'[1]LOCH Calc COE Calc'!$C$28)</f>
        <v/>
      </c>
      <c r="W2576" t="str">
        <f>IF(L2576="","",R2576/'[1]LOCH Calc COE Calc'!$C$28)</f>
        <v/>
      </c>
    </row>
    <row r="2577" spans="12:23" x14ac:dyDescent="0.25">
      <c r="L2577" s="4" t="str">
        <f>IF('[1]All Data '!BE2582="","",'[1]All Data '!BE2582)</f>
        <v/>
      </c>
      <c r="M2577" t="str">
        <f>IF('[1]All Data '!BF2582="","",'[1]All Data '!BF2582)</f>
        <v/>
      </c>
      <c r="N2577" s="5" t="str">
        <f>IF('[1]All Data '!BB2582="","",'[1]All Data '!BC2582/'[1]All Data '!BH2582)</f>
        <v/>
      </c>
      <c r="O2577" s="5" t="str">
        <f t="shared" si="42"/>
        <v/>
      </c>
      <c r="P2577" s="5" t="str">
        <f>IF(M2577="","",$C$2*(1-L2577)*907.2/0.621371*N2577*[1]Transportation!$M$40)</f>
        <v/>
      </c>
      <c r="Q2577" s="5" t="str">
        <f>IF(L2577="","",IF([1]Inputs_Outputs!$B$5="Herbaceous",(LCA!$E$29*'[1]LOCH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7" s="5" t="str">
        <f>IF(M2577="","",$E$2*1000*'[1]LOCH Calc COE Calc'!$C$44)</f>
        <v/>
      </c>
      <c r="S2577" s="6" t="str">
        <f>IF(N2577="","",SUM(O2577:R2577)/('[1]LOCH Calc COE Calc'!$C$28))</f>
        <v/>
      </c>
      <c r="T2577" t="str">
        <f>IF(L2577="","",O2577/'[1]LOCH Calc COE Calc'!$C$28)</f>
        <v/>
      </c>
      <c r="U2577" t="str">
        <f>IF(L2577="","",P2577/'[1]LOCH Calc COE Calc'!$C$28)</f>
        <v/>
      </c>
      <c r="V2577" t="str">
        <f>IF(L2577="","",Q2577/'[1]LOCH Calc COE Calc'!$C$28)</f>
        <v/>
      </c>
      <c r="W2577" t="str">
        <f>IF(L2577="","",R2577/'[1]LOCH Calc COE Calc'!$C$28)</f>
        <v/>
      </c>
    </row>
    <row r="2578" spans="12:23" x14ac:dyDescent="0.25">
      <c r="L2578" s="4" t="str">
        <f>IF('[1]All Data '!BE2583="","",'[1]All Data '!BE2583)</f>
        <v/>
      </c>
      <c r="M2578" t="str">
        <f>IF('[1]All Data '!BF2583="","",'[1]All Data '!BF2583)</f>
        <v/>
      </c>
      <c r="N2578" s="5" t="str">
        <f>IF('[1]All Data '!BB2583="","",'[1]All Data '!BC2583/'[1]All Data '!BH2583)</f>
        <v/>
      </c>
      <c r="O2578" s="5" t="str">
        <f t="shared" si="42"/>
        <v/>
      </c>
      <c r="P2578" s="5" t="str">
        <f>IF(M2578="","",$C$2*(1-L2578)*907.2/0.621371*N2578*[1]Transportation!$M$40)</f>
        <v/>
      </c>
      <c r="Q2578" s="5" t="str">
        <f>IF(L2578="","",IF([1]Inputs_Outputs!$B$5="Herbaceous",(LCA!$E$29*'[1]LOCH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8" s="5" t="str">
        <f>IF(M2578="","",$E$2*1000*'[1]LOCH Calc COE Calc'!$C$44)</f>
        <v/>
      </c>
      <c r="S2578" s="6" t="str">
        <f>IF(N2578="","",SUM(O2578:R2578)/('[1]LOCH Calc COE Calc'!$C$28))</f>
        <v/>
      </c>
      <c r="T2578" t="str">
        <f>IF(L2578="","",O2578/'[1]LOCH Calc COE Calc'!$C$28)</f>
        <v/>
      </c>
      <c r="U2578" t="str">
        <f>IF(L2578="","",P2578/'[1]LOCH Calc COE Calc'!$C$28)</f>
        <v/>
      </c>
      <c r="V2578" t="str">
        <f>IF(L2578="","",Q2578/'[1]LOCH Calc COE Calc'!$C$28)</f>
        <v/>
      </c>
      <c r="W2578" t="str">
        <f>IF(L2578="","",R2578/'[1]LOCH Calc COE Calc'!$C$28)</f>
        <v/>
      </c>
    </row>
    <row r="2579" spans="12:23" x14ac:dyDescent="0.25">
      <c r="L2579" s="4" t="str">
        <f>IF('[1]All Data '!BE2584="","",'[1]All Data '!BE2584)</f>
        <v/>
      </c>
      <c r="M2579" t="str">
        <f>IF('[1]All Data '!BF2584="","",'[1]All Data '!BF2584)</f>
        <v/>
      </c>
      <c r="N2579" s="5" t="str">
        <f>IF('[1]All Data '!BB2584="","",'[1]All Data '!BC2584/'[1]All Data '!BH2584)</f>
        <v/>
      </c>
      <c r="O2579" s="5" t="str">
        <f t="shared" si="42"/>
        <v/>
      </c>
      <c r="P2579" s="5" t="str">
        <f>IF(M2579="","",$C$2*(1-L2579)*907.2/0.621371*N2579*[1]Transportation!$M$40)</f>
        <v/>
      </c>
      <c r="Q2579" s="5" t="str">
        <f>IF(L2579="","",IF([1]Inputs_Outputs!$B$5="Herbaceous",(LCA!$E$29*'[1]LOCH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79" s="5" t="str">
        <f>IF(M2579="","",$E$2*1000*'[1]LOCH Calc COE Calc'!$C$44)</f>
        <v/>
      </c>
      <c r="S2579" s="6" t="str">
        <f>IF(N2579="","",SUM(O2579:R2579)/('[1]LOCH Calc COE Calc'!$C$28))</f>
        <v/>
      </c>
      <c r="T2579" t="str">
        <f>IF(L2579="","",O2579/'[1]LOCH Calc COE Calc'!$C$28)</f>
        <v/>
      </c>
      <c r="U2579" t="str">
        <f>IF(L2579="","",P2579/'[1]LOCH Calc COE Calc'!$C$28)</f>
        <v/>
      </c>
      <c r="V2579" t="str">
        <f>IF(L2579="","",Q2579/'[1]LOCH Calc COE Calc'!$C$28)</f>
        <v/>
      </c>
      <c r="W2579" t="str">
        <f>IF(L2579="","",R2579/'[1]LOCH Calc COE Calc'!$C$28)</f>
        <v/>
      </c>
    </row>
    <row r="2580" spans="12:23" x14ac:dyDescent="0.25">
      <c r="L2580" s="4" t="str">
        <f>IF('[1]All Data '!BE2585="","",'[1]All Data '!BE2585)</f>
        <v/>
      </c>
      <c r="M2580" t="str">
        <f>IF('[1]All Data '!BF2585="","",'[1]All Data '!BF2585)</f>
        <v/>
      </c>
      <c r="N2580" s="5" t="str">
        <f>IF('[1]All Data '!BB2585="","",'[1]All Data '!BC2585/'[1]All Data '!BH2585)</f>
        <v/>
      </c>
      <c r="O2580" s="5" t="str">
        <f t="shared" si="42"/>
        <v/>
      </c>
      <c r="P2580" s="5" t="str">
        <f>IF(M2580="","",$C$2*(1-L2580)*907.2/0.621371*N2580*[1]Transportation!$M$40)</f>
        <v/>
      </c>
      <c r="Q2580" s="5" t="str">
        <f>IF(L2580="","",IF([1]Inputs_Outputs!$B$5="Herbaceous",(LCA!$E$29*'[1]LOCH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0" s="5" t="str">
        <f>IF(M2580="","",$E$2*1000*'[1]LOCH Calc COE Calc'!$C$44)</f>
        <v/>
      </c>
      <c r="S2580" s="6" t="str">
        <f>IF(N2580="","",SUM(O2580:R2580)/('[1]LOCH Calc COE Calc'!$C$28))</f>
        <v/>
      </c>
      <c r="T2580" t="str">
        <f>IF(L2580="","",O2580/'[1]LOCH Calc COE Calc'!$C$28)</f>
        <v/>
      </c>
      <c r="U2580" t="str">
        <f>IF(L2580="","",P2580/'[1]LOCH Calc COE Calc'!$C$28)</f>
        <v/>
      </c>
      <c r="V2580" t="str">
        <f>IF(L2580="","",Q2580/'[1]LOCH Calc COE Calc'!$C$28)</f>
        <v/>
      </c>
      <c r="W2580" t="str">
        <f>IF(L2580="","",R2580/'[1]LOCH Calc COE Calc'!$C$28)</f>
        <v/>
      </c>
    </row>
    <row r="2581" spans="12:23" x14ac:dyDescent="0.25">
      <c r="L2581" s="4" t="str">
        <f>IF('[1]All Data '!BE2586="","",'[1]All Data '!BE2586)</f>
        <v/>
      </c>
      <c r="M2581" t="str">
        <f>IF('[1]All Data '!BF2586="","",'[1]All Data '!BF2586)</f>
        <v/>
      </c>
      <c r="N2581" s="5" t="str">
        <f>IF('[1]All Data '!BB2586="","",'[1]All Data '!BC2586/'[1]All Data '!BH2586)</f>
        <v/>
      </c>
      <c r="O2581" s="5" t="str">
        <f t="shared" si="42"/>
        <v/>
      </c>
      <c r="P2581" s="5" t="str">
        <f>IF(M2581="","",$C$2*(1-L2581)*907.2/0.621371*N2581*[1]Transportation!$M$40)</f>
        <v/>
      </c>
      <c r="Q2581" s="5" t="str">
        <f>IF(L2581="","",IF([1]Inputs_Outputs!$B$5="Herbaceous",(LCA!$E$29*'[1]LOCH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1" s="5" t="str">
        <f>IF(M2581="","",$E$2*1000*'[1]LOCH Calc COE Calc'!$C$44)</f>
        <v/>
      </c>
      <c r="S2581" s="6" t="str">
        <f>IF(N2581="","",SUM(O2581:R2581)/('[1]LOCH Calc COE Calc'!$C$28))</f>
        <v/>
      </c>
      <c r="T2581" t="str">
        <f>IF(L2581="","",O2581/'[1]LOCH Calc COE Calc'!$C$28)</f>
        <v/>
      </c>
      <c r="U2581" t="str">
        <f>IF(L2581="","",P2581/'[1]LOCH Calc COE Calc'!$C$28)</f>
        <v/>
      </c>
      <c r="V2581" t="str">
        <f>IF(L2581="","",Q2581/'[1]LOCH Calc COE Calc'!$C$28)</f>
        <v/>
      </c>
      <c r="W2581" t="str">
        <f>IF(L2581="","",R2581/'[1]LOCH Calc COE Calc'!$C$28)</f>
        <v/>
      </c>
    </row>
    <row r="2582" spans="12:23" x14ac:dyDescent="0.25">
      <c r="L2582" s="4" t="str">
        <f>IF('[1]All Data '!BE2587="","",'[1]All Data '!BE2587)</f>
        <v/>
      </c>
      <c r="M2582" t="str">
        <f>IF('[1]All Data '!BF2587="","",'[1]All Data '!BF2587)</f>
        <v/>
      </c>
      <c r="N2582" s="5" t="str">
        <f>IF('[1]All Data '!BB2587="","",'[1]All Data '!BC2587/'[1]All Data '!BH2587)</f>
        <v/>
      </c>
      <c r="O2582" s="5" t="str">
        <f t="shared" si="42"/>
        <v/>
      </c>
      <c r="P2582" s="5" t="str">
        <f>IF(M2582="","",$C$2*(1-L2582)*907.2/0.621371*N2582*[1]Transportation!$M$40)</f>
        <v/>
      </c>
      <c r="Q2582" s="5" t="str">
        <f>IF(L2582="","",IF([1]Inputs_Outputs!$B$5="Herbaceous",(LCA!$E$29*'[1]LOCH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2" s="5" t="str">
        <f>IF(M2582="","",$E$2*1000*'[1]LOCH Calc COE Calc'!$C$44)</f>
        <v/>
      </c>
      <c r="S2582" s="6" t="str">
        <f>IF(N2582="","",SUM(O2582:R2582)/('[1]LOCH Calc COE Calc'!$C$28))</f>
        <v/>
      </c>
      <c r="T2582" t="str">
        <f>IF(L2582="","",O2582/'[1]LOCH Calc COE Calc'!$C$28)</f>
        <v/>
      </c>
      <c r="U2582" t="str">
        <f>IF(L2582="","",P2582/'[1]LOCH Calc COE Calc'!$C$28)</f>
        <v/>
      </c>
      <c r="V2582" t="str">
        <f>IF(L2582="","",Q2582/'[1]LOCH Calc COE Calc'!$C$28)</f>
        <v/>
      </c>
      <c r="W2582" t="str">
        <f>IF(L2582="","",R2582/'[1]LOCH Calc COE Calc'!$C$28)</f>
        <v/>
      </c>
    </row>
    <row r="2583" spans="12:23" x14ac:dyDescent="0.25">
      <c r="L2583" s="4" t="str">
        <f>IF('[1]All Data '!BE2588="","",'[1]All Data '!BE2588)</f>
        <v/>
      </c>
      <c r="M2583" t="str">
        <f>IF('[1]All Data '!BF2588="","",'[1]All Data '!BF2588)</f>
        <v/>
      </c>
      <c r="N2583" s="5" t="str">
        <f>IF('[1]All Data '!BB2588="","",'[1]All Data '!BC2588/'[1]All Data '!BH2588)</f>
        <v/>
      </c>
      <c r="O2583" s="5" t="str">
        <f t="shared" si="42"/>
        <v/>
      </c>
      <c r="P2583" s="5" t="str">
        <f>IF(M2583="","",$C$2*(1-L2583)*907.2/0.621371*N2583*[1]Transportation!$M$40)</f>
        <v/>
      </c>
      <c r="Q2583" s="5" t="str">
        <f>IF(L2583="","",IF([1]Inputs_Outputs!$B$5="Herbaceous",(LCA!$E$29*'[1]LOCH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3" s="5" t="str">
        <f>IF(M2583="","",$E$2*1000*'[1]LOCH Calc COE Calc'!$C$44)</f>
        <v/>
      </c>
      <c r="S2583" s="6" t="str">
        <f>IF(N2583="","",SUM(O2583:R2583)/('[1]LOCH Calc COE Calc'!$C$28))</f>
        <v/>
      </c>
      <c r="T2583" t="str">
        <f>IF(L2583="","",O2583/'[1]LOCH Calc COE Calc'!$C$28)</f>
        <v/>
      </c>
      <c r="U2583" t="str">
        <f>IF(L2583="","",P2583/'[1]LOCH Calc COE Calc'!$C$28)</f>
        <v/>
      </c>
      <c r="V2583" t="str">
        <f>IF(L2583="","",Q2583/'[1]LOCH Calc COE Calc'!$C$28)</f>
        <v/>
      </c>
      <c r="W2583" t="str">
        <f>IF(L2583="","",R2583/'[1]LOCH Calc COE Calc'!$C$28)</f>
        <v/>
      </c>
    </row>
    <row r="2584" spans="12:23" x14ac:dyDescent="0.25">
      <c r="L2584" s="4" t="str">
        <f>IF('[1]All Data '!BE2589="","",'[1]All Data '!BE2589)</f>
        <v/>
      </c>
      <c r="M2584" t="str">
        <f>IF('[1]All Data '!BF2589="","",'[1]All Data '!BF2589)</f>
        <v/>
      </c>
      <c r="N2584" s="5" t="str">
        <f>IF('[1]All Data '!BB2589="","",'[1]All Data '!BC2589/'[1]All Data '!BH2589)</f>
        <v/>
      </c>
      <c r="O2584" s="5" t="str">
        <f t="shared" si="42"/>
        <v/>
      </c>
      <c r="P2584" s="5" t="str">
        <f>IF(M2584="","",$C$2*(1-L2584)*907.2/0.621371*N2584*[1]Transportation!$M$40)</f>
        <v/>
      </c>
      <c r="Q2584" s="5" t="str">
        <f>IF(L2584="","",IF([1]Inputs_Outputs!$B$5="Herbaceous",(LCA!$E$29*'[1]LOCH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4" s="5" t="str">
        <f>IF(M2584="","",$E$2*1000*'[1]LOCH Calc COE Calc'!$C$44)</f>
        <v/>
      </c>
      <c r="S2584" s="6" t="str">
        <f>IF(N2584="","",SUM(O2584:R2584)/('[1]LOCH Calc COE Calc'!$C$28))</f>
        <v/>
      </c>
      <c r="T2584" t="str">
        <f>IF(L2584="","",O2584/'[1]LOCH Calc COE Calc'!$C$28)</f>
        <v/>
      </c>
      <c r="U2584" t="str">
        <f>IF(L2584="","",P2584/'[1]LOCH Calc COE Calc'!$C$28)</f>
        <v/>
      </c>
      <c r="V2584" t="str">
        <f>IF(L2584="","",Q2584/'[1]LOCH Calc COE Calc'!$C$28)</f>
        <v/>
      </c>
      <c r="W2584" t="str">
        <f>IF(L2584="","",R2584/'[1]LOCH Calc COE Calc'!$C$28)</f>
        <v/>
      </c>
    </row>
    <row r="2585" spans="12:23" x14ac:dyDescent="0.25">
      <c r="L2585" s="4" t="str">
        <f>IF('[1]All Data '!BE2590="","",'[1]All Data '!BE2590)</f>
        <v/>
      </c>
      <c r="M2585" t="str">
        <f>IF('[1]All Data '!BF2590="","",'[1]All Data '!BF2590)</f>
        <v/>
      </c>
      <c r="N2585" s="5" t="str">
        <f>IF('[1]All Data '!BB2590="","",'[1]All Data '!BC2590/'[1]All Data '!BH2590)</f>
        <v/>
      </c>
      <c r="O2585" s="5" t="str">
        <f t="shared" si="42"/>
        <v/>
      </c>
      <c r="P2585" s="5" t="str">
        <f>IF(M2585="","",$C$2*(1-L2585)*907.2/0.621371*N2585*[1]Transportation!$M$40)</f>
        <v/>
      </c>
      <c r="Q2585" s="5" t="str">
        <f>IF(L2585="","",IF([1]Inputs_Outputs!$B$5="Herbaceous",(LCA!$E$29*'[1]LOCH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5" s="5" t="str">
        <f>IF(M2585="","",$E$2*1000*'[1]LOCH Calc COE Calc'!$C$44)</f>
        <v/>
      </c>
      <c r="S2585" s="6" t="str">
        <f>IF(N2585="","",SUM(O2585:R2585)/('[1]LOCH Calc COE Calc'!$C$28))</f>
        <v/>
      </c>
      <c r="T2585" t="str">
        <f>IF(L2585="","",O2585/'[1]LOCH Calc COE Calc'!$C$28)</f>
        <v/>
      </c>
      <c r="U2585" t="str">
        <f>IF(L2585="","",P2585/'[1]LOCH Calc COE Calc'!$C$28)</f>
        <v/>
      </c>
      <c r="V2585" t="str">
        <f>IF(L2585="","",Q2585/'[1]LOCH Calc COE Calc'!$C$28)</f>
        <v/>
      </c>
      <c r="W2585" t="str">
        <f>IF(L2585="","",R2585/'[1]LOCH Calc COE Calc'!$C$28)</f>
        <v/>
      </c>
    </row>
    <row r="2586" spans="12:23" x14ac:dyDescent="0.25">
      <c r="L2586" s="4" t="str">
        <f>IF('[1]All Data '!BE2591="","",'[1]All Data '!BE2591)</f>
        <v/>
      </c>
      <c r="M2586" t="str">
        <f>IF('[1]All Data '!BF2591="","",'[1]All Data '!BF2591)</f>
        <v/>
      </c>
      <c r="N2586" s="5" t="str">
        <f>IF('[1]All Data '!BB2591="","",'[1]All Data '!BC2591/'[1]All Data '!BH2591)</f>
        <v/>
      </c>
      <c r="O2586" s="5" t="str">
        <f t="shared" si="42"/>
        <v/>
      </c>
      <c r="P2586" s="5" t="str">
        <f>IF(M2586="","",$C$2*(1-L2586)*907.2/0.621371*N2586*[1]Transportation!$M$40)</f>
        <v/>
      </c>
      <c r="Q2586" s="5" t="str">
        <f>IF(L2586="","",IF([1]Inputs_Outputs!$B$5="Herbaceous",(LCA!$E$29*'[1]LOCH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6" s="5" t="str">
        <f>IF(M2586="","",$E$2*1000*'[1]LOCH Calc COE Calc'!$C$44)</f>
        <v/>
      </c>
      <c r="S2586" s="6" t="str">
        <f>IF(N2586="","",SUM(O2586:R2586)/('[1]LOCH Calc COE Calc'!$C$28))</f>
        <v/>
      </c>
      <c r="T2586" t="str">
        <f>IF(L2586="","",O2586/'[1]LOCH Calc COE Calc'!$C$28)</f>
        <v/>
      </c>
      <c r="U2586" t="str">
        <f>IF(L2586="","",P2586/'[1]LOCH Calc COE Calc'!$C$28)</f>
        <v/>
      </c>
      <c r="V2586" t="str">
        <f>IF(L2586="","",Q2586/'[1]LOCH Calc COE Calc'!$C$28)</f>
        <v/>
      </c>
      <c r="W2586" t="str">
        <f>IF(L2586="","",R2586/'[1]LOCH Calc COE Calc'!$C$28)</f>
        <v/>
      </c>
    </row>
    <row r="2587" spans="12:23" x14ac:dyDescent="0.25">
      <c r="L2587" s="4" t="str">
        <f>IF('[1]All Data '!BE2592="","",'[1]All Data '!BE2592)</f>
        <v/>
      </c>
      <c r="M2587" t="str">
        <f>IF('[1]All Data '!BF2592="","",'[1]All Data '!BF2592)</f>
        <v/>
      </c>
      <c r="N2587" s="5" t="str">
        <f>IF('[1]All Data '!BB2592="","",'[1]All Data '!BC2592/'[1]All Data '!BH2592)</f>
        <v/>
      </c>
      <c r="O2587" s="5" t="str">
        <f t="shared" si="42"/>
        <v/>
      </c>
      <c r="P2587" s="5" t="str">
        <f>IF(M2587="","",$C$2*(1-L2587)*907.2/0.621371*N2587*[1]Transportation!$M$40)</f>
        <v/>
      </c>
      <c r="Q2587" s="5" t="str">
        <f>IF(L2587="","",IF([1]Inputs_Outputs!$B$5="Herbaceous",(LCA!$E$29*'[1]LOCH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7" s="5" t="str">
        <f>IF(M2587="","",$E$2*1000*'[1]LOCH Calc COE Calc'!$C$44)</f>
        <v/>
      </c>
      <c r="S2587" s="6" t="str">
        <f>IF(N2587="","",SUM(O2587:R2587)/('[1]LOCH Calc COE Calc'!$C$28))</f>
        <v/>
      </c>
      <c r="T2587" t="str">
        <f>IF(L2587="","",O2587/'[1]LOCH Calc COE Calc'!$C$28)</f>
        <v/>
      </c>
      <c r="U2587" t="str">
        <f>IF(L2587="","",P2587/'[1]LOCH Calc COE Calc'!$C$28)</f>
        <v/>
      </c>
      <c r="V2587" t="str">
        <f>IF(L2587="","",Q2587/'[1]LOCH Calc COE Calc'!$C$28)</f>
        <v/>
      </c>
      <c r="W2587" t="str">
        <f>IF(L2587="","",R2587/'[1]LOCH Calc COE Calc'!$C$28)</f>
        <v/>
      </c>
    </row>
    <row r="2588" spans="12:23" x14ac:dyDescent="0.25">
      <c r="L2588" s="4" t="str">
        <f>IF('[1]All Data '!BE2593="","",'[1]All Data '!BE2593)</f>
        <v/>
      </c>
      <c r="M2588" t="str">
        <f>IF('[1]All Data '!BF2593="","",'[1]All Data '!BF2593)</f>
        <v/>
      </c>
      <c r="N2588" s="5" t="str">
        <f>IF('[1]All Data '!BB2593="","",'[1]All Data '!BC2593/'[1]All Data '!BH2593)</f>
        <v/>
      </c>
      <c r="O2588" s="5" t="str">
        <f t="shared" si="42"/>
        <v/>
      </c>
      <c r="P2588" s="5" t="str">
        <f>IF(M2588="","",$C$2*(1-L2588)*907.2/0.621371*N2588*[1]Transportation!$M$40)</f>
        <v/>
      </c>
      <c r="Q2588" s="5" t="str">
        <f>IF(L2588="","",IF([1]Inputs_Outputs!$B$5="Herbaceous",(LCA!$E$29*'[1]LOCH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8" s="5" t="str">
        <f>IF(M2588="","",$E$2*1000*'[1]LOCH Calc COE Calc'!$C$44)</f>
        <v/>
      </c>
      <c r="S2588" s="6" t="str">
        <f>IF(N2588="","",SUM(O2588:R2588)/('[1]LOCH Calc COE Calc'!$C$28))</f>
        <v/>
      </c>
      <c r="T2588" t="str">
        <f>IF(L2588="","",O2588/'[1]LOCH Calc COE Calc'!$C$28)</f>
        <v/>
      </c>
      <c r="U2588" t="str">
        <f>IF(L2588="","",P2588/'[1]LOCH Calc COE Calc'!$C$28)</f>
        <v/>
      </c>
      <c r="V2588" t="str">
        <f>IF(L2588="","",Q2588/'[1]LOCH Calc COE Calc'!$C$28)</f>
        <v/>
      </c>
      <c r="W2588" t="str">
        <f>IF(L2588="","",R2588/'[1]LOCH Calc COE Calc'!$C$28)</f>
        <v/>
      </c>
    </row>
    <row r="2589" spans="12:23" x14ac:dyDescent="0.25">
      <c r="L2589" s="4" t="str">
        <f>IF('[1]All Data '!BE2594="","",'[1]All Data '!BE2594)</f>
        <v/>
      </c>
      <c r="M2589" t="str">
        <f>IF('[1]All Data '!BF2594="","",'[1]All Data '!BF2594)</f>
        <v/>
      </c>
      <c r="N2589" s="5" t="str">
        <f>IF('[1]All Data '!BB2594="","",'[1]All Data '!BC2594/'[1]All Data '!BH2594)</f>
        <v/>
      </c>
      <c r="O2589" s="5" t="str">
        <f t="shared" si="42"/>
        <v/>
      </c>
      <c r="P2589" s="5" t="str">
        <f>IF(M2589="","",$C$2*(1-L2589)*907.2/0.621371*N2589*[1]Transportation!$M$40)</f>
        <v/>
      </c>
      <c r="Q2589" s="5" t="str">
        <f>IF(L2589="","",IF([1]Inputs_Outputs!$B$5="Herbaceous",(LCA!$E$29*'[1]LOCH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89" s="5" t="str">
        <f>IF(M2589="","",$E$2*1000*'[1]LOCH Calc COE Calc'!$C$44)</f>
        <v/>
      </c>
      <c r="S2589" s="6" t="str">
        <f>IF(N2589="","",SUM(O2589:R2589)/('[1]LOCH Calc COE Calc'!$C$28))</f>
        <v/>
      </c>
      <c r="T2589" t="str">
        <f>IF(L2589="","",O2589/'[1]LOCH Calc COE Calc'!$C$28)</f>
        <v/>
      </c>
      <c r="U2589" t="str">
        <f>IF(L2589="","",P2589/'[1]LOCH Calc COE Calc'!$C$28)</f>
        <v/>
      </c>
      <c r="V2589" t="str">
        <f>IF(L2589="","",Q2589/'[1]LOCH Calc COE Calc'!$C$28)</f>
        <v/>
      </c>
      <c r="W2589" t="str">
        <f>IF(L2589="","",R2589/'[1]LOCH Calc COE Calc'!$C$28)</f>
        <v/>
      </c>
    </row>
    <row r="2590" spans="12:23" x14ac:dyDescent="0.25">
      <c r="L2590" s="4" t="str">
        <f>IF('[1]All Data '!BE2595="","",'[1]All Data '!BE2595)</f>
        <v/>
      </c>
      <c r="M2590" t="str">
        <f>IF('[1]All Data '!BF2595="","",'[1]All Data '!BF2595)</f>
        <v/>
      </c>
      <c r="N2590" s="5" t="str">
        <f>IF('[1]All Data '!BB2595="","",'[1]All Data '!BC2595/'[1]All Data '!BH2595)</f>
        <v/>
      </c>
      <c r="O2590" s="5" t="str">
        <f t="shared" si="42"/>
        <v/>
      </c>
      <c r="P2590" s="5" t="str">
        <f>IF(M2590="","",$C$2*(1-L2590)*907.2/0.621371*N2590*[1]Transportation!$M$40)</f>
        <v/>
      </c>
      <c r="Q2590" s="5" t="str">
        <f>IF(L2590="","",IF([1]Inputs_Outputs!$B$5="Herbaceous",(LCA!$E$29*'[1]LOCH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0" s="5" t="str">
        <f>IF(M2590="","",$E$2*1000*'[1]LOCH Calc COE Calc'!$C$44)</f>
        <v/>
      </c>
      <c r="S2590" s="6" t="str">
        <f>IF(N2590="","",SUM(O2590:R2590)/('[1]LOCH Calc COE Calc'!$C$28))</f>
        <v/>
      </c>
      <c r="T2590" t="str">
        <f>IF(L2590="","",O2590/'[1]LOCH Calc COE Calc'!$C$28)</f>
        <v/>
      </c>
      <c r="U2590" t="str">
        <f>IF(L2590="","",P2590/'[1]LOCH Calc COE Calc'!$C$28)</f>
        <v/>
      </c>
      <c r="V2590" t="str">
        <f>IF(L2590="","",Q2590/'[1]LOCH Calc COE Calc'!$C$28)</f>
        <v/>
      </c>
      <c r="W2590" t="str">
        <f>IF(L2590="","",R2590/'[1]LOCH Calc COE Calc'!$C$28)</f>
        <v/>
      </c>
    </row>
    <row r="2591" spans="12:23" x14ac:dyDescent="0.25">
      <c r="L2591" s="4" t="str">
        <f>IF('[1]All Data '!BE2596="","",'[1]All Data '!BE2596)</f>
        <v/>
      </c>
      <c r="M2591" t="str">
        <f>IF('[1]All Data '!BF2596="","",'[1]All Data '!BF2596)</f>
        <v/>
      </c>
      <c r="N2591" s="5" t="str">
        <f>IF('[1]All Data '!BB2596="","",'[1]All Data '!BC2596/'[1]All Data '!BH2596)</f>
        <v/>
      </c>
      <c r="O2591" s="5" t="str">
        <f t="shared" si="42"/>
        <v/>
      </c>
      <c r="P2591" s="5" t="str">
        <f>IF(M2591="","",$C$2*(1-L2591)*907.2/0.621371*N2591*[1]Transportation!$M$40)</f>
        <v/>
      </c>
      <c r="Q2591" s="5" t="str">
        <f>IF(L2591="","",IF([1]Inputs_Outputs!$B$5="Herbaceous",(LCA!$E$29*'[1]LOCH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1" s="5" t="str">
        <f>IF(M2591="","",$E$2*1000*'[1]LOCH Calc COE Calc'!$C$44)</f>
        <v/>
      </c>
      <c r="S2591" s="6" t="str">
        <f>IF(N2591="","",SUM(O2591:R2591)/('[1]LOCH Calc COE Calc'!$C$28))</f>
        <v/>
      </c>
      <c r="T2591" t="str">
        <f>IF(L2591="","",O2591/'[1]LOCH Calc COE Calc'!$C$28)</f>
        <v/>
      </c>
      <c r="U2591" t="str">
        <f>IF(L2591="","",P2591/'[1]LOCH Calc COE Calc'!$C$28)</f>
        <v/>
      </c>
      <c r="V2591" t="str">
        <f>IF(L2591="","",Q2591/'[1]LOCH Calc COE Calc'!$C$28)</f>
        <v/>
      </c>
      <c r="W2591" t="str">
        <f>IF(L2591="","",R2591/'[1]LOCH Calc COE Calc'!$C$28)</f>
        <v/>
      </c>
    </row>
    <row r="2592" spans="12:23" x14ac:dyDescent="0.25">
      <c r="L2592" s="4" t="str">
        <f>IF('[1]All Data '!BE2597="","",'[1]All Data '!BE2597)</f>
        <v/>
      </c>
      <c r="M2592" t="str">
        <f>IF('[1]All Data '!BF2597="","",'[1]All Data '!BF2597)</f>
        <v/>
      </c>
      <c r="N2592" s="5" t="str">
        <f>IF('[1]All Data '!BB2597="","",'[1]All Data '!BC2597/'[1]All Data '!BH2597)</f>
        <v/>
      </c>
      <c r="O2592" s="5" t="str">
        <f t="shared" si="42"/>
        <v/>
      </c>
      <c r="P2592" s="5" t="str">
        <f>IF(M2592="","",$C$2*(1-L2592)*907.2/0.621371*N2592*[1]Transportation!$M$40)</f>
        <v/>
      </c>
      <c r="Q2592" s="5" t="str">
        <f>IF(L2592="","",IF([1]Inputs_Outputs!$B$5="Herbaceous",(LCA!$E$29*'[1]LOCH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2" s="5" t="str">
        <f>IF(M2592="","",$E$2*1000*'[1]LOCH Calc COE Calc'!$C$44)</f>
        <v/>
      </c>
      <c r="S2592" s="6" t="str">
        <f>IF(N2592="","",SUM(O2592:R2592)/('[1]LOCH Calc COE Calc'!$C$28))</f>
        <v/>
      </c>
      <c r="T2592" t="str">
        <f>IF(L2592="","",O2592/'[1]LOCH Calc COE Calc'!$C$28)</f>
        <v/>
      </c>
      <c r="U2592" t="str">
        <f>IF(L2592="","",P2592/'[1]LOCH Calc COE Calc'!$C$28)</f>
        <v/>
      </c>
      <c r="V2592" t="str">
        <f>IF(L2592="","",Q2592/'[1]LOCH Calc COE Calc'!$C$28)</f>
        <v/>
      </c>
      <c r="W2592" t="str">
        <f>IF(L2592="","",R2592/'[1]LOCH Calc COE Calc'!$C$28)</f>
        <v/>
      </c>
    </row>
    <row r="2593" spans="12:23" x14ac:dyDescent="0.25">
      <c r="L2593" s="4" t="str">
        <f>IF('[1]All Data '!BE2598="","",'[1]All Data '!BE2598)</f>
        <v/>
      </c>
      <c r="M2593" t="str">
        <f>IF('[1]All Data '!BF2598="","",'[1]All Data '!BF2598)</f>
        <v/>
      </c>
      <c r="N2593" s="5" t="str">
        <f>IF('[1]All Data '!BB2598="","",'[1]All Data '!BC2598/'[1]All Data '!BH2598)</f>
        <v/>
      </c>
      <c r="O2593" s="5" t="str">
        <f t="shared" si="42"/>
        <v/>
      </c>
      <c r="P2593" s="5" t="str">
        <f>IF(M2593="","",$C$2*(1-L2593)*907.2/0.621371*N2593*[1]Transportation!$M$40)</f>
        <v/>
      </c>
      <c r="Q2593" s="5" t="str">
        <f>IF(L2593="","",IF([1]Inputs_Outputs!$B$5="Herbaceous",(LCA!$E$29*'[1]LOCH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3" s="5" t="str">
        <f>IF(M2593="","",$E$2*1000*'[1]LOCH Calc COE Calc'!$C$44)</f>
        <v/>
      </c>
      <c r="S2593" s="6" t="str">
        <f>IF(N2593="","",SUM(O2593:R2593)/('[1]LOCH Calc COE Calc'!$C$28))</f>
        <v/>
      </c>
      <c r="T2593" t="str">
        <f>IF(L2593="","",O2593/'[1]LOCH Calc COE Calc'!$C$28)</f>
        <v/>
      </c>
      <c r="U2593" t="str">
        <f>IF(L2593="","",P2593/'[1]LOCH Calc COE Calc'!$C$28)</f>
        <v/>
      </c>
      <c r="V2593" t="str">
        <f>IF(L2593="","",Q2593/'[1]LOCH Calc COE Calc'!$C$28)</f>
        <v/>
      </c>
      <c r="W2593" t="str">
        <f>IF(L2593="","",R2593/'[1]LOCH Calc COE Calc'!$C$28)</f>
        <v/>
      </c>
    </row>
    <row r="2594" spans="12:23" x14ac:dyDescent="0.25">
      <c r="L2594" s="4" t="str">
        <f>IF('[1]All Data '!BE2599="","",'[1]All Data '!BE2599)</f>
        <v/>
      </c>
      <c r="M2594" t="str">
        <f>IF('[1]All Data '!BF2599="","",'[1]All Data '!BF2599)</f>
        <v/>
      </c>
      <c r="N2594" s="5" t="str">
        <f>IF('[1]All Data '!BB2599="","",'[1]All Data '!BC2599/'[1]All Data '!BH2599)</f>
        <v/>
      </c>
      <c r="O2594" s="5" t="str">
        <f t="shared" si="42"/>
        <v/>
      </c>
      <c r="P2594" s="5" t="str">
        <f>IF(M2594="","",$C$2*(1-L2594)*907.2/0.621371*N2594*[1]Transportation!$M$40)</f>
        <v/>
      </c>
      <c r="Q2594" s="5" t="str">
        <f>IF(L2594="","",IF([1]Inputs_Outputs!$B$5="Herbaceous",(LCA!$E$29*'[1]LOCH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4" s="5" t="str">
        <f>IF(M2594="","",$E$2*1000*'[1]LOCH Calc COE Calc'!$C$44)</f>
        <v/>
      </c>
      <c r="S2594" s="6" t="str">
        <f>IF(N2594="","",SUM(O2594:R2594)/('[1]LOCH Calc COE Calc'!$C$28))</f>
        <v/>
      </c>
      <c r="T2594" t="str">
        <f>IF(L2594="","",O2594/'[1]LOCH Calc COE Calc'!$C$28)</f>
        <v/>
      </c>
      <c r="U2594" t="str">
        <f>IF(L2594="","",P2594/'[1]LOCH Calc COE Calc'!$C$28)</f>
        <v/>
      </c>
      <c r="V2594" t="str">
        <f>IF(L2594="","",Q2594/'[1]LOCH Calc COE Calc'!$C$28)</f>
        <v/>
      </c>
      <c r="W2594" t="str">
        <f>IF(L2594="","",R2594/'[1]LOCH Calc COE Calc'!$C$28)</f>
        <v/>
      </c>
    </row>
    <row r="2595" spans="12:23" x14ac:dyDescent="0.25">
      <c r="L2595" s="4" t="str">
        <f>IF('[1]All Data '!BE2600="","",'[1]All Data '!BE2600)</f>
        <v/>
      </c>
      <c r="M2595" t="str">
        <f>IF('[1]All Data '!BF2600="","",'[1]All Data '!BF2600)</f>
        <v/>
      </c>
      <c r="N2595" s="5" t="str">
        <f>IF('[1]All Data '!BB2600="","",'[1]All Data '!BC2600/'[1]All Data '!BH2600)</f>
        <v/>
      </c>
      <c r="O2595" s="5" t="str">
        <f t="shared" si="42"/>
        <v/>
      </c>
      <c r="P2595" s="5" t="str">
        <f>IF(M2595="","",$C$2*(1-L2595)*907.2/0.621371*N2595*[1]Transportation!$M$40)</f>
        <v/>
      </c>
      <c r="Q2595" s="5" t="str">
        <f>IF(L2595="","",IF([1]Inputs_Outputs!$B$5="Herbaceous",(LCA!$E$29*'[1]LOCH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5" s="5" t="str">
        <f>IF(M2595="","",$E$2*1000*'[1]LOCH Calc COE Calc'!$C$44)</f>
        <v/>
      </c>
      <c r="S2595" s="6" t="str">
        <f>IF(N2595="","",SUM(O2595:R2595)/('[1]LOCH Calc COE Calc'!$C$28))</f>
        <v/>
      </c>
      <c r="T2595" t="str">
        <f>IF(L2595="","",O2595/'[1]LOCH Calc COE Calc'!$C$28)</f>
        <v/>
      </c>
      <c r="U2595" t="str">
        <f>IF(L2595="","",P2595/'[1]LOCH Calc COE Calc'!$C$28)</f>
        <v/>
      </c>
      <c r="V2595" t="str">
        <f>IF(L2595="","",Q2595/'[1]LOCH Calc COE Calc'!$C$28)</f>
        <v/>
      </c>
      <c r="W2595" t="str">
        <f>IF(L2595="","",R2595/'[1]LOCH Calc COE Calc'!$C$28)</f>
        <v/>
      </c>
    </row>
    <row r="2596" spans="12:23" x14ac:dyDescent="0.25">
      <c r="L2596" s="4" t="str">
        <f>IF('[1]All Data '!BE2601="","",'[1]All Data '!BE2601)</f>
        <v/>
      </c>
      <c r="M2596" t="str">
        <f>IF('[1]All Data '!BF2601="","",'[1]All Data '!BF2601)</f>
        <v/>
      </c>
      <c r="N2596" s="5" t="str">
        <f>IF('[1]All Data '!BB2601="","",'[1]All Data '!BC2601/'[1]All Data '!BH2601)</f>
        <v/>
      </c>
      <c r="O2596" s="5" t="str">
        <f t="shared" si="42"/>
        <v/>
      </c>
      <c r="P2596" s="5" t="str">
        <f>IF(M2596="","",$C$2*(1-L2596)*907.2/0.621371*N2596*[1]Transportation!$M$40)</f>
        <v/>
      </c>
      <c r="Q2596" s="5" t="str">
        <f>IF(L2596="","",IF([1]Inputs_Outputs!$B$5="Herbaceous",(LCA!$E$29*'[1]LOCH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6" s="5" t="str">
        <f>IF(M2596="","",$E$2*1000*'[1]LOCH Calc COE Calc'!$C$44)</f>
        <v/>
      </c>
      <c r="S2596" s="6" t="str">
        <f>IF(N2596="","",SUM(O2596:R2596)/('[1]LOCH Calc COE Calc'!$C$28))</f>
        <v/>
      </c>
      <c r="T2596" t="str">
        <f>IF(L2596="","",O2596/'[1]LOCH Calc COE Calc'!$C$28)</f>
        <v/>
      </c>
      <c r="U2596" t="str">
        <f>IF(L2596="","",P2596/'[1]LOCH Calc COE Calc'!$C$28)</f>
        <v/>
      </c>
      <c r="V2596" t="str">
        <f>IF(L2596="","",Q2596/'[1]LOCH Calc COE Calc'!$C$28)</f>
        <v/>
      </c>
      <c r="W2596" t="str">
        <f>IF(L2596="","",R2596/'[1]LOCH Calc COE Calc'!$C$28)</f>
        <v/>
      </c>
    </row>
    <row r="2597" spans="12:23" x14ac:dyDescent="0.25">
      <c r="L2597" s="4" t="str">
        <f>IF('[1]All Data '!BE2602="","",'[1]All Data '!BE2602)</f>
        <v/>
      </c>
      <c r="M2597" t="str">
        <f>IF('[1]All Data '!BF2602="","",'[1]All Data '!BF2602)</f>
        <v/>
      </c>
      <c r="N2597" s="5" t="str">
        <f>IF('[1]All Data '!BB2602="","",'[1]All Data '!BC2602/'[1]All Data '!BH2602)</f>
        <v/>
      </c>
      <c r="O2597" s="5" t="str">
        <f t="shared" si="42"/>
        <v/>
      </c>
      <c r="P2597" s="5" t="str">
        <f>IF(M2597="","",$C$2*(1-L2597)*907.2/0.621371*N2597*[1]Transportation!$M$40)</f>
        <v/>
      </c>
      <c r="Q2597" s="5" t="str">
        <f>IF(L2597="","",IF([1]Inputs_Outputs!$B$5="Herbaceous",(LCA!$E$29*'[1]LOCH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7" s="5" t="str">
        <f>IF(M2597="","",$E$2*1000*'[1]LOCH Calc COE Calc'!$C$44)</f>
        <v/>
      </c>
      <c r="S2597" s="6" t="str">
        <f>IF(N2597="","",SUM(O2597:R2597)/('[1]LOCH Calc COE Calc'!$C$28))</f>
        <v/>
      </c>
      <c r="T2597" t="str">
        <f>IF(L2597="","",O2597/'[1]LOCH Calc COE Calc'!$C$28)</f>
        <v/>
      </c>
      <c r="U2597" t="str">
        <f>IF(L2597="","",P2597/'[1]LOCH Calc COE Calc'!$C$28)</f>
        <v/>
      </c>
      <c r="V2597" t="str">
        <f>IF(L2597="","",Q2597/'[1]LOCH Calc COE Calc'!$C$28)</f>
        <v/>
      </c>
      <c r="W2597" t="str">
        <f>IF(L2597="","",R2597/'[1]LOCH Calc COE Calc'!$C$28)</f>
        <v/>
      </c>
    </row>
    <row r="2598" spans="12:23" x14ac:dyDescent="0.25">
      <c r="L2598" s="4" t="str">
        <f>IF('[1]All Data '!BE2603="","",'[1]All Data '!BE2603)</f>
        <v/>
      </c>
      <c r="M2598" t="str">
        <f>IF('[1]All Data '!BF2603="","",'[1]All Data '!BF2603)</f>
        <v/>
      </c>
      <c r="N2598" s="5" t="str">
        <f>IF('[1]All Data '!BB2603="","",'[1]All Data '!BC2603/'[1]All Data '!BH2603)</f>
        <v/>
      </c>
      <c r="O2598" s="5" t="str">
        <f t="shared" si="42"/>
        <v/>
      </c>
      <c r="P2598" s="5" t="str">
        <f>IF(M2598="","",$C$2*(1-L2598)*907.2/0.621371*N2598*[1]Transportation!$M$40)</f>
        <v/>
      </c>
      <c r="Q2598" s="5" t="str">
        <f>IF(L2598="","",IF([1]Inputs_Outputs!$B$5="Herbaceous",(LCA!$E$29*'[1]LOCH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8" s="5" t="str">
        <f>IF(M2598="","",$E$2*1000*'[1]LOCH Calc COE Calc'!$C$44)</f>
        <v/>
      </c>
      <c r="S2598" s="6" t="str">
        <f>IF(N2598="","",SUM(O2598:R2598)/('[1]LOCH Calc COE Calc'!$C$28))</f>
        <v/>
      </c>
      <c r="T2598" t="str">
        <f>IF(L2598="","",O2598/'[1]LOCH Calc COE Calc'!$C$28)</f>
        <v/>
      </c>
      <c r="U2598" t="str">
        <f>IF(L2598="","",P2598/'[1]LOCH Calc COE Calc'!$C$28)</f>
        <v/>
      </c>
      <c r="V2598" t="str">
        <f>IF(L2598="","",Q2598/'[1]LOCH Calc COE Calc'!$C$28)</f>
        <v/>
      </c>
      <c r="W2598" t="str">
        <f>IF(L2598="","",R2598/'[1]LOCH Calc COE Calc'!$C$28)</f>
        <v/>
      </c>
    </row>
    <row r="2599" spans="12:23" x14ac:dyDescent="0.25">
      <c r="L2599" s="4" t="str">
        <f>IF('[1]All Data '!BE2604="","",'[1]All Data '!BE2604)</f>
        <v/>
      </c>
      <c r="M2599" t="str">
        <f>IF('[1]All Data '!BF2604="","",'[1]All Data '!BF2604)</f>
        <v/>
      </c>
      <c r="N2599" s="5" t="str">
        <f>IF('[1]All Data '!BB2604="","",'[1]All Data '!BC2604/'[1]All Data '!BH2604)</f>
        <v/>
      </c>
      <c r="O2599" s="5" t="str">
        <f t="shared" si="42"/>
        <v/>
      </c>
      <c r="P2599" s="5" t="str">
        <f>IF(M2599="","",$C$2*(1-L2599)*907.2/0.621371*N2599*[1]Transportation!$M$40)</f>
        <v/>
      </c>
      <c r="Q2599" s="5" t="str">
        <f>IF(L2599="","",IF([1]Inputs_Outputs!$B$5="Herbaceous",(LCA!$E$29*'[1]LOCH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599" s="5" t="str">
        <f>IF(M2599="","",$E$2*1000*'[1]LOCH Calc COE Calc'!$C$44)</f>
        <v/>
      </c>
      <c r="S2599" s="6" t="str">
        <f>IF(N2599="","",SUM(O2599:R2599)/('[1]LOCH Calc COE Calc'!$C$28))</f>
        <v/>
      </c>
      <c r="T2599" t="str">
        <f>IF(L2599="","",O2599/'[1]LOCH Calc COE Calc'!$C$28)</f>
        <v/>
      </c>
      <c r="U2599" t="str">
        <f>IF(L2599="","",P2599/'[1]LOCH Calc COE Calc'!$C$28)</f>
        <v/>
      </c>
      <c r="V2599" t="str">
        <f>IF(L2599="","",Q2599/'[1]LOCH Calc COE Calc'!$C$28)</f>
        <v/>
      </c>
      <c r="W2599" t="str">
        <f>IF(L2599="","",R2599/'[1]LOCH Calc COE Calc'!$C$28)</f>
        <v/>
      </c>
    </row>
    <row r="2600" spans="12:23" x14ac:dyDescent="0.25">
      <c r="L2600" s="4" t="str">
        <f>IF('[1]All Data '!BE2605="","",'[1]All Data '!BE2605)</f>
        <v/>
      </c>
      <c r="M2600" t="str">
        <f>IF('[1]All Data '!BF2605="","",'[1]All Data '!BF2605)</f>
        <v/>
      </c>
      <c r="N2600" s="5" t="str">
        <f>IF('[1]All Data '!BB2605="","",'[1]All Data '!BC2605/'[1]All Data '!BH2605)</f>
        <v/>
      </c>
      <c r="O2600" s="5" t="str">
        <f t="shared" si="42"/>
        <v/>
      </c>
      <c r="P2600" s="5" t="str">
        <f>IF(M2600="","",$C$2*(1-L2600)*907.2/0.621371*N2600*[1]Transportation!$M$40)</f>
        <v/>
      </c>
      <c r="Q2600" s="5" t="str">
        <f>IF(L2600="","",IF([1]Inputs_Outputs!$B$5="Herbaceous",(LCA!$E$29*'[1]LOCH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0" s="5" t="str">
        <f>IF(M2600="","",$E$2*1000*'[1]LOCH Calc COE Calc'!$C$44)</f>
        <v/>
      </c>
      <c r="S2600" s="6" t="str">
        <f>IF(N2600="","",SUM(O2600:R2600)/('[1]LOCH Calc COE Calc'!$C$28))</f>
        <v/>
      </c>
      <c r="T2600" t="str">
        <f>IF(L2600="","",O2600/'[1]LOCH Calc COE Calc'!$C$28)</f>
        <v/>
      </c>
      <c r="U2600" t="str">
        <f>IF(L2600="","",P2600/'[1]LOCH Calc COE Calc'!$C$28)</f>
        <v/>
      </c>
      <c r="V2600" t="str">
        <f>IF(L2600="","",Q2600/'[1]LOCH Calc COE Calc'!$C$28)</f>
        <v/>
      </c>
      <c r="W2600" t="str">
        <f>IF(L2600="","",R2600/'[1]LOCH Calc COE Calc'!$C$28)</f>
        <v/>
      </c>
    </row>
    <row r="2601" spans="12:23" x14ac:dyDescent="0.25">
      <c r="L2601" s="4" t="str">
        <f>IF('[1]All Data '!BE2606="","",'[1]All Data '!BE2606)</f>
        <v/>
      </c>
      <c r="M2601" t="str">
        <f>IF('[1]All Data '!BF2606="","",'[1]All Data '!BF2606)</f>
        <v/>
      </c>
      <c r="N2601" s="5" t="str">
        <f>IF('[1]All Data '!BB2606="","",'[1]All Data '!BC2606/'[1]All Data '!BH2606)</f>
        <v/>
      </c>
      <c r="O2601" s="5" t="str">
        <f t="shared" si="42"/>
        <v/>
      </c>
      <c r="P2601" s="5" t="str">
        <f>IF(M2601="","",$C$2*(1-L2601)*907.2/0.621371*N2601*[1]Transportation!$M$40)</f>
        <v/>
      </c>
      <c r="Q2601" s="5" t="str">
        <f>IF(L2601="","",IF([1]Inputs_Outputs!$B$5="Herbaceous",(LCA!$E$29*'[1]LOCH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1" s="5" t="str">
        <f>IF(M2601="","",$E$2*1000*'[1]LOCH Calc COE Calc'!$C$44)</f>
        <v/>
      </c>
      <c r="S2601" s="6" t="str">
        <f>IF(N2601="","",SUM(O2601:R2601)/('[1]LOCH Calc COE Calc'!$C$28))</f>
        <v/>
      </c>
      <c r="T2601" t="str">
        <f>IF(L2601="","",O2601/'[1]LOCH Calc COE Calc'!$C$28)</f>
        <v/>
      </c>
      <c r="U2601" t="str">
        <f>IF(L2601="","",P2601/'[1]LOCH Calc COE Calc'!$C$28)</f>
        <v/>
      </c>
      <c r="V2601" t="str">
        <f>IF(L2601="","",Q2601/'[1]LOCH Calc COE Calc'!$C$28)</f>
        <v/>
      </c>
      <c r="W2601" t="str">
        <f>IF(L2601="","",R2601/'[1]LOCH Calc COE Calc'!$C$28)</f>
        <v/>
      </c>
    </row>
    <row r="2602" spans="12:23" x14ac:dyDescent="0.25">
      <c r="L2602" s="4" t="str">
        <f>IF('[1]All Data '!BE2607="","",'[1]All Data '!BE2607)</f>
        <v/>
      </c>
      <c r="M2602" t="str">
        <f>IF('[1]All Data '!BF2607="","",'[1]All Data '!BF2607)</f>
        <v/>
      </c>
      <c r="N2602" s="5" t="str">
        <f>IF('[1]All Data '!BB2607="","",'[1]All Data '!BC2607/'[1]All Data '!BH2607)</f>
        <v/>
      </c>
      <c r="O2602" s="5" t="str">
        <f t="shared" si="42"/>
        <v/>
      </c>
      <c r="P2602" s="5" t="str">
        <f>IF(M2602="","",$C$2*(1-L2602)*907.2/0.621371*N2602*[1]Transportation!$M$40)</f>
        <v/>
      </c>
      <c r="Q2602" s="5" t="str">
        <f>IF(L2602="","",IF([1]Inputs_Outputs!$B$5="Herbaceous",(LCA!$E$29*'[1]LOCH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2" s="5" t="str">
        <f>IF(M2602="","",$E$2*1000*'[1]LOCH Calc COE Calc'!$C$44)</f>
        <v/>
      </c>
      <c r="S2602" s="6" t="str">
        <f>IF(N2602="","",SUM(O2602:R2602)/('[1]LOCH Calc COE Calc'!$C$28))</f>
        <v/>
      </c>
      <c r="T2602" t="str">
        <f>IF(L2602="","",O2602/'[1]LOCH Calc COE Calc'!$C$28)</f>
        <v/>
      </c>
      <c r="U2602" t="str">
        <f>IF(L2602="","",P2602/'[1]LOCH Calc COE Calc'!$C$28)</f>
        <v/>
      </c>
      <c r="V2602" t="str">
        <f>IF(L2602="","",Q2602/'[1]LOCH Calc COE Calc'!$C$28)</f>
        <v/>
      </c>
      <c r="W2602" t="str">
        <f>IF(L2602="","",R2602/'[1]LOCH Calc COE Calc'!$C$28)</f>
        <v/>
      </c>
    </row>
    <row r="2603" spans="12:23" x14ac:dyDescent="0.25">
      <c r="L2603" s="4" t="str">
        <f>IF('[1]All Data '!BE2608="","",'[1]All Data '!BE2608)</f>
        <v/>
      </c>
      <c r="M2603" t="str">
        <f>IF('[1]All Data '!BF2608="","",'[1]All Data '!BF2608)</f>
        <v/>
      </c>
      <c r="N2603" s="5" t="str">
        <f>IF('[1]All Data '!BB2608="","",'[1]All Data '!BC2608/'[1]All Data '!BH2608)</f>
        <v/>
      </c>
      <c r="O2603" s="5" t="str">
        <f t="shared" si="42"/>
        <v/>
      </c>
      <c r="P2603" s="5" t="str">
        <f>IF(M2603="","",$C$2*(1-L2603)*907.2/0.621371*N2603*[1]Transportation!$M$40)</f>
        <v/>
      </c>
      <c r="Q2603" s="5" t="str">
        <f>IF(L2603="","",IF([1]Inputs_Outputs!$B$5="Herbaceous",(LCA!$E$29*'[1]LOCH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3" s="5" t="str">
        <f>IF(M2603="","",$E$2*1000*'[1]LOCH Calc COE Calc'!$C$44)</f>
        <v/>
      </c>
      <c r="S2603" s="6" t="str">
        <f>IF(N2603="","",SUM(O2603:R2603)/('[1]LOCH Calc COE Calc'!$C$28))</f>
        <v/>
      </c>
      <c r="T2603" t="str">
        <f>IF(L2603="","",O2603/'[1]LOCH Calc COE Calc'!$C$28)</f>
        <v/>
      </c>
      <c r="U2603" t="str">
        <f>IF(L2603="","",P2603/'[1]LOCH Calc COE Calc'!$C$28)</f>
        <v/>
      </c>
      <c r="V2603" t="str">
        <f>IF(L2603="","",Q2603/'[1]LOCH Calc COE Calc'!$C$28)</f>
        <v/>
      </c>
      <c r="W2603" t="str">
        <f>IF(L2603="","",R2603/'[1]LOCH Calc COE Calc'!$C$28)</f>
        <v/>
      </c>
    </row>
    <row r="2604" spans="12:23" x14ac:dyDescent="0.25">
      <c r="L2604" s="4" t="str">
        <f>IF('[1]All Data '!BE2609="","",'[1]All Data '!BE2609)</f>
        <v/>
      </c>
      <c r="M2604" t="str">
        <f>IF('[1]All Data '!BF2609="","",'[1]All Data '!BF2609)</f>
        <v/>
      </c>
      <c r="N2604" s="5" t="str">
        <f>IF('[1]All Data '!BB2609="","",'[1]All Data '!BC2609/'[1]All Data '!BH2609)</f>
        <v/>
      </c>
      <c r="O2604" s="5" t="str">
        <f t="shared" si="42"/>
        <v/>
      </c>
      <c r="P2604" s="5" t="str">
        <f>IF(M2604="","",$C$2*(1-L2604)*907.2/0.621371*N2604*[1]Transportation!$M$40)</f>
        <v/>
      </c>
      <c r="Q2604" s="5" t="str">
        <f>IF(L2604="","",IF([1]Inputs_Outputs!$B$5="Herbaceous",(LCA!$E$29*'[1]LOCH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4" s="5" t="str">
        <f>IF(M2604="","",$E$2*1000*'[1]LOCH Calc COE Calc'!$C$44)</f>
        <v/>
      </c>
      <c r="S2604" s="6" t="str">
        <f>IF(N2604="","",SUM(O2604:R2604)/('[1]LOCH Calc COE Calc'!$C$28))</f>
        <v/>
      </c>
      <c r="T2604" t="str">
        <f>IF(L2604="","",O2604/'[1]LOCH Calc COE Calc'!$C$28)</f>
        <v/>
      </c>
      <c r="U2604" t="str">
        <f>IF(L2604="","",P2604/'[1]LOCH Calc COE Calc'!$C$28)</f>
        <v/>
      </c>
      <c r="V2604" t="str">
        <f>IF(L2604="","",Q2604/'[1]LOCH Calc COE Calc'!$C$28)</f>
        <v/>
      </c>
      <c r="W2604" t="str">
        <f>IF(L2604="","",R2604/'[1]LOCH Calc COE Calc'!$C$28)</f>
        <v/>
      </c>
    </row>
    <row r="2605" spans="12:23" x14ac:dyDescent="0.25">
      <c r="L2605" s="4" t="str">
        <f>IF('[1]All Data '!BE2610="","",'[1]All Data '!BE2610)</f>
        <v/>
      </c>
      <c r="M2605" t="str">
        <f>IF('[1]All Data '!BF2610="","",'[1]All Data '!BF2610)</f>
        <v/>
      </c>
      <c r="N2605" s="5" t="str">
        <f>IF('[1]All Data '!BB2610="","",'[1]All Data '!BC2610/'[1]All Data '!BH2610)</f>
        <v/>
      </c>
      <c r="O2605" s="5" t="str">
        <f t="shared" si="42"/>
        <v/>
      </c>
      <c r="P2605" s="5" t="str">
        <f>IF(M2605="","",$C$2*(1-L2605)*907.2/0.621371*N2605*[1]Transportation!$M$40)</f>
        <v/>
      </c>
      <c r="Q2605" s="5" t="str">
        <f>IF(L2605="","",IF([1]Inputs_Outputs!$B$5="Herbaceous",(LCA!$E$29*'[1]LOCH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5" s="5" t="str">
        <f>IF(M2605="","",$E$2*1000*'[1]LOCH Calc COE Calc'!$C$44)</f>
        <v/>
      </c>
      <c r="S2605" s="6" t="str">
        <f>IF(N2605="","",SUM(O2605:R2605)/('[1]LOCH Calc COE Calc'!$C$28))</f>
        <v/>
      </c>
      <c r="T2605" t="str">
        <f>IF(L2605="","",O2605/'[1]LOCH Calc COE Calc'!$C$28)</f>
        <v/>
      </c>
      <c r="U2605" t="str">
        <f>IF(L2605="","",P2605/'[1]LOCH Calc COE Calc'!$C$28)</f>
        <v/>
      </c>
      <c r="V2605" t="str">
        <f>IF(L2605="","",Q2605/'[1]LOCH Calc COE Calc'!$C$28)</f>
        <v/>
      </c>
      <c r="W2605" t="str">
        <f>IF(L2605="","",R2605/'[1]LOCH Calc COE Calc'!$C$28)</f>
        <v/>
      </c>
    </row>
    <row r="2606" spans="12:23" x14ac:dyDescent="0.25">
      <c r="L2606" s="4" t="str">
        <f>IF('[1]All Data '!BE2611="","",'[1]All Data '!BE2611)</f>
        <v/>
      </c>
      <c r="M2606" t="str">
        <f>IF('[1]All Data '!BF2611="","",'[1]All Data '!BF2611)</f>
        <v/>
      </c>
      <c r="N2606" s="5" t="str">
        <f>IF('[1]All Data '!BB2611="","",'[1]All Data '!BC2611/'[1]All Data '!BH2611)</f>
        <v/>
      </c>
      <c r="O2606" s="5" t="str">
        <f t="shared" si="42"/>
        <v/>
      </c>
      <c r="P2606" s="5" t="str">
        <f>IF(M2606="","",$C$2*(1-L2606)*907.2/0.621371*N2606*[1]Transportation!$M$40)</f>
        <v/>
      </c>
      <c r="Q2606" s="5" t="str">
        <f>IF(L2606="","",IF([1]Inputs_Outputs!$B$5="Herbaceous",(LCA!$E$29*'[1]LOCH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6" s="5" t="str">
        <f>IF(M2606="","",$E$2*1000*'[1]LOCH Calc COE Calc'!$C$44)</f>
        <v/>
      </c>
      <c r="S2606" s="6" t="str">
        <f>IF(N2606="","",SUM(O2606:R2606)/('[1]LOCH Calc COE Calc'!$C$28))</f>
        <v/>
      </c>
      <c r="T2606" t="str">
        <f>IF(L2606="","",O2606/'[1]LOCH Calc COE Calc'!$C$28)</f>
        <v/>
      </c>
      <c r="U2606" t="str">
        <f>IF(L2606="","",P2606/'[1]LOCH Calc COE Calc'!$C$28)</f>
        <v/>
      </c>
      <c r="V2606" t="str">
        <f>IF(L2606="","",Q2606/'[1]LOCH Calc COE Calc'!$C$28)</f>
        <v/>
      </c>
      <c r="W2606" t="str">
        <f>IF(L2606="","",R2606/'[1]LOCH Calc COE Calc'!$C$28)</f>
        <v/>
      </c>
    </row>
    <row r="2607" spans="12:23" x14ac:dyDescent="0.25">
      <c r="L2607" s="4" t="str">
        <f>IF('[1]All Data '!BE2612="","",'[1]All Data '!BE2612)</f>
        <v/>
      </c>
      <c r="M2607" t="str">
        <f>IF('[1]All Data '!BF2612="","",'[1]All Data '!BF2612)</f>
        <v/>
      </c>
      <c r="N2607" s="5" t="str">
        <f>IF('[1]All Data '!BB2612="","",'[1]All Data '!BC2612/'[1]All Data '!BH2612)</f>
        <v/>
      </c>
      <c r="O2607" s="5" t="str">
        <f t="shared" si="42"/>
        <v/>
      </c>
      <c r="P2607" s="5" t="str">
        <f>IF(M2607="","",$C$2*(1-L2607)*907.2/0.621371*N2607*[1]Transportation!$M$40)</f>
        <v/>
      </c>
      <c r="Q2607" s="5" t="str">
        <f>IF(L2607="","",IF([1]Inputs_Outputs!$B$5="Herbaceous",(LCA!$E$29*'[1]LOCH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7" s="5" t="str">
        <f>IF(M2607="","",$E$2*1000*'[1]LOCH Calc COE Calc'!$C$44)</f>
        <v/>
      </c>
      <c r="S2607" s="6" t="str">
        <f>IF(N2607="","",SUM(O2607:R2607)/('[1]LOCH Calc COE Calc'!$C$28))</f>
        <v/>
      </c>
      <c r="T2607" t="str">
        <f>IF(L2607="","",O2607/'[1]LOCH Calc COE Calc'!$C$28)</f>
        <v/>
      </c>
      <c r="U2607" t="str">
        <f>IF(L2607="","",P2607/'[1]LOCH Calc COE Calc'!$C$28)</f>
        <v/>
      </c>
      <c r="V2607" t="str">
        <f>IF(L2607="","",Q2607/'[1]LOCH Calc COE Calc'!$C$28)</f>
        <v/>
      </c>
      <c r="W2607" t="str">
        <f>IF(L2607="","",R2607/'[1]LOCH Calc COE Calc'!$C$28)</f>
        <v/>
      </c>
    </row>
    <row r="2608" spans="12:23" x14ac:dyDescent="0.25">
      <c r="L2608" s="4" t="str">
        <f>IF('[1]All Data '!BE2613="","",'[1]All Data '!BE2613)</f>
        <v/>
      </c>
      <c r="M2608" t="str">
        <f>IF('[1]All Data '!BF2613="","",'[1]All Data '!BF2613)</f>
        <v/>
      </c>
      <c r="N2608" s="5" t="str">
        <f>IF('[1]All Data '!BB2613="","",'[1]All Data '!BC2613/'[1]All Data '!BH2613)</f>
        <v/>
      </c>
      <c r="O2608" s="5" t="str">
        <f t="shared" si="42"/>
        <v/>
      </c>
      <c r="P2608" s="5" t="str">
        <f>IF(M2608="","",$C$2*(1-L2608)*907.2/0.621371*N2608*[1]Transportation!$M$40)</f>
        <v/>
      </c>
      <c r="Q2608" s="5" t="str">
        <f>IF(L2608="","",IF([1]Inputs_Outputs!$B$5="Herbaceous",(LCA!$E$29*'[1]LOCH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8" s="5" t="str">
        <f>IF(M2608="","",$E$2*1000*'[1]LOCH Calc COE Calc'!$C$44)</f>
        <v/>
      </c>
      <c r="S2608" s="6" t="str">
        <f>IF(N2608="","",SUM(O2608:R2608)/('[1]LOCH Calc COE Calc'!$C$28))</f>
        <v/>
      </c>
      <c r="T2608" t="str">
        <f>IF(L2608="","",O2608/'[1]LOCH Calc COE Calc'!$C$28)</f>
        <v/>
      </c>
      <c r="U2608" t="str">
        <f>IF(L2608="","",P2608/'[1]LOCH Calc COE Calc'!$C$28)</f>
        <v/>
      </c>
      <c r="V2608" t="str">
        <f>IF(L2608="","",Q2608/'[1]LOCH Calc COE Calc'!$C$28)</f>
        <v/>
      </c>
      <c r="W2608" t="str">
        <f>IF(L2608="","",R2608/'[1]LOCH Calc COE Calc'!$C$28)</f>
        <v/>
      </c>
    </row>
    <row r="2609" spans="12:23" x14ac:dyDescent="0.25">
      <c r="L2609" s="4" t="str">
        <f>IF('[1]All Data '!BE2614="","",'[1]All Data '!BE2614)</f>
        <v/>
      </c>
      <c r="M2609" t="str">
        <f>IF('[1]All Data '!BF2614="","",'[1]All Data '!BF2614)</f>
        <v/>
      </c>
      <c r="N2609" s="5" t="str">
        <f>IF('[1]All Data '!BB2614="","",'[1]All Data '!BC2614/'[1]All Data '!BH2614)</f>
        <v/>
      </c>
      <c r="O2609" s="5" t="str">
        <f t="shared" si="42"/>
        <v/>
      </c>
      <c r="P2609" s="5" t="str">
        <f>IF(M2609="","",$C$2*(1-L2609)*907.2/0.621371*N2609*[1]Transportation!$M$40)</f>
        <v/>
      </c>
      <c r="Q2609" s="5" t="str">
        <f>IF(L2609="","",IF([1]Inputs_Outputs!$B$5="Herbaceous",(LCA!$E$29*'[1]LOCH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09" s="5" t="str">
        <f>IF(M2609="","",$E$2*1000*'[1]LOCH Calc COE Calc'!$C$44)</f>
        <v/>
      </c>
      <c r="S2609" s="6" t="str">
        <f>IF(N2609="","",SUM(O2609:R2609)/('[1]LOCH Calc COE Calc'!$C$28))</f>
        <v/>
      </c>
      <c r="T2609" t="str">
        <f>IF(L2609="","",O2609/'[1]LOCH Calc COE Calc'!$C$28)</f>
        <v/>
      </c>
      <c r="U2609" t="str">
        <f>IF(L2609="","",P2609/'[1]LOCH Calc COE Calc'!$C$28)</f>
        <v/>
      </c>
      <c r="V2609" t="str">
        <f>IF(L2609="","",Q2609/'[1]LOCH Calc COE Calc'!$C$28)</f>
        <v/>
      </c>
      <c r="W2609" t="str">
        <f>IF(L2609="","",R2609/'[1]LOCH Calc COE Calc'!$C$28)</f>
        <v/>
      </c>
    </row>
    <row r="2610" spans="12:23" x14ac:dyDescent="0.25">
      <c r="L2610" s="4" t="str">
        <f>IF('[1]All Data '!BE2615="","",'[1]All Data '!BE2615)</f>
        <v/>
      </c>
      <c r="M2610" t="str">
        <f>IF('[1]All Data '!BF2615="","",'[1]All Data '!BF2615)</f>
        <v/>
      </c>
      <c r="N2610" s="5" t="str">
        <f>IF('[1]All Data '!BB2615="","",'[1]All Data '!BC2615/'[1]All Data '!BH2615)</f>
        <v/>
      </c>
      <c r="O2610" s="5" t="str">
        <f t="shared" si="42"/>
        <v/>
      </c>
      <c r="P2610" s="5" t="str">
        <f>IF(M2610="","",$C$2*(1-L2610)*907.2/0.621371*N2610*[1]Transportation!$M$40)</f>
        <v/>
      </c>
      <c r="Q2610" s="5" t="str">
        <f>IF(L2610="","",IF([1]Inputs_Outputs!$B$5="Herbaceous",(LCA!$E$29*'[1]LOCH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0" s="5" t="str">
        <f>IF(M2610="","",$E$2*1000*'[1]LOCH Calc COE Calc'!$C$44)</f>
        <v/>
      </c>
      <c r="S2610" s="6" t="str">
        <f>IF(N2610="","",SUM(O2610:R2610)/('[1]LOCH Calc COE Calc'!$C$28))</f>
        <v/>
      </c>
      <c r="T2610" t="str">
        <f>IF(L2610="","",O2610/'[1]LOCH Calc COE Calc'!$C$28)</f>
        <v/>
      </c>
      <c r="U2610" t="str">
        <f>IF(L2610="","",P2610/'[1]LOCH Calc COE Calc'!$C$28)</f>
        <v/>
      </c>
      <c r="V2610" t="str">
        <f>IF(L2610="","",Q2610/'[1]LOCH Calc COE Calc'!$C$28)</f>
        <v/>
      </c>
      <c r="W2610" t="str">
        <f>IF(L2610="","",R2610/'[1]LOCH Calc COE Calc'!$C$28)</f>
        <v/>
      </c>
    </row>
    <row r="2611" spans="12:23" x14ac:dyDescent="0.25">
      <c r="L2611" s="4" t="str">
        <f>IF('[1]All Data '!BE2616="","",'[1]All Data '!BE2616)</f>
        <v/>
      </c>
      <c r="M2611" t="str">
        <f>IF('[1]All Data '!BF2616="","",'[1]All Data '!BF2616)</f>
        <v/>
      </c>
      <c r="N2611" s="5" t="str">
        <f>IF('[1]All Data '!BB2616="","",'[1]All Data '!BC2616/'[1]All Data '!BH2616)</f>
        <v/>
      </c>
      <c r="O2611" s="5" t="str">
        <f t="shared" si="42"/>
        <v/>
      </c>
      <c r="P2611" s="5" t="str">
        <f>IF(M2611="","",$C$2*(1-L2611)*907.2/0.621371*N2611*[1]Transportation!$M$40)</f>
        <v/>
      </c>
      <c r="Q2611" s="5" t="str">
        <f>IF(L2611="","",IF([1]Inputs_Outputs!$B$5="Herbaceous",(LCA!$E$29*'[1]LOCH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1" s="5" t="str">
        <f>IF(M2611="","",$E$2*1000*'[1]LOCH Calc COE Calc'!$C$44)</f>
        <v/>
      </c>
      <c r="S2611" s="6" t="str">
        <f>IF(N2611="","",SUM(O2611:R2611)/('[1]LOCH Calc COE Calc'!$C$28))</f>
        <v/>
      </c>
      <c r="T2611" t="str">
        <f>IF(L2611="","",O2611/'[1]LOCH Calc COE Calc'!$C$28)</f>
        <v/>
      </c>
      <c r="U2611" t="str">
        <f>IF(L2611="","",P2611/'[1]LOCH Calc COE Calc'!$C$28)</f>
        <v/>
      </c>
      <c r="V2611" t="str">
        <f>IF(L2611="","",Q2611/'[1]LOCH Calc COE Calc'!$C$28)</f>
        <v/>
      </c>
      <c r="W2611" t="str">
        <f>IF(L2611="","",R2611/'[1]LOCH Calc COE Calc'!$C$28)</f>
        <v/>
      </c>
    </row>
    <row r="2612" spans="12:23" x14ac:dyDescent="0.25">
      <c r="L2612" s="4" t="str">
        <f>IF('[1]All Data '!BE2617="","",'[1]All Data '!BE2617)</f>
        <v/>
      </c>
      <c r="M2612" t="str">
        <f>IF('[1]All Data '!BF2617="","",'[1]All Data '!BF2617)</f>
        <v/>
      </c>
      <c r="N2612" s="5" t="str">
        <f>IF('[1]All Data '!BB2617="","",'[1]All Data '!BC2617/'[1]All Data '!BH2617)</f>
        <v/>
      </c>
      <c r="O2612" s="5" t="str">
        <f t="shared" si="42"/>
        <v/>
      </c>
      <c r="P2612" s="5" t="str">
        <f>IF(M2612="","",$C$2*(1-L2612)*907.2/0.621371*N2612*[1]Transportation!$M$40)</f>
        <v/>
      </c>
      <c r="Q2612" s="5" t="str">
        <f>IF(L2612="","",IF([1]Inputs_Outputs!$B$5="Herbaceous",(LCA!$E$29*'[1]LOCH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2" s="5" t="str">
        <f>IF(M2612="","",$E$2*1000*'[1]LOCH Calc COE Calc'!$C$44)</f>
        <v/>
      </c>
      <c r="S2612" s="6" t="str">
        <f>IF(N2612="","",SUM(O2612:R2612)/('[1]LOCH Calc COE Calc'!$C$28))</f>
        <v/>
      </c>
      <c r="T2612" t="str">
        <f>IF(L2612="","",O2612/'[1]LOCH Calc COE Calc'!$C$28)</f>
        <v/>
      </c>
      <c r="U2612" t="str">
        <f>IF(L2612="","",P2612/'[1]LOCH Calc COE Calc'!$C$28)</f>
        <v/>
      </c>
      <c r="V2612" t="str">
        <f>IF(L2612="","",Q2612/'[1]LOCH Calc COE Calc'!$C$28)</f>
        <v/>
      </c>
      <c r="W2612" t="str">
        <f>IF(L2612="","",R2612/'[1]LOCH Calc COE Calc'!$C$28)</f>
        <v/>
      </c>
    </row>
    <row r="2613" spans="12:23" x14ac:dyDescent="0.25">
      <c r="L2613" s="4" t="str">
        <f>IF('[1]All Data '!BE2618="","",'[1]All Data '!BE2618)</f>
        <v/>
      </c>
      <c r="M2613" t="str">
        <f>IF('[1]All Data '!BF2618="","",'[1]All Data '!BF2618)</f>
        <v/>
      </c>
      <c r="N2613" s="5" t="str">
        <f>IF('[1]All Data '!BB2618="","",'[1]All Data '!BC2618/'[1]All Data '!BH2618)</f>
        <v/>
      </c>
      <c r="O2613" s="5" t="str">
        <f t="shared" si="42"/>
        <v/>
      </c>
      <c r="P2613" s="5" t="str">
        <f>IF(M2613="","",$C$2*(1-L2613)*907.2/0.621371*N2613*[1]Transportation!$M$40)</f>
        <v/>
      </c>
      <c r="Q2613" s="5" t="str">
        <f>IF(L2613="","",IF([1]Inputs_Outputs!$B$5="Herbaceous",(LCA!$E$29*'[1]LOCH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3" s="5" t="str">
        <f>IF(M2613="","",$E$2*1000*'[1]LOCH Calc COE Calc'!$C$44)</f>
        <v/>
      </c>
      <c r="S2613" s="6" t="str">
        <f>IF(N2613="","",SUM(O2613:R2613)/('[1]LOCH Calc COE Calc'!$C$28))</f>
        <v/>
      </c>
      <c r="T2613" t="str">
        <f>IF(L2613="","",O2613/'[1]LOCH Calc COE Calc'!$C$28)</f>
        <v/>
      </c>
      <c r="U2613" t="str">
        <f>IF(L2613="","",P2613/'[1]LOCH Calc COE Calc'!$C$28)</f>
        <v/>
      </c>
      <c r="V2613" t="str">
        <f>IF(L2613="","",Q2613/'[1]LOCH Calc COE Calc'!$C$28)</f>
        <v/>
      </c>
      <c r="W2613" t="str">
        <f>IF(L2613="","",R2613/'[1]LOCH Calc COE Calc'!$C$28)</f>
        <v/>
      </c>
    </row>
    <row r="2614" spans="12:23" x14ac:dyDescent="0.25">
      <c r="L2614" s="4" t="str">
        <f>IF('[1]All Data '!BE2619="","",'[1]All Data '!BE2619)</f>
        <v/>
      </c>
      <c r="M2614" t="str">
        <f>IF('[1]All Data '!BF2619="","",'[1]All Data '!BF2619)</f>
        <v/>
      </c>
      <c r="N2614" s="5" t="str">
        <f>IF('[1]All Data '!BB2619="","",'[1]All Data '!BC2619/'[1]All Data '!BH2619)</f>
        <v/>
      </c>
      <c r="O2614" s="5" t="str">
        <f t="shared" si="42"/>
        <v/>
      </c>
      <c r="P2614" s="5" t="str">
        <f>IF(M2614="","",$C$2*(1-L2614)*907.2/0.621371*N2614*[1]Transportation!$M$40)</f>
        <v/>
      </c>
      <c r="Q2614" s="5" t="str">
        <f>IF(L2614="","",IF([1]Inputs_Outputs!$B$5="Herbaceous",(LCA!$E$29*'[1]LOCH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4" s="5" t="str">
        <f>IF(M2614="","",$E$2*1000*'[1]LOCH Calc COE Calc'!$C$44)</f>
        <v/>
      </c>
      <c r="S2614" s="6" t="str">
        <f>IF(N2614="","",SUM(O2614:R2614)/('[1]LOCH Calc COE Calc'!$C$28))</f>
        <v/>
      </c>
      <c r="T2614" t="str">
        <f>IF(L2614="","",O2614/'[1]LOCH Calc COE Calc'!$C$28)</f>
        <v/>
      </c>
      <c r="U2614" t="str">
        <f>IF(L2614="","",P2614/'[1]LOCH Calc COE Calc'!$C$28)</f>
        <v/>
      </c>
      <c r="V2614" t="str">
        <f>IF(L2614="","",Q2614/'[1]LOCH Calc COE Calc'!$C$28)</f>
        <v/>
      </c>
      <c r="W2614" t="str">
        <f>IF(L2614="","",R2614/'[1]LOCH Calc COE Calc'!$C$28)</f>
        <v/>
      </c>
    </row>
    <row r="2615" spans="12:23" x14ac:dyDescent="0.25">
      <c r="L2615" s="4" t="str">
        <f>IF('[1]All Data '!BE2620="","",'[1]All Data '!BE2620)</f>
        <v/>
      </c>
      <c r="M2615" t="str">
        <f>IF('[1]All Data '!BF2620="","",'[1]All Data '!BF2620)</f>
        <v/>
      </c>
      <c r="N2615" s="5" t="str">
        <f>IF('[1]All Data '!BB2620="","",'[1]All Data '!BC2620/'[1]All Data '!BH2620)</f>
        <v/>
      </c>
      <c r="O2615" s="5" t="str">
        <f t="shared" si="42"/>
        <v/>
      </c>
      <c r="P2615" s="5" t="str">
        <f>IF(M2615="","",$C$2*(1-L2615)*907.2/0.621371*N2615*[1]Transportation!$M$40)</f>
        <v/>
      </c>
      <c r="Q2615" s="5" t="str">
        <f>IF(L2615="","",IF([1]Inputs_Outputs!$B$5="Herbaceous",(LCA!$E$29*'[1]LOCH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5" s="5" t="str">
        <f>IF(M2615="","",$E$2*1000*'[1]LOCH Calc COE Calc'!$C$44)</f>
        <v/>
      </c>
      <c r="S2615" s="6" t="str">
        <f>IF(N2615="","",SUM(O2615:R2615)/('[1]LOCH Calc COE Calc'!$C$28))</f>
        <v/>
      </c>
      <c r="T2615" t="str">
        <f>IF(L2615="","",O2615/'[1]LOCH Calc COE Calc'!$C$28)</f>
        <v/>
      </c>
      <c r="U2615" t="str">
        <f>IF(L2615="","",P2615/'[1]LOCH Calc COE Calc'!$C$28)</f>
        <v/>
      </c>
      <c r="V2615" t="str">
        <f>IF(L2615="","",Q2615/'[1]LOCH Calc COE Calc'!$C$28)</f>
        <v/>
      </c>
      <c r="W2615" t="str">
        <f>IF(L2615="","",R2615/'[1]LOCH Calc COE Calc'!$C$28)</f>
        <v/>
      </c>
    </row>
    <row r="2616" spans="12:23" x14ac:dyDescent="0.25">
      <c r="L2616" s="4" t="str">
        <f>IF('[1]All Data '!BE2621="","",'[1]All Data '!BE2621)</f>
        <v/>
      </c>
      <c r="M2616" t="str">
        <f>IF('[1]All Data '!BF2621="","",'[1]All Data '!BF2621)</f>
        <v/>
      </c>
      <c r="N2616" s="5" t="str">
        <f>IF('[1]All Data '!BB2621="","",'[1]All Data '!BC2621/'[1]All Data '!BH2621)</f>
        <v/>
      </c>
      <c r="O2616" s="5" t="str">
        <f t="shared" si="42"/>
        <v/>
      </c>
      <c r="P2616" s="5" t="str">
        <f>IF(M2616="","",$C$2*(1-L2616)*907.2/0.621371*N2616*[1]Transportation!$M$40)</f>
        <v/>
      </c>
      <c r="Q2616" s="5" t="str">
        <f>IF(L2616="","",IF([1]Inputs_Outputs!$B$5="Herbaceous",(LCA!$E$29*'[1]LOCH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6" s="5" t="str">
        <f>IF(M2616="","",$E$2*1000*'[1]LOCH Calc COE Calc'!$C$44)</f>
        <v/>
      </c>
      <c r="S2616" s="6" t="str">
        <f>IF(N2616="","",SUM(O2616:R2616)/('[1]LOCH Calc COE Calc'!$C$28))</f>
        <v/>
      </c>
      <c r="T2616" t="str">
        <f>IF(L2616="","",O2616/'[1]LOCH Calc COE Calc'!$C$28)</f>
        <v/>
      </c>
      <c r="U2616" t="str">
        <f>IF(L2616="","",P2616/'[1]LOCH Calc COE Calc'!$C$28)</f>
        <v/>
      </c>
      <c r="V2616" t="str">
        <f>IF(L2616="","",Q2616/'[1]LOCH Calc COE Calc'!$C$28)</f>
        <v/>
      </c>
      <c r="W2616" t="str">
        <f>IF(L2616="","",R2616/'[1]LOCH Calc COE Calc'!$C$28)</f>
        <v/>
      </c>
    </row>
    <row r="2617" spans="12:23" x14ac:dyDescent="0.25">
      <c r="L2617" s="4" t="str">
        <f>IF('[1]All Data '!BE2622="","",'[1]All Data '!BE2622)</f>
        <v/>
      </c>
      <c r="M2617" t="str">
        <f>IF('[1]All Data '!BF2622="","",'[1]All Data '!BF2622)</f>
        <v/>
      </c>
      <c r="N2617" s="5" t="str">
        <f>IF('[1]All Data '!BB2622="","",'[1]All Data '!BC2622/'[1]All Data '!BH2622)</f>
        <v/>
      </c>
      <c r="O2617" s="5" t="str">
        <f t="shared" si="42"/>
        <v/>
      </c>
      <c r="P2617" s="5" t="str">
        <f>IF(M2617="","",$C$2*(1-L2617)*907.2/0.621371*N2617*[1]Transportation!$M$40)</f>
        <v/>
      </c>
      <c r="Q2617" s="5" t="str">
        <f>IF(L2617="","",IF([1]Inputs_Outputs!$B$5="Herbaceous",(LCA!$E$29*'[1]LOCH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7" s="5" t="str">
        <f>IF(M2617="","",$E$2*1000*'[1]LOCH Calc COE Calc'!$C$44)</f>
        <v/>
      </c>
      <c r="S2617" s="6" t="str">
        <f>IF(N2617="","",SUM(O2617:R2617)/('[1]LOCH Calc COE Calc'!$C$28))</f>
        <v/>
      </c>
      <c r="T2617" t="str">
        <f>IF(L2617="","",O2617/'[1]LOCH Calc COE Calc'!$C$28)</f>
        <v/>
      </c>
      <c r="U2617" t="str">
        <f>IF(L2617="","",P2617/'[1]LOCH Calc COE Calc'!$C$28)</f>
        <v/>
      </c>
      <c r="V2617" t="str">
        <f>IF(L2617="","",Q2617/'[1]LOCH Calc COE Calc'!$C$28)</f>
        <v/>
      </c>
      <c r="W2617" t="str">
        <f>IF(L2617="","",R2617/'[1]LOCH Calc COE Calc'!$C$28)</f>
        <v/>
      </c>
    </row>
    <row r="2618" spans="12:23" x14ac:dyDescent="0.25">
      <c r="L2618" s="4" t="str">
        <f>IF('[1]All Data '!BE2623="","",'[1]All Data '!BE2623)</f>
        <v/>
      </c>
      <c r="M2618" t="str">
        <f>IF('[1]All Data '!BF2623="","",'[1]All Data '!BF2623)</f>
        <v/>
      </c>
      <c r="N2618" s="5" t="str">
        <f>IF('[1]All Data '!BB2623="","",'[1]All Data '!BC2623/'[1]All Data '!BH2623)</f>
        <v/>
      </c>
      <c r="O2618" s="5" t="str">
        <f t="shared" si="42"/>
        <v/>
      </c>
      <c r="P2618" s="5" t="str">
        <f>IF(M2618="","",$C$2*(1-L2618)*907.2/0.621371*N2618*[1]Transportation!$M$40)</f>
        <v/>
      </c>
      <c r="Q2618" s="5" t="str">
        <f>IF(L2618="","",IF([1]Inputs_Outputs!$B$5="Herbaceous",(LCA!$E$29*'[1]LOCH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8" s="5" t="str">
        <f>IF(M2618="","",$E$2*1000*'[1]LOCH Calc COE Calc'!$C$44)</f>
        <v/>
      </c>
      <c r="S2618" s="6" t="str">
        <f>IF(N2618="","",SUM(O2618:R2618)/('[1]LOCH Calc COE Calc'!$C$28))</f>
        <v/>
      </c>
      <c r="T2618" t="str">
        <f>IF(L2618="","",O2618/'[1]LOCH Calc COE Calc'!$C$28)</f>
        <v/>
      </c>
      <c r="U2618" t="str">
        <f>IF(L2618="","",P2618/'[1]LOCH Calc COE Calc'!$C$28)</f>
        <v/>
      </c>
      <c r="V2618" t="str">
        <f>IF(L2618="","",Q2618/'[1]LOCH Calc COE Calc'!$C$28)</f>
        <v/>
      </c>
      <c r="W2618" t="str">
        <f>IF(L2618="","",R2618/'[1]LOCH Calc COE Calc'!$C$28)</f>
        <v/>
      </c>
    </row>
    <row r="2619" spans="12:23" x14ac:dyDescent="0.25">
      <c r="L2619" s="4" t="str">
        <f>IF('[1]All Data '!BE2624="","",'[1]All Data '!BE2624)</f>
        <v/>
      </c>
      <c r="M2619" t="str">
        <f>IF('[1]All Data '!BF2624="","",'[1]All Data '!BF2624)</f>
        <v/>
      </c>
      <c r="N2619" s="5" t="str">
        <f>IF('[1]All Data '!BB2624="","",'[1]All Data '!BC2624/'[1]All Data '!BH2624)</f>
        <v/>
      </c>
      <c r="O2619" s="5" t="str">
        <f t="shared" si="42"/>
        <v/>
      </c>
      <c r="P2619" s="5" t="str">
        <f>IF(M2619="","",$C$2*(1-L2619)*907.2/0.621371*N2619*[1]Transportation!$M$40)</f>
        <v/>
      </c>
      <c r="Q2619" s="5" t="str">
        <f>IF(L2619="","",IF([1]Inputs_Outputs!$B$5="Herbaceous",(LCA!$E$29*'[1]LOCH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19" s="5" t="str">
        <f>IF(M2619="","",$E$2*1000*'[1]LOCH Calc COE Calc'!$C$44)</f>
        <v/>
      </c>
      <c r="S2619" s="6" t="str">
        <f>IF(N2619="","",SUM(O2619:R2619)/('[1]LOCH Calc COE Calc'!$C$28))</f>
        <v/>
      </c>
      <c r="T2619" t="str">
        <f>IF(L2619="","",O2619/'[1]LOCH Calc COE Calc'!$C$28)</f>
        <v/>
      </c>
      <c r="U2619" t="str">
        <f>IF(L2619="","",P2619/'[1]LOCH Calc COE Calc'!$C$28)</f>
        <v/>
      </c>
      <c r="V2619" t="str">
        <f>IF(L2619="","",Q2619/'[1]LOCH Calc COE Calc'!$C$28)</f>
        <v/>
      </c>
      <c r="W2619" t="str">
        <f>IF(L2619="","",R2619/'[1]LOCH Calc COE Calc'!$C$28)</f>
        <v/>
      </c>
    </row>
    <row r="2620" spans="12:23" x14ac:dyDescent="0.25">
      <c r="L2620" s="4" t="str">
        <f>IF('[1]All Data '!BE2625="","",'[1]All Data '!BE2625)</f>
        <v/>
      </c>
      <c r="M2620" t="str">
        <f>IF('[1]All Data '!BF2625="","",'[1]All Data '!BF2625)</f>
        <v/>
      </c>
      <c r="N2620" s="5" t="str">
        <f>IF('[1]All Data '!BB2625="","",'[1]All Data '!BC2625/'[1]All Data '!BH2625)</f>
        <v/>
      </c>
      <c r="O2620" s="5" t="str">
        <f t="shared" si="42"/>
        <v/>
      </c>
      <c r="P2620" s="5" t="str">
        <f>IF(M2620="","",$C$2*(1-L2620)*907.2/0.621371*N2620*[1]Transportation!$M$40)</f>
        <v/>
      </c>
      <c r="Q2620" s="5" t="str">
        <f>IF(L2620="","",IF([1]Inputs_Outputs!$B$5="Herbaceous",(LCA!$E$29*'[1]LOCH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0" s="5" t="str">
        <f>IF(M2620="","",$E$2*1000*'[1]LOCH Calc COE Calc'!$C$44)</f>
        <v/>
      </c>
      <c r="S2620" s="6" t="str">
        <f>IF(N2620="","",SUM(O2620:R2620)/('[1]LOCH Calc COE Calc'!$C$28))</f>
        <v/>
      </c>
      <c r="T2620" t="str">
        <f>IF(L2620="","",O2620/'[1]LOCH Calc COE Calc'!$C$28)</f>
        <v/>
      </c>
      <c r="U2620" t="str">
        <f>IF(L2620="","",P2620/'[1]LOCH Calc COE Calc'!$C$28)</f>
        <v/>
      </c>
      <c r="V2620" t="str">
        <f>IF(L2620="","",Q2620/'[1]LOCH Calc COE Calc'!$C$28)</f>
        <v/>
      </c>
      <c r="W2620" t="str">
        <f>IF(L2620="","",R2620/'[1]LOCH Calc COE Calc'!$C$28)</f>
        <v/>
      </c>
    </row>
    <row r="2621" spans="12:23" x14ac:dyDescent="0.25">
      <c r="L2621" s="4" t="str">
        <f>IF('[1]All Data '!BE2626="","",'[1]All Data '!BE2626)</f>
        <v/>
      </c>
      <c r="M2621" t="str">
        <f>IF('[1]All Data '!BF2626="","",'[1]All Data '!BF2626)</f>
        <v/>
      </c>
      <c r="N2621" s="5" t="str">
        <f>IF('[1]All Data '!BB2626="","",'[1]All Data '!BC2626/'[1]All Data '!BH2626)</f>
        <v/>
      </c>
      <c r="O2621" s="5" t="str">
        <f t="shared" si="42"/>
        <v/>
      </c>
      <c r="P2621" s="5" t="str">
        <f>IF(M2621="","",$C$2*(1-L2621)*907.2/0.621371*N2621*[1]Transportation!$M$40)</f>
        <v/>
      </c>
      <c r="Q2621" s="5" t="str">
        <f>IF(L2621="","",IF([1]Inputs_Outputs!$B$5="Herbaceous",(LCA!$E$29*'[1]LOCH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1" s="5" t="str">
        <f>IF(M2621="","",$E$2*1000*'[1]LOCH Calc COE Calc'!$C$44)</f>
        <v/>
      </c>
      <c r="S2621" s="6" t="str">
        <f>IF(N2621="","",SUM(O2621:R2621)/('[1]LOCH Calc COE Calc'!$C$28))</f>
        <v/>
      </c>
      <c r="T2621" t="str">
        <f>IF(L2621="","",O2621/'[1]LOCH Calc COE Calc'!$C$28)</f>
        <v/>
      </c>
      <c r="U2621" t="str">
        <f>IF(L2621="","",P2621/'[1]LOCH Calc COE Calc'!$C$28)</f>
        <v/>
      </c>
      <c r="V2621" t="str">
        <f>IF(L2621="","",Q2621/'[1]LOCH Calc COE Calc'!$C$28)</f>
        <v/>
      </c>
      <c r="W2621" t="str">
        <f>IF(L2621="","",R2621/'[1]LOCH Calc COE Calc'!$C$28)</f>
        <v/>
      </c>
    </row>
    <row r="2622" spans="12:23" x14ac:dyDescent="0.25">
      <c r="L2622" s="4" t="str">
        <f>IF('[1]All Data '!BE2627="","",'[1]All Data '!BE2627)</f>
        <v/>
      </c>
      <c r="M2622" t="str">
        <f>IF('[1]All Data '!BF2627="","",'[1]All Data '!BF2627)</f>
        <v/>
      </c>
      <c r="N2622" s="5" t="str">
        <f>IF('[1]All Data '!BB2627="","",'[1]All Data '!BC2627/'[1]All Data '!BH2627)</f>
        <v/>
      </c>
      <c r="O2622" s="5" t="str">
        <f t="shared" si="42"/>
        <v/>
      </c>
      <c r="P2622" s="5" t="str">
        <f>IF(M2622="","",$C$2*(1-L2622)*907.2/0.621371*N2622*[1]Transportation!$M$40)</f>
        <v/>
      </c>
      <c r="Q2622" s="5" t="str">
        <f>IF(L2622="","",IF([1]Inputs_Outputs!$B$5="Herbaceous",(LCA!$E$29*'[1]LOCH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2" s="5" t="str">
        <f>IF(M2622="","",$E$2*1000*'[1]LOCH Calc COE Calc'!$C$44)</f>
        <v/>
      </c>
      <c r="S2622" s="6" t="str">
        <f>IF(N2622="","",SUM(O2622:R2622)/('[1]LOCH Calc COE Calc'!$C$28))</f>
        <v/>
      </c>
      <c r="T2622" t="str">
        <f>IF(L2622="","",O2622/'[1]LOCH Calc COE Calc'!$C$28)</f>
        <v/>
      </c>
      <c r="U2622" t="str">
        <f>IF(L2622="","",P2622/'[1]LOCH Calc COE Calc'!$C$28)</f>
        <v/>
      </c>
      <c r="V2622" t="str">
        <f>IF(L2622="","",Q2622/'[1]LOCH Calc COE Calc'!$C$28)</f>
        <v/>
      </c>
      <c r="W2622" t="str">
        <f>IF(L2622="","",R2622/'[1]LOCH Calc COE Calc'!$C$28)</f>
        <v/>
      </c>
    </row>
    <row r="2623" spans="12:23" x14ac:dyDescent="0.25">
      <c r="L2623" s="4" t="str">
        <f>IF('[1]All Data '!BE2628="","",'[1]All Data '!BE2628)</f>
        <v/>
      </c>
      <c r="M2623" t="str">
        <f>IF('[1]All Data '!BF2628="","",'[1]All Data '!BF2628)</f>
        <v/>
      </c>
      <c r="N2623" s="5" t="str">
        <f>IF('[1]All Data '!BB2628="","",'[1]All Data '!BC2628/'[1]All Data '!BH2628)</f>
        <v/>
      </c>
      <c r="O2623" s="5" t="str">
        <f t="shared" si="42"/>
        <v/>
      </c>
      <c r="P2623" s="5" t="str">
        <f>IF(M2623="","",$C$2*(1-L2623)*907.2/0.621371*N2623*[1]Transportation!$M$40)</f>
        <v/>
      </c>
      <c r="Q2623" s="5" t="str">
        <f>IF(L2623="","",IF([1]Inputs_Outputs!$B$5="Herbaceous",(LCA!$E$29*'[1]LOCH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3" s="5" t="str">
        <f>IF(M2623="","",$E$2*1000*'[1]LOCH Calc COE Calc'!$C$44)</f>
        <v/>
      </c>
      <c r="S2623" s="6" t="str">
        <f>IF(N2623="","",SUM(O2623:R2623)/('[1]LOCH Calc COE Calc'!$C$28))</f>
        <v/>
      </c>
      <c r="T2623" t="str">
        <f>IF(L2623="","",O2623/'[1]LOCH Calc COE Calc'!$C$28)</f>
        <v/>
      </c>
      <c r="U2623" t="str">
        <f>IF(L2623="","",P2623/'[1]LOCH Calc COE Calc'!$C$28)</f>
        <v/>
      </c>
      <c r="V2623" t="str">
        <f>IF(L2623="","",Q2623/'[1]LOCH Calc COE Calc'!$C$28)</f>
        <v/>
      </c>
      <c r="W2623" t="str">
        <f>IF(L2623="","",R2623/'[1]LOCH Calc COE Calc'!$C$28)</f>
        <v/>
      </c>
    </row>
    <row r="2624" spans="12:23" x14ac:dyDescent="0.25">
      <c r="L2624" s="4" t="str">
        <f>IF('[1]All Data '!BE2629="","",'[1]All Data '!BE2629)</f>
        <v/>
      </c>
      <c r="M2624" t="str">
        <f>IF('[1]All Data '!BF2629="","",'[1]All Data '!BF2629)</f>
        <v/>
      </c>
      <c r="N2624" s="5" t="str">
        <f>IF('[1]All Data '!BB2629="","",'[1]All Data '!BC2629/'[1]All Data '!BH2629)</f>
        <v/>
      </c>
      <c r="O2624" s="5" t="str">
        <f t="shared" si="42"/>
        <v/>
      </c>
      <c r="P2624" s="5" t="str">
        <f>IF(M2624="","",$C$2*(1-L2624)*907.2/0.621371*N2624*[1]Transportation!$M$40)</f>
        <v/>
      </c>
      <c r="Q2624" s="5" t="str">
        <f>IF(L2624="","",IF([1]Inputs_Outputs!$B$5="Herbaceous",(LCA!$E$29*'[1]LOCH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4" s="5" t="str">
        <f>IF(M2624="","",$E$2*1000*'[1]LOCH Calc COE Calc'!$C$44)</f>
        <v/>
      </c>
      <c r="S2624" s="6" t="str">
        <f>IF(N2624="","",SUM(O2624:R2624)/('[1]LOCH Calc COE Calc'!$C$28))</f>
        <v/>
      </c>
      <c r="T2624" t="str">
        <f>IF(L2624="","",O2624/'[1]LOCH Calc COE Calc'!$C$28)</f>
        <v/>
      </c>
      <c r="U2624" t="str">
        <f>IF(L2624="","",P2624/'[1]LOCH Calc COE Calc'!$C$28)</f>
        <v/>
      </c>
      <c r="V2624" t="str">
        <f>IF(L2624="","",Q2624/'[1]LOCH Calc COE Calc'!$C$28)</f>
        <v/>
      </c>
      <c r="W2624" t="str">
        <f>IF(L2624="","",R2624/'[1]LOCH Calc COE Calc'!$C$28)</f>
        <v/>
      </c>
    </row>
    <row r="2625" spans="12:23" x14ac:dyDescent="0.25">
      <c r="L2625" s="4" t="str">
        <f>IF('[1]All Data '!BE2630="","",'[1]All Data '!BE2630)</f>
        <v/>
      </c>
      <c r="M2625" t="str">
        <f>IF('[1]All Data '!BF2630="","",'[1]All Data '!BF2630)</f>
        <v/>
      </c>
      <c r="N2625" s="5" t="str">
        <f>IF('[1]All Data '!BB2630="","",'[1]All Data '!BC2630/'[1]All Data '!BH2630)</f>
        <v/>
      </c>
      <c r="O2625" s="5" t="str">
        <f t="shared" si="42"/>
        <v/>
      </c>
      <c r="P2625" s="5" t="str">
        <f>IF(M2625="","",$C$2*(1-L2625)*907.2/0.621371*N2625*[1]Transportation!$M$40)</f>
        <v/>
      </c>
      <c r="Q2625" s="5" t="str">
        <f>IF(L2625="","",IF([1]Inputs_Outputs!$B$5="Herbaceous",(LCA!$E$29*'[1]LOCH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5" s="5" t="str">
        <f>IF(M2625="","",$E$2*1000*'[1]LOCH Calc COE Calc'!$C$44)</f>
        <v/>
      </c>
      <c r="S2625" s="6" t="str">
        <f>IF(N2625="","",SUM(O2625:R2625)/('[1]LOCH Calc COE Calc'!$C$28))</f>
        <v/>
      </c>
      <c r="T2625" t="str">
        <f>IF(L2625="","",O2625/'[1]LOCH Calc COE Calc'!$C$28)</f>
        <v/>
      </c>
      <c r="U2625" t="str">
        <f>IF(L2625="","",P2625/'[1]LOCH Calc COE Calc'!$C$28)</f>
        <v/>
      </c>
      <c r="V2625" t="str">
        <f>IF(L2625="","",Q2625/'[1]LOCH Calc COE Calc'!$C$28)</f>
        <v/>
      </c>
      <c r="W2625" t="str">
        <f>IF(L2625="","",R2625/'[1]LOCH Calc COE Calc'!$C$28)</f>
        <v/>
      </c>
    </row>
    <row r="2626" spans="12:23" x14ac:dyDescent="0.25">
      <c r="L2626" s="4" t="str">
        <f>IF('[1]All Data '!BE2631="","",'[1]All Data '!BE2631)</f>
        <v/>
      </c>
      <c r="M2626" t="str">
        <f>IF('[1]All Data '!BF2631="","",'[1]All Data '!BF2631)</f>
        <v/>
      </c>
      <c r="N2626" s="5" t="str">
        <f>IF('[1]All Data '!BB2631="","",'[1]All Data '!BC2631/'[1]All Data '!BH2631)</f>
        <v/>
      </c>
      <c r="O2626" s="5" t="str">
        <f t="shared" si="42"/>
        <v/>
      </c>
      <c r="P2626" s="5" t="str">
        <f>IF(M2626="","",$C$2*(1-L2626)*907.2/0.621371*N2626*[1]Transportation!$M$40)</f>
        <v/>
      </c>
      <c r="Q2626" s="5" t="str">
        <f>IF(L2626="","",IF([1]Inputs_Outputs!$B$5="Herbaceous",(LCA!$E$29*'[1]LOCH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6" s="5" t="str">
        <f>IF(M2626="","",$E$2*1000*'[1]LOCH Calc COE Calc'!$C$44)</f>
        <v/>
      </c>
      <c r="S2626" s="6" t="str">
        <f>IF(N2626="","",SUM(O2626:R2626)/('[1]LOCH Calc COE Calc'!$C$28))</f>
        <v/>
      </c>
      <c r="T2626" t="str">
        <f>IF(L2626="","",O2626/'[1]LOCH Calc COE Calc'!$C$28)</f>
        <v/>
      </c>
      <c r="U2626" t="str">
        <f>IF(L2626="","",P2626/'[1]LOCH Calc COE Calc'!$C$28)</f>
        <v/>
      </c>
      <c r="V2626" t="str">
        <f>IF(L2626="","",Q2626/'[1]LOCH Calc COE Calc'!$C$28)</f>
        <v/>
      </c>
      <c r="W2626" t="str">
        <f>IF(L2626="","",R2626/'[1]LOCH Calc COE Calc'!$C$28)</f>
        <v/>
      </c>
    </row>
    <row r="2627" spans="12:23" x14ac:dyDescent="0.25">
      <c r="L2627" s="4" t="str">
        <f>IF('[1]All Data '!BE2632="","",'[1]All Data '!BE2632)</f>
        <v/>
      </c>
      <c r="M2627" t="str">
        <f>IF('[1]All Data '!BF2632="","",'[1]All Data '!BF2632)</f>
        <v/>
      </c>
      <c r="N2627" s="5" t="str">
        <f>IF('[1]All Data '!BB2632="","",'[1]All Data '!BC2632/'[1]All Data '!BH2632)</f>
        <v/>
      </c>
      <c r="O2627" s="5" t="str">
        <f t="shared" si="42"/>
        <v/>
      </c>
      <c r="P2627" s="5" t="str">
        <f>IF(M2627="","",$C$2*(1-L2627)*907.2/0.621371*N2627*[1]Transportation!$M$40)</f>
        <v/>
      </c>
      <c r="Q2627" s="5" t="str">
        <f>IF(L2627="","",IF([1]Inputs_Outputs!$B$5="Herbaceous",(LCA!$E$29*'[1]LOCH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7" s="5" t="str">
        <f>IF(M2627="","",$E$2*1000*'[1]LOCH Calc COE Calc'!$C$44)</f>
        <v/>
      </c>
      <c r="S2627" s="6" t="str">
        <f>IF(N2627="","",SUM(O2627:R2627)/('[1]LOCH Calc COE Calc'!$C$28))</f>
        <v/>
      </c>
      <c r="T2627" t="str">
        <f>IF(L2627="","",O2627/'[1]LOCH Calc COE Calc'!$C$28)</f>
        <v/>
      </c>
      <c r="U2627" t="str">
        <f>IF(L2627="","",P2627/'[1]LOCH Calc COE Calc'!$C$28)</f>
        <v/>
      </c>
      <c r="V2627" t="str">
        <f>IF(L2627="","",Q2627/'[1]LOCH Calc COE Calc'!$C$28)</f>
        <v/>
      </c>
      <c r="W2627" t="str">
        <f>IF(L2627="","",R2627/'[1]LOCH Calc COE Calc'!$C$28)</f>
        <v/>
      </c>
    </row>
    <row r="2628" spans="12:23" x14ac:dyDescent="0.25">
      <c r="L2628" s="4" t="str">
        <f>IF('[1]All Data '!BE2633="","",'[1]All Data '!BE2633)</f>
        <v/>
      </c>
      <c r="M2628" t="str">
        <f>IF('[1]All Data '!BF2633="","",'[1]All Data '!BF2633)</f>
        <v/>
      </c>
      <c r="N2628" s="5" t="str">
        <f>IF('[1]All Data '!BB2633="","",'[1]All Data '!BC2633/'[1]All Data '!BH2633)</f>
        <v/>
      </c>
      <c r="O2628" s="5" t="str">
        <f t="shared" ref="O2628:O2659" si="43">IF(N2628="","",M2628*N2628)</f>
        <v/>
      </c>
      <c r="P2628" s="5" t="str">
        <f>IF(M2628="","",$C$2*(1-L2628)*907.2/0.621371*N2628*[1]Transportation!$M$40)</f>
        <v/>
      </c>
      <c r="Q2628" s="5" t="str">
        <f>IF(L2628="","",IF([1]Inputs_Outputs!$B$5="Herbaceous",(LCA!$E$29*'[1]LOCH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8" s="5" t="str">
        <f>IF(M2628="","",$E$2*1000*'[1]LOCH Calc COE Calc'!$C$44)</f>
        <v/>
      </c>
      <c r="S2628" s="6" t="str">
        <f>IF(N2628="","",SUM(O2628:R2628)/('[1]LOCH Calc COE Calc'!$C$28))</f>
        <v/>
      </c>
      <c r="T2628" t="str">
        <f>IF(L2628="","",O2628/'[1]LOCH Calc COE Calc'!$C$28)</f>
        <v/>
      </c>
      <c r="U2628" t="str">
        <f>IF(L2628="","",P2628/'[1]LOCH Calc COE Calc'!$C$28)</f>
        <v/>
      </c>
      <c r="V2628" t="str">
        <f>IF(L2628="","",Q2628/'[1]LOCH Calc COE Calc'!$C$28)</f>
        <v/>
      </c>
      <c r="W2628" t="str">
        <f>IF(L2628="","",R2628/'[1]LOCH Calc COE Calc'!$C$28)</f>
        <v/>
      </c>
    </row>
    <row r="2629" spans="12:23" x14ac:dyDescent="0.25">
      <c r="L2629" s="4" t="str">
        <f>IF('[1]All Data '!BE2634="","",'[1]All Data '!BE2634)</f>
        <v/>
      </c>
      <c r="M2629" t="str">
        <f>IF('[1]All Data '!BF2634="","",'[1]All Data '!BF2634)</f>
        <v/>
      </c>
      <c r="N2629" s="5" t="str">
        <f>IF('[1]All Data '!BB2634="","",'[1]All Data '!BC2634/'[1]All Data '!BH2634)</f>
        <v/>
      </c>
      <c r="O2629" s="5" t="str">
        <f t="shared" si="43"/>
        <v/>
      </c>
      <c r="P2629" s="5" t="str">
        <f>IF(M2629="","",$C$2*(1-L2629)*907.2/0.621371*N2629*[1]Transportation!$M$40)</f>
        <v/>
      </c>
      <c r="Q2629" s="5" t="str">
        <f>IF(L2629="","",IF([1]Inputs_Outputs!$B$5="Herbaceous",(LCA!$E$29*'[1]LOCH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29" s="5" t="str">
        <f>IF(M2629="","",$E$2*1000*'[1]LOCH Calc COE Calc'!$C$44)</f>
        <v/>
      </c>
      <c r="S2629" s="6" t="str">
        <f>IF(N2629="","",SUM(O2629:R2629)/('[1]LOCH Calc COE Calc'!$C$28))</f>
        <v/>
      </c>
      <c r="T2629" t="str">
        <f>IF(L2629="","",O2629/'[1]LOCH Calc COE Calc'!$C$28)</f>
        <v/>
      </c>
      <c r="U2629" t="str">
        <f>IF(L2629="","",P2629/'[1]LOCH Calc COE Calc'!$C$28)</f>
        <v/>
      </c>
      <c r="V2629" t="str">
        <f>IF(L2629="","",Q2629/'[1]LOCH Calc COE Calc'!$C$28)</f>
        <v/>
      </c>
      <c r="W2629" t="str">
        <f>IF(L2629="","",R2629/'[1]LOCH Calc COE Calc'!$C$28)</f>
        <v/>
      </c>
    </row>
    <row r="2630" spans="12:23" x14ac:dyDescent="0.25">
      <c r="L2630" s="4" t="str">
        <f>IF('[1]All Data '!BE2635="","",'[1]All Data '!BE2635)</f>
        <v/>
      </c>
      <c r="M2630" t="str">
        <f>IF('[1]All Data '!BF2635="","",'[1]All Data '!BF2635)</f>
        <v/>
      </c>
      <c r="N2630" s="5" t="str">
        <f>IF('[1]All Data '!BB2635="","",'[1]All Data '!BC2635/'[1]All Data '!BH2635)</f>
        <v/>
      </c>
      <c r="O2630" s="5" t="str">
        <f t="shared" si="43"/>
        <v/>
      </c>
      <c r="P2630" s="5" t="str">
        <f>IF(M2630="","",$C$2*(1-L2630)*907.2/0.621371*N2630*[1]Transportation!$M$40)</f>
        <v/>
      </c>
      <c r="Q2630" s="5" t="str">
        <f>IF(L2630="","",IF([1]Inputs_Outputs!$B$5="Herbaceous",(LCA!$E$29*'[1]LOCH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0" s="5" t="str">
        <f>IF(M2630="","",$E$2*1000*'[1]LOCH Calc COE Calc'!$C$44)</f>
        <v/>
      </c>
      <c r="S2630" s="6" t="str">
        <f>IF(N2630="","",SUM(O2630:R2630)/('[1]LOCH Calc COE Calc'!$C$28))</f>
        <v/>
      </c>
      <c r="T2630" t="str">
        <f>IF(L2630="","",O2630/'[1]LOCH Calc COE Calc'!$C$28)</f>
        <v/>
      </c>
      <c r="U2630" t="str">
        <f>IF(L2630="","",P2630/'[1]LOCH Calc COE Calc'!$C$28)</f>
        <v/>
      </c>
      <c r="V2630" t="str">
        <f>IF(L2630="","",Q2630/'[1]LOCH Calc COE Calc'!$C$28)</f>
        <v/>
      </c>
      <c r="W2630" t="str">
        <f>IF(L2630="","",R2630/'[1]LOCH Calc COE Calc'!$C$28)</f>
        <v/>
      </c>
    </row>
    <row r="2631" spans="12:23" x14ac:dyDescent="0.25">
      <c r="L2631" s="4" t="str">
        <f>IF('[1]All Data '!BE2636="","",'[1]All Data '!BE2636)</f>
        <v/>
      </c>
      <c r="M2631" t="str">
        <f>IF('[1]All Data '!BF2636="","",'[1]All Data '!BF2636)</f>
        <v/>
      </c>
      <c r="N2631" s="5" t="str">
        <f>IF('[1]All Data '!BB2636="","",'[1]All Data '!BC2636/'[1]All Data '!BH2636)</f>
        <v/>
      </c>
      <c r="O2631" s="5" t="str">
        <f t="shared" si="43"/>
        <v/>
      </c>
      <c r="P2631" s="5" t="str">
        <f>IF(M2631="","",$C$2*(1-L2631)*907.2/0.621371*N2631*[1]Transportation!$M$40)</f>
        <v/>
      </c>
      <c r="Q2631" s="5" t="str">
        <f>IF(L2631="","",IF([1]Inputs_Outputs!$B$5="Herbaceous",(LCA!$E$29*'[1]LOCH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1" s="5" t="str">
        <f>IF(M2631="","",$E$2*1000*'[1]LOCH Calc COE Calc'!$C$44)</f>
        <v/>
      </c>
      <c r="S2631" s="6" t="str">
        <f>IF(N2631="","",SUM(O2631:R2631)/('[1]LOCH Calc COE Calc'!$C$28))</f>
        <v/>
      </c>
      <c r="T2631" t="str">
        <f>IF(L2631="","",O2631/'[1]LOCH Calc COE Calc'!$C$28)</f>
        <v/>
      </c>
      <c r="U2631" t="str">
        <f>IF(L2631="","",P2631/'[1]LOCH Calc COE Calc'!$C$28)</f>
        <v/>
      </c>
      <c r="V2631" t="str">
        <f>IF(L2631="","",Q2631/'[1]LOCH Calc COE Calc'!$C$28)</f>
        <v/>
      </c>
      <c r="W2631" t="str">
        <f>IF(L2631="","",R2631/'[1]LOCH Calc COE Calc'!$C$28)</f>
        <v/>
      </c>
    </row>
    <row r="2632" spans="12:23" x14ac:dyDescent="0.25">
      <c r="L2632" s="4" t="str">
        <f>IF('[1]All Data '!BE2637="","",'[1]All Data '!BE2637)</f>
        <v/>
      </c>
      <c r="M2632" t="str">
        <f>IF('[1]All Data '!BF2637="","",'[1]All Data '!BF2637)</f>
        <v/>
      </c>
      <c r="N2632" s="5" t="str">
        <f>IF('[1]All Data '!BB2637="","",'[1]All Data '!BC2637/'[1]All Data '!BH2637)</f>
        <v/>
      </c>
      <c r="O2632" s="5" t="str">
        <f t="shared" si="43"/>
        <v/>
      </c>
      <c r="P2632" s="5" t="str">
        <f>IF(M2632="","",$C$2*(1-L2632)*907.2/0.621371*N2632*[1]Transportation!$M$40)</f>
        <v/>
      </c>
      <c r="Q2632" s="5" t="str">
        <f>IF(L2632="","",IF([1]Inputs_Outputs!$B$5="Herbaceous",(LCA!$E$29*'[1]LOCH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2" s="5" t="str">
        <f>IF(M2632="","",$E$2*1000*'[1]LOCH Calc COE Calc'!$C$44)</f>
        <v/>
      </c>
      <c r="S2632" s="6" t="str">
        <f>IF(N2632="","",SUM(O2632:R2632)/('[1]LOCH Calc COE Calc'!$C$28))</f>
        <v/>
      </c>
      <c r="T2632" t="str">
        <f>IF(L2632="","",O2632/'[1]LOCH Calc COE Calc'!$C$28)</f>
        <v/>
      </c>
      <c r="U2632" t="str">
        <f>IF(L2632="","",P2632/'[1]LOCH Calc COE Calc'!$C$28)</f>
        <v/>
      </c>
      <c r="V2632" t="str">
        <f>IF(L2632="","",Q2632/'[1]LOCH Calc COE Calc'!$C$28)</f>
        <v/>
      </c>
      <c r="W2632" t="str">
        <f>IF(L2632="","",R2632/'[1]LOCH Calc COE Calc'!$C$28)</f>
        <v/>
      </c>
    </row>
    <row r="2633" spans="12:23" x14ac:dyDescent="0.25">
      <c r="L2633" s="4" t="str">
        <f>IF('[1]All Data '!BE2638="","",'[1]All Data '!BE2638)</f>
        <v/>
      </c>
      <c r="M2633" t="str">
        <f>IF('[1]All Data '!BF2638="","",'[1]All Data '!BF2638)</f>
        <v/>
      </c>
      <c r="N2633" s="5" t="str">
        <f>IF('[1]All Data '!BB2638="","",'[1]All Data '!BC2638/'[1]All Data '!BH2638)</f>
        <v/>
      </c>
      <c r="O2633" s="5" t="str">
        <f t="shared" si="43"/>
        <v/>
      </c>
      <c r="P2633" s="5" t="str">
        <f>IF(M2633="","",$C$2*(1-L2633)*907.2/0.621371*N2633*[1]Transportation!$M$40)</f>
        <v/>
      </c>
      <c r="Q2633" s="5" t="str">
        <f>IF(L2633="","",IF([1]Inputs_Outputs!$B$5="Herbaceous",(LCA!$E$29*'[1]LOCH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3" s="5" t="str">
        <f>IF(M2633="","",$E$2*1000*'[1]LOCH Calc COE Calc'!$C$44)</f>
        <v/>
      </c>
      <c r="S2633" s="6" t="str">
        <f>IF(N2633="","",SUM(O2633:R2633)/('[1]LOCH Calc COE Calc'!$C$28))</f>
        <v/>
      </c>
      <c r="T2633" t="str">
        <f>IF(L2633="","",O2633/'[1]LOCH Calc COE Calc'!$C$28)</f>
        <v/>
      </c>
      <c r="U2633" t="str">
        <f>IF(L2633="","",P2633/'[1]LOCH Calc COE Calc'!$C$28)</f>
        <v/>
      </c>
      <c r="V2633" t="str">
        <f>IF(L2633="","",Q2633/'[1]LOCH Calc COE Calc'!$C$28)</f>
        <v/>
      </c>
      <c r="W2633" t="str">
        <f>IF(L2633="","",R2633/'[1]LOCH Calc COE Calc'!$C$28)</f>
        <v/>
      </c>
    </row>
    <row r="2634" spans="12:23" x14ac:dyDescent="0.25">
      <c r="L2634" s="4" t="str">
        <f>IF('[1]All Data '!BE2639="","",'[1]All Data '!BE2639)</f>
        <v/>
      </c>
      <c r="M2634" t="str">
        <f>IF('[1]All Data '!BF2639="","",'[1]All Data '!BF2639)</f>
        <v/>
      </c>
      <c r="N2634" s="5" t="str">
        <f>IF('[1]All Data '!BB2639="","",'[1]All Data '!BC2639/'[1]All Data '!BH2639)</f>
        <v/>
      </c>
      <c r="O2634" s="5" t="str">
        <f t="shared" si="43"/>
        <v/>
      </c>
      <c r="P2634" s="5" t="str">
        <f>IF(M2634="","",$C$2*(1-L2634)*907.2/0.621371*N2634*[1]Transportation!$M$40)</f>
        <v/>
      </c>
      <c r="Q2634" s="5" t="str">
        <f>IF(L2634="","",IF([1]Inputs_Outputs!$B$5="Herbaceous",(LCA!$E$29*'[1]LOCH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4" s="5" t="str">
        <f>IF(M2634="","",$E$2*1000*'[1]LOCH Calc COE Calc'!$C$44)</f>
        <v/>
      </c>
      <c r="S2634" s="6" t="str">
        <f>IF(N2634="","",SUM(O2634:R2634)/('[1]LOCH Calc COE Calc'!$C$28))</f>
        <v/>
      </c>
      <c r="T2634" t="str">
        <f>IF(L2634="","",O2634/'[1]LOCH Calc COE Calc'!$C$28)</f>
        <v/>
      </c>
      <c r="U2634" t="str">
        <f>IF(L2634="","",P2634/'[1]LOCH Calc COE Calc'!$C$28)</f>
        <v/>
      </c>
      <c r="V2634" t="str">
        <f>IF(L2634="","",Q2634/'[1]LOCH Calc COE Calc'!$C$28)</f>
        <v/>
      </c>
      <c r="W2634" t="str">
        <f>IF(L2634="","",R2634/'[1]LOCH Calc COE Calc'!$C$28)</f>
        <v/>
      </c>
    </row>
    <row r="2635" spans="12:23" x14ac:dyDescent="0.25">
      <c r="L2635" s="4" t="str">
        <f>IF('[1]All Data '!BE2640="","",'[1]All Data '!BE2640)</f>
        <v/>
      </c>
      <c r="M2635" t="str">
        <f>IF('[1]All Data '!BF2640="","",'[1]All Data '!BF2640)</f>
        <v/>
      </c>
      <c r="N2635" s="5" t="str">
        <f>IF('[1]All Data '!BB2640="","",'[1]All Data '!BC2640/'[1]All Data '!BH2640)</f>
        <v/>
      </c>
      <c r="O2635" s="5" t="str">
        <f t="shared" si="43"/>
        <v/>
      </c>
      <c r="P2635" s="5" t="str">
        <f>IF(M2635="","",$C$2*(1-L2635)*907.2/0.621371*N2635*[1]Transportation!$M$40)</f>
        <v/>
      </c>
      <c r="Q2635" s="5" t="str">
        <f>IF(L2635="","",IF([1]Inputs_Outputs!$B$5="Herbaceous",(LCA!$E$29*'[1]LOCH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5" s="5" t="str">
        <f>IF(M2635="","",$E$2*1000*'[1]LOCH Calc COE Calc'!$C$44)</f>
        <v/>
      </c>
      <c r="S2635" s="6" t="str">
        <f>IF(N2635="","",SUM(O2635:R2635)/('[1]LOCH Calc COE Calc'!$C$28))</f>
        <v/>
      </c>
      <c r="T2635" t="str">
        <f>IF(L2635="","",O2635/'[1]LOCH Calc COE Calc'!$C$28)</f>
        <v/>
      </c>
      <c r="U2635" t="str">
        <f>IF(L2635="","",P2635/'[1]LOCH Calc COE Calc'!$C$28)</f>
        <v/>
      </c>
      <c r="V2635" t="str">
        <f>IF(L2635="","",Q2635/'[1]LOCH Calc COE Calc'!$C$28)</f>
        <v/>
      </c>
      <c r="W2635" t="str">
        <f>IF(L2635="","",R2635/'[1]LOCH Calc COE Calc'!$C$28)</f>
        <v/>
      </c>
    </row>
    <row r="2636" spans="12:23" x14ac:dyDescent="0.25">
      <c r="L2636" s="4" t="str">
        <f>IF('[1]All Data '!BE2641="","",'[1]All Data '!BE2641)</f>
        <v/>
      </c>
      <c r="M2636" t="str">
        <f>IF('[1]All Data '!BF2641="","",'[1]All Data '!BF2641)</f>
        <v/>
      </c>
      <c r="N2636" s="5" t="str">
        <f>IF('[1]All Data '!BB2641="","",'[1]All Data '!BC2641/'[1]All Data '!BH2641)</f>
        <v/>
      </c>
      <c r="O2636" s="5" t="str">
        <f t="shared" si="43"/>
        <v/>
      </c>
      <c r="P2636" s="5" t="str">
        <f>IF(M2636="","",$C$2*(1-L2636)*907.2/0.621371*N2636*[1]Transportation!$M$40)</f>
        <v/>
      </c>
      <c r="Q2636" s="5" t="str">
        <f>IF(L2636="","",IF([1]Inputs_Outputs!$B$5="Herbaceous",(LCA!$E$29*'[1]LOCH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6" s="5" t="str">
        <f>IF(M2636="","",$E$2*1000*'[1]LOCH Calc COE Calc'!$C$44)</f>
        <v/>
      </c>
      <c r="S2636" s="6" t="str">
        <f>IF(N2636="","",SUM(O2636:R2636)/('[1]LOCH Calc COE Calc'!$C$28))</f>
        <v/>
      </c>
      <c r="T2636" t="str">
        <f>IF(L2636="","",O2636/'[1]LOCH Calc COE Calc'!$C$28)</f>
        <v/>
      </c>
      <c r="U2636" t="str">
        <f>IF(L2636="","",P2636/'[1]LOCH Calc COE Calc'!$C$28)</f>
        <v/>
      </c>
      <c r="V2636" t="str">
        <f>IF(L2636="","",Q2636/'[1]LOCH Calc COE Calc'!$C$28)</f>
        <v/>
      </c>
      <c r="W2636" t="str">
        <f>IF(L2636="","",R2636/'[1]LOCH Calc COE Calc'!$C$28)</f>
        <v/>
      </c>
    </row>
    <row r="2637" spans="12:23" x14ac:dyDescent="0.25">
      <c r="L2637" s="4" t="str">
        <f>IF('[1]All Data '!BE2642="","",'[1]All Data '!BE2642)</f>
        <v/>
      </c>
      <c r="M2637" t="str">
        <f>IF('[1]All Data '!BF2642="","",'[1]All Data '!BF2642)</f>
        <v/>
      </c>
      <c r="N2637" s="5" t="str">
        <f>IF('[1]All Data '!BB2642="","",'[1]All Data '!BC2642/'[1]All Data '!BH2642)</f>
        <v/>
      </c>
      <c r="O2637" s="5" t="str">
        <f t="shared" si="43"/>
        <v/>
      </c>
      <c r="P2637" s="5" t="str">
        <f>IF(M2637="","",$C$2*(1-L2637)*907.2/0.621371*N2637*[1]Transportation!$M$40)</f>
        <v/>
      </c>
      <c r="Q2637" s="5" t="str">
        <f>IF(L2637="","",IF([1]Inputs_Outputs!$B$5="Herbaceous",(LCA!$E$29*'[1]LOCH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7" s="5" t="str">
        <f>IF(M2637="","",$E$2*1000*'[1]LOCH Calc COE Calc'!$C$44)</f>
        <v/>
      </c>
      <c r="S2637" s="6" t="str">
        <f>IF(N2637="","",SUM(O2637:R2637)/('[1]LOCH Calc COE Calc'!$C$28))</f>
        <v/>
      </c>
      <c r="T2637" t="str">
        <f>IF(L2637="","",O2637/'[1]LOCH Calc COE Calc'!$C$28)</f>
        <v/>
      </c>
      <c r="U2637" t="str">
        <f>IF(L2637="","",P2637/'[1]LOCH Calc COE Calc'!$C$28)</f>
        <v/>
      </c>
      <c r="V2637" t="str">
        <f>IF(L2637="","",Q2637/'[1]LOCH Calc COE Calc'!$C$28)</f>
        <v/>
      </c>
      <c r="W2637" t="str">
        <f>IF(L2637="","",R2637/'[1]LOCH Calc COE Calc'!$C$28)</f>
        <v/>
      </c>
    </row>
    <row r="2638" spans="12:23" x14ac:dyDescent="0.25">
      <c r="L2638" s="4" t="str">
        <f>IF('[1]All Data '!BE2643="","",'[1]All Data '!BE2643)</f>
        <v/>
      </c>
      <c r="M2638" t="str">
        <f>IF('[1]All Data '!BF2643="","",'[1]All Data '!BF2643)</f>
        <v/>
      </c>
      <c r="N2638" s="5" t="str">
        <f>IF('[1]All Data '!BB2643="","",'[1]All Data '!BC2643/'[1]All Data '!BH2643)</f>
        <v/>
      </c>
      <c r="O2638" s="5" t="str">
        <f t="shared" si="43"/>
        <v/>
      </c>
      <c r="P2638" s="5" t="str">
        <f>IF(M2638="","",$C$2*(1-L2638)*907.2/0.621371*N2638*[1]Transportation!$M$40)</f>
        <v/>
      </c>
      <c r="Q2638" s="5" t="str">
        <f>IF(L2638="","",IF([1]Inputs_Outputs!$B$5="Herbaceous",(LCA!$E$29*'[1]LOCH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8" s="5" t="str">
        <f>IF(M2638="","",$E$2*1000*'[1]LOCH Calc COE Calc'!$C$44)</f>
        <v/>
      </c>
      <c r="S2638" s="6" t="str">
        <f>IF(N2638="","",SUM(O2638:R2638)/('[1]LOCH Calc COE Calc'!$C$28))</f>
        <v/>
      </c>
      <c r="T2638" t="str">
        <f>IF(L2638="","",O2638/'[1]LOCH Calc COE Calc'!$C$28)</f>
        <v/>
      </c>
      <c r="U2638" t="str">
        <f>IF(L2638="","",P2638/'[1]LOCH Calc COE Calc'!$C$28)</f>
        <v/>
      </c>
      <c r="V2638" t="str">
        <f>IF(L2638="","",Q2638/'[1]LOCH Calc COE Calc'!$C$28)</f>
        <v/>
      </c>
      <c r="W2638" t="str">
        <f>IF(L2638="","",R2638/'[1]LOCH Calc COE Calc'!$C$28)</f>
        <v/>
      </c>
    </row>
    <row r="2639" spans="12:23" x14ac:dyDescent="0.25">
      <c r="L2639" s="4" t="str">
        <f>IF('[1]All Data '!BE2644="","",'[1]All Data '!BE2644)</f>
        <v/>
      </c>
      <c r="M2639" t="str">
        <f>IF('[1]All Data '!BF2644="","",'[1]All Data '!BF2644)</f>
        <v/>
      </c>
      <c r="N2639" s="5" t="str">
        <f>IF('[1]All Data '!BB2644="","",'[1]All Data '!BC2644/'[1]All Data '!BH2644)</f>
        <v/>
      </c>
      <c r="O2639" s="5" t="str">
        <f t="shared" si="43"/>
        <v/>
      </c>
      <c r="P2639" s="5" t="str">
        <f>IF(M2639="","",$C$2*(1-L2639)*907.2/0.621371*N2639*[1]Transportation!$M$40)</f>
        <v/>
      </c>
      <c r="Q2639" s="5" t="str">
        <f>IF(L2639="","",IF([1]Inputs_Outputs!$B$5="Herbaceous",(LCA!$E$29*'[1]LOCH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39" s="5" t="str">
        <f>IF(M2639="","",$E$2*1000*'[1]LOCH Calc COE Calc'!$C$44)</f>
        <v/>
      </c>
      <c r="S2639" s="6" t="str">
        <f>IF(N2639="","",SUM(O2639:R2639)/('[1]LOCH Calc COE Calc'!$C$28))</f>
        <v/>
      </c>
      <c r="T2639" t="str">
        <f>IF(L2639="","",O2639/'[1]LOCH Calc COE Calc'!$C$28)</f>
        <v/>
      </c>
      <c r="U2639" t="str">
        <f>IF(L2639="","",P2639/'[1]LOCH Calc COE Calc'!$C$28)</f>
        <v/>
      </c>
      <c r="V2639" t="str">
        <f>IF(L2639="","",Q2639/'[1]LOCH Calc COE Calc'!$C$28)</f>
        <v/>
      </c>
      <c r="W2639" t="str">
        <f>IF(L2639="","",R2639/'[1]LOCH Calc COE Calc'!$C$28)</f>
        <v/>
      </c>
    </row>
    <row r="2640" spans="12:23" x14ac:dyDescent="0.25">
      <c r="L2640" s="4" t="str">
        <f>IF('[1]All Data '!BE2645="","",'[1]All Data '!BE2645)</f>
        <v/>
      </c>
      <c r="M2640" t="str">
        <f>IF('[1]All Data '!BF2645="","",'[1]All Data '!BF2645)</f>
        <v/>
      </c>
      <c r="N2640" s="5" t="str">
        <f>IF('[1]All Data '!BB2645="","",'[1]All Data '!BC2645/'[1]All Data '!BH2645)</f>
        <v/>
      </c>
      <c r="O2640" s="5" t="str">
        <f t="shared" si="43"/>
        <v/>
      </c>
      <c r="P2640" s="5" t="str">
        <f>IF(M2640="","",$C$2*(1-L2640)*907.2/0.621371*N2640*[1]Transportation!$M$40)</f>
        <v/>
      </c>
      <c r="Q2640" s="5" t="str">
        <f>IF(L2640="","",IF([1]Inputs_Outputs!$B$5="Herbaceous",(LCA!$E$29*'[1]LOCH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0" s="5" t="str">
        <f>IF(M2640="","",$E$2*1000*'[1]LOCH Calc COE Calc'!$C$44)</f>
        <v/>
      </c>
      <c r="S2640" s="6" t="str">
        <f>IF(N2640="","",SUM(O2640:R2640)/('[1]LOCH Calc COE Calc'!$C$28))</f>
        <v/>
      </c>
      <c r="T2640" t="str">
        <f>IF(L2640="","",O2640/'[1]LOCH Calc COE Calc'!$C$28)</f>
        <v/>
      </c>
      <c r="U2640" t="str">
        <f>IF(L2640="","",P2640/'[1]LOCH Calc COE Calc'!$C$28)</f>
        <v/>
      </c>
      <c r="V2640" t="str">
        <f>IF(L2640="","",Q2640/'[1]LOCH Calc COE Calc'!$C$28)</f>
        <v/>
      </c>
      <c r="W2640" t="str">
        <f>IF(L2640="","",R2640/'[1]LOCH Calc COE Calc'!$C$28)</f>
        <v/>
      </c>
    </row>
    <row r="2641" spans="12:23" x14ac:dyDescent="0.25">
      <c r="L2641" s="4" t="str">
        <f>IF('[1]All Data '!BE2646="","",'[1]All Data '!BE2646)</f>
        <v/>
      </c>
      <c r="M2641" t="str">
        <f>IF('[1]All Data '!BF2646="","",'[1]All Data '!BF2646)</f>
        <v/>
      </c>
      <c r="N2641" s="5" t="str">
        <f>IF('[1]All Data '!BB2646="","",'[1]All Data '!BC2646/'[1]All Data '!BH2646)</f>
        <v/>
      </c>
      <c r="O2641" s="5" t="str">
        <f t="shared" si="43"/>
        <v/>
      </c>
      <c r="P2641" s="5" t="str">
        <f>IF(M2641="","",$C$2*(1-L2641)*907.2/0.621371*N2641*[1]Transportation!$M$40)</f>
        <v/>
      </c>
      <c r="Q2641" s="5" t="str">
        <f>IF(L2641="","",IF([1]Inputs_Outputs!$B$5="Herbaceous",(LCA!$E$29*'[1]LOCH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1" s="5" t="str">
        <f>IF(M2641="","",$E$2*1000*'[1]LOCH Calc COE Calc'!$C$44)</f>
        <v/>
      </c>
      <c r="S2641" s="6" t="str">
        <f>IF(N2641="","",SUM(O2641:R2641)/('[1]LOCH Calc COE Calc'!$C$28))</f>
        <v/>
      </c>
      <c r="T2641" t="str">
        <f>IF(L2641="","",O2641/'[1]LOCH Calc COE Calc'!$C$28)</f>
        <v/>
      </c>
      <c r="U2641" t="str">
        <f>IF(L2641="","",P2641/'[1]LOCH Calc COE Calc'!$C$28)</f>
        <v/>
      </c>
      <c r="V2641" t="str">
        <f>IF(L2641="","",Q2641/'[1]LOCH Calc COE Calc'!$C$28)</f>
        <v/>
      </c>
      <c r="W2641" t="str">
        <f>IF(L2641="","",R2641/'[1]LOCH Calc COE Calc'!$C$28)</f>
        <v/>
      </c>
    </row>
    <row r="2642" spans="12:23" x14ac:dyDescent="0.25">
      <c r="L2642" s="4" t="str">
        <f>IF('[1]All Data '!BE2647="","",'[1]All Data '!BE2647)</f>
        <v/>
      </c>
      <c r="M2642" t="str">
        <f>IF('[1]All Data '!BF2647="","",'[1]All Data '!BF2647)</f>
        <v/>
      </c>
      <c r="N2642" s="5" t="str">
        <f>IF('[1]All Data '!BB2647="","",'[1]All Data '!BC2647/'[1]All Data '!BH2647)</f>
        <v/>
      </c>
      <c r="O2642" s="5" t="str">
        <f t="shared" si="43"/>
        <v/>
      </c>
      <c r="P2642" s="5" t="str">
        <f>IF(M2642="","",$C$2*(1-L2642)*907.2/0.621371*N2642*[1]Transportation!$M$40)</f>
        <v/>
      </c>
      <c r="Q2642" s="5" t="str">
        <f>IF(L2642="","",IF([1]Inputs_Outputs!$B$5="Herbaceous",(LCA!$E$29*'[1]LOCH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2" s="5" t="str">
        <f>IF(M2642="","",$E$2*1000*'[1]LOCH Calc COE Calc'!$C$44)</f>
        <v/>
      </c>
      <c r="S2642" s="6" t="str">
        <f>IF(N2642="","",SUM(O2642:R2642)/('[1]LOCH Calc COE Calc'!$C$28))</f>
        <v/>
      </c>
      <c r="T2642" t="str">
        <f>IF(L2642="","",O2642/'[1]LOCH Calc COE Calc'!$C$28)</f>
        <v/>
      </c>
      <c r="U2642" t="str">
        <f>IF(L2642="","",P2642/'[1]LOCH Calc COE Calc'!$C$28)</f>
        <v/>
      </c>
      <c r="V2642" t="str">
        <f>IF(L2642="","",Q2642/'[1]LOCH Calc COE Calc'!$C$28)</f>
        <v/>
      </c>
      <c r="W2642" t="str">
        <f>IF(L2642="","",R2642/'[1]LOCH Calc COE Calc'!$C$28)</f>
        <v/>
      </c>
    </row>
    <row r="2643" spans="12:23" x14ac:dyDescent="0.25">
      <c r="L2643" s="4" t="str">
        <f>IF('[1]All Data '!BE2648="","",'[1]All Data '!BE2648)</f>
        <v/>
      </c>
      <c r="M2643" t="str">
        <f>IF('[1]All Data '!BF2648="","",'[1]All Data '!BF2648)</f>
        <v/>
      </c>
      <c r="N2643" s="5" t="str">
        <f>IF('[1]All Data '!BB2648="","",'[1]All Data '!BC2648/'[1]All Data '!BH2648)</f>
        <v/>
      </c>
      <c r="O2643" s="5" t="str">
        <f t="shared" si="43"/>
        <v/>
      </c>
      <c r="P2643" s="5" t="str">
        <f>IF(M2643="","",$C$2*(1-L2643)*907.2/0.621371*N2643*[1]Transportation!$M$40)</f>
        <v/>
      </c>
      <c r="Q2643" s="5" t="str">
        <f>IF(L2643="","",IF([1]Inputs_Outputs!$B$5="Herbaceous",(LCA!$E$29*'[1]LOCH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3" s="5" t="str">
        <f>IF(M2643="","",$E$2*1000*'[1]LOCH Calc COE Calc'!$C$44)</f>
        <v/>
      </c>
      <c r="S2643" s="6" t="str">
        <f>IF(N2643="","",SUM(O2643:R2643)/('[1]LOCH Calc COE Calc'!$C$28))</f>
        <v/>
      </c>
      <c r="T2643" t="str">
        <f>IF(L2643="","",O2643/'[1]LOCH Calc COE Calc'!$C$28)</f>
        <v/>
      </c>
      <c r="U2643" t="str">
        <f>IF(L2643="","",P2643/'[1]LOCH Calc COE Calc'!$C$28)</f>
        <v/>
      </c>
      <c r="V2643" t="str">
        <f>IF(L2643="","",Q2643/'[1]LOCH Calc COE Calc'!$C$28)</f>
        <v/>
      </c>
      <c r="W2643" t="str">
        <f>IF(L2643="","",R2643/'[1]LOCH Calc COE Calc'!$C$28)</f>
        <v/>
      </c>
    </row>
    <row r="2644" spans="12:23" x14ac:dyDescent="0.25">
      <c r="L2644" s="4" t="str">
        <f>IF('[1]All Data '!BE2649="","",'[1]All Data '!BE2649)</f>
        <v/>
      </c>
      <c r="M2644" t="str">
        <f>IF('[1]All Data '!BF2649="","",'[1]All Data '!BF2649)</f>
        <v/>
      </c>
      <c r="N2644" s="5" t="str">
        <f>IF('[1]All Data '!BB2649="","",'[1]All Data '!BC2649/'[1]All Data '!BH2649)</f>
        <v/>
      </c>
      <c r="O2644" s="5" t="str">
        <f t="shared" si="43"/>
        <v/>
      </c>
      <c r="P2644" s="5" t="str">
        <f>IF(M2644="","",$C$2*(1-L2644)*907.2/0.621371*N2644*[1]Transportation!$M$40)</f>
        <v/>
      </c>
      <c r="Q2644" s="5" t="str">
        <f>IF(L2644="","",IF([1]Inputs_Outputs!$B$5="Herbaceous",(LCA!$E$29*'[1]LOCH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4" s="5" t="str">
        <f>IF(M2644="","",$E$2*1000*'[1]LOCH Calc COE Calc'!$C$44)</f>
        <v/>
      </c>
      <c r="S2644" s="6" t="str">
        <f>IF(N2644="","",SUM(O2644:R2644)/('[1]LOCH Calc COE Calc'!$C$28))</f>
        <v/>
      </c>
      <c r="T2644" t="str">
        <f>IF(L2644="","",O2644/'[1]LOCH Calc COE Calc'!$C$28)</f>
        <v/>
      </c>
      <c r="U2644" t="str">
        <f>IF(L2644="","",P2644/'[1]LOCH Calc COE Calc'!$C$28)</f>
        <v/>
      </c>
      <c r="V2644" t="str">
        <f>IF(L2644="","",Q2644/'[1]LOCH Calc COE Calc'!$C$28)</f>
        <v/>
      </c>
      <c r="W2644" t="str">
        <f>IF(L2644="","",R2644/'[1]LOCH Calc COE Calc'!$C$28)</f>
        <v/>
      </c>
    </row>
    <row r="2645" spans="12:23" x14ac:dyDescent="0.25">
      <c r="L2645" s="4" t="str">
        <f>IF('[1]All Data '!BE2650="","",'[1]All Data '!BE2650)</f>
        <v/>
      </c>
      <c r="M2645" t="str">
        <f>IF('[1]All Data '!BF2650="","",'[1]All Data '!BF2650)</f>
        <v/>
      </c>
      <c r="N2645" s="5" t="str">
        <f>IF('[1]All Data '!BB2650="","",'[1]All Data '!BC2650/'[1]All Data '!BH2650)</f>
        <v/>
      </c>
      <c r="O2645" s="5" t="str">
        <f t="shared" si="43"/>
        <v/>
      </c>
      <c r="P2645" s="5" t="str">
        <f>IF(M2645="","",$C$2*(1-L2645)*907.2/0.621371*N2645*[1]Transportation!$M$40)</f>
        <v/>
      </c>
      <c r="Q2645" s="5" t="str">
        <f>IF(L2645="","",IF([1]Inputs_Outputs!$B$5="Herbaceous",(LCA!$E$29*'[1]LOCH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5" s="5" t="str">
        <f>IF(M2645="","",$E$2*1000*'[1]LOCH Calc COE Calc'!$C$44)</f>
        <v/>
      </c>
      <c r="S2645" s="6" t="str">
        <f>IF(N2645="","",SUM(O2645:R2645)/('[1]LOCH Calc COE Calc'!$C$28))</f>
        <v/>
      </c>
      <c r="T2645" t="str">
        <f>IF(L2645="","",O2645/'[1]LOCH Calc COE Calc'!$C$28)</f>
        <v/>
      </c>
      <c r="U2645" t="str">
        <f>IF(L2645="","",P2645/'[1]LOCH Calc COE Calc'!$C$28)</f>
        <v/>
      </c>
      <c r="V2645" t="str">
        <f>IF(L2645="","",Q2645/'[1]LOCH Calc COE Calc'!$C$28)</f>
        <v/>
      </c>
      <c r="W2645" t="str">
        <f>IF(L2645="","",R2645/'[1]LOCH Calc COE Calc'!$C$28)</f>
        <v/>
      </c>
    </row>
    <row r="2646" spans="12:23" x14ac:dyDescent="0.25">
      <c r="L2646" s="4" t="str">
        <f>IF('[1]All Data '!BE2651="","",'[1]All Data '!BE2651)</f>
        <v/>
      </c>
      <c r="M2646" t="str">
        <f>IF('[1]All Data '!BF2651="","",'[1]All Data '!BF2651)</f>
        <v/>
      </c>
      <c r="N2646" s="5" t="str">
        <f>IF('[1]All Data '!BB2651="","",'[1]All Data '!BC2651/'[1]All Data '!BH2651)</f>
        <v/>
      </c>
      <c r="O2646" s="5" t="str">
        <f t="shared" si="43"/>
        <v/>
      </c>
      <c r="P2646" s="5" t="str">
        <f>IF(M2646="","",$C$2*(1-L2646)*907.2/0.621371*N2646*[1]Transportation!$M$40)</f>
        <v/>
      </c>
      <c r="Q2646" s="5" t="str">
        <f>IF(L2646="","",IF([1]Inputs_Outputs!$B$5="Herbaceous",(LCA!$E$29*'[1]LOCH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6" s="5" t="str">
        <f>IF(M2646="","",$E$2*1000*'[1]LOCH Calc COE Calc'!$C$44)</f>
        <v/>
      </c>
      <c r="S2646" s="6" t="str">
        <f>IF(N2646="","",SUM(O2646:R2646)/('[1]LOCH Calc COE Calc'!$C$28))</f>
        <v/>
      </c>
      <c r="T2646" t="str">
        <f>IF(L2646="","",O2646/'[1]LOCH Calc COE Calc'!$C$28)</f>
        <v/>
      </c>
      <c r="U2646" t="str">
        <f>IF(L2646="","",P2646/'[1]LOCH Calc COE Calc'!$C$28)</f>
        <v/>
      </c>
      <c r="V2646" t="str">
        <f>IF(L2646="","",Q2646/'[1]LOCH Calc COE Calc'!$C$28)</f>
        <v/>
      </c>
      <c r="W2646" t="str">
        <f>IF(L2646="","",R2646/'[1]LOCH Calc COE Calc'!$C$28)</f>
        <v/>
      </c>
    </row>
    <row r="2647" spans="12:23" x14ac:dyDescent="0.25">
      <c r="L2647" s="4" t="str">
        <f>IF('[1]All Data '!BE2652="","",'[1]All Data '!BE2652)</f>
        <v/>
      </c>
      <c r="M2647" t="str">
        <f>IF('[1]All Data '!BF2652="","",'[1]All Data '!BF2652)</f>
        <v/>
      </c>
      <c r="N2647" s="5" t="str">
        <f>IF('[1]All Data '!BB2652="","",'[1]All Data '!BC2652/'[1]All Data '!BH2652)</f>
        <v/>
      </c>
      <c r="O2647" s="5" t="str">
        <f t="shared" si="43"/>
        <v/>
      </c>
      <c r="P2647" s="5" t="str">
        <f>IF(M2647="","",$C$2*(1-L2647)*907.2/0.621371*N2647*[1]Transportation!$M$40)</f>
        <v/>
      </c>
      <c r="Q2647" s="5" t="str">
        <f>IF(L2647="","",IF([1]Inputs_Outputs!$B$5="Herbaceous",(LCA!$E$29*'[1]LOCH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7" s="5" t="str">
        <f>IF(M2647="","",$E$2*1000*'[1]LOCH Calc COE Calc'!$C$44)</f>
        <v/>
      </c>
      <c r="S2647" s="6" t="str">
        <f>IF(N2647="","",SUM(O2647:R2647)/('[1]LOCH Calc COE Calc'!$C$28))</f>
        <v/>
      </c>
      <c r="T2647" t="str">
        <f>IF(L2647="","",O2647/'[1]LOCH Calc COE Calc'!$C$28)</f>
        <v/>
      </c>
      <c r="U2647" t="str">
        <f>IF(L2647="","",P2647/'[1]LOCH Calc COE Calc'!$C$28)</f>
        <v/>
      </c>
      <c r="V2647" t="str">
        <f>IF(L2647="","",Q2647/'[1]LOCH Calc COE Calc'!$C$28)</f>
        <v/>
      </c>
      <c r="W2647" t="str">
        <f>IF(L2647="","",R2647/'[1]LOCH Calc COE Calc'!$C$28)</f>
        <v/>
      </c>
    </row>
    <row r="2648" spans="12:23" x14ac:dyDescent="0.25">
      <c r="L2648" s="4" t="str">
        <f>IF('[1]All Data '!BE2653="","",'[1]All Data '!BE2653)</f>
        <v/>
      </c>
      <c r="M2648" t="str">
        <f>IF('[1]All Data '!BF2653="","",'[1]All Data '!BF2653)</f>
        <v/>
      </c>
      <c r="N2648" s="5" t="str">
        <f>IF('[1]All Data '!BB2653="","",'[1]All Data '!BC2653/'[1]All Data '!BH2653)</f>
        <v/>
      </c>
      <c r="O2648" s="5" t="str">
        <f t="shared" si="43"/>
        <v/>
      </c>
      <c r="P2648" s="5" t="str">
        <f>IF(M2648="","",$C$2*(1-L2648)*907.2/0.621371*N2648*[1]Transportation!$M$40)</f>
        <v/>
      </c>
      <c r="Q2648" s="5" t="str">
        <f>IF(L2648="","",IF([1]Inputs_Outputs!$B$5="Herbaceous",(LCA!$E$29*'[1]LOCH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8" s="5" t="str">
        <f>IF(M2648="","",$E$2*1000*'[1]LOCH Calc COE Calc'!$C$44)</f>
        <v/>
      </c>
      <c r="S2648" s="6" t="str">
        <f>IF(N2648="","",SUM(O2648:R2648)/('[1]LOCH Calc COE Calc'!$C$28))</f>
        <v/>
      </c>
      <c r="T2648" t="str">
        <f>IF(L2648="","",O2648/'[1]LOCH Calc COE Calc'!$C$28)</f>
        <v/>
      </c>
      <c r="U2648" t="str">
        <f>IF(L2648="","",P2648/'[1]LOCH Calc COE Calc'!$C$28)</f>
        <v/>
      </c>
      <c r="V2648" t="str">
        <f>IF(L2648="","",Q2648/'[1]LOCH Calc COE Calc'!$C$28)</f>
        <v/>
      </c>
      <c r="W2648" t="str">
        <f>IF(L2648="","",R2648/'[1]LOCH Calc COE Calc'!$C$28)</f>
        <v/>
      </c>
    </row>
    <row r="2649" spans="12:23" x14ac:dyDescent="0.25">
      <c r="L2649" s="4" t="str">
        <f>IF('[1]All Data '!BE2654="","",'[1]All Data '!BE2654)</f>
        <v/>
      </c>
      <c r="M2649" t="str">
        <f>IF('[1]All Data '!BF2654="","",'[1]All Data '!BF2654)</f>
        <v/>
      </c>
      <c r="N2649" s="5" t="str">
        <f>IF('[1]All Data '!BB2654="","",'[1]All Data '!BC2654/'[1]All Data '!BH2654)</f>
        <v/>
      </c>
      <c r="O2649" s="5" t="str">
        <f t="shared" si="43"/>
        <v/>
      </c>
      <c r="P2649" s="5" t="str">
        <f>IF(M2649="","",$C$2*(1-L2649)*907.2/0.621371*N2649*[1]Transportation!$M$40)</f>
        <v/>
      </c>
      <c r="Q2649" s="5" t="str">
        <f>IF(L2649="","",IF([1]Inputs_Outputs!$B$5="Herbaceous",(LCA!$E$29*'[1]LOCH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49" s="5" t="str">
        <f>IF(M2649="","",$E$2*1000*'[1]LOCH Calc COE Calc'!$C$44)</f>
        <v/>
      </c>
      <c r="S2649" s="6" t="str">
        <f>IF(N2649="","",SUM(O2649:R2649)/('[1]LOCH Calc COE Calc'!$C$28))</f>
        <v/>
      </c>
      <c r="T2649" t="str">
        <f>IF(L2649="","",O2649/'[1]LOCH Calc COE Calc'!$C$28)</f>
        <v/>
      </c>
      <c r="U2649" t="str">
        <f>IF(L2649="","",P2649/'[1]LOCH Calc COE Calc'!$C$28)</f>
        <v/>
      </c>
      <c r="V2649" t="str">
        <f>IF(L2649="","",Q2649/'[1]LOCH Calc COE Calc'!$C$28)</f>
        <v/>
      </c>
      <c r="W2649" t="str">
        <f>IF(L2649="","",R2649/'[1]LOCH Calc COE Calc'!$C$28)</f>
        <v/>
      </c>
    </row>
    <row r="2650" spans="12:23" x14ac:dyDescent="0.25">
      <c r="L2650" s="4" t="str">
        <f>IF('[1]All Data '!BE2655="","",'[1]All Data '!BE2655)</f>
        <v/>
      </c>
      <c r="M2650" t="str">
        <f>IF('[1]All Data '!BF2655="","",'[1]All Data '!BF2655)</f>
        <v/>
      </c>
      <c r="N2650" s="5" t="str">
        <f>IF('[1]All Data '!BB2655="","",'[1]All Data '!BC2655/'[1]All Data '!BH2655)</f>
        <v/>
      </c>
      <c r="O2650" s="5" t="str">
        <f t="shared" si="43"/>
        <v/>
      </c>
      <c r="P2650" s="5" t="str">
        <f>IF(M2650="","",$C$2*(1-L2650)*907.2/0.621371*N2650*[1]Transportation!$M$40)</f>
        <v/>
      </c>
      <c r="Q2650" s="5" t="str">
        <f>IF(L2650="","",IF([1]Inputs_Outputs!$B$5="Herbaceous",(LCA!$E$29*'[1]LOCH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0" s="5" t="str">
        <f>IF(M2650="","",$E$2*1000*'[1]LOCH Calc COE Calc'!$C$44)</f>
        <v/>
      </c>
      <c r="S2650" s="6" t="str">
        <f>IF(N2650="","",SUM(O2650:R2650)/('[1]LOCH Calc COE Calc'!$C$28))</f>
        <v/>
      </c>
      <c r="T2650" t="str">
        <f>IF(L2650="","",O2650/'[1]LOCH Calc COE Calc'!$C$28)</f>
        <v/>
      </c>
      <c r="U2650" t="str">
        <f>IF(L2650="","",P2650/'[1]LOCH Calc COE Calc'!$C$28)</f>
        <v/>
      </c>
      <c r="V2650" t="str">
        <f>IF(L2650="","",Q2650/'[1]LOCH Calc COE Calc'!$C$28)</f>
        <v/>
      </c>
      <c r="W2650" t="str">
        <f>IF(L2650="","",R2650/'[1]LOCH Calc COE Calc'!$C$28)</f>
        <v/>
      </c>
    </row>
    <row r="2651" spans="12:23" x14ac:dyDescent="0.25">
      <c r="L2651" s="4" t="str">
        <f>IF('[1]All Data '!BE2656="","",'[1]All Data '!BE2656)</f>
        <v/>
      </c>
      <c r="M2651" t="str">
        <f>IF('[1]All Data '!BF2656="","",'[1]All Data '!BF2656)</f>
        <v/>
      </c>
      <c r="N2651" s="5" t="str">
        <f>IF('[1]All Data '!BB2656="","",'[1]All Data '!BC2656/'[1]All Data '!BH2656)</f>
        <v/>
      </c>
      <c r="O2651" s="5" t="str">
        <f t="shared" si="43"/>
        <v/>
      </c>
      <c r="P2651" s="5" t="str">
        <f>IF(M2651="","",$C$2*(1-L2651)*907.2/0.621371*N2651*[1]Transportation!$M$40)</f>
        <v/>
      </c>
      <c r="Q2651" s="5" t="str">
        <f>IF(L2651="","",IF([1]Inputs_Outputs!$B$5="Herbaceous",(LCA!$E$29*'[1]LOCH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1" s="5" t="str">
        <f>IF(M2651="","",$E$2*1000*'[1]LOCH Calc COE Calc'!$C$44)</f>
        <v/>
      </c>
      <c r="S2651" s="6" t="str">
        <f>IF(N2651="","",SUM(O2651:R2651)/('[1]LOCH Calc COE Calc'!$C$28))</f>
        <v/>
      </c>
      <c r="T2651" t="str">
        <f>IF(L2651="","",O2651/'[1]LOCH Calc COE Calc'!$C$28)</f>
        <v/>
      </c>
      <c r="U2651" t="str">
        <f>IF(L2651="","",P2651/'[1]LOCH Calc COE Calc'!$C$28)</f>
        <v/>
      </c>
      <c r="V2651" t="str">
        <f>IF(L2651="","",Q2651/'[1]LOCH Calc COE Calc'!$C$28)</f>
        <v/>
      </c>
      <c r="W2651" t="str">
        <f>IF(L2651="","",R2651/'[1]LOCH Calc COE Calc'!$C$28)</f>
        <v/>
      </c>
    </row>
    <row r="2652" spans="12:23" x14ac:dyDescent="0.25">
      <c r="L2652" s="4" t="str">
        <f>IF('[1]All Data '!BE2657="","",'[1]All Data '!BE2657)</f>
        <v/>
      </c>
      <c r="M2652" t="str">
        <f>IF('[1]All Data '!BF2657="","",'[1]All Data '!BF2657)</f>
        <v/>
      </c>
      <c r="N2652" s="5" t="str">
        <f>IF('[1]All Data '!BB2657="","",'[1]All Data '!BC2657/'[1]All Data '!BH2657)</f>
        <v/>
      </c>
      <c r="O2652" s="5" t="str">
        <f t="shared" si="43"/>
        <v/>
      </c>
      <c r="P2652" s="5" t="str">
        <f>IF(M2652="","",$C$2*(1-L2652)*907.2/0.621371*N2652*[1]Transportation!$M$40)</f>
        <v/>
      </c>
      <c r="Q2652" s="5" t="str">
        <f>IF(L2652="","",IF([1]Inputs_Outputs!$B$5="Herbaceous",(LCA!$E$29*'[1]LOCH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2" s="5" t="str">
        <f>IF(M2652="","",$E$2*1000*'[1]LOCH Calc COE Calc'!$C$44)</f>
        <v/>
      </c>
      <c r="S2652" s="6" t="str">
        <f>IF(N2652="","",SUM(O2652:R2652)/('[1]LOCH Calc COE Calc'!$C$28))</f>
        <v/>
      </c>
      <c r="T2652" t="str">
        <f>IF(L2652="","",O2652/'[1]LOCH Calc COE Calc'!$C$28)</f>
        <v/>
      </c>
      <c r="U2652" t="str">
        <f>IF(L2652="","",P2652/'[1]LOCH Calc COE Calc'!$C$28)</f>
        <v/>
      </c>
      <c r="V2652" t="str">
        <f>IF(L2652="","",Q2652/'[1]LOCH Calc COE Calc'!$C$28)</f>
        <v/>
      </c>
      <c r="W2652" t="str">
        <f>IF(L2652="","",R2652/'[1]LOCH Calc COE Calc'!$C$28)</f>
        <v/>
      </c>
    </row>
    <row r="2653" spans="12:23" x14ac:dyDescent="0.25">
      <c r="L2653" s="4" t="str">
        <f>IF('[1]All Data '!BE2658="","",'[1]All Data '!BE2658)</f>
        <v/>
      </c>
      <c r="M2653" t="str">
        <f>IF('[1]All Data '!BF2658="","",'[1]All Data '!BF2658)</f>
        <v/>
      </c>
      <c r="N2653" s="5" t="str">
        <f>IF('[1]All Data '!BB2658="","",'[1]All Data '!BC2658/'[1]All Data '!BH2658)</f>
        <v/>
      </c>
      <c r="O2653" s="5" t="str">
        <f t="shared" si="43"/>
        <v/>
      </c>
      <c r="P2653" s="5" t="str">
        <f>IF(M2653="","",$C$2*(1-L2653)*907.2/0.621371*N2653*[1]Transportation!$M$40)</f>
        <v/>
      </c>
      <c r="Q2653" s="5" t="str">
        <f>IF(L2653="","",IF([1]Inputs_Outputs!$B$5="Herbaceous",(LCA!$E$29*'[1]LOCH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3" s="5" t="str">
        <f>IF(M2653="","",$E$2*1000*'[1]LOCH Calc COE Calc'!$C$44)</f>
        <v/>
      </c>
      <c r="S2653" s="6" t="str">
        <f>IF(N2653="","",SUM(O2653:R2653)/('[1]LOCH Calc COE Calc'!$C$28))</f>
        <v/>
      </c>
      <c r="T2653" t="str">
        <f>IF(L2653="","",O2653/'[1]LOCH Calc COE Calc'!$C$28)</f>
        <v/>
      </c>
      <c r="U2653" t="str">
        <f>IF(L2653="","",P2653/'[1]LOCH Calc COE Calc'!$C$28)</f>
        <v/>
      </c>
      <c r="V2653" t="str">
        <f>IF(L2653="","",Q2653/'[1]LOCH Calc COE Calc'!$C$28)</f>
        <v/>
      </c>
      <c r="W2653" t="str">
        <f>IF(L2653="","",R2653/'[1]LOCH Calc COE Calc'!$C$28)</f>
        <v/>
      </c>
    </row>
    <row r="2654" spans="12:23" x14ac:dyDescent="0.25">
      <c r="L2654" s="4" t="str">
        <f>IF('[1]All Data '!BE2659="","",'[1]All Data '!BE2659)</f>
        <v/>
      </c>
      <c r="M2654" t="str">
        <f>IF('[1]All Data '!BF2659="","",'[1]All Data '!BF2659)</f>
        <v/>
      </c>
      <c r="N2654" s="5" t="str">
        <f>IF('[1]All Data '!BB2659="","",'[1]All Data '!BC2659/'[1]All Data '!BH2659)</f>
        <v/>
      </c>
      <c r="O2654" s="5" t="str">
        <f t="shared" si="43"/>
        <v/>
      </c>
      <c r="P2654" s="5" t="str">
        <f>IF(M2654="","",$C$2*(1-L2654)*907.2/0.621371*N2654*[1]Transportation!$M$40)</f>
        <v/>
      </c>
      <c r="Q2654" s="5" t="str">
        <f>IF(L2654="","",IF([1]Inputs_Outputs!$B$5="Herbaceous",(LCA!$E$29*'[1]LOCH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4" s="5" t="str">
        <f>IF(M2654="","",$E$2*1000*'[1]LOCH Calc COE Calc'!$C$44)</f>
        <v/>
      </c>
      <c r="S2654" s="6" t="str">
        <f>IF(N2654="","",SUM(O2654:R2654)/('[1]LOCH Calc COE Calc'!$C$28))</f>
        <v/>
      </c>
      <c r="T2654" t="str">
        <f>IF(L2654="","",O2654/'[1]LOCH Calc COE Calc'!$C$28)</f>
        <v/>
      </c>
      <c r="U2654" t="str">
        <f>IF(L2654="","",P2654/'[1]LOCH Calc COE Calc'!$C$28)</f>
        <v/>
      </c>
      <c r="V2654" t="str">
        <f>IF(L2654="","",Q2654/'[1]LOCH Calc COE Calc'!$C$28)</f>
        <v/>
      </c>
      <c r="W2654" t="str">
        <f>IF(L2654="","",R2654/'[1]LOCH Calc COE Calc'!$C$28)</f>
        <v/>
      </c>
    </row>
    <row r="2655" spans="12:23" x14ac:dyDescent="0.25">
      <c r="L2655" s="4" t="str">
        <f>IF('[1]All Data '!BE2660="","",'[1]All Data '!BE2660)</f>
        <v/>
      </c>
      <c r="M2655" t="str">
        <f>IF('[1]All Data '!BF2660="","",'[1]All Data '!BF2660)</f>
        <v/>
      </c>
      <c r="N2655" s="5" t="str">
        <f>IF('[1]All Data '!BB2660="","",'[1]All Data '!BC2660/'[1]All Data '!BH2660)</f>
        <v/>
      </c>
      <c r="O2655" s="5" t="str">
        <f t="shared" si="43"/>
        <v/>
      </c>
      <c r="P2655" s="5" t="str">
        <f>IF(M2655="","",$C$2*(1-L2655)*907.2/0.621371*N2655*[1]Transportation!$M$40)</f>
        <v/>
      </c>
      <c r="Q2655" s="5" t="str">
        <f>IF(L2655="","",IF([1]Inputs_Outputs!$B$5="Herbaceous",(LCA!$E$29*'[1]LOCH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5" s="5" t="str">
        <f>IF(M2655="","",$E$2*1000*'[1]LOCH Calc COE Calc'!$C$44)</f>
        <v/>
      </c>
      <c r="S2655" s="6" t="str">
        <f>IF(N2655="","",SUM(O2655:R2655)/('[1]LOCH Calc COE Calc'!$C$28))</f>
        <v/>
      </c>
      <c r="T2655" t="str">
        <f>IF(L2655="","",O2655/'[1]LOCH Calc COE Calc'!$C$28)</f>
        <v/>
      </c>
      <c r="U2655" t="str">
        <f>IF(L2655="","",P2655/'[1]LOCH Calc COE Calc'!$C$28)</f>
        <v/>
      </c>
      <c r="V2655" t="str">
        <f>IF(L2655="","",Q2655/'[1]LOCH Calc COE Calc'!$C$28)</f>
        <v/>
      </c>
      <c r="W2655" t="str">
        <f>IF(L2655="","",R2655/'[1]LOCH Calc COE Calc'!$C$28)</f>
        <v/>
      </c>
    </row>
    <row r="2656" spans="12:23" x14ac:dyDescent="0.25">
      <c r="L2656" s="4" t="str">
        <f>IF('[1]All Data '!BE2661="","",'[1]All Data '!BE2661)</f>
        <v/>
      </c>
      <c r="M2656" t="str">
        <f>IF('[1]All Data '!BF2661="","",'[1]All Data '!BF2661)</f>
        <v/>
      </c>
      <c r="N2656" s="5" t="str">
        <f>IF('[1]All Data '!BB2661="","",'[1]All Data '!BC2661/'[1]All Data '!BH2661)</f>
        <v/>
      </c>
      <c r="O2656" s="5" t="str">
        <f t="shared" si="43"/>
        <v/>
      </c>
      <c r="P2656" s="5" t="str">
        <f>IF(M2656="","",$C$2*(1-L2656)*907.2/0.621371*N2656*[1]Transportation!$M$40)</f>
        <v/>
      </c>
      <c r="Q2656" s="5" t="str">
        <f>IF(L2656="","",IF([1]Inputs_Outputs!$B$5="Herbaceous",(LCA!$E$29*'[1]LOCH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6" s="5" t="str">
        <f>IF(M2656="","",$E$2*1000*'[1]LOCH Calc COE Calc'!$C$44)</f>
        <v/>
      </c>
      <c r="S2656" s="6" t="str">
        <f>IF(N2656="","",SUM(O2656:R2656)/('[1]LOCH Calc COE Calc'!$C$28))</f>
        <v/>
      </c>
      <c r="T2656" t="str">
        <f>IF(L2656="","",O2656/'[1]LOCH Calc COE Calc'!$C$28)</f>
        <v/>
      </c>
      <c r="U2656" t="str">
        <f>IF(L2656="","",P2656/'[1]LOCH Calc COE Calc'!$C$28)</f>
        <v/>
      </c>
      <c r="V2656" t="str">
        <f>IF(L2656="","",Q2656/'[1]LOCH Calc COE Calc'!$C$28)</f>
        <v/>
      </c>
      <c r="W2656" t="str">
        <f>IF(L2656="","",R2656/'[1]LOCH Calc COE Calc'!$C$28)</f>
        <v/>
      </c>
    </row>
    <row r="2657" spans="12:23" x14ac:dyDescent="0.25">
      <c r="L2657" s="4" t="str">
        <f>IF('[1]All Data '!BE2662="","",'[1]All Data '!BE2662)</f>
        <v/>
      </c>
      <c r="M2657" t="str">
        <f>IF('[1]All Data '!BF2662="","",'[1]All Data '!BF2662)</f>
        <v/>
      </c>
      <c r="N2657" s="5" t="str">
        <f>IF('[1]All Data '!BB2662="","",'[1]All Data '!BC2662/'[1]All Data '!BH2662)</f>
        <v/>
      </c>
      <c r="O2657" s="5" t="str">
        <f t="shared" si="43"/>
        <v/>
      </c>
      <c r="P2657" s="5" t="str">
        <f>IF(M2657="","",$C$2*(1-L2657)*907.2/0.621371*N2657*[1]Transportation!$M$40)</f>
        <v/>
      </c>
      <c r="Q2657" s="5" t="str">
        <f>IF(L2657="","",IF([1]Inputs_Outputs!$B$5="Herbaceous",(LCA!$E$29*'[1]LOCH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7" s="5" t="str">
        <f>IF(M2657="","",$E$2*1000*'[1]LOCH Calc COE Calc'!$C$44)</f>
        <v/>
      </c>
      <c r="S2657" s="6" t="str">
        <f>IF(N2657="","",SUM(O2657:R2657)/('[1]LOCH Calc COE Calc'!$C$28))</f>
        <v/>
      </c>
      <c r="T2657" t="str">
        <f>IF(L2657="","",O2657/'[1]LOCH Calc COE Calc'!$C$28)</f>
        <v/>
      </c>
      <c r="U2657" t="str">
        <f>IF(L2657="","",P2657/'[1]LOCH Calc COE Calc'!$C$28)</f>
        <v/>
      </c>
      <c r="V2657" t="str">
        <f>IF(L2657="","",Q2657/'[1]LOCH Calc COE Calc'!$C$28)</f>
        <v/>
      </c>
      <c r="W2657" t="str">
        <f>IF(L2657="","",R2657/'[1]LOCH Calc COE Calc'!$C$28)</f>
        <v/>
      </c>
    </row>
    <row r="2658" spans="12:23" x14ac:dyDescent="0.25">
      <c r="L2658" s="4" t="str">
        <f>IF('[1]All Data '!BE2663="","",'[1]All Data '!BE2663)</f>
        <v/>
      </c>
      <c r="M2658" t="str">
        <f>IF('[1]All Data '!BF2663="","",'[1]All Data '!BF2663)</f>
        <v/>
      </c>
      <c r="N2658" s="5" t="str">
        <f>IF('[1]All Data '!BB2663="","",'[1]All Data '!BC2663/'[1]All Data '!BH2663)</f>
        <v/>
      </c>
      <c r="O2658" s="5" t="str">
        <f>IF(N2658="","",M2658*N2658)</f>
        <v/>
      </c>
      <c r="P2658" s="5" t="str">
        <f>IF(M2658="","",$C$2*(1-L2658)*907.2/0.621371*N2658*[1]Transportation!$M$40)</f>
        <v/>
      </c>
      <c r="Q2658" s="5" t="str">
        <f>IF(L2658="","",IF([1]Inputs_Outputs!$B$5="Herbaceous",(LCA!$E$29*'[1]LOCH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8" s="5" t="str">
        <f>IF(M2658="","",$E$2*1000*'[1]LOCH Calc COE Calc'!$C$44)</f>
        <v/>
      </c>
      <c r="S2658" s="6" t="str">
        <f>IF(N2658="","",SUM(O2658:R2658)/('[1]LOCH Calc COE Calc'!$C$28))</f>
        <v/>
      </c>
      <c r="T2658" t="str">
        <f>IF(L2658="","",O2658/'[1]LOCH Calc COE Calc'!$C$28)</f>
        <v/>
      </c>
      <c r="U2658" t="str">
        <f>IF(L2658="","",P2658/'[1]LOCH Calc COE Calc'!$C$28)</f>
        <v/>
      </c>
      <c r="V2658" t="str">
        <f>IF(L2658="","",Q2658/'[1]LOCH Calc COE Calc'!$C$28)</f>
        <v/>
      </c>
      <c r="W2658" t="str">
        <f>IF(L2658="","",R2658/'[1]LOCH Calc COE Calc'!$C$28)</f>
        <v/>
      </c>
    </row>
    <row r="2659" spans="12:23" x14ac:dyDescent="0.25">
      <c r="L2659" s="4" t="str">
        <f>IF('[1]All Data '!BE2664="","",'[1]All Data '!BE2664)</f>
        <v/>
      </c>
      <c r="M2659" t="str">
        <f>IF('[1]All Data '!BF2664="","",'[1]All Data '!BF2664)</f>
        <v/>
      </c>
      <c r="N2659" s="5" t="str">
        <f>IF('[1]All Data '!BB2664="","",'[1]All Data '!BC2664/'[1]All Data '!BH2664)</f>
        <v/>
      </c>
      <c r="O2659" s="5" t="str">
        <f t="shared" ref="O2659:O2722" si="44">IF(N2659="","",M2659*N2659)</f>
        <v/>
      </c>
      <c r="P2659" s="5" t="str">
        <f>IF(M2659="","",$C$2*(1-L2659)*907.2/0.621371*N2659*[1]Transportation!$M$40)</f>
        <v/>
      </c>
      <c r="Q2659" s="5" t="str">
        <f>IF(L2659="","",IF([1]Inputs_Outputs!$B$5="Herbaceous",(LCA!$E$29*'[1]LOCH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59" s="5" t="str">
        <f>IF(M2659="","",$E$2*1000*'[1]LOCH Calc COE Calc'!$C$44)</f>
        <v/>
      </c>
      <c r="S2659" s="6" t="str">
        <f>IF(N2659="","",SUM(O2659:R2659)/('[1]LOCH Calc COE Calc'!$C$28))</f>
        <v/>
      </c>
      <c r="T2659" t="str">
        <f>IF(L2659="","",O2659/'[1]LOCH Calc COE Calc'!$C$28)</f>
        <v/>
      </c>
      <c r="U2659" t="str">
        <f>IF(L2659="","",P2659/'[1]LOCH Calc COE Calc'!$C$28)</f>
        <v/>
      </c>
      <c r="V2659" t="str">
        <f>IF(L2659="","",Q2659/'[1]LOCH Calc COE Calc'!$C$28)</f>
        <v/>
      </c>
      <c r="W2659" t="str">
        <f>IF(L2659="","",R2659/'[1]LOCH Calc COE Calc'!$C$28)</f>
        <v/>
      </c>
    </row>
    <row r="2660" spans="12:23" x14ac:dyDescent="0.25">
      <c r="L2660" s="4" t="str">
        <f>IF('[1]All Data '!BE2665="","",'[1]All Data '!BE2665)</f>
        <v/>
      </c>
      <c r="M2660" t="str">
        <f>IF('[1]All Data '!BF2665="","",'[1]All Data '!BF2665)</f>
        <v/>
      </c>
      <c r="N2660" s="5" t="str">
        <f>IF('[1]All Data '!BB2665="","",'[1]All Data '!BC2665/'[1]All Data '!BH2665)</f>
        <v/>
      </c>
      <c r="O2660" s="5" t="str">
        <f t="shared" si="44"/>
        <v/>
      </c>
      <c r="P2660" s="5" t="str">
        <f>IF(M2660="","",$C$2*(1-L2660)*907.2/0.621371*N2660*[1]Transportation!$M$40)</f>
        <v/>
      </c>
      <c r="Q2660" s="5" t="str">
        <f>IF(L2660="","",IF([1]Inputs_Outputs!$B$5="Herbaceous",(LCA!$E$29*'[1]LOCH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0" s="5" t="str">
        <f>IF(M2660="","",$E$2*1000*'[1]LOCH Calc COE Calc'!$C$44)</f>
        <v/>
      </c>
      <c r="S2660" s="6" t="str">
        <f>IF(N2660="","",SUM(O2660:R2660)/('[1]LOCH Calc COE Calc'!$C$28))</f>
        <v/>
      </c>
      <c r="T2660" t="str">
        <f>IF(L2660="","",O2660/'[1]LOCH Calc COE Calc'!$C$28)</f>
        <v/>
      </c>
      <c r="U2660" t="str">
        <f>IF(L2660="","",P2660/'[1]LOCH Calc COE Calc'!$C$28)</f>
        <v/>
      </c>
      <c r="V2660" t="str">
        <f>IF(L2660="","",Q2660/'[1]LOCH Calc COE Calc'!$C$28)</f>
        <v/>
      </c>
      <c r="W2660" t="str">
        <f>IF(L2660="","",R2660/'[1]LOCH Calc COE Calc'!$C$28)</f>
        <v/>
      </c>
    </row>
    <row r="2661" spans="12:23" x14ac:dyDescent="0.25">
      <c r="L2661" s="4" t="str">
        <f>IF('[1]All Data '!BE2666="","",'[1]All Data '!BE2666)</f>
        <v/>
      </c>
      <c r="M2661" t="str">
        <f>IF('[1]All Data '!BF2666="","",'[1]All Data '!BF2666)</f>
        <v/>
      </c>
      <c r="N2661" s="5" t="str">
        <f>IF('[1]All Data '!BB2666="","",'[1]All Data '!BC2666/'[1]All Data '!BH2666)</f>
        <v/>
      </c>
      <c r="O2661" s="5" t="str">
        <f t="shared" si="44"/>
        <v/>
      </c>
      <c r="P2661" s="5" t="str">
        <f>IF(M2661="","",$C$2*(1-L2661)*907.2/0.621371*N2661*[1]Transportation!$M$40)</f>
        <v/>
      </c>
      <c r="Q2661" s="5" t="str">
        <f>IF(L2661="","",IF([1]Inputs_Outputs!$B$5="Herbaceous",(LCA!$E$29*'[1]LOCH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1" s="5" t="str">
        <f>IF(M2661="","",$E$2*1000*'[1]LOCH Calc COE Calc'!$C$44)</f>
        <v/>
      </c>
      <c r="S2661" s="6" t="str">
        <f>IF(N2661="","",SUM(O2661:R2661)/('[1]LOCH Calc COE Calc'!$C$28))</f>
        <v/>
      </c>
      <c r="T2661" t="str">
        <f>IF(L2661="","",O2661/'[1]LOCH Calc COE Calc'!$C$28)</f>
        <v/>
      </c>
      <c r="U2661" t="str">
        <f>IF(L2661="","",P2661/'[1]LOCH Calc COE Calc'!$C$28)</f>
        <v/>
      </c>
      <c r="V2661" t="str">
        <f>IF(L2661="","",Q2661/'[1]LOCH Calc COE Calc'!$C$28)</f>
        <v/>
      </c>
      <c r="W2661" t="str">
        <f>IF(L2661="","",R2661/'[1]LOCH Calc COE Calc'!$C$28)</f>
        <v/>
      </c>
    </row>
    <row r="2662" spans="12:23" x14ac:dyDescent="0.25">
      <c r="L2662" s="4" t="str">
        <f>IF('[1]All Data '!BE2667="","",'[1]All Data '!BE2667)</f>
        <v/>
      </c>
      <c r="M2662" t="str">
        <f>IF('[1]All Data '!BF2667="","",'[1]All Data '!BF2667)</f>
        <v/>
      </c>
      <c r="N2662" s="5" t="str">
        <f>IF('[1]All Data '!BB2667="","",'[1]All Data '!BC2667/'[1]All Data '!BH2667)</f>
        <v/>
      </c>
      <c r="O2662" s="5" t="str">
        <f t="shared" si="44"/>
        <v/>
      </c>
      <c r="P2662" s="5" t="str">
        <f>IF(M2662="","",$C$2*(1-L2662)*907.2/0.621371*N2662*[1]Transportation!$M$40)</f>
        <v/>
      </c>
      <c r="Q2662" s="5" t="str">
        <f>IF(L2662="","",IF([1]Inputs_Outputs!$B$5="Herbaceous",(LCA!$E$29*'[1]LOCH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2" s="5" t="str">
        <f>IF(M2662="","",$E$2*1000*'[1]LOCH Calc COE Calc'!$C$44)</f>
        <v/>
      </c>
      <c r="S2662" s="6" t="str">
        <f>IF(N2662="","",SUM(O2662:R2662)/('[1]LOCH Calc COE Calc'!$C$28))</f>
        <v/>
      </c>
      <c r="T2662" t="str">
        <f>IF(L2662="","",O2662/'[1]LOCH Calc COE Calc'!$C$28)</f>
        <v/>
      </c>
      <c r="U2662" t="str">
        <f>IF(L2662="","",P2662/'[1]LOCH Calc COE Calc'!$C$28)</f>
        <v/>
      </c>
      <c r="V2662" t="str">
        <f>IF(L2662="","",Q2662/'[1]LOCH Calc COE Calc'!$C$28)</f>
        <v/>
      </c>
      <c r="W2662" t="str">
        <f>IF(L2662="","",R2662/'[1]LOCH Calc COE Calc'!$C$28)</f>
        <v/>
      </c>
    </row>
    <row r="2663" spans="12:23" x14ac:dyDescent="0.25">
      <c r="L2663" s="4" t="str">
        <f>IF('[1]All Data '!BE2668="","",'[1]All Data '!BE2668)</f>
        <v/>
      </c>
      <c r="M2663" t="str">
        <f>IF('[1]All Data '!BF2668="","",'[1]All Data '!BF2668)</f>
        <v/>
      </c>
      <c r="N2663" s="5" t="str">
        <f>IF('[1]All Data '!BB2668="","",'[1]All Data '!BC2668/'[1]All Data '!BH2668)</f>
        <v/>
      </c>
      <c r="O2663" s="5" t="str">
        <f t="shared" si="44"/>
        <v/>
      </c>
      <c r="P2663" s="5" t="str">
        <f>IF(M2663="","",$C$2*(1-L2663)*907.2/0.621371*N2663*[1]Transportation!$M$40)</f>
        <v/>
      </c>
      <c r="Q2663" s="5" t="str">
        <f>IF(L2663="","",IF([1]Inputs_Outputs!$B$5="Herbaceous",(LCA!$E$29*'[1]LOCH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3" s="5" t="str">
        <f>IF(M2663="","",$E$2*1000*'[1]LOCH Calc COE Calc'!$C$44)</f>
        <v/>
      </c>
      <c r="S2663" s="6" t="str">
        <f>IF(N2663="","",SUM(O2663:R2663)/('[1]LOCH Calc COE Calc'!$C$28))</f>
        <v/>
      </c>
      <c r="T2663" t="str">
        <f>IF(L2663="","",O2663/'[1]LOCH Calc COE Calc'!$C$28)</f>
        <v/>
      </c>
      <c r="U2663" t="str">
        <f>IF(L2663="","",P2663/'[1]LOCH Calc COE Calc'!$C$28)</f>
        <v/>
      </c>
      <c r="V2663" t="str">
        <f>IF(L2663="","",Q2663/'[1]LOCH Calc COE Calc'!$C$28)</f>
        <v/>
      </c>
      <c r="W2663" t="str">
        <f>IF(L2663="","",R2663/'[1]LOCH Calc COE Calc'!$C$28)</f>
        <v/>
      </c>
    </row>
    <row r="2664" spans="12:23" x14ac:dyDescent="0.25">
      <c r="L2664" s="4" t="str">
        <f>IF('[1]All Data '!BE2669="","",'[1]All Data '!BE2669)</f>
        <v/>
      </c>
      <c r="M2664" t="str">
        <f>IF('[1]All Data '!BF2669="","",'[1]All Data '!BF2669)</f>
        <v/>
      </c>
      <c r="N2664" s="5" t="str">
        <f>IF('[1]All Data '!BB2669="","",'[1]All Data '!BC2669/'[1]All Data '!BH2669)</f>
        <v/>
      </c>
      <c r="O2664" s="5" t="str">
        <f t="shared" si="44"/>
        <v/>
      </c>
      <c r="P2664" s="5" t="str">
        <f>IF(M2664="","",$C$2*(1-L2664)*907.2/0.621371*N2664*[1]Transportation!$M$40)</f>
        <v/>
      </c>
      <c r="Q2664" s="5" t="str">
        <f>IF(L2664="","",IF([1]Inputs_Outputs!$B$5="Herbaceous",(LCA!$E$29*'[1]LOCH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4" s="5" t="str">
        <f>IF(M2664="","",$E$2*1000*'[1]LOCH Calc COE Calc'!$C$44)</f>
        <v/>
      </c>
      <c r="S2664" s="6" t="str">
        <f>IF(N2664="","",SUM(O2664:R2664)/('[1]LOCH Calc COE Calc'!$C$28))</f>
        <v/>
      </c>
      <c r="T2664" t="str">
        <f>IF(L2664="","",O2664/'[1]LOCH Calc COE Calc'!$C$28)</f>
        <v/>
      </c>
      <c r="U2664" t="str">
        <f>IF(L2664="","",P2664/'[1]LOCH Calc COE Calc'!$C$28)</f>
        <v/>
      </c>
      <c r="V2664" t="str">
        <f>IF(L2664="","",Q2664/'[1]LOCH Calc COE Calc'!$C$28)</f>
        <v/>
      </c>
      <c r="W2664" t="str">
        <f>IF(L2664="","",R2664/'[1]LOCH Calc COE Calc'!$C$28)</f>
        <v/>
      </c>
    </row>
    <row r="2665" spans="12:23" x14ac:dyDescent="0.25">
      <c r="L2665" s="4" t="str">
        <f>IF('[1]All Data '!BE2670="","",'[1]All Data '!BE2670)</f>
        <v/>
      </c>
      <c r="M2665" t="str">
        <f>IF('[1]All Data '!BF2670="","",'[1]All Data '!BF2670)</f>
        <v/>
      </c>
      <c r="N2665" s="5" t="str">
        <f>IF('[1]All Data '!BB2670="","",'[1]All Data '!BC2670/'[1]All Data '!BH2670)</f>
        <v/>
      </c>
      <c r="O2665" s="5" t="str">
        <f t="shared" si="44"/>
        <v/>
      </c>
      <c r="P2665" s="5" t="str">
        <f>IF(M2665="","",$C$2*(1-L2665)*907.2/0.621371*N2665*[1]Transportation!$M$40)</f>
        <v/>
      </c>
      <c r="Q2665" s="5" t="str">
        <f>IF(L2665="","",IF([1]Inputs_Outputs!$B$5="Herbaceous",(LCA!$E$29*'[1]LOCH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5" s="5" t="str">
        <f>IF(M2665="","",$E$2*1000*'[1]LOCH Calc COE Calc'!$C$44)</f>
        <v/>
      </c>
      <c r="S2665" s="6" t="str">
        <f>IF(N2665="","",SUM(O2665:R2665)/('[1]LOCH Calc COE Calc'!$C$28))</f>
        <v/>
      </c>
      <c r="T2665" t="str">
        <f>IF(L2665="","",O2665/'[1]LOCH Calc COE Calc'!$C$28)</f>
        <v/>
      </c>
      <c r="U2665" t="str">
        <f>IF(L2665="","",P2665/'[1]LOCH Calc COE Calc'!$C$28)</f>
        <v/>
      </c>
      <c r="V2665" t="str">
        <f>IF(L2665="","",Q2665/'[1]LOCH Calc COE Calc'!$C$28)</f>
        <v/>
      </c>
      <c r="W2665" t="str">
        <f>IF(L2665="","",R2665/'[1]LOCH Calc COE Calc'!$C$28)</f>
        <v/>
      </c>
    </row>
    <row r="2666" spans="12:23" x14ac:dyDescent="0.25">
      <c r="L2666" s="4" t="str">
        <f>IF('[1]All Data '!BE2671="","",'[1]All Data '!BE2671)</f>
        <v/>
      </c>
      <c r="M2666" t="str">
        <f>IF('[1]All Data '!BF2671="","",'[1]All Data '!BF2671)</f>
        <v/>
      </c>
      <c r="N2666" s="5" t="str">
        <f>IF('[1]All Data '!BB2671="","",'[1]All Data '!BC2671/'[1]All Data '!BH2671)</f>
        <v/>
      </c>
      <c r="O2666" s="5" t="str">
        <f t="shared" si="44"/>
        <v/>
      </c>
      <c r="P2666" s="5" t="str">
        <f>IF(M2666="","",$C$2*(1-L2666)*907.2/0.621371*N2666*[1]Transportation!$M$40)</f>
        <v/>
      </c>
      <c r="Q2666" s="5" t="str">
        <f>IF(L2666="","",IF([1]Inputs_Outputs!$B$5="Herbaceous",(LCA!$E$29*'[1]LOCH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6" s="5" t="str">
        <f>IF(M2666="","",$E$2*1000*'[1]LOCH Calc COE Calc'!$C$44)</f>
        <v/>
      </c>
      <c r="S2666" s="6" t="str">
        <f>IF(N2666="","",SUM(O2666:R2666)/('[1]LOCH Calc COE Calc'!$C$28))</f>
        <v/>
      </c>
      <c r="T2666" t="str">
        <f>IF(L2666="","",O2666/'[1]LOCH Calc COE Calc'!$C$28)</f>
        <v/>
      </c>
      <c r="U2666" t="str">
        <f>IF(L2666="","",P2666/'[1]LOCH Calc COE Calc'!$C$28)</f>
        <v/>
      </c>
      <c r="V2666" t="str">
        <f>IF(L2666="","",Q2666/'[1]LOCH Calc COE Calc'!$C$28)</f>
        <v/>
      </c>
      <c r="W2666" t="str">
        <f>IF(L2666="","",R2666/'[1]LOCH Calc COE Calc'!$C$28)</f>
        <v/>
      </c>
    </row>
    <row r="2667" spans="12:23" x14ac:dyDescent="0.25">
      <c r="L2667" s="4" t="str">
        <f>IF('[1]All Data '!BE2672="","",'[1]All Data '!BE2672)</f>
        <v/>
      </c>
      <c r="M2667" t="str">
        <f>IF('[1]All Data '!BF2672="","",'[1]All Data '!BF2672)</f>
        <v/>
      </c>
      <c r="N2667" s="5" t="str">
        <f>IF('[1]All Data '!BB2672="","",'[1]All Data '!BC2672/'[1]All Data '!BH2672)</f>
        <v/>
      </c>
      <c r="O2667" s="5" t="str">
        <f t="shared" si="44"/>
        <v/>
      </c>
      <c r="P2667" s="5" t="str">
        <f>IF(M2667="","",$C$2*(1-L2667)*907.2/0.621371*N2667*[1]Transportation!$M$40)</f>
        <v/>
      </c>
      <c r="Q2667" s="5" t="str">
        <f>IF(L2667="","",IF([1]Inputs_Outputs!$B$5="Herbaceous",(LCA!$E$29*'[1]LOCH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7" s="5" t="str">
        <f>IF(M2667="","",$E$2*1000*'[1]LOCH Calc COE Calc'!$C$44)</f>
        <v/>
      </c>
      <c r="S2667" s="6" t="str">
        <f>IF(N2667="","",SUM(O2667:R2667)/('[1]LOCH Calc COE Calc'!$C$28))</f>
        <v/>
      </c>
      <c r="T2667" t="str">
        <f>IF(L2667="","",O2667/'[1]LOCH Calc COE Calc'!$C$28)</f>
        <v/>
      </c>
      <c r="U2667" t="str">
        <f>IF(L2667="","",P2667/'[1]LOCH Calc COE Calc'!$C$28)</f>
        <v/>
      </c>
      <c r="V2667" t="str">
        <f>IF(L2667="","",Q2667/'[1]LOCH Calc COE Calc'!$C$28)</f>
        <v/>
      </c>
      <c r="W2667" t="str">
        <f>IF(L2667="","",R2667/'[1]LOCH Calc COE Calc'!$C$28)</f>
        <v/>
      </c>
    </row>
    <row r="2668" spans="12:23" x14ac:dyDescent="0.25">
      <c r="L2668" s="4" t="str">
        <f>IF('[1]All Data '!BE2673="","",'[1]All Data '!BE2673)</f>
        <v/>
      </c>
      <c r="M2668" t="str">
        <f>IF('[1]All Data '!BF2673="","",'[1]All Data '!BF2673)</f>
        <v/>
      </c>
      <c r="N2668" s="5" t="str">
        <f>IF('[1]All Data '!BB2673="","",'[1]All Data '!BC2673/'[1]All Data '!BH2673)</f>
        <v/>
      </c>
      <c r="O2668" s="5" t="str">
        <f t="shared" si="44"/>
        <v/>
      </c>
      <c r="P2668" s="5" t="str">
        <f>IF(M2668="","",$C$2*(1-L2668)*907.2/0.621371*N2668*[1]Transportation!$M$40)</f>
        <v/>
      </c>
      <c r="Q2668" s="5" t="str">
        <f>IF(L2668="","",IF([1]Inputs_Outputs!$B$5="Herbaceous",(LCA!$E$29*'[1]LOCH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8" s="5" t="str">
        <f>IF(M2668="","",$E$2*1000*'[1]LOCH Calc COE Calc'!$C$44)</f>
        <v/>
      </c>
      <c r="S2668" s="6" t="str">
        <f>IF(N2668="","",SUM(O2668:R2668)/('[1]LOCH Calc COE Calc'!$C$28))</f>
        <v/>
      </c>
      <c r="T2668" t="str">
        <f>IF(L2668="","",O2668/'[1]LOCH Calc COE Calc'!$C$28)</f>
        <v/>
      </c>
      <c r="U2668" t="str">
        <f>IF(L2668="","",P2668/'[1]LOCH Calc COE Calc'!$C$28)</f>
        <v/>
      </c>
      <c r="V2668" t="str">
        <f>IF(L2668="","",Q2668/'[1]LOCH Calc COE Calc'!$C$28)</f>
        <v/>
      </c>
      <c r="W2668" t="str">
        <f>IF(L2668="","",R2668/'[1]LOCH Calc COE Calc'!$C$28)</f>
        <v/>
      </c>
    </row>
    <row r="2669" spans="12:23" x14ac:dyDescent="0.25">
      <c r="L2669" s="4" t="str">
        <f>IF('[1]All Data '!BE2674="","",'[1]All Data '!BE2674)</f>
        <v/>
      </c>
      <c r="M2669" t="str">
        <f>IF('[1]All Data '!BF2674="","",'[1]All Data '!BF2674)</f>
        <v/>
      </c>
      <c r="N2669" s="5" t="str">
        <f>IF('[1]All Data '!BB2674="","",'[1]All Data '!BC2674/'[1]All Data '!BH2674)</f>
        <v/>
      </c>
      <c r="O2669" s="5" t="str">
        <f t="shared" si="44"/>
        <v/>
      </c>
      <c r="P2669" s="5" t="str">
        <f>IF(M2669="","",$C$2*(1-L2669)*907.2/0.621371*N2669*[1]Transportation!$M$40)</f>
        <v/>
      </c>
      <c r="Q2669" s="5" t="str">
        <f>IF(L2669="","",IF([1]Inputs_Outputs!$B$5="Herbaceous",(LCA!$E$29*'[1]LOCH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69" s="5" t="str">
        <f>IF(M2669="","",$E$2*1000*'[1]LOCH Calc COE Calc'!$C$44)</f>
        <v/>
      </c>
      <c r="S2669" s="6" t="str">
        <f>IF(N2669="","",SUM(O2669:R2669)/('[1]LOCH Calc COE Calc'!$C$28))</f>
        <v/>
      </c>
      <c r="T2669" t="str">
        <f>IF(L2669="","",O2669/'[1]LOCH Calc COE Calc'!$C$28)</f>
        <v/>
      </c>
      <c r="U2669" t="str">
        <f>IF(L2669="","",P2669/'[1]LOCH Calc COE Calc'!$C$28)</f>
        <v/>
      </c>
      <c r="V2669" t="str">
        <f>IF(L2669="","",Q2669/'[1]LOCH Calc COE Calc'!$C$28)</f>
        <v/>
      </c>
      <c r="W2669" t="str">
        <f>IF(L2669="","",R2669/'[1]LOCH Calc COE Calc'!$C$28)</f>
        <v/>
      </c>
    </row>
    <row r="2670" spans="12:23" x14ac:dyDescent="0.25">
      <c r="L2670" s="4" t="str">
        <f>IF('[1]All Data '!BE2675="","",'[1]All Data '!BE2675)</f>
        <v/>
      </c>
      <c r="M2670" t="str">
        <f>IF('[1]All Data '!BF2675="","",'[1]All Data '!BF2675)</f>
        <v/>
      </c>
      <c r="N2670" s="5" t="str">
        <f>IF('[1]All Data '!BB2675="","",'[1]All Data '!BC2675/'[1]All Data '!BH2675)</f>
        <v/>
      </c>
      <c r="O2670" s="5" t="str">
        <f t="shared" si="44"/>
        <v/>
      </c>
      <c r="P2670" s="5" t="str">
        <f>IF(M2670="","",$C$2*(1-L2670)*907.2/0.621371*N2670*[1]Transportation!$M$40)</f>
        <v/>
      </c>
      <c r="Q2670" s="5" t="str">
        <f>IF(L2670="","",IF([1]Inputs_Outputs!$B$5="Herbaceous",(LCA!$E$29*'[1]LOCH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0" s="5" t="str">
        <f>IF(M2670="","",$E$2*1000*'[1]LOCH Calc COE Calc'!$C$44)</f>
        <v/>
      </c>
      <c r="S2670" s="6" t="str">
        <f>IF(N2670="","",SUM(O2670:R2670)/('[1]LOCH Calc COE Calc'!$C$28))</f>
        <v/>
      </c>
      <c r="T2670" t="str">
        <f>IF(L2670="","",O2670/'[1]LOCH Calc COE Calc'!$C$28)</f>
        <v/>
      </c>
      <c r="U2670" t="str">
        <f>IF(L2670="","",P2670/'[1]LOCH Calc COE Calc'!$C$28)</f>
        <v/>
      </c>
      <c r="V2670" t="str">
        <f>IF(L2670="","",Q2670/'[1]LOCH Calc COE Calc'!$C$28)</f>
        <v/>
      </c>
      <c r="W2670" t="str">
        <f>IF(L2670="","",R2670/'[1]LOCH Calc COE Calc'!$C$28)</f>
        <v/>
      </c>
    </row>
    <row r="2671" spans="12:23" x14ac:dyDescent="0.25">
      <c r="L2671" s="4" t="str">
        <f>IF('[1]All Data '!BE2676="","",'[1]All Data '!BE2676)</f>
        <v/>
      </c>
      <c r="M2671" t="str">
        <f>IF('[1]All Data '!BF2676="","",'[1]All Data '!BF2676)</f>
        <v/>
      </c>
      <c r="N2671" s="5" t="str">
        <f>IF('[1]All Data '!BB2676="","",'[1]All Data '!BC2676/'[1]All Data '!BH2676)</f>
        <v/>
      </c>
      <c r="O2671" s="5" t="str">
        <f t="shared" si="44"/>
        <v/>
      </c>
      <c r="P2671" s="5" t="str">
        <f>IF(M2671="","",$C$2*(1-L2671)*907.2/0.621371*N2671*[1]Transportation!$M$40)</f>
        <v/>
      </c>
      <c r="Q2671" s="5" t="str">
        <f>IF(L2671="","",IF([1]Inputs_Outputs!$B$5="Herbaceous",(LCA!$E$29*'[1]LOCH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1" s="5" t="str">
        <f>IF(M2671="","",$E$2*1000*'[1]LOCH Calc COE Calc'!$C$44)</f>
        <v/>
      </c>
      <c r="S2671" s="6" t="str">
        <f>IF(N2671="","",SUM(O2671:R2671)/('[1]LOCH Calc COE Calc'!$C$28))</f>
        <v/>
      </c>
      <c r="T2671" t="str">
        <f>IF(L2671="","",O2671/'[1]LOCH Calc COE Calc'!$C$28)</f>
        <v/>
      </c>
      <c r="U2671" t="str">
        <f>IF(L2671="","",P2671/'[1]LOCH Calc COE Calc'!$C$28)</f>
        <v/>
      </c>
      <c r="V2671" t="str">
        <f>IF(L2671="","",Q2671/'[1]LOCH Calc COE Calc'!$C$28)</f>
        <v/>
      </c>
      <c r="W2671" t="str">
        <f>IF(L2671="","",R2671/'[1]LOCH Calc COE Calc'!$C$28)</f>
        <v/>
      </c>
    </row>
    <row r="2672" spans="12:23" x14ac:dyDescent="0.25">
      <c r="L2672" s="4" t="str">
        <f>IF('[1]All Data '!BE2677="","",'[1]All Data '!BE2677)</f>
        <v/>
      </c>
      <c r="M2672" t="str">
        <f>IF('[1]All Data '!BF2677="","",'[1]All Data '!BF2677)</f>
        <v/>
      </c>
      <c r="N2672" s="5" t="str">
        <f>IF('[1]All Data '!BB2677="","",'[1]All Data '!BC2677/'[1]All Data '!BH2677)</f>
        <v/>
      </c>
      <c r="O2672" s="5" t="str">
        <f t="shared" si="44"/>
        <v/>
      </c>
      <c r="P2672" s="5" t="str">
        <f>IF(M2672="","",$C$2*(1-L2672)*907.2/0.621371*N2672*[1]Transportation!$M$40)</f>
        <v/>
      </c>
      <c r="Q2672" s="5" t="str">
        <f>IF(L2672="","",IF([1]Inputs_Outputs!$B$5="Herbaceous",(LCA!$E$29*'[1]LOCH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2" s="5" t="str">
        <f>IF(M2672="","",$E$2*1000*'[1]LOCH Calc COE Calc'!$C$44)</f>
        <v/>
      </c>
      <c r="S2672" s="6" t="str">
        <f>IF(N2672="","",SUM(O2672:R2672)/('[1]LOCH Calc COE Calc'!$C$28))</f>
        <v/>
      </c>
      <c r="T2672" t="str">
        <f>IF(L2672="","",O2672/'[1]LOCH Calc COE Calc'!$C$28)</f>
        <v/>
      </c>
      <c r="U2672" t="str">
        <f>IF(L2672="","",P2672/'[1]LOCH Calc COE Calc'!$C$28)</f>
        <v/>
      </c>
      <c r="V2672" t="str">
        <f>IF(L2672="","",Q2672/'[1]LOCH Calc COE Calc'!$C$28)</f>
        <v/>
      </c>
      <c r="W2672" t="str">
        <f>IF(L2672="","",R2672/'[1]LOCH Calc COE Calc'!$C$28)</f>
        <v/>
      </c>
    </row>
    <row r="2673" spans="12:23" x14ac:dyDescent="0.25">
      <c r="L2673" s="4" t="str">
        <f>IF('[1]All Data '!BE2678="","",'[1]All Data '!BE2678)</f>
        <v/>
      </c>
      <c r="M2673" t="str">
        <f>IF('[1]All Data '!BF2678="","",'[1]All Data '!BF2678)</f>
        <v/>
      </c>
      <c r="N2673" s="5" t="str">
        <f>IF('[1]All Data '!BB2678="","",'[1]All Data '!BC2678/'[1]All Data '!BH2678)</f>
        <v/>
      </c>
      <c r="O2673" s="5" t="str">
        <f t="shared" si="44"/>
        <v/>
      </c>
      <c r="P2673" s="5" t="str">
        <f>IF(M2673="","",$C$2*(1-L2673)*907.2/0.621371*N2673*[1]Transportation!$M$40)</f>
        <v/>
      </c>
      <c r="Q2673" s="5" t="str">
        <f>IF(L2673="","",IF([1]Inputs_Outputs!$B$5="Herbaceous",(LCA!$E$29*'[1]LOCH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3" s="5" t="str">
        <f>IF(M2673="","",$E$2*1000*'[1]LOCH Calc COE Calc'!$C$44)</f>
        <v/>
      </c>
      <c r="S2673" s="6" t="str">
        <f>IF(N2673="","",SUM(O2673:R2673)/('[1]LOCH Calc COE Calc'!$C$28))</f>
        <v/>
      </c>
      <c r="T2673" t="str">
        <f>IF(L2673="","",O2673/'[1]LOCH Calc COE Calc'!$C$28)</f>
        <v/>
      </c>
      <c r="U2673" t="str">
        <f>IF(L2673="","",P2673/'[1]LOCH Calc COE Calc'!$C$28)</f>
        <v/>
      </c>
      <c r="V2673" t="str">
        <f>IF(L2673="","",Q2673/'[1]LOCH Calc COE Calc'!$C$28)</f>
        <v/>
      </c>
      <c r="W2673" t="str">
        <f>IF(L2673="","",R2673/'[1]LOCH Calc COE Calc'!$C$28)</f>
        <v/>
      </c>
    </row>
    <row r="2674" spans="12:23" x14ac:dyDescent="0.25">
      <c r="L2674" s="4" t="str">
        <f>IF('[1]All Data '!BE2679="","",'[1]All Data '!BE2679)</f>
        <v/>
      </c>
      <c r="M2674" t="str">
        <f>IF('[1]All Data '!BF2679="","",'[1]All Data '!BF2679)</f>
        <v/>
      </c>
      <c r="N2674" s="5" t="str">
        <f>IF('[1]All Data '!BB2679="","",'[1]All Data '!BC2679/'[1]All Data '!BH2679)</f>
        <v/>
      </c>
      <c r="O2674" s="5" t="str">
        <f t="shared" si="44"/>
        <v/>
      </c>
      <c r="P2674" s="5" t="str">
        <f>IF(M2674="","",$C$2*(1-L2674)*907.2/0.621371*N2674*[1]Transportation!$M$40)</f>
        <v/>
      </c>
      <c r="Q2674" s="5" t="str">
        <f>IF(L2674="","",IF([1]Inputs_Outputs!$B$5="Herbaceous",(LCA!$E$29*'[1]LOCH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4" s="5" t="str">
        <f>IF(M2674="","",$E$2*1000*'[1]LOCH Calc COE Calc'!$C$44)</f>
        <v/>
      </c>
      <c r="S2674" s="6" t="str">
        <f>IF(N2674="","",SUM(O2674:R2674)/('[1]LOCH Calc COE Calc'!$C$28))</f>
        <v/>
      </c>
      <c r="T2674" t="str">
        <f>IF(L2674="","",O2674/'[1]LOCH Calc COE Calc'!$C$28)</f>
        <v/>
      </c>
      <c r="U2674" t="str">
        <f>IF(L2674="","",P2674/'[1]LOCH Calc COE Calc'!$C$28)</f>
        <v/>
      </c>
      <c r="V2674" t="str">
        <f>IF(L2674="","",Q2674/'[1]LOCH Calc COE Calc'!$C$28)</f>
        <v/>
      </c>
      <c r="W2674" t="str">
        <f>IF(L2674="","",R2674/'[1]LOCH Calc COE Calc'!$C$28)</f>
        <v/>
      </c>
    </row>
    <row r="2675" spans="12:23" x14ac:dyDescent="0.25">
      <c r="L2675" s="4" t="str">
        <f>IF('[1]All Data '!BE2680="","",'[1]All Data '!BE2680)</f>
        <v/>
      </c>
      <c r="M2675" t="str">
        <f>IF('[1]All Data '!BF2680="","",'[1]All Data '!BF2680)</f>
        <v/>
      </c>
      <c r="N2675" s="5" t="str">
        <f>IF('[1]All Data '!BB2680="","",'[1]All Data '!BC2680/'[1]All Data '!BH2680)</f>
        <v/>
      </c>
      <c r="O2675" s="5" t="str">
        <f t="shared" si="44"/>
        <v/>
      </c>
      <c r="P2675" s="5" t="str">
        <f>IF(M2675="","",$C$2*(1-L2675)*907.2/0.621371*N2675*[1]Transportation!$M$40)</f>
        <v/>
      </c>
      <c r="Q2675" s="5" t="str">
        <f>IF(L2675="","",IF([1]Inputs_Outputs!$B$5="Herbaceous",(LCA!$E$29*'[1]LOCH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5" s="5" t="str">
        <f>IF(M2675="","",$E$2*1000*'[1]LOCH Calc COE Calc'!$C$44)</f>
        <v/>
      </c>
      <c r="S2675" s="6" t="str">
        <f>IF(N2675="","",SUM(O2675:R2675)/('[1]LOCH Calc COE Calc'!$C$28))</f>
        <v/>
      </c>
      <c r="T2675" t="str">
        <f>IF(L2675="","",O2675/'[1]LOCH Calc COE Calc'!$C$28)</f>
        <v/>
      </c>
      <c r="U2675" t="str">
        <f>IF(L2675="","",P2675/'[1]LOCH Calc COE Calc'!$C$28)</f>
        <v/>
      </c>
      <c r="V2675" t="str">
        <f>IF(L2675="","",Q2675/'[1]LOCH Calc COE Calc'!$C$28)</f>
        <v/>
      </c>
      <c r="W2675" t="str">
        <f>IF(L2675="","",R2675/'[1]LOCH Calc COE Calc'!$C$28)</f>
        <v/>
      </c>
    </row>
    <row r="2676" spans="12:23" x14ac:dyDescent="0.25">
      <c r="L2676" s="4" t="str">
        <f>IF('[1]All Data '!BE2681="","",'[1]All Data '!BE2681)</f>
        <v/>
      </c>
      <c r="M2676" t="str">
        <f>IF('[1]All Data '!BF2681="","",'[1]All Data '!BF2681)</f>
        <v/>
      </c>
      <c r="N2676" s="5" t="str">
        <f>IF('[1]All Data '!BB2681="","",'[1]All Data '!BC2681/'[1]All Data '!BH2681)</f>
        <v/>
      </c>
      <c r="O2676" s="5" t="str">
        <f t="shared" si="44"/>
        <v/>
      </c>
      <c r="P2676" s="5" t="str">
        <f>IF(M2676="","",$C$2*(1-L2676)*907.2/0.621371*N2676*[1]Transportation!$M$40)</f>
        <v/>
      </c>
      <c r="Q2676" s="5" t="str">
        <f>IF(L2676="","",IF([1]Inputs_Outputs!$B$5="Herbaceous",(LCA!$E$29*'[1]LOCH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6" s="5" t="str">
        <f>IF(M2676="","",$E$2*1000*'[1]LOCH Calc COE Calc'!$C$44)</f>
        <v/>
      </c>
      <c r="S2676" s="6" t="str">
        <f>IF(N2676="","",SUM(O2676:R2676)/('[1]LOCH Calc COE Calc'!$C$28))</f>
        <v/>
      </c>
      <c r="T2676" t="str">
        <f>IF(L2676="","",O2676/'[1]LOCH Calc COE Calc'!$C$28)</f>
        <v/>
      </c>
      <c r="U2676" t="str">
        <f>IF(L2676="","",P2676/'[1]LOCH Calc COE Calc'!$C$28)</f>
        <v/>
      </c>
      <c r="V2676" t="str">
        <f>IF(L2676="","",Q2676/'[1]LOCH Calc COE Calc'!$C$28)</f>
        <v/>
      </c>
      <c r="W2676" t="str">
        <f>IF(L2676="","",R2676/'[1]LOCH Calc COE Calc'!$C$28)</f>
        <v/>
      </c>
    </row>
    <row r="2677" spans="12:23" x14ac:dyDescent="0.25">
      <c r="L2677" s="4" t="str">
        <f>IF('[1]All Data '!BE2682="","",'[1]All Data '!BE2682)</f>
        <v/>
      </c>
      <c r="M2677" t="str">
        <f>IF('[1]All Data '!BF2682="","",'[1]All Data '!BF2682)</f>
        <v/>
      </c>
      <c r="N2677" s="5" t="str">
        <f>IF('[1]All Data '!BB2682="","",'[1]All Data '!BC2682/'[1]All Data '!BH2682)</f>
        <v/>
      </c>
      <c r="O2677" s="5" t="str">
        <f t="shared" si="44"/>
        <v/>
      </c>
      <c r="P2677" s="5" t="str">
        <f>IF(M2677="","",$C$2*(1-L2677)*907.2/0.621371*N2677*[1]Transportation!$M$40)</f>
        <v/>
      </c>
      <c r="Q2677" s="5" t="str">
        <f>IF(L2677="","",IF([1]Inputs_Outputs!$B$5="Herbaceous",(LCA!$E$29*'[1]LOCH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7" s="5" t="str">
        <f>IF(M2677="","",$E$2*1000*'[1]LOCH Calc COE Calc'!$C$44)</f>
        <v/>
      </c>
      <c r="S2677" s="6" t="str">
        <f>IF(N2677="","",SUM(O2677:R2677)/('[1]LOCH Calc COE Calc'!$C$28))</f>
        <v/>
      </c>
      <c r="T2677" t="str">
        <f>IF(L2677="","",O2677/'[1]LOCH Calc COE Calc'!$C$28)</f>
        <v/>
      </c>
      <c r="U2677" t="str">
        <f>IF(L2677="","",P2677/'[1]LOCH Calc COE Calc'!$C$28)</f>
        <v/>
      </c>
      <c r="V2677" t="str">
        <f>IF(L2677="","",Q2677/'[1]LOCH Calc COE Calc'!$C$28)</f>
        <v/>
      </c>
      <c r="W2677" t="str">
        <f>IF(L2677="","",R2677/'[1]LOCH Calc COE Calc'!$C$28)</f>
        <v/>
      </c>
    </row>
    <row r="2678" spans="12:23" x14ac:dyDescent="0.25">
      <c r="L2678" s="4" t="str">
        <f>IF('[1]All Data '!BE2683="","",'[1]All Data '!BE2683)</f>
        <v/>
      </c>
      <c r="M2678" t="str">
        <f>IF('[1]All Data '!BF2683="","",'[1]All Data '!BF2683)</f>
        <v/>
      </c>
      <c r="N2678" s="5" t="str">
        <f>IF('[1]All Data '!BB2683="","",'[1]All Data '!BC2683/'[1]All Data '!BH2683)</f>
        <v/>
      </c>
      <c r="O2678" s="5" t="str">
        <f t="shared" si="44"/>
        <v/>
      </c>
      <c r="P2678" s="5" t="str">
        <f>IF(M2678="","",$C$2*(1-L2678)*907.2/0.621371*N2678*[1]Transportation!$M$40)</f>
        <v/>
      </c>
      <c r="Q2678" s="5" t="str">
        <f>IF(L2678="","",IF([1]Inputs_Outputs!$B$5="Herbaceous",(LCA!$E$29*'[1]LOCH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8" s="5" t="str">
        <f>IF(M2678="","",$E$2*1000*'[1]LOCH Calc COE Calc'!$C$44)</f>
        <v/>
      </c>
      <c r="S2678" s="6" t="str">
        <f>IF(N2678="","",SUM(O2678:R2678)/('[1]LOCH Calc COE Calc'!$C$28))</f>
        <v/>
      </c>
      <c r="T2678" t="str">
        <f>IF(L2678="","",O2678/'[1]LOCH Calc COE Calc'!$C$28)</f>
        <v/>
      </c>
      <c r="U2678" t="str">
        <f>IF(L2678="","",P2678/'[1]LOCH Calc COE Calc'!$C$28)</f>
        <v/>
      </c>
      <c r="V2678" t="str">
        <f>IF(L2678="","",Q2678/'[1]LOCH Calc COE Calc'!$C$28)</f>
        <v/>
      </c>
      <c r="W2678" t="str">
        <f>IF(L2678="","",R2678/'[1]LOCH Calc COE Calc'!$C$28)</f>
        <v/>
      </c>
    </row>
    <row r="2679" spans="12:23" x14ac:dyDescent="0.25">
      <c r="L2679" s="4" t="str">
        <f>IF('[1]All Data '!BE2684="","",'[1]All Data '!BE2684)</f>
        <v/>
      </c>
      <c r="M2679" t="str">
        <f>IF('[1]All Data '!BF2684="","",'[1]All Data '!BF2684)</f>
        <v/>
      </c>
      <c r="N2679" s="5" t="str">
        <f>IF('[1]All Data '!BB2684="","",'[1]All Data '!BC2684/'[1]All Data '!BH2684)</f>
        <v/>
      </c>
      <c r="O2679" s="5" t="str">
        <f t="shared" si="44"/>
        <v/>
      </c>
      <c r="P2679" s="5" t="str">
        <f>IF(M2679="","",$C$2*(1-L2679)*907.2/0.621371*N2679*[1]Transportation!$M$40)</f>
        <v/>
      </c>
      <c r="Q2679" s="5" t="str">
        <f>IF(L2679="","",IF([1]Inputs_Outputs!$B$5="Herbaceous",(LCA!$E$29*'[1]LOCH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79" s="5" t="str">
        <f>IF(M2679="","",$E$2*1000*'[1]LOCH Calc COE Calc'!$C$44)</f>
        <v/>
      </c>
      <c r="S2679" s="6" t="str">
        <f>IF(N2679="","",SUM(O2679:R2679)/('[1]LOCH Calc COE Calc'!$C$28))</f>
        <v/>
      </c>
      <c r="T2679" t="str">
        <f>IF(L2679="","",O2679/'[1]LOCH Calc COE Calc'!$C$28)</f>
        <v/>
      </c>
      <c r="U2679" t="str">
        <f>IF(L2679="","",P2679/'[1]LOCH Calc COE Calc'!$C$28)</f>
        <v/>
      </c>
      <c r="V2679" t="str">
        <f>IF(L2679="","",Q2679/'[1]LOCH Calc COE Calc'!$C$28)</f>
        <v/>
      </c>
      <c r="W2679" t="str">
        <f>IF(L2679="","",R2679/'[1]LOCH Calc COE Calc'!$C$28)</f>
        <v/>
      </c>
    </row>
    <row r="2680" spans="12:23" x14ac:dyDescent="0.25">
      <c r="L2680" s="4" t="str">
        <f>IF('[1]All Data '!BE2685="","",'[1]All Data '!BE2685)</f>
        <v/>
      </c>
      <c r="M2680" t="str">
        <f>IF('[1]All Data '!BF2685="","",'[1]All Data '!BF2685)</f>
        <v/>
      </c>
      <c r="N2680" s="5" t="str">
        <f>IF('[1]All Data '!BB2685="","",'[1]All Data '!BC2685/'[1]All Data '!BH2685)</f>
        <v/>
      </c>
      <c r="O2680" s="5" t="str">
        <f t="shared" si="44"/>
        <v/>
      </c>
      <c r="P2680" s="5" t="str">
        <f>IF(M2680="","",$C$2*(1-L2680)*907.2/0.621371*N2680*[1]Transportation!$M$40)</f>
        <v/>
      </c>
      <c r="Q2680" s="5" t="str">
        <f>IF(L2680="","",IF([1]Inputs_Outputs!$B$5="Herbaceous",(LCA!$E$29*'[1]LOCH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0" s="5" t="str">
        <f>IF(M2680="","",$E$2*1000*'[1]LOCH Calc COE Calc'!$C$44)</f>
        <v/>
      </c>
      <c r="S2680" s="6" t="str">
        <f>IF(N2680="","",SUM(O2680:R2680)/('[1]LOCH Calc COE Calc'!$C$28))</f>
        <v/>
      </c>
      <c r="T2680" t="str">
        <f>IF(L2680="","",O2680/'[1]LOCH Calc COE Calc'!$C$28)</f>
        <v/>
      </c>
      <c r="U2680" t="str">
        <f>IF(L2680="","",P2680/'[1]LOCH Calc COE Calc'!$C$28)</f>
        <v/>
      </c>
      <c r="V2680" t="str">
        <f>IF(L2680="","",Q2680/'[1]LOCH Calc COE Calc'!$C$28)</f>
        <v/>
      </c>
      <c r="W2680" t="str">
        <f>IF(L2680="","",R2680/'[1]LOCH Calc COE Calc'!$C$28)</f>
        <v/>
      </c>
    </row>
    <row r="2681" spans="12:23" x14ac:dyDescent="0.25">
      <c r="L2681" s="4" t="str">
        <f>IF('[1]All Data '!BE2686="","",'[1]All Data '!BE2686)</f>
        <v/>
      </c>
      <c r="M2681" t="str">
        <f>IF('[1]All Data '!BF2686="","",'[1]All Data '!BF2686)</f>
        <v/>
      </c>
      <c r="N2681" s="5" t="str">
        <f>IF('[1]All Data '!BB2686="","",'[1]All Data '!BC2686/'[1]All Data '!BH2686)</f>
        <v/>
      </c>
      <c r="O2681" s="5" t="str">
        <f t="shared" si="44"/>
        <v/>
      </c>
      <c r="P2681" s="5" t="str">
        <f>IF(M2681="","",$C$2*(1-L2681)*907.2/0.621371*N2681*[1]Transportation!$M$40)</f>
        <v/>
      </c>
      <c r="Q2681" s="5" t="str">
        <f>IF(L2681="","",IF([1]Inputs_Outputs!$B$5="Herbaceous",(LCA!$E$29*'[1]LOCH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1" s="5" t="str">
        <f>IF(M2681="","",$E$2*1000*'[1]LOCH Calc COE Calc'!$C$44)</f>
        <v/>
      </c>
      <c r="S2681" s="6" t="str">
        <f>IF(N2681="","",SUM(O2681:R2681)/('[1]LOCH Calc COE Calc'!$C$28))</f>
        <v/>
      </c>
      <c r="T2681" t="str">
        <f>IF(L2681="","",O2681/'[1]LOCH Calc COE Calc'!$C$28)</f>
        <v/>
      </c>
      <c r="U2681" t="str">
        <f>IF(L2681="","",P2681/'[1]LOCH Calc COE Calc'!$C$28)</f>
        <v/>
      </c>
      <c r="V2681" t="str">
        <f>IF(L2681="","",Q2681/'[1]LOCH Calc COE Calc'!$C$28)</f>
        <v/>
      </c>
      <c r="W2681" t="str">
        <f>IF(L2681="","",R2681/'[1]LOCH Calc COE Calc'!$C$28)</f>
        <v/>
      </c>
    </row>
    <row r="2682" spans="12:23" x14ac:dyDescent="0.25">
      <c r="L2682" s="4" t="str">
        <f>IF('[1]All Data '!BE2687="","",'[1]All Data '!BE2687)</f>
        <v/>
      </c>
      <c r="M2682" t="str">
        <f>IF('[1]All Data '!BF2687="","",'[1]All Data '!BF2687)</f>
        <v/>
      </c>
      <c r="N2682" s="5" t="str">
        <f>IF('[1]All Data '!BB2687="","",'[1]All Data '!BC2687/'[1]All Data '!BH2687)</f>
        <v/>
      </c>
      <c r="O2682" s="5" t="str">
        <f t="shared" si="44"/>
        <v/>
      </c>
      <c r="P2682" s="5" t="str">
        <f>IF(M2682="","",$C$2*(1-L2682)*907.2/0.621371*N2682*[1]Transportation!$M$40)</f>
        <v/>
      </c>
      <c r="Q2682" s="5" t="str">
        <f>IF(L2682="","",IF([1]Inputs_Outputs!$B$5="Herbaceous",(LCA!$E$29*'[1]LOCH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2" s="5" t="str">
        <f>IF(M2682="","",$E$2*1000*'[1]LOCH Calc COE Calc'!$C$44)</f>
        <v/>
      </c>
      <c r="S2682" s="6" t="str">
        <f>IF(N2682="","",SUM(O2682:R2682)/('[1]LOCH Calc COE Calc'!$C$28))</f>
        <v/>
      </c>
      <c r="T2682" t="str">
        <f>IF(L2682="","",O2682/'[1]LOCH Calc COE Calc'!$C$28)</f>
        <v/>
      </c>
      <c r="U2682" t="str">
        <f>IF(L2682="","",P2682/'[1]LOCH Calc COE Calc'!$C$28)</f>
        <v/>
      </c>
      <c r="V2682" t="str">
        <f>IF(L2682="","",Q2682/'[1]LOCH Calc COE Calc'!$C$28)</f>
        <v/>
      </c>
      <c r="W2682" t="str">
        <f>IF(L2682="","",R2682/'[1]LOCH Calc COE Calc'!$C$28)</f>
        <v/>
      </c>
    </row>
    <row r="2683" spans="12:23" x14ac:dyDescent="0.25">
      <c r="L2683" s="4" t="str">
        <f>IF('[1]All Data '!BE2688="","",'[1]All Data '!BE2688)</f>
        <v/>
      </c>
      <c r="M2683" t="str">
        <f>IF('[1]All Data '!BF2688="","",'[1]All Data '!BF2688)</f>
        <v/>
      </c>
      <c r="N2683" s="5" t="str">
        <f>IF('[1]All Data '!BB2688="","",'[1]All Data '!BC2688/'[1]All Data '!BH2688)</f>
        <v/>
      </c>
      <c r="O2683" s="5" t="str">
        <f t="shared" si="44"/>
        <v/>
      </c>
      <c r="P2683" s="5" t="str">
        <f>IF(M2683="","",$C$2*(1-L2683)*907.2/0.621371*N2683*[1]Transportation!$M$40)</f>
        <v/>
      </c>
      <c r="Q2683" s="5" t="str">
        <f>IF(L2683="","",IF([1]Inputs_Outputs!$B$5="Herbaceous",(LCA!$E$29*'[1]LOCH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3" s="5" t="str">
        <f>IF(M2683="","",$E$2*1000*'[1]LOCH Calc COE Calc'!$C$44)</f>
        <v/>
      </c>
      <c r="S2683" s="6" t="str">
        <f>IF(N2683="","",SUM(O2683:R2683)/('[1]LOCH Calc COE Calc'!$C$28))</f>
        <v/>
      </c>
      <c r="T2683" t="str">
        <f>IF(L2683="","",O2683/'[1]LOCH Calc COE Calc'!$C$28)</f>
        <v/>
      </c>
      <c r="U2683" t="str">
        <f>IF(L2683="","",P2683/'[1]LOCH Calc COE Calc'!$C$28)</f>
        <v/>
      </c>
      <c r="V2683" t="str">
        <f>IF(L2683="","",Q2683/'[1]LOCH Calc COE Calc'!$C$28)</f>
        <v/>
      </c>
      <c r="W2683" t="str">
        <f>IF(L2683="","",R2683/'[1]LOCH Calc COE Calc'!$C$28)</f>
        <v/>
      </c>
    </row>
    <row r="2684" spans="12:23" x14ac:dyDescent="0.25">
      <c r="L2684" s="4" t="str">
        <f>IF('[1]All Data '!BE2689="","",'[1]All Data '!BE2689)</f>
        <v/>
      </c>
      <c r="M2684" t="str">
        <f>IF('[1]All Data '!BF2689="","",'[1]All Data '!BF2689)</f>
        <v/>
      </c>
      <c r="N2684" s="5" t="str">
        <f>IF('[1]All Data '!BB2689="","",'[1]All Data '!BC2689/'[1]All Data '!BH2689)</f>
        <v/>
      </c>
      <c r="O2684" s="5" t="str">
        <f t="shared" si="44"/>
        <v/>
      </c>
      <c r="P2684" s="5" t="str">
        <f>IF(M2684="","",$C$2*(1-L2684)*907.2/0.621371*N2684*[1]Transportation!$M$40)</f>
        <v/>
      </c>
      <c r="Q2684" s="5" t="str">
        <f>IF(L2684="","",IF([1]Inputs_Outputs!$B$5="Herbaceous",(LCA!$E$29*'[1]LOCH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4" s="5" t="str">
        <f>IF(M2684="","",$E$2*1000*'[1]LOCH Calc COE Calc'!$C$44)</f>
        <v/>
      </c>
      <c r="S2684" s="6" t="str">
        <f>IF(N2684="","",SUM(O2684:R2684)/('[1]LOCH Calc COE Calc'!$C$28))</f>
        <v/>
      </c>
      <c r="T2684" t="str">
        <f>IF(L2684="","",O2684/'[1]LOCH Calc COE Calc'!$C$28)</f>
        <v/>
      </c>
      <c r="U2684" t="str">
        <f>IF(L2684="","",P2684/'[1]LOCH Calc COE Calc'!$C$28)</f>
        <v/>
      </c>
      <c r="V2684" t="str">
        <f>IF(L2684="","",Q2684/'[1]LOCH Calc COE Calc'!$C$28)</f>
        <v/>
      </c>
      <c r="W2684" t="str">
        <f>IF(L2684="","",R2684/'[1]LOCH Calc COE Calc'!$C$28)</f>
        <v/>
      </c>
    </row>
    <row r="2685" spans="12:23" x14ac:dyDescent="0.25">
      <c r="L2685" s="4" t="str">
        <f>IF('[1]All Data '!BE2690="","",'[1]All Data '!BE2690)</f>
        <v/>
      </c>
      <c r="M2685" t="str">
        <f>IF('[1]All Data '!BF2690="","",'[1]All Data '!BF2690)</f>
        <v/>
      </c>
      <c r="N2685" s="5" t="str">
        <f>IF('[1]All Data '!BB2690="","",'[1]All Data '!BC2690/'[1]All Data '!BH2690)</f>
        <v/>
      </c>
      <c r="O2685" s="5" t="str">
        <f t="shared" si="44"/>
        <v/>
      </c>
      <c r="P2685" s="5" t="str">
        <f>IF(M2685="","",$C$2*(1-L2685)*907.2/0.621371*N2685*[1]Transportation!$M$40)</f>
        <v/>
      </c>
      <c r="Q2685" s="5" t="str">
        <f>IF(L2685="","",IF([1]Inputs_Outputs!$B$5="Herbaceous",(LCA!$E$29*'[1]LOCH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5" s="5" t="str">
        <f>IF(M2685="","",$E$2*1000*'[1]LOCH Calc COE Calc'!$C$44)</f>
        <v/>
      </c>
      <c r="S2685" s="6" t="str">
        <f>IF(N2685="","",SUM(O2685:R2685)/('[1]LOCH Calc COE Calc'!$C$28))</f>
        <v/>
      </c>
      <c r="T2685" t="str">
        <f>IF(L2685="","",O2685/'[1]LOCH Calc COE Calc'!$C$28)</f>
        <v/>
      </c>
      <c r="U2685" t="str">
        <f>IF(L2685="","",P2685/'[1]LOCH Calc COE Calc'!$C$28)</f>
        <v/>
      </c>
      <c r="V2685" t="str">
        <f>IF(L2685="","",Q2685/'[1]LOCH Calc COE Calc'!$C$28)</f>
        <v/>
      </c>
      <c r="W2685" t="str">
        <f>IF(L2685="","",R2685/'[1]LOCH Calc COE Calc'!$C$28)</f>
        <v/>
      </c>
    </row>
    <row r="2686" spans="12:23" x14ac:dyDescent="0.25">
      <c r="L2686" s="4" t="str">
        <f>IF('[1]All Data '!BE2691="","",'[1]All Data '!BE2691)</f>
        <v/>
      </c>
      <c r="M2686" t="str">
        <f>IF('[1]All Data '!BF2691="","",'[1]All Data '!BF2691)</f>
        <v/>
      </c>
      <c r="N2686" s="5" t="str">
        <f>IF('[1]All Data '!BB2691="","",'[1]All Data '!BC2691/'[1]All Data '!BH2691)</f>
        <v/>
      </c>
      <c r="O2686" s="5" t="str">
        <f t="shared" si="44"/>
        <v/>
      </c>
      <c r="P2686" s="5" t="str">
        <f>IF(M2686="","",$C$2*(1-L2686)*907.2/0.621371*N2686*[1]Transportation!$M$40)</f>
        <v/>
      </c>
      <c r="Q2686" s="5" t="str">
        <f>IF(L2686="","",IF([1]Inputs_Outputs!$B$5="Herbaceous",(LCA!$E$29*'[1]LOCH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6" s="5" t="str">
        <f>IF(M2686="","",$E$2*1000*'[1]LOCH Calc COE Calc'!$C$44)</f>
        <v/>
      </c>
      <c r="S2686" s="6" t="str">
        <f>IF(N2686="","",SUM(O2686:R2686)/('[1]LOCH Calc COE Calc'!$C$28))</f>
        <v/>
      </c>
      <c r="T2686" t="str">
        <f>IF(L2686="","",O2686/'[1]LOCH Calc COE Calc'!$C$28)</f>
        <v/>
      </c>
      <c r="U2686" t="str">
        <f>IF(L2686="","",P2686/'[1]LOCH Calc COE Calc'!$C$28)</f>
        <v/>
      </c>
      <c r="V2686" t="str">
        <f>IF(L2686="","",Q2686/'[1]LOCH Calc COE Calc'!$C$28)</f>
        <v/>
      </c>
      <c r="W2686" t="str">
        <f>IF(L2686="","",R2686/'[1]LOCH Calc COE Calc'!$C$28)</f>
        <v/>
      </c>
    </row>
    <row r="2687" spans="12:23" x14ac:dyDescent="0.25">
      <c r="L2687" s="4" t="str">
        <f>IF('[1]All Data '!BE2692="","",'[1]All Data '!BE2692)</f>
        <v/>
      </c>
      <c r="M2687" t="str">
        <f>IF('[1]All Data '!BF2692="","",'[1]All Data '!BF2692)</f>
        <v/>
      </c>
      <c r="N2687" s="5" t="str">
        <f>IF('[1]All Data '!BB2692="","",'[1]All Data '!BC2692/'[1]All Data '!BH2692)</f>
        <v/>
      </c>
      <c r="O2687" s="5" t="str">
        <f t="shared" si="44"/>
        <v/>
      </c>
      <c r="P2687" s="5" t="str">
        <f>IF(M2687="","",$C$2*(1-L2687)*907.2/0.621371*N2687*[1]Transportation!$M$40)</f>
        <v/>
      </c>
      <c r="Q2687" s="5" t="str">
        <f>IF(L2687="","",IF([1]Inputs_Outputs!$B$5="Herbaceous",(LCA!$E$29*'[1]LOCH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7" s="5" t="str">
        <f>IF(M2687="","",$E$2*1000*'[1]LOCH Calc COE Calc'!$C$44)</f>
        <v/>
      </c>
      <c r="S2687" s="6" t="str">
        <f>IF(N2687="","",SUM(O2687:R2687)/('[1]LOCH Calc COE Calc'!$C$28))</f>
        <v/>
      </c>
      <c r="T2687" t="str">
        <f>IF(L2687="","",O2687/'[1]LOCH Calc COE Calc'!$C$28)</f>
        <v/>
      </c>
      <c r="U2687" t="str">
        <f>IF(L2687="","",P2687/'[1]LOCH Calc COE Calc'!$C$28)</f>
        <v/>
      </c>
      <c r="V2687" t="str">
        <f>IF(L2687="","",Q2687/'[1]LOCH Calc COE Calc'!$C$28)</f>
        <v/>
      </c>
      <c r="W2687" t="str">
        <f>IF(L2687="","",R2687/'[1]LOCH Calc COE Calc'!$C$28)</f>
        <v/>
      </c>
    </row>
    <row r="2688" spans="12:23" x14ac:dyDescent="0.25">
      <c r="L2688" s="4" t="str">
        <f>IF('[1]All Data '!BE2693="","",'[1]All Data '!BE2693)</f>
        <v/>
      </c>
      <c r="M2688" t="str">
        <f>IF('[1]All Data '!BF2693="","",'[1]All Data '!BF2693)</f>
        <v/>
      </c>
      <c r="N2688" s="5" t="str">
        <f>IF('[1]All Data '!BB2693="","",'[1]All Data '!BC2693/'[1]All Data '!BH2693)</f>
        <v/>
      </c>
      <c r="O2688" s="5" t="str">
        <f t="shared" si="44"/>
        <v/>
      </c>
      <c r="P2688" s="5" t="str">
        <f>IF(M2688="","",$C$2*(1-L2688)*907.2/0.621371*N2688*[1]Transportation!$M$40)</f>
        <v/>
      </c>
      <c r="Q2688" s="5" t="str">
        <f>IF(L2688="","",IF([1]Inputs_Outputs!$B$5="Herbaceous",(LCA!$E$29*'[1]LOCH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8" s="5" t="str">
        <f>IF(M2688="","",$E$2*1000*'[1]LOCH Calc COE Calc'!$C$44)</f>
        <v/>
      </c>
      <c r="S2688" s="6" t="str">
        <f>IF(N2688="","",SUM(O2688:R2688)/('[1]LOCH Calc COE Calc'!$C$28))</f>
        <v/>
      </c>
      <c r="T2688" t="str">
        <f>IF(L2688="","",O2688/'[1]LOCH Calc COE Calc'!$C$28)</f>
        <v/>
      </c>
      <c r="U2688" t="str">
        <f>IF(L2688="","",P2688/'[1]LOCH Calc COE Calc'!$C$28)</f>
        <v/>
      </c>
      <c r="V2688" t="str">
        <f>IF(L2688="","",Q2688/'[1]LOCH Calc COE Calc'!$C$28)</f>
        <v/>
      </c>
      <c r="W2688" t="str">
        <f>IF(L2688="","",R2688/'[1]LOCH Calc COE Calc'!$C$28)</f>
        <v/>
      </c>
    </row>
    <row r="2689" spans="12:23" x14ac:dyDescent="0.25">
      <c r="L2689" s="4" t="str">
        <f>IF('[1]All Data '!BE2694="","",'[1]All Data '!BE2694)</f>
        <v/>
      </c>
      <c r="M2689" t="str">
        <f>IF('[1]All Data '!BF2694="","",'[1]All Data '!BF2694)</f>
        <v/>
      </c>
      <c r="N2689" s="5" t="str">
        <f>IF('[1]All Data '!BB2694="","",'[1]All Data '!BC2694/'[1]All Data '!BH2694)</f>
        <v/>
      </c>
      <c r="O2689" s="5" t="str">
        <f t="shared" si="44"/>
        <v/>
      </c>
      <c r="P2689" s="5" t="str">
        <f>IF(M2689="","",$C$2*(1-L2689)*907.2/0.621371*N2689*[1]Transportation!$M$40)</f>
        <v/>
      </c>
      <c r="Q2689" s="5" t="str">
        <f>IF(L2689="","",IF([1]Inputs_Outputs!$B$5="Herbaceous",(LCA!$E$29*'[1]LOCH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89" s="5" t="str">
        <f>IF(M2689="","",$E$2*1000*'[1]LOCH Calc COE Calc'!$C$44)</f>
        <v/>
      </c>
      <c r="S2689" s="6" t="str">
        <f>IF(N2689="","",SUM(O2689:R2689)/('[1]LOCH Calc COE Calc'!$C$28))</f>
        <v/>
      </c>
      <c r="T2689" t="str">
        <f>IF(L2689="","",O2689/'[1]LOCH Calc COE Calc'!$C$28)</f>
        <v/>
      </c>
      <c r="U2689" t="str">
        <f>IF(L2689="","",P2689/'[1]LOCH Calc COE Calc'!$C$28)</f>
        <v/>
      </c>
      <c r="V2689" t="str">
        <f>IF(L2689="","",Q2689/'[1]LOCH Calc COE Calc'!$C$28)</f>
        <v/>
      </c>
      <c r="W2689" t="str">
        <f>IF(L2689="","",R2689/'[1]LOCH Calc COE Calc'!$C$28)</f>
        <v/>
      </c>
    </row>
    <row r="2690" spans="12:23" x14ac:dyDescent="0.25">
      <c r="L2690" s="4" t="str">
        <f>IF('[1]All Data '!BE2695="","",'[1]All Data '!BE2695)</f>
        <v/>
      </c>
      <c r="M2690" t="str">
        <f>IF('[1]All Data '!BF2695="","",'[1]All Data '!BF2695)</f>
        <v/>
      </c>
      <c r="N2690" s="5" t="str">
        <f>IF('[1]All Data '!BB2695="","",'[1]All Data '!BC2695/'[1]All Data '!BH2695)</f>
        <v/>
      </c>
      <c r="O2690" s="5" t="str">
        <f t="shared" si="44"/>
        <v/>
      </c>
      <c r="P2690" s="5" t="str">
        <f>IF(M2690="","",$C$2*(1-L2690)*907.2/0.621371*N2690*[1]Transportation!$M$40)</f>
        <v/>
      </c>
      <c r="Q2690" s="5" t="str">
        <f>IF(L2690="","",IF([1]Inputs_Outputs!$B$5="Herbaceous",(LCA!$E$29*'[1]LOCH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0" s="5" t="str">
        <f>IF(M2690="","",$E$2*1000*'[1]LOCH Calc COE Calc'!$C$44)</f>
        <v/>
      </c>
      <c r="S2690" s="6" t="str">
        <f>IF(N2690="","",SUM(O2690:R2690)/('[1]LOCH Calc COE Calc'!$C$28))</f>
        <v/>
      </c>
      <c r="T2690" t="str">
        <f>IF(L2690="","",O2690/'[1]LOCH Calc COE Calc'!$C$28)</f>
        <v/>
      </c>
      <c r="U2690" t="str">
        <f>IF(L2690="","",P2690/'[1]LOCH Calc COE Calc'!$C$28)</f>
        <v/>
      </c>
      <c r="V2690" t="str">
        <f>IF(L2690="","",Q2690/'[1]LOCH Calc COE Calc'!$C$28)</f>
        <v/>
      </c>
      <c r="W2690" t="str">
        <f>IF(L2690="","",R2690/'[1]LOCH Calc COE Calc'!$C$28)</f>
        <v/>
      </c>
    </row>
    <row r="2691" spans="12:23" x14ac:dyDescent="0.25">
      <c r="L2691" s="4" t="str">
        <f>IF('[1]All Data '!BE2696="","",'[1]All Data '!BE2696)</f>
        <v/>
      </c>
      <c r="M2691" t="str">
        <f>IF('[1]All Data '!BF2696="","",'[1]All Data '!BF2696)</f>
        <v/>
      </c>
      <c r="N2691" s="5" t="str">
        <f>IF('[1]All Data '!BB2696="","",'[1]All Data '!BC2696/'[1]All Data '!BH2696)</f>
        <v/>
      </c>
      <c r="O2691" s="5" t="str">
        <f t="shared" si="44"/>
        <v/>
      </c>
      <c r="P2691" s="5" t="str">
        <f>IF(M2691="","",$C$2*(1-L2691)*907.2/0.621371*N2691*[1]Transportation!$M$40)</f>
        <v/>
      </c>
      <c r="Q2691" s="5" t="str">
        <f>IF(L2691="","",IF([1]Inputs_Outputs!$B$5="Herbaceous",(LCA!$E$29*'[1]LOCH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1" s="5" t="str">
        <f>IF(M2691="","",$E$2*1000*'[1]LOCH Calc COE Calc'!$C$44)</f>
        <v/>
      </c>
      <c r="S2691" s="6" t="str">
        <f>IF(N2691="","",SUM(O2691:R2691)/('[1]LOCH Calc COE Calc'!$C$28))</f>
        <v/>
      </c>
      <c r="T2691" t="str">
        <f>IF(L2691="","",O2691/'[1]LOCH Calc COE Calc'!$C$28)</f>
        <v/>
      </c>
      <c r="U2691" t="str">
        <f>IF(L2691="","",P2691/'[1]LOCH Calc COE Calc'!$C$28)</f>
        <v/>
      </c>
      <c r="V2691" t="str">
        <f>IF(L2691="","",Q2691/'[1]LOCH Calc COE Calc'!$C$28)</f>
        <v/>
      </c>
      <c r="W2691" t="str">
        <f>IF(L2691="","",R2691/'[1]LOCH Calc COE Calc'!$C$28)</f>
        <v/>
      </c>
    </row>
    <row r="2692" spans="12:23" x14ac:dyDescent="0.25">
      <c r="L2692" s="4" t="str">
        <f>IF('[1]All Data '!BE2697="","",'[1]All Data '!BE2697)</f>
        <v/>
      </c>
      <c r="M2692" t="str">
        <f>IF('[1]All Data '!BF2697="","",'[1]All Data '!BF2697)</f>
        <v/>
      </c>
      <c r="N2692" s="5" t="str">
        <f>IF('[1]All Data '!BB2697="","",'[1]All Data '!BC2697/'[1]All Data '!BH2697)</f>
        <v/>
      </c>
      <c r="O2692" s="5" t="str">
        <f t="shared" si="44"/>
        <v/>
      </c>
      <c r="P2692" s="5" t="str">
        <f>IF(M2692="","",$C$2*(1-L2692)*907.2/0.621371*N2692*[1]Transportation!$M$40)</f>
        <v/>
      </c>
      <c r="Q2692" s="5" t="str">
        <f>IF(L2692="","",IF([1]Inputs_Outputs!$B$5="Herbaceous",(LCA!$E$29*'[1]LOCH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2" s="5" t="str">
        <f>IF(M2692="","",$E$2*1000*'[1]LOCH Calc COE Calc'!$C$44)</f>
        <v/>
      </c>
      <c r="S2692" s="6" t="str">
        <f>IF(N2692="","",SUM(O2692:R2692)/('[1]LOCH Calc COE Calc'!$C$28))</f>
        <v/>
      </c>
      <c r="T2692" t="str">
        <f>IF(L2692="","",O2692/'[1]LOCH Calc COE Calc'!$C$28)</f>
        <v/>
      </c>
      <c r="U2692" t="str">
        <f>IF(L2692="","",P2692/'[1]LOCH Calc COE Calc'!$C$28)</f>
        <v/>
      </c>
      <c r="V2692" t="str">
        <f>IF(L2692="","",Q2692/'[1]LOCH Calc COE Calc'!$C$28)</f>
        <v/>
      </c>
      <c r="W2692" t="str">
        <f>IF(L2692="","",R2692/'[1]LOCH Calc COE Calc'!$C$28)</f>
        <v/>
      </c>
    </row>
    <row r="2693" spans="12:23" x14ac:dyDescent="0.25">
      <c r="L2693" s="4" t="str">
        <f>IF('[1]All Data '!BE2698="","",'[1]All Data '!BE2698)</f>
        <v/>
      </c>
      <c r="M2693" t="str">
        <f>IF('[1]All Data '!BF2698="","",'[1]All Data '!BF2698)</f>
        <v/>
      </c>
      <c r="N2693" s="5" t="str">
        <f>IF('[1]All Data '!BB2698="","",'[1]All Data '!BC2698/'[1]All Data '!BH2698)</f>
        <v/>
      </c>
      <c r="O2693" s="5" t="str">
        <f t="shared" si="44"/>
        <v/>
      </c>
      <c r="P2693" s="5" t="str">
        <f>IF(M2693="","",$C$2*(1-L2693)*907.2/0.621371*N2693*[1]Transportation!$M$40)</f>
        <v/>
      </c>
      <c r="Q2693" s="5" t="str">
        <f>IF(L2693="","",IF([1]Inputs_Outputs!$B$5="Herbaceous",(LCA!$E$29*'[1]LOCH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3" s="5" t="str">
        <f>IF(M2693="","",$E$2*1000*'[1]LOCH Calc COE Calc'!$C$44)</f>
        <v/>
      </c>
      <c r="S2693" s="6" t="str">
        <f>IF(N2693="","",SUM(O2693:R2693)/('[1]LOCH Calc COE Calc'!$C$28))</f>
        <v/>
      </c>
      <c r="T2693" t="str">
        <f>IF(L2693="","",O2693/'[1]LOCH Calc COE Calc'!$C$28)</f>
        <v/>
      </c>
      <c r="U2693" t="str">
        <f>IF(L2693="","",P2693/'[1]LOCH Calc COE Calc'!$C$28)</f>
        <v/>
      </c>
      <c r="V2693" t="str">
        <f>IF(L2693="","",Q2693/'[1]LOCH Calc COE Calc'!$C$28)</f>
        <v/>
      </c>
      <c r="W2693" t="str">
        <f>IF(L2693="","",R2693/'[1]LOCH Calc COE Calc'!$C$28)</f>
        <v/>
      </c>
    </row>
    <row r="2694" spans="12:23" x14ac:dyDescent="0.25">
      <c r="L2694" s="4" t="str">
        <f>IF('[1]All Data '!BE2699="","",'[1]All Data '!BE2699)</f>
        <v/>
      </c>
      <c r="M2694" t="str">
        <f>IF('[1]All Data '!BF2699="","",'[1]All Data '!BF2699)</f>
        <v/>
      </c>
      <c r="N2694" s="5" t="str">
        <f>IF('[1]All Data '!BB2699="","",'[1]All Data '!BC2699/'[1]All Data '!BH2699)</f>
        <v/>
      </c>
      <c r="O2694" s="5" t="str">
        <f t="shared" si="44"/>
        <v/>
      </c>
      <c r="P2694" s="5" t="str">
        <f>IF(M2694="","",$C$2*(1-L2694)*907.2/0.621371*N2694*[1]Transportation!$M$40)</f>
        <v/>
      </c>
      <c r="Q2694" s="5" t="str">
        <f>IF(L2694="","",IF([1]Inputs_Outputs!$B$5="Herbaceous",(LCA!$E$29*'[1]LOCH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4" s="5" t="str">
        <f>IF(M2694="","",$E$2*1000*'[1]LOCH Calc COE Calc'!$C$44)</f>
        <v/>
      </c>
      <c r="S2694" s="6" t="str">
        <f>IF(N2694="","",SUM(O2694:R2694)/('[1]LOCH Calc COE Calc'!$C$28))</f>
        <v/>
      </c>
      <c r="T2694" t="str">
        <f>IF(L2694="","",O2694/'[1]LOCH Calc COE Calc'!$C$28)</f>
        <v/>
      </c>
      <c r="U2694" t="str">
        <f>IF(L2694="","",P2694/'[1]LOCH Calc COE Calc'!$C$28)</f>
        <v/>
      </c>
      <c r="V2694" t="str">
        <f>IF(L2694="","",Q2694/'[1]LOCH Calc COE Calc'!$C$28)</f>
        <v/>
      </c>
      <c r="W2694" t="str">
        <f>IF(L2694="","",R2694/'[1]LOCH Calc COE Calc'!$C$28)</f>
        <v/>
      </c>
    </row>
    <row r="2695" spans="12:23" x14ac:dyDescent="0.25">
      <c r="L2695" s="4" t="str">
        <f>IF('[1]All Data '!BE2700="","",'[1]All Data '!BE2700)</f>
        <v/>
      </c>
      <c r="M2695" t="str">
        <f>IF('[1]All Data '!BF2700="","",'[1]All Data '!BF2700)</f>
        <v/>
      </c>
      <c r="N2695" s="5" t="str">
        <f>IF('[1]All Data '!BB2700="","",'[1]All Data '!BC2700/'[1]All Data '!BH2700)</f>
        <v/>
      </c>
      <c r="O2695" s="5" t="str">
        <f t="shared" si="44"/>
        <v/>
      </c>
      <c r="P2695" s="5" t="str">
        <f>IF(M2695="","",$C$2*(1-L2695)*907.2/0.621371*N2695*[1]Transportation!$M$40)</f>
        <v/>
      </c>
      <c r="Q2695" s="5" t="str">
        <f>IF(L2695="","",IF([1]Inputs_Outputs!$B$5="Herbaceous",(LCA!$E$29*'[1]LOCH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5" s="5" t="str">
        <f>IF(M2695="","",$E$2*1000*'[1]LOCH Calc COE Calc'!$C$44)</f>
        <v/>
      </c>
      <c r="S2695" s="6" t="str">
        <f>IF(N2695="","",SUM(O2695:R2695)/('[1]LOCH Calc COE Calc'!$C$28))</f>
        <v/>
      </c>
      <c r="T2695" t="str">
        <f>IF(L2695="","",O2695/'[1]LOCH Calc COE Calc'!$C$28)</f>
        <v/>
      </c>
      <c r="U2695" t="str">
        <f>IF(L2695="","",P2695/'[1]LOCH Calc COE Calc'!$C$28)</f>
        <v/>
      </c>
      <c r="V2695" t="str">
        <f>IF(L2695="","",Q2695/'[1]LOCH Calc COE Calc'!$C$28)</f>
        <v/>
      </c>
      <c r="W2695" t="str">
        <f>IF(L2695="","",R2695/'[1]LOCH Calc COE Calc'!$C$28)</f>
        <v/>
      </c>
    </row>
    <row r="2696" spans="12:23" x14ac:dyDescent="0.25">
      <c r="L2696" s="4" t="str">
        <f>IF('[1]All Data '!BE2701="","",'[1]All Data '!BE2701)</f>
        <v/>
      </c>
      <c r="M2696" t="str">
        <f>IF('[1]All Data '!BF2701="","",'[1]All Data '!BF2701)</f>
        <v/>
      </c>
      <c r="N2696" s="5" t="str">
        <f>IF('[1]All Data '!BB2701="","",'[1]All Data '!BC2701/'[1]All Data '!BH2701)</f>
        <v/>
      </c>
      <c r="O2696" s="5" t="str">
        <f t="shared" si="44"/>
        <v/>
      </c>
      <c r="P2696" s="5" t="str">
        <f>IF(M2696="","",$C$2*(1-L2696)*907.2/0.621371*N2696*[1]Transportation!$M$40)</f>
        <v/>
      </c>
      <c r="Q2696" s="5" t="str">
        <f>IF(L2696="","",IF([1]Inputs_Outputs!$B$5="Herbaceous",(LCA!$E$29*'[1]LOCH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6" s="5" t="str">
        <f>IF(M2696="","",$E$2*1000*'[1]LOCH Calc COE Calc'!$C$44)</f>
        <v/>
      </c>
      <c r="S2696" s="6" t="str">
        <f>IF(N2696="","",SUM(O2696:R2696)/('[1]LOCH Calc COE Calc'!$C$28))</f>
        <v/>
      </c>
      <c r="T2696" t="str">
        <f>IF(L2696="","",O2696/'[1]LOCH Calc COE Calc'!$C$28)</f>
        <v/>
      </c>
      <c r="U2696" t="str">
        <f>IF(L2696="","",P2696/'[1]LOCH Calc COE Calc'!$C$28)</f>
        <v/>
      </c>
      <c r="V2696" t="str">
        <f>IF(L2696="","",Q2696/'[1]LOCH Calc COE Calc'!$C$28)</f>
        <v/>
      </c>
      <c r="W2696" t="str">
        <f>IF(L2696="","",R2696/'[1]LOCH Calc COE Calc'!$C$28)</f>
        <v/>
      </c>
    </row>
    <row r="2697" spans="12:23" x14ac:dyDescent="0.25">
      <c r="L2697" s="4" t="str">
        <f>IF('[1]All Data '!BE2702="","",'[1]All Data '!BE2702)</f>
        <v/>
      </c>
      <c r="M2697" t="str">
        <f>IF('[1]All Data '!BF2702="","",'[1]All Data '!BF2702)</f>
        <v/>
      </c>
      <c r="N2697" s="5" t="str">
        <f>IF('[1]All Data '!BB2702="","",'[1]All Data '!BC2702/'[1]All Data '!BH2702)</f>
        <v/>
      </c>
      <c r="O2697" s="5" t="str">
        <f t="shared" si="44"/>
        <v/>
      </c>
      <c r="P2697" s="5" t="str">
        <f>IF(M2697="","",$C$2*(1-L2697)*907.2/0.621371*N2697*[1]Transportation!$M$40)</f>
        <v/>
      </c>
      <c r="Q2697" s="5" t="str">
        <f>IF(L2697="","",IF([1]Inputs_Outputs!$B$5="Herbaceous",(LCA!$E$29*'[1]LOCH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7" s="5" t="str">
        <f>IF(M2697="","",$E$2*1000*'[1]LOCH Calc COE Calc'!$C$44)</f>
        <v/>
      </c>
      <c r="S2697" s="6" t="str">
        <f>IF(N2697="","",SUM(O2697:R2697)/('[1]LOCH Calc COE Calc'!$C$28))</f>
        <v/>
      </c>
      <c r="T2697" t="str">
        <f>IF(L2697="","",O2697/'[1]LOCH Calc COE Calc'!$C$28)</f>
        <v/>
      </c>
      <c r="U2697" t="str">
        <f>IF(L2697="","",P2697/'[1]LOCH Calc COE Calc'!$C$28)</f>
        <v/>
      </c>
      <c r="V2697" t="str">
        <f>IF(L2697="","",Q2697/'[1]LOCH Calc COE Calc'!$C$28)</f>
        <v/>
      </c>
      <c r="W2697" t="str">
        <f>IF(L2697="","",R2697/'[1]LOCH Calc COE Calc'!$C$28)</f>
        <v/>
      </c>
    </row>
    <row r="2698" spans="12:23" x14ac:dyDescent="0.25">
      <c r="L2698" s="4" t="str">
        <f>IF('[1]All Data '!BE2703="","",'[1]All Data '!BE2703)</f>
        <v/>
      </c>
      <c r="M2698" t="str">
        <f>IF('[1]All Data '!BF2703="","",'[1]All Data '!BF2703)</f>
        <v/>
      </c>
      <c r="N2698" s="5" t="str">
        <f>IF('[1]All Data '!BB2703="","",'[1]All Data '!BC2703/'[1]All Data '!BH2703)</f>
        <v/>
      </c>
      <c r="O2698" s="5" t="str">
        <f t="shared" si="44"/>
        <v/>
      </c>
      <c r="P2698" s="5" t="str">
        <f>IF(M2698="","",$C$2*(1-L2698)*907.2/0.621371*N2698*[1]Transportation!$M$40)</f>
        <v/>
      </c>
      <c r="Q2698" s="5" t="str">
        <f>IF(L2698="","",IF([1]Inputs_Outputs!$B$5="Herbaceous",(LCA!$E$29*'[1]LOCH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8" s="5" t="str">
        <f>IF(M2698="","",$E$2*1000*'[1]LOCH Calc COE Calc'!$C$44)</f>
        <v/>
      </c>
      <c r="S2698" s="6" t="str">
        <f>IF(N2698="","",SUM(O2698:R2698)/('[1]LOCH Calc COE Calc'!$C$28))</f>
        <v/>
      </c>
      <c r="T2698" t="str">
        <f>IF(L2698="","",O2698/'[1]LOCH Calc COE Calc'!$C$28)</f>
        <v/>
      </c>
      <c r="U2698" t="str">
        <f>IF(L2698="","",P2698/'[1]LOCH Calc COE Calc'!$C$28)</f>
        <v/>
      </c>
      <c r="V2698" t="str">
        <f>IF(L2698="","",Q2698/'[1]LOCH Calc COE Calc'!$C$28)</f>
        <v/>
      </c>
      <c r="W2698" t="str">
        <f>IF(L2698="","",R2698/'[1]LOCH Calc COE Calc'!$C$28)</f>
        <v/>
      </c>
    </row>
    <row r="2699" spans="12:23" x14ac:dyDescent="0.25">
      <c r="L2699" s="4" t="str">
        <f>IF('[1]All Data '!BE2704="","",'[1]All Data '!BE2704)</f>
        <v/>
      </c>
      <c r="M2699" t="str">
        <f>IF('[1]All Data '!BF2704="","",'[1]All Data '!BF2704)</f>
        <v/>
      </c>
      <c r="N2699" s="5" t="str">
        <f>IF('[1]All Data '!BB2704="","",'[1]All Data '!BC2704/'[1]All Data '!BH2704)</f>
        <v/>
      </c>
      <c r="O2699" s="5" t="str">
        <f t="shared" si="44"/>
        <v/>
      </c>
      <c r="P2699" s="5" t="str">
        <f>IF(M2699="","",$C$2*(1-L2699)*907.2/0.621371*N2699*[1]Transportation!$M$40)</f>
        <v/>
      </c>
      <c r="Q2699" s="5" t="str">
        <f>IF(L2699="","",IF([1]Inputs_Outputs!$B$5="Herbaceous",(LCA!$E$29*'[1]LOCH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699" s="5" t="str">
        <f>IF(M2699="","",$E$2*1000*'[1]LOCH Calc COE Calc'!$C$44)</f>
        <v/>
      </c>
      <c r="S2699" s="6" t="str">
        <f>IF(N2699="","",SUM(O2699:R2699)/('[1]LOCH Calc COE Calc'!$C$28))</f>
        <v/>
      </c>
      <c r="T2699" t="str">
        <f>IF(L2699="","",O2699/'[1]LOCH Calc COE Calc'!$C$28)</f>
        <v/>
      </c>
      <c r="U2699" t="str">
        <f>IF(L2699="","",P2699/'[1]LOCH Calc COE Calc'!$C$28)</f>
        <v/>
      </c>
      <c r="V2699" t="str">
        <f>IF(L2699="","",Q2699/'[1]LOCH Calc COE Calc'!$C$28)</f>
        <v/>
      </c>
      <c r="W2699" t="str">
        <f>IF(L2699="","",R2699/'[1]LOCH Calc COE Calc'!$C$28)</f>
        <v/>
      </c>
    </row>
    <row r="2700" spans="12:23" x14ac:dyDescent="0.25">
      <c r="L2700" s="4" t="str">
        <f>IF('[1]All Data '!BE2705="","",'[1]All Data '!BE2705)</f>
        <v/>
      </c>
      <c r="M2700" t="str">
        <f>IF('[1]All Data '!BF2705="","",'[1]All Data '!BF2705)</f>
        <v/>
      </c>
      <c r="N2700" s="5" t="str">
        <f>IF('[1]All Data '!BB2705="","",'[1]All Data '!BC2705/'[1]All Data '!BH2705)</f>
        <v/>
      </c>
      <c r="O2700" s="5" t="str">
        <f t="shared" si="44"/>
        <v/>
      </c>
      <c r="P2700" s="5" t="str">
        <f>IF(M2700="","",$C$2*(1-L2700)*907.2/0.621371*N2700*[1]Transportation!$M$40)</f>
        <v/>
      </c>
      <c r="Q2700" s="5" t="str">
        <f>IF(L2700="","",IF([1]Inputs_Outputs!$B$5="Herbaceous",(LCA!$E$29*'[1]LOCH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0" s="5" t="str">
        <f>IF(M2700="","",$E$2*1000*'[1]LOCH Calc COE Calc'!$C$44)</f>
        <v/>
      </c>
      <c r="S2700" s="6" t="str">
        <f>IF(N2700="","",SUM(O2700:R2700)/('[1]LOCH Calc COE Calc'!$C$28))</f>
        <v/>
      </c>
      <c r="T2700" t="str">
        <f>IF(L2700="","",O2700/'[1]LOCH Calc COE Calc'!$C$28)</f>
        <v/>
      </c>
      <c r="U2700" t="str">
        <f>IF(L2700="","",P2700/'[1]LOCH Calc COE Calc'!$C$28)</f>
        <v/>
      </c>
      <c r="V2700" t="str">
        <f>IF(L2700="","",Q2700/'[1]LOCH Calc COE Calc'!$C$28)</f>
        <v/>
      </c>
      <c r="W2700" t="str">
        <f>IF(L2700="","",R2700/'[1]LOCH Calc COE Calc'!$C$28)</f>
        <v/>
      </c>
    </row>
    <row r="2701" spans="12:23" x14ac:dyDescent="0.25">
      <c r="L2701" s="4" t="str">
        <f>IF('[1]All Data '!BE2706="","",'[1]All Data '!BE2706)</f>
        <v/>
      </c>
      <c r="M2701" t="str">
        <f>IF('[1]All Data '!BF2706="","",'[1]All Data '!BF2706)</f>
        <v/>
      </c>
      <c r="N2701" s="5" t="str">
        <f>IF('[1]All Data '!BB2706="","",'[1]All Data '!BC2706/'[1]All Data '!BH2706)</f>
        <v/>
      </c>
      <c r="O2701" s="5" t="str">
        <f t="shared" si="44"/>
        <v/>
      </c>
      <c r="P2701" s="5" t="str">
        <f>IF(M2701="","",$C$2*(1-L2701)*907.2/0.621371*N2701*[1]Transportation!$M$40)</f>
        <v/>
      </c>
      <c r="Q2701" s="5" t="str">
        <f>IF(L2701="","",IF([1]Inputs_Outputs!$B$5="Herbaceous",(LCA!$E$29*'[1]LOCH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1" s="5" t="str">
        <f>IF(M2701="","",$E$2*1000*'[1]LOCH Calc COE Calc'!$C$44)</f>
        <v/>
      </c>
      <c r="S2701" s="6" t="str">
        <f>IF(N2701="","",SUM(O2701:R2701)/('[1]LOCH Calc COE Calc'!$C$28))</f>
        <v/>
      </c>
      <c r="T2701" t="str">
        <f>IF(L2701="","",O2701/'[1]LOCH Calc COE Calc'!$C$28)</f>
        <v/>
      </c>
      <c r="U2701" t="str">
        <f>IF(L2701="","",P2701/'[1]LOCH Calc COE Calc'!$C$28)</f>
        <v/>
      </c>
      <c r="V2701" t="str">
        <f>IF(L2701="","",Q2701/'[1]LOCH Calc COE Calc'!$C$28)</f>
        <v/>
      </c>
      <c r="W2701" t="str">
        <f>IF(L2701="","",R2701/'[1]LOCH Calc COE Calc'!$C$28)</f>
        <v/>
      </c>
    </row>
    <row r="2702" spans="12:23" x14ac:dyDescent="0.25">
      <c r="L2702" s="4" t="str">
        <f>IF('[1]All Data '!BE2707="","",'[1]All Data '!BE2707)</f>
        <v/>
      </c>
      <c r="M2702" t="str">
        <f>IF('[1]All Data '!BF2707="","",'[1]All Data '!BF2707)</f>
        <v/>
      </c>
      <c r="N2702" s="5" t="str">
        <f>IF('[1]All Data '!BB2707="","",'[1]All Data '!BC2707/'[1]All Data '!BH2707)</f>
        <v/>
      </c>
      <c r="O2702" s="5" t="str">
        <f t="shared" si="44"/>
        <v/>
      </c>
      <c r="P2702" s="5" t="str">
        <f>IF(M2702="","",$C$2*(1-L2702)*907.2/0.621371*N2702*[1]Transportation!$M$40)</f>
        <v/>
      </c>
      <c r="Q2702" s="5" t="str">
        <f>IF(L2702="","",IF([1]Inputs_Outputs!$B$5="Herbaceous",(LCA!$E$29*'[1]LOCH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2" s="5" t="str">
        <f>IF(M2702="","",$E$2*1000*'[1]LOCH Calc COE Calc'!$C$44)</f>
        <v/>
      </c>
      <c r="S2702" s="6" t="str">
        <f>IF(N2702="","",SUM(O2702:R2702)/('[1]LOCH Calc COE Calc'!$C$28))</f>
        <v/>
      </c>
      <c r="T2702" t="str">
        <f>IF(L2702="","",O2702/'[1]LOCH Calc COE Calc'!$C$28)</f>
        <v/>
      </c>
      <c r="U2702" t="str">
        <f>IF(L2702="","",P2702/'[1]LOCH Calc COE Calc'!$C$28)</f>
        <v/>
      </c>
      <c r="V2702" t="str">
        <f>IF(L2702="","",Q2702/'[1]LOCH Calc COE Calc'!$C$28)</f>
        <v/>
      </c>
      <c r="W2702" t="str">
        <f>IF(L2702="","",R2702/'[1]LOCH Calc COE Calc'!$C$28)</f>
        <v/>
      </c>
    </row>
    <row r="2703" spans="12:23" x14ac:dyDescent="0.25">
      <c r="L2703" s="4" t="str">
        <f>IF('[1]All Data '!BE2708="","",'[1]All Data '!BE2708)</f>
        <v/>
      </c>
      <c r="M2703" t="str">
        <f>IF('[1]All Data '!BF2708="","",'[1]All Data '!BF2708)</f>
        <v/>
      </c>
      <c r="N2703" s="5" t="str">
        <f>IF('[1]All Data '!BB2708="","",'[1]All Data '!BC2708/'[1]All Data '!BH2708)</f>
        <v/>
      </c>
      <c r="O2703" s="5" t="str">
        <f t="shared" si="44"/>
        <v/>
      </c>
      <c r="P2703" s="5" t="str">
        <f>IF(M2703="","",$C$2*(1-L2703)*907.2/0.621371*N2703*[1]Transportation!$M$40)</f>
        <v/>
      </c>
      <c r="Q2703" s="5" t="str">
        <f>IF(L2703="","",IF([1]Inputs_Outputs!$B$5="Herbaceous",(LCA!$E$29*'[1]LOCH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3" s="5" t="str">
        <f>IF(M2703="","",$E$2*1000*'[1]LOCH Calc COE Calc'!$C$44)</f>
        <v/>
      </c>
      <c r="S2703" s="6" t="str">
        <f>IF(N2703="","",SUM(O2703:R2703)/('[1]LOCH Calc COE Calc'!$C$28))</f>
        <v/>
      </c>
      <c r="T2703" t="str">
        <f>IF(L2703="","",O2703/'[1]LOCH Calc COE Calc'!$C$28)</f>
        <v/>
      </c>
      <c r="U2703" t="str">
        <f>IF(L2703="","",P2703/'[1]LOCH Calc COE Calc'!$C$28)</f>
        <v/>
      </c>
      <c r="V2703" t="str">
        <f>IF(L2703="","",Q2703/'[1]LOCH Calc COE Calc'!$C$28)</f>
        <v/>
      </c>
      <c r="W2703" t="str">
        <f>IF(L2703="","",R2703/'[1]LOCH Calc COE Calc'!$C$28)</f>
        <v/>
      </c>
    </row>
    <row r="2704" spans="12:23" x14ac:dyDescent="0.25">
      <c r="L2704" s="4" t="str">
        <f>IF('[1]All Data '!BE2709="","",'[1]All Data '!BE2709)</f>
        <v/>
      </c>
      <c r="M2704" t="str">
        <f>IF('[1]All Data '!BF2709="","",'[1]All Data '!BF2709)</f>
        <v/>
      </c>
      <c r="N2704" s="5" t="str">
        <f>IF('[1]All Data '!BB2709="","",'[1]All Data '!BC2709/'[1]All Data '!BH2709)</f>
        <v/>
      </c>
      <c r="O2704" s="5" t="str">
        <f t="shared" si="44"/>
        <v/>
      </c>
      <c r="P2704" s="5" t="str">
        <f>IF(M2704="","",$C$2*(1-L2704)*907.2/0.621371*N2704*[1]Transportation!$M$40)</f>
        <v/>
      </c>
      <c r="Q2704" s="5" t="str">
        <f>IF(L2704="","",IF([1]Inputs_Outputs!$B$5="Herbaceous",(LCA!$E$29*'[1]LOCH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4" s="5" t="str">
        <f>IF(M2704="","",$E$2*1000*'[1]LOCH Calc COE Calc'!$C$44)</f>
        <v/>
      </c>
      <c r="S2704" s="6" t="str">
        <f>IF(N2704="","",SUM(O2704:R2704)/('[1]LOCH Calc COE Calc'!$C$28))</f>
        <v/>
      </c>
      <c r="T2704" t="str">
        <f>IF(L2704="","",O2704/'[1]LOCH Calc COE Calc'!$C$28)</f>
        <v/>
      </c>
      <c r="U2704" t="str">
        <f>IF(L2704="","",P2704/'[1]LOCH Calc COE Calc'!$C$28)</f>
        <v/>
      </c>
      <c r="V2704" t="str">
        <f>IF(L2704="","",Q2704/'[1]LOCH Calc COE Calc'!$C$28)</f>
        <v/>
      </c>
      <c r="W2704" t="str">
        <f>IF(L2704="","",R2704/'[1]LOCH Calc COE Calc'!$C$28)</f>
        <v/>
      </c>
    </row>
    <row r="2705" spans="12:23" x14ac:dyDescent="0.25">
      <c r="L2705" s="4" t="str">
        <f>IF('[1]All Data '!BE2710="","",'[1]All Data '!BE2710)</f>
        <v/>
      </c>
      <c r="M2705" t="str">
        <f>IF('[1]All Data '!BF2710="","",'[1]All Data '!BF2710)</f>
        <v/>
      </c>
      <c r="N2705" s="5" t="str">
        <f>IF('[1]All Data '!BB2710="","",'[1]All Data '!BC2710/'[1]All Data '!BH2710)</f>
        <v/>
      </c>
      <c r="O2705" s="5" t="str">
        <f t="shared" si="44"/>
        <v/>
      </c>
      <c r="P2705" s="5" t="str">
        <f>IF(M2705="","",$C$2*(1-L2705)*907.2/0.621371*N2705*[1]Transportation!$M$40)</f>
        <v/>
      </c>
      <c r="Q2705" s="5" t="str">
        <f>IF(L2705="","",IF([1]Inputs_Outputs!$B$5="Herbaceous",(LCA!$E$29*'[1]LOCH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5" s="5" t="str">
        <f>IF(M2705="","",$E$2*1000*'[1]LOCH Calc COE Calc'!$C$44)</f>
        <v/>
      </c>
      <c r="S2705" s="6" t="str">
        <f>IF(N2705="","",SUM(O2705:R2705)/('[1]LOCH Calc COE Calc'!$C$28))</f>
        <v/>
      </c>
      <c r="T2705" t="str">
        <f>IF(L2705="","",O2705/'[1]LOCH Calc COE Calc'!$C$28)</f>
        <v/>
      </c>
      <c r="U2705" t="str">
        <f>IF(L2705="","",P2705/'[1]LOCH Calc COE Calc'!$C$28)</f>
        <v/>
      </c>
      <c r="V2705" t="str">
        <f>IF(L2705="","",Q2705/'[1]LOCH Calc COE Calc'!$C$28)</f>
        <v/>
      </c>
      <c r="W2705" t="str">
        <f>IF(L2705="","",R2705/'[1]LOCH Calc COE Calc'!$C$28)</f>
        <v/>
      </c>
    </row>
    <row r="2706" spans="12:23" x14ac:dyDescent="0.25">
      <c r="L2706" s="4" t="str">
        <f>IF('[1]All Data '!BE2711="","",'[1]All Data '!BE2711)</f>
        <v/>
      </c>
      <c r="M2706" t="str">
        <f>IF('[1]All Data '!BF2711="","",'[1]All Data '!BF2711)</f>
        <v/>
      </c>
      <c r="N2706" s="5" t="str">
        <f>IF('[1]All Data '!BB2711="","",'[1]All Data '!BC2711/'[1]All Data '!BH2711)</f>
        <v/>
      </c>
      <c r="O2706" s="5" t="str">
        <f t="shared" si="44"/>
        <v/>
      </c>
      <c r="P2706" s="5" t="str">
        <f>IF(M2706="","",$C$2*(1-L2706)*907.2/0.621371*N2706*[1]Transportation!$M$40)</f>
        <v/>
      </c>
      <c r="Q2706" s="5" t="str">
        <f>IF(L2706="","",IF([1]Inputs_Outputs!$B$5="Herbaceous",(LCA!$E$29*'[1]LOCH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6" s="5" t="str">
        <f>IF(M2706="","",$E$2*1000*'[1]LOCH Calc COE Calc'!$C$44)</f>
        <v/>
      </c>
      <c r="S2706" s="6" t="str">
        <f>IF(N2706="","",SUM(O2706:R2706)/('[1]LOCH Calc COE Calc'!$C$28))</f>
        <v/>
      </c>
      <c r="T2706" t="str">
        <f>IF(L2706="","",O2706/'[1]LOCH Calc COE Calc'!$C$28)</f>
        <v/>
      </c>
      <c r="U2706" t="str">
        <f>IF(L2706="","",P2706/'[1]LOCH Calc COE Calc'!$C$28)</f>
        <v/>
      </c>
      <c r="V2706" t="str">
        <f>IF(L2706="","",Q2706/'[1]LOCH Calc COE Calc'!$C$28)</f>
        <v/>
      </c>
      <c r="W2706" t="str">
        <f>IF(L2706="","",R2706/'[1]LOCH Calc COE Calc'!$C$28)</f>
        <v/>
      </c>
    </row>
    <row r="2707" spans="12:23" x14ac:dyDescent="0.25">
      <c r="L2707" s="4" t="str">
        <f>IF('[1]All Data '!BE2712="","",'[1]All Data '!BE2712)</f>
        <v/>
      </c>
      <c r="M2707" t="str">
        <f>IF('[1]All Data '!BF2712="","",'[1]All Data '!BF2712)</f>
        <v/>
      </c>
      <c r="N2707" s="5" t="str">
        <f>IF('[1]All Data '!BB2712="","",'[1]All Data '!BC2712/'[1]All Data '!BH2712)</f>
        <v/>
      </c>
      <c r="O2707" s="5" t="str">
        <f t="shared" si="44"/>
        <v/>
      </c>
      <c r="P2707" s="5" t="str">
        <f>IF(M2707="","",$C$2*(1-L2707)*907.2/0.621371*N2707*[1]Transportation!$M$40)</f>
        <v/>
      </c>
      <c r="Q2707" s="5" t="str">
        <f>IF(L2707="","",IF([1]Inputs_Outputs!$B$5="Herbaceous",(LCA!$E$29*'[1]LOCH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7" s="5" t="str">
        <f>IF(M2707="","",$E$2*1000*'[1]LOCH Calc COE Calc'!$C$44)</f>
        <v/>
      </c>
      <c r="S2707" s="6" t="str">
        <f>IF(N2707="","",SUM(O2707:R2707)/('[1]LOCH Calc COE Calc'!$C$28))</f>
        <v/>
      </c>
      <c r="T2707" t="str">
        <f>IF(L2707="","",O2707/'[1]LOCH Calc COE Calc'!$C$28)</f>
        <v/>
      </c>
      <c r="U2707" t="str">
        <f>IF(L2707="","",P2707/'[1]LOCH Calc COE Calc'!$C$28)</f>
        <v/>
      </c>
      <c r="V2707" t="str">
        <f>IF(L2707="","",Q2707/'[1]LOCH Calc COE Calc'!$C$28)</f>
        <v/>
      </c>
      <c r="W2707" t="str">
        <f>IF(L2707="","",R2707/'[1]LOCH Calc COE Calc'!$C$28)</f>
        <v/>
      </c>
    </row>
    <row r="2708" spans="12:23" x14ac:dyDescent="0.25">
      <c r="L2708" s="4" t="str">
        <f>IF('[1]All Data '!BE2713="","",'[1]All Data '!BE2713)</f>
        <v/>
      </c>
      <c r="M2708" t="str">
        <f>IF('[1]All Data '!BF2713="","",'[1]All Data '!BF2713)</f>
        <v/>
      </c>
      <c r="N2708" s="5" t="str">
        <f>IF('[1]All Data '!BB2713="","",'[1]All Data '!BC2713/'[1]All Data '!BH2713)</f>
        <v/>
      </c>
      <c r="O2708" s="5" t="str">
        <f t="shared" si="44"/>
        <v/>
      </c>
      <c r="P2708" s="5" t="str">
        <f>IF(M2708="","",$C$2*(1-L2708)*907.2/0.621371*N2708*[1]Transportation!$M$40)</f>
        <v/>
      </c>
      <c r="Q2708" s="5" t="str">
        <f>IF(L2708="","",IF([1]Inputs_Outputs!$B$5="Herbaceous",(LCA!$E$29*'[1]LOCH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8" s="5" t="str">
        <f>IF(M2708="","",$E$2*1000*'[1]LOCH Calc COE Calc'!$C$44)</f>
        <v/>
      </c>
      <c r="S2708" s="6" t="str">
        <f>IF(N2708="","",SUM(O2708:R2708)/('[1]LOCH Calc COE Calc'!$C$28))</f>
        <v/>
      </c>
      <c r="T2708" t="str">
        <f>IF(L2708="","",O2708/'[1]LOCH Calc COE Calc'!$C$28)</f>
        <v/>
      </c>
      <c r="U2708" t="str">
        <f>IF(L2708="","",P2708/'[1]LOCH Calc COE Calc'!$C$28)</f>
        <v/>
      </c>
      <c r="V2708" t="str">
        <f>IF(L2708="","",Q2708/'[1]LOCH Calc COE Calc'!$C$28)</f>
        <v/>
      </c>
      <c r="W2708" t="str">
        <f>IF(L2708="","",R2708/'[1]LOCH Calc COE Calc'!$C$28)</f>
        <v/>
      </c>
    </row>
    <row r="2709" spans="12:23" x14ac:dyDescent="0.25">
      <c r="L2709" s="4" t="str">
        <f>IF('[1]All Data '!BE2714="","",'[1]All Data '!BE2714)</f>
        <v/>
      </c>
      <c r="M2709" t="str">
        <f>IF('[1]All Data '!BF2714="","",'[1]All Data '!BF2714)</f>
        <v/>
      </c>
      <c r="N2709" s="5" t="str">
        <f>IF('[1]All Data '!BB2714="","",'[1]All Data '!BC2714/'[1]All Data '!BH2714)</f>
        <v/>
      </c>
      <c r="O2709" s="5" t="str">
        <f t="shared" si="44"/>
        <v/>
      </c>
      <c r="P2709" s="5" t="str">
        <f>IF(M2709="","",$C$2*(1-L2709)*907.2/0.621371*N2709*[1]Transportation!$M$40)</f>
        <v/>
      </c>
      <c r="Q2709" s="5" t="str">
        <f>IF(L2709="","",IF([1]Inputs_Outputs!$B$5="Herbaceous",(LCA!$E$29*'[1]LOCH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09" s="5" t="str">
        <f>IF(M2709="","",$E$2*1000*'[1]LOCH Calc COE Calc'!$C$44)</f>
        <v/>
      </c>
      <c r="S2709" s="6" t="str">
        <f>IF(N2709="","",SUM(O2709:R2709)/('[1]LOCH Calc COE Calc'!$C$28))</f>
        <v/>
      </c>
      <c r="T2709" t="str">
        <f>IF(L2709="","",O2709/'[1]LOCH Calc COE Calc'!$C$28)</f>
        <v/>
      </c>
      <c r="U2709" t="str">
        <f>IF(L2709="","",P2709/'[1]LOCH Calc COE Calc'!$C$28)</f>
        <v/>
      </c>
      <c r="V2709" t="str">
        <f>IF(L2709="","",Q2709/'[1]LOCH Calc COE Calc'!$C$28)</f>
        <v/>
      </c>
      <c r="W2709" t="str">
        <f>IF(L2709="","",R2709/'[1]LOCH Calc COE Calc'!$C$28)</f>
        <v/>
      </c>
    </row>
    <row r="2710" spans="12:23" x14ac:dyDescent="0.25">
      <c r="L2710" s="4" t="str">
        <f>IF('[1]All Data '!BE2715="","",'[1]All Data '!BE2715)</f>
        <v/>
      </c>
      <c r="M2710" t="str">
        <f>IF('[1]All Data '!BF2715="","",'[1]All Data '!BF2715)</f>
        <v/>
      </c>
      <c r="N2710" s="5" t="str">
        <f>IF('[1]All Data '!BB2715="","",'[1]All Data '!BC2715/'[1]All Data '!BH2715)</f>
        <v/>
      </c>
      <c r="O2710" s="5" t="str">
        <f t="shared" si="44"/>
        <v/>
      </c>
      <c r="P2710" s="5" t="str">
        <f>IF(M2710="","",$C$2*(1-L2710)*907.2/0.621371*N2710*[1]Transportation!$M$40)</f>
        <v/>
      </c>
      <c r="Q2710" s="5" t="str">
        <f>IF(L2710="","",IF([1]Inputs_Outputs!$B$5="Herbaceous",(LCA!$E$29*'[1]LOCH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0" s="5" t="str">
        <f>IF(M2710="","",$E$2*1000*'[1]LOCH Calc COE Calc'!$C$44)</f>
        <v/>
      </c>
      <c r="S2710" s="6" t="str">
        <f>IF(N2710="","",SUM(O2710:R2710)/('[1]LOCH Calc COE Calc'!$C$28))</f>
        <v/>
      </c>
      <c r="T2710" t="str">
        <f>IF(L2710="","",O2710/'[1]LOCH Calc COE Calc'!$C$28)</f>
        <v/>
      </c>
      <c r="U2710" t="str">
        <f>IF(L2710="","",P2710/'[1]LOCH Calc COE Calc'!$C$28)</f>
        <v/>
      </c>
      <c r="V2710" t="str">
        <f>IF(L2710="","",Q2710/'[1]LOCH Calc COE Calc'!$C$28)</f>
        <v/>
      </c>
      <c r="W2710" t="str">
        <f>IF(L2710="","",R2710/'[1]LOCH Calc COE Calc'!$C$28)</f>
        <v/>
      </c>
    </row>
    <row r="2711" spans="12:23" x14ac:dyDescent="0.25">
      <c r="L2711" s="4" t="str">
        <f>IF('[1]All Data '!BE2716="","",'[1]All Data '!BE2716)</f>
        <v/>
      </c>
      <c r="M2711" t="str">
        <f>IF('[1]All Data '!BF2716="","",'[1]All Data '!BF2716)</f>
        <v/>
      </c>
      <c r="N2711" s="5" t="str">
        <f>IF('[1]All Data '!BB2716="","",'[1]All Data '!BC2716/'[1]All Data '!BH2716)</f>
        <v/>
      </c>
      <c r="O2711" s="5" t="str">
        <f t="shared" si="44"/>
        <v/>
      </c>
      <c r="P2711" s="5" t="str">
        <f>IF(M2711="","",$C$2*(1-L2711)*907.2/0.621371*N2711*[1]Transportation!$M$40)</f>
        <v/>
      </c>
      <c r="Q2711" s="5" t="str">
        <f>IF(L2711="","",IF([1]Inputs_Outputs!$B$5="Herbaceous",(LCA!$E$29*'[1]LOCH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1" s="5" t="str">
        <f>IF(M2711="","",$E$2*1000*'[1]LOCH Calc COE Calc'!$C$44)</f>
        <v/>
      </c>
      <c r="S2711" s="6" t="str">
        <f>IF(N2711="","",SUM(O2711:R2711)/('[1]LOCH Calc COE Calc'!$C$28))</f>
        <v/>
      </c>
      <c r="T2711" t="str">
        <f>IF(L2711="","",O2711/'[1]LOCH Calc COE Calc'!$C$28)</f>
        <v/>
      </c>
      <c r="U2711" t="str">
        <f>IF(L2711="","",P2711/'[1]LOCH Calc COE Calc'!$C$28)</f>
        <v/>
      </c>
      <c r="V2711" t="str">
        <f>IF(L2711="","",Q2711/'[1]LOCH Calc COE Calc'!$C$28)</f>
        <v/>
      </c>
      <c r="W2711" t="str">
        <f>IF(L2711="","",R2711/'[1]LOCH Calc COE Calc'!$C$28)</f>
        <v/>
      </c>
    </row>
    <row r="2712" spans="12:23" x14ac:dyDescent="0.25">
      <c r="L2712" s="4" t="str">
        <f>IF('[1]All Data '!BE2717="","",'[1]All Data '!BE2717)</f>
        <v/>
      </c>
      <c r="M2712" t="str">
        <f>IF('[1]All Data '!BF2717="","",'[1]All Data '!BF2717)</f>
        <v/>
      </c>
      <c r="N2712" s="5" t="str">
        <f>IF('[1]All Data '!BB2717="","",'[1]All Data '!BC2717/'[1]All Data '!BH2717)</f>
        <v/>
      </c>
      <c r="O2712" s="5" t="str">
        <f t="shared" si="44"/>
        <v/>
      </c>
      <c r="P2712" s="5" t="str">
        <f>IF(M2712="","",$C$2*(1-L2712)*907.2/0.621371*N2712*[1]Transportation!$M$40)</f>
        <v/>
      </c>
      <c r="Q2712" s="5" t="str">
        <f>IF(L2712="","",IF([1]Inputs_Outputs!$B$5="Herbaceous",(LCA!$E$29*'[1]LOCH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2" s="5" t="str">
        <f>IF(M2712="","",$E$2*1000*'[1]LOCH Calc COE Calc'!$C$44)</f>
        <v/>
      </c>
      <c r="S2712" s="6" t="str">
        <f>IF(N2712="","",SUM(O2712:R2712)/('[1]LOCH Calc COE Calc'!$C$28))</f>
        <v/>
      </c>
      <c r="T2712" t="str">
        <f>IF(L2712="","",O2712/'[1]LOCH Calc COE Calc'!$C$28)</f>
        <v/>
      </c>
      <c r="U2712" t="str">
        <f>IF(L2712="","",P2712/'[1]LOCH Calc COE Calc'!$C$28)</f>
        <v/>
      </c>
      <c r="V2712" t="str">
        <f>IF(L2712="","",Q2712/'[1]LOCH Calc COE Calc'!$C$28)</f>
        <v/>
      </c>
      <c r="W2712" t="str">
        <f>IF(L2712="","",R2712/'[1]LOCH Calc COE Calc'!$C$28)</f>
        <v/>
      </c>
    </row>
    <row r="2713" spans="12:23" x14ac:dyDescent="0.25">
      <c r="L2713" s="4" t="str">
        <f>IF('[1]All Data '!BE2718="","",'[1]All Data '!BE2718)</f>
        <v/>
      </c>
      <c r="M2713" t="str">
        <f>IF('[1]All Data '!BF2718="","",'[1]All Data '!BF2718)</f>
        <v/>
      </c>
      <c r="N2713" s="5" t="str">
        <f>IF('[1]All Data '!BB2718="","",'[1]All Data '!BC2718/'[1]All Data '!BH2718)</f>
        <v/>
      </c>
      <c r="O2713" s="5" t="str">
        <f t="shared" si="44"/>
        <v/>
      </c>
      <c r="P2713" s="5" t="str">
        <f>IF(M2713="","",$C$2*(1-L2713)*907.2/0.621371*N2713*[1]Transportation!$M$40)</f>
        <v/>
      </c>
      <c r="Q2713" s="5" t="str">
        <f>IF(L2713="","",IF([1]Inputs_Outputs!$B$5="Herbaceous",(LCA!$E$29*'[1]LOCH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3" s="5" t="str">
        <f>IF(M2713="","",$E$2*1000*'[1]LOCH Calc COE Calc'!$C$44)</f>
        <v/>
      </c>
      <c r="S2713" s="6" t="str">
        <f>IF(N2713="","",SUM(O2713:R2713)/('[1]LOCH Calc COE Calc'!$C$28))</f>
        <v/>
      </c>
      <c r="T2713" t="str">
        <f>IF(L2713="","",O2713/'[1]LOCH Calc COE Calc'!$C$28)</f>
        <v/>
      </c>
      <c r="U2713" t="str">
        <f>IF(L2713="","",P2713/'[1]LOCH Calc COE Calc'!$C$28)</f>
        <v/>
      </c>
      <c r="V2713" t="str">
        <f>IF(L2713="","",Q2713/'[1]LOCH Calc COE Calc'!$C$28)</f>
        <v/>
      </c>
      <c r="W2713" t="str">
        <f>IF(L2713="","",R2713/'[1]LOCH Calc COE Calc'!$C$28)</f>
        <v/>
      </c>
    </row>
    <row r="2714" spans="12:23" x14ac:dyDescent="0.25">
      <c r="L2714" s="4" t="str">
        <f>IF('[1]All Data '!BE2719="","",'[1]All Data '!BE2719)</f>
        <v/>
      </c>
      <c r="M2714" t="str">
        <f>IF('[1]All Data '!BF2719="","",'[1]All Data '!BF2719)</f>
        <v/>
      </c>
      <c r="N2714" s="5" t="str">
        <f>IF('[1]All Data '!BB2719="","",'[1]All Data '!BC2719/'[1]All Data '!BH2719)</f>
        <v/>
      </c>
      <c r="O2714" s="5" t="str">
        <f t="shared" si="44"/>
        <v/>
      </c>
      <c r="P2714" s="5" t="str">
        <f>IF(M2714="","",$C$2*(1-L2714)*907.2/0.621371*N2714*[1]Transportation!$M$40)</f>
        <v/>
      </c>
      <c r="Q2714" s="5" t="str">
        <f>IF(L2714="","",IF([1]Inputs_Outputs!$B$5="Herbaceous",(LCA!$E$29*'[1]LOCH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4" s="5" t="str">
        <f>IF(M2714="","",$E$2*1000*'[1]LOCH Calc COE Calc'!$C$44)</f>
        <v/>
      </c>
      <c r="S2714" s="6" t="str">
        <f>IF(N2714="","",SUM(O2714:R2714)/('[1]LOCH Calc COE Calc'!$C$28))</f>
        <v/>
      </c>
      <c r="T2714" t="str">
        <f>IF(L2714="","",O2714/'[1]LOCH Calc COE Calc'!$C$28)</f>
        <v/>
      </c>
      <c r="U2714" t="str">
        <f>IF(L2714="","",P2714/'[1]LOCH Calc COE Calc'!$C$28)</f>
        <v/>
      </c>
      <c r="V2714" t="str">
        <f>IF(L2714="","",Q2714/'[1]LOCH Calc COE Calc'!$C$28)</f>
        <v/>
      </c>
      <c r="W2714" t="str">
        <f>IF(L2714="","",R2714/'[1]LOCH Calc COE Calc'!$C$28)</f>
        <v/>
      </c>
    </row>
    <row r="2715" spans="12:23" x14ac:dyDescent="0.25">
      <c r="L2715" s="4" t="str">
        <f>IF('[1]All Data '!BE2720="","",'[1]All Data '!BE2720)</f>
        <v/>
      </c>
      <c r="M2715" t="str">
        <f>IF('[1]All Data '!BF2720="","",'[1]All Data '!BF2720)</f>
        <v/>
      </c>
      <c r="N2715" s="5" t="str">
        <f>IF('[1]All Data '!BB2720="","",'[1]All Data '!BC2720/'[1]All Data '!BH2720)</f>
        <v/>
      </c>
      <c r="O2715" s="5" t="str">
        <f t="shared" si="44"/>
        <v/>
      </c>
      <c r="P2715" s="5" t="str">
        <f>IF(M2715="","",$C$2*(1-L2715)*907.2/0.621371*N2715*[1]Transportation!$M$40)</f>
        <v/>
      </c>
      <c r="Q2715" s="5" t="str">
        <f>IF(L2715="","",IF([1]Inputs_Outputs!$B$5="Herbaceous",(LCA!$E$29*'[1]LOCH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5" s="5" t="str">
        <f>IF(M2715="","",$E$2*1000*'[1]LOCH Calc COE Calc'!$C$44)</f>
        <v/>
      </c>
      <c r="S2715" s="6" t="str">
        <f>IF(N2715="","",SUM(O2715:R2715)/('[1]LOCH Calc COE Calc'!$C$28))</f>
        <v/>
      </c>
      <c r="T2715" t="str">
        <f>IF(L2715="","",O2715/'[1]LOCH Calc COE Calc'!$C$28)</f>
        <v/>
      </c>
      <c r="U2715" t="str">
        <f>IF(L2715="","",P2715/'[1]LOCH Calc COE Calc'!$C$28)</f>
        <v/>
      </c>
      <c r="V2715" t="str">
        <f>IF(L2715="","",Q2715/'[1]LOCH Calc COE Calc'!$C$28)</f>
        <v/>
      </c>
      <c r="W2715" t="str">
        <f>IF(L2715="","",R2715/'[1]LOCH Calc COE Calc'!$C$28)</f>
        <v/>
      </c>
    </row>
    <row r="2716" spans="12:23" x14ac:dyDescent="0.25">
      <c r="L2716" s="4" t="str">
        <f>IF('[1]All Data '!BE2721="","",'[1]All Data '!BE2721)</f>
        <v/>
      </c>
      <c r="M2716" t="str">
        <f>IF('[1]All Data '!BF2721="","",'[1]All Data '!BF2721)</f>
        <v/>
      </c>
      <c r="N2716" s="5" t="str">
        <f>IF('[1]All Data '!BB2721="","",'[1]All Data '!BC2721/'[1]All Data '!BH2721)</f>
        <v/>
      </c>
      <c r="O2716" s="5" t="str">
        <f t="shared" si="44"/>
        <v/>
      </c>
      <c r="P2716" s="5" t="str">
        <f>IF(M2716="","",$C$2*(1-L2716)*907.2/0.621371*N2716*[1]Transportation!$M$40)</f>
        <v/>
      </c>
      <c r="Q2716" s="5" t="str">
        <f>IF(L2716="","",IF([1]Inputs_Outputs!$B$5="Herbaceous",(LCA!$E$29*'[1]LOCH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6" s="5" t="str">
        <f>IF(M2716="","",$E$2*1000*'[1]LOCH Calc COE Calc'!$C$44)</f>
        <v/>
      </c>
      <c r="S2716" s="6" t="str">
        <f>IF(N2716="","",SUM(O2716:R2716)/('[1]LOCH Calc COE Calc'!$C$28))</f>
        <v/>
      </c>
      <c r="T2716" t="str">
        <f>IF(L2716="","",O2716/'[1]LOCH Calc COE Calc'!$C$28)</f>
        <v/>
      </c>
      <c r="U2716" t="str">
        <f>IF(L2716="","",P2716/'[1]LOCH Calc COE Calc'!$C$28)</f>
        <v/>
      </c>
      <c r="V2716" t="str">
        <f>IF(L2716="","",Q2716/'[1]LOCH Calc COE Calc'!$C$28)</f>
        <v/>
      </c>
      <c r="W2716" t="str">
        <f>IF(L2716="","",R2716/'[1]LOCH Calc COE Calc'!$C$28)</f>
        <v/>
      </c>
    </row>
    <row r="2717" spans="12:23" x14ac:dyDescent="0.25">
      <c r="L2717" s="4" t="str">
        <f>IF('[1]All Data '!BE2722="","",'[1]All Data '!BE2722)</f>
        <v/>
      </c>
      <c r="M2717" t="str">
        <f>IF('[1]All Data '!BF2722="","",'[1]All Data '!BF2722)</f>
        <v/>
      </c>
      <c r="N2717" s="5" t="str">
        <f>IF('[1]All Data '!BB2722="","",'[1]All Data '!BC2722/'[1]All Data '!BH2722)</f>
        <v/>
      </c>
      <c r="O2717" s="5" t="str">
        <f t="shared" si="44"/>
        <v/>
      </c>
      <c r="P2717" s="5" t="str">
        <f>IF(M2717="","",$C$2*(1-L2717)*907.2/0.621371*N2717*[1]Transportation!$M$40)</f>
        <v/>
      </c>
      <c r="Q2717" s="5" t="str">
        <f>IF(L2717="","",IF([1]Inputs_Outputs!$B$5="Herbaceous",(LCA!$E$29*'[1]LOCH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7" s="5" t="str">
        <f>IF(M2717="","",$E$2*1000*'[1]LOCH Calc COE Calc'!$C$44)</f>
        <v/>
      </c>
      <c r="S2717" s="6" t="str">
        <f>IF(N2717="","",SUM(O2717:R2717)/('[1]LOCH Calc COE Calc'!$C$28))</f>
        <v/>
      </c>
      <c r="T2717" t="str">
        <f>IF(L2717="","",O2717/'[1]LOCH Calc COE Calc'!$C$28)</f>
        <v/>
      </c>
      <c r="U2717" t="str">
        <f>IF(L2717="","",P2717/'[1]LOCH Calc COE Calc'!$C$28)</f>
        <v/>
      </c>
      <c r="V2717" t="str">
        <f>IF(L2717="","",Q2717/'[1]LOCH Calc COE Calc'!$C$28)</f>
        <v/>
      </c>
      <c r="W2717" t="str">
        <f>IF(L2717="","",R2717/'[1]LOCH Calc COE Calc'!$C$28)</f>
        <v/>
      </c>
    </row>
    <row r="2718" spans="12:23" x14ac:dyDescent="0.25">
      <c r="L2718" s="4" t="str">
        <f>IF('[1]All Data '!BE2723="","",'[1]All Data '!BE2723)</f>
        <v/>
      </c>
      <c r="M2718" t="str">
        <f>IF('[1]All Data '!BF2723="","",'[1]All Data '!BF2723)</f>
        <v/>
      </c>
      <c r="N2718" s="5" t="str">
        <f>IF('[1]All Data '!BB2723="","",'[1]All Data '!BC2723/'[1]All Data '!BH2723)</f>
        <v/>
      </c>
      <c r="O2718" s="5" t="str">
        <f t="shared" si="44"/>
        <v/>
      </c>
      <c r="P2718" s="5" t="str">
        <f>IF(M2718="","",$C$2*(1-L2718)*907.2/0.621371*N2718*[1]Transportation!$M$40)</f>
        <v/>
      </c>
      <c r="Q2718" s="5" t="str">
        <f>IF(L2718="","",IF([1]Inputs_Outputs!$B$5="Herbaceous",(LCA!$E$29*'[1]LOCH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8" s="5" t="str">
        <f>IF(M2718="","",$E$2*1000*'[1]LOCH Calc COE Calc'!$C$44)</f>
        <v/>
      </c>
      <c r="S2718" s="6" t="str">
        <f>IF(N2718="","",SUM(O2718:R2718)/('[1]LOCH Calc COE Calc'!$C$28))</f>
        <v/>
      </c>
      <c r="T2718" t="str">
        <f>IF(L2718="","",O2718/'[1]LOCH Calc COE Calc'!$C$28)</f>
        <v/>
      </c>
      <c r="U2718" t="str">
        <f>IF(L2718="","",P2718/'[1]LOCH Calc COE Calc'!$C$28)</f>
        <v/>
      </c>
      <c r="V2718" t="str">
        <f>IF(L2718="","",Q2718/'[1]LOCH Calc COE Calc'!$C$28)</f>
        <v/>
      </c>
      <c r="W2718" t="str">
        <f>IF(L2718="","",R2718/'[1]LOCH Calc COE Calc'!$C$28)</f>
        <v/>
      </c>
    </row>
    <row r="2719" spans="12:23" x14ac:dyDescent="0.25">
      <c r="L2719" s="4" t="str">
        <f>IF('[1]All Data '!BE2724="","",'[1]All Data '!BE2724)</f>
        <v/>
      </c>
      <c r="M2719" t="str">
        <f>IF('[1]All Data '!BF2724="","",'[1]All Data '!BF2724)</f>
        <v/>
      </c>
      <c r="N2719" s="5" t="str">
        <f>IF('[1]All Data '!BB2724="","",'[1]All Data '!BC2724/'[1]All Data '!BH2724)</f>
        <v/>
      </c>
      <c r="O2719" s="5" t="str">
        <f t="shared" si="44"/>
        <v/>
      </c>
      <c r="P2719" s="5" t="str">
        <f>IF(M2719="","",$C$2*(1-L2719)*907.2/0.621371*N2719*[1]Transportation!$M$40)</f>
        <v/>
      </c>
      <c r="Q2719" s="5" t="str">
        <f>IF(L2719="","",IF([1]Inputs_Outputs!$B$5="Herbaceous",(LCA!$E$29*'[1]LOCH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19" s="5" t="str">
        <f>IF(M2719="","",$E$2*1000*'[1]LOCH Calc COE Calc'!$C$44)</f>
        <v/>
      </c>
      <c r="S2719" s="6" t="str">
        <f>IF(N2719="","",SUM(O2719:R2719)/('[1]LOCH Calc COE Calc'!$C$28))</f>
        <v/>
      </c>
      <c r="T2719" t="str">
        <f>IF(L2719="","",O2719/'[1]LOCH Calc COE Calc'!$C$28)</f>
        <v/>
      </c>
      <c r="U2719" t="str">
        <f>IF(L2719="","",P2719/'[1]LOCH Calc COE Calc'!$C$28)</f>
        <v/>
      </c>
      <c r="V2719" t="str">
        <f>IF(L2719="","",Q2719/'[1]LOCH Calc COE Calc'!$C$28)</f>
        <v/>
      </c>
      <c r="W2719" t="str">
        <f>IF(L2719="","",R2719/'[1]LOCH Calc COE Calc'!$C$28)</f>
        <v/>
      </c>
    </row>
    <row r="2720" spans="12:23" x14ac:dyDescent="0.25">
      <c r="L2720" s="4" t="str">
        <f>IF('[1]All Data '!BE2725="","",'[1]All Data '!BE2725)</f>
        <v/>
      </c>
      <c r="M2720" t="str">
        <f>IF('[1]All Data '!BF2725="","",'[1]All Data '!BF2725)</f>
        <v/>
      </c>
      <c r="N2720" s="5" t="str">
        <f>IF('[1]All Data '!BB2725="","",'[1]All Data '!BC2725/'[1]All Data '!BH2725)</f>
        <v/>
      </c>
      <c r="O2720" s="5" t="str">
        <f t="shared" si="44"/>
        <v/>
      </c>
      <c r="P2720" s="5" t="str">
        <f>IF(M2720="","",$C$2*(1-L2720)*907.2/0.621371*N2720*[1]Transportation!$M$40)</f>
        <v/>
      </c>
      <c r="Q2720" s="5" t="str">
        <f>IF(L2720="","",IF([1]Inputs_Outputs!$B$5="Herbaceous",(LCA!$E$29*'[1]LOCH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0" s="5" t="str">
        <f>IF(M2720="","",$E$2*1000*'[1]LOCH Calc COE Calc'!$C$44)</f>
        <v/>
      </c>
      <c r="S2720" s="6" t="str">
        <f>IF(N2720="","",SUM(O2720:R2720)/('[1]LOCH Calc COE Calc'!$C$28))</f>
        <v/>
      </c>
      <c r="T2720" t="str">
        <f>IF(L2720="","",O2720/'[1]LOCH Calc COE Calc'!$C$28)</f>
        <v/>
      </c>
      <c r="U2720" t="str">
        <f>IF(L2720="","",P2720/'[1]LOCH Calc COE Calc'!$C$28)</f>
        <v/>
      </c>
      <c r="V2720" t="str">
        <f>IF(L2720="","",Q2720/'[1]LOCH Calc COE Calc'!$C$28)</f>
        <v/>
      </c>
      <c r="W2720" t="str">
        <f>IF(L2720="","",R2720/'[1]LOCH Calc COE Calc'!$C$28)</f>
        <v/>
      </c>
    </row>
    <row r="2721" spans="12:23" x14ac:dyDescent="0.25">
      <c r="L2721" s="4" t="str">
        <f>IF('[1]All Data '!BE2726="","",'[1]All Data '!BE2726)</f>
        <v/>
      </c>
      <c r="M2721" t="str">
        <f>IF('[1]All Data '!BF2726="","",'[1]All Data '!BF2726)</f>
        <v/>
      </c>
      <c r="N2721" s="5" t="str">
        <f>IF('[1]All Data '!BB2726="","",'[1]All Data '!BC2726/'[1]All Data '!BH2726)</f>
        <v/>
      </c>
      <c r="O2721" s="5" t="str">
        <f t="shared" si="44"/>
        <v/>
      </c>
      <c r="P2721" s="5" t="str">
        <f>IF(M2721="","",$C$2*(1-L2721)*907.2/0.621371*N2721*[1]Transportation!$M$40)</f>
        <v/>
      </c>
      <c r="Q2721" s="5" t="str">
        <f>IF(L2721="","",IF([1]Inputs_Outputs!$B$5="Herbaceous",(LCA!$E$29*'[1]LOCH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1" s="5" t="str">
        <f>IF(M2721="","",$E$2*1000*'[1]LOCH Calc COE Calc'!$C$44)</f>
        <v/>
      </c>
      <c r="S2721" s="6" t="str">
        <f>IF(N2721="","",SUM(O2721:R2721)/('[1]LOCH Calc COE Calc'!$C$28))</f>
        <v/>
      </c>
      <c r="T2721" t="str">
        <f>IF(L2721="","",O2721/'[1]LOCH Calc COE Calc'!$C$28)</f>
        <v/>
      </c>
      <c r="U2721" t="str">
        <f>IF(L2721="","",P2721/'[1]LOCH Calc COE Calc'!$C$28)</f>
        <v/>
      </c>
      <c r="V2721" t="str">
        <f>IF(L2721="","",Q2721/'[1]LOCH Calc COE Calc'!$C$28)</f>
        <v/>
      </c>
      <c r="W2721" t="str">
        <f>IF(L2721="","",R2721/'[1]LOCH Calc COE Calc'!$C$28)</f>
        <v/>
      </c>
    </row>
    <row r="2722" spans="12:23" x14ac:dyDescent="0.25">
      <c r="L2722" s="4" t="str">
        <f>IF('[1]All Data '!BE2727="","",'[1]All Data '!BE2727)</f>
        <v/>
      </c>
      <c r="M2722" t="str">
        <f>IF('[1]All Data '!BF2727="","",'[1]All Data '!BF2727)</f>
        <v/>
      </c>
      <c r="N2722" s="5" t="str">
        <f>IF('[1]All Data '!BB2727="","",'[1]All Data '!BC2727/'[1]All Data '!BH2727)</f>
        <v/>
      </c>
      <c r="O2722" s="5" t="str">
        <f t="shared" si="44"/>
        <v/>
      </c>
      <c r="P2722" s="5" t="str">
        <f>IF(M2722="","",$C$2*(1-L2722)*907.2/0.621371*N2722*[1]Transportation!$M$40)</f>
        <v/>
      </c>
      <c r="Q2722" s="5" t="str">
        <f>IF(L2722="","",IF([1]Inputs_Outputs!$B$5="Herbaceous",(LCA!$E$29*'[1]LOCH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2" s="5" t="str">
        <f>IF(M2722="","",$E$2*1000*'[1]LOCH Calc COE Calc'!$C$44)</f>
        <v/>
      </c>
      <c r="S2722" s="6" t="str">
        <f>IF(N2722="","",SUM(O2722:R2722)/('[1]LOCH Calc COE Calc'!$C$28))</f>
        <v/>
      </c>
      <c r="T2722" t="str">
        <f>IF(L2722="","",O2722/'[1]LOCH Calc COE Calc'!$C$28)</f>
        <v/>
      </c>
      <c r="U2722" t="str">
        <f>IF(L2722="","",P2722/'[1]LOCH Calc COE Calc'!$C$28)</f>
        <v/>
      </c>
      <c r="V2722" t="str">
        <f>IF(L2722="","",Q2722/'[1]LOCH Calc COE Calc'!$C$28)</f>
        <v/>
      </c>
      <c r="W2722" t="str">
        <f>IF(L2722="","",R2722/'[1]LOCH Calc COE Calc'!$C$28)</f>
        <v/>
      </c>
    </row>
    <row r="2723" spans="12:23" x14ac:dyDescent="0.25">
      <c r="L2723" s="4" t="str">
        <f>IF('[1]All Data '!BE2728="","",'[1]All Data '!BE2728)</f>
        <v/>
      </c>
      <c r="M2723" t="str">
        <f>IF('[1]All Data '!BF2728="","",'[1]All Data '!BF2728)</f>
        <v/>
      </c>
      <c r="N2723" s="5" t="str">
        <f>IF('[1]All Data '!BB2728="","",'[1]All Data '!BC2728/'[1]All Data '!BH2728)</f>
        <v/>
      </c>
      <c r="O2723" s="5" t="str">
        <f t="shared" ref="O2723:O2786" si="45">IF(N2723="","",M2723*N2723)</f>
        <v/>
      </c>
      <c r="P2723" s="5" t="str">
        <f>IF(M2723="","",$C$2*(1-L2723)*907.2/0.621371*N2723*[1]Transportation!$M$40)</f>
        <v/>
      </c>
      <c r="Q2723" s="5" t="str">
        <f>IF(L2723="","",IF([1]Inputs_Outputs!$B$5="Herbaceous",(LCA!$E$29*'[1]LOCH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3" s="5" t="str">
        <f>IF(M2723="","",$E$2*1000*'[1]LOCH Calc COE Calc'!$C$44)</f>
        <v/>
      </c>
      <c r="S2723" s="6" t="str">
        <f>IF(N2723="","",SUM(O2723:R2723)/('[1]LOCH Calc COE Calc'!$C$28))</f>
        <v/>
      </c>
      <c r="T2723" t="str">
        <f>IF(L2723="","",O2723/'[1]LOCH Calc COE Calc'!$C$28)</f>
        <v/>
      </c>
      <c r="U2723" t="str">
        <f>IF(L2723="","",P2723/'[1]LOCH Calc COE Calc'!$C$28)</f>
        <v/>
      </c>
      <c r="V2723" t="str">
        <f>IF(L2723="","",Q2723/'[1]LOCH Calc COE Calc'!$C$28)</f>
        <v/>
      </c>
      <c r="W2723" t="str">
        <f>IF(L2723="","",R2723/'[1]LOCH Calc COE Calc'!$C$28)</f>
        <v/>
      </c>
    </row>
    <row r="2724" spans="12:23" x14ac:dyDescent="0.25">
      <c r="L2724" s="4" t="str">
        <f>IF('[1]All Data '!BE2729="","",'[1]All Data '!BE2729)</f>
        <v/>
      </c>
      <c r="M2724" t="str">
        <f>IF('[1]All Data '!BF2729="","",'[1]All Data '!BF2729)</f>
        <v/>
      </c>
      <c r="N2724" s="5" t="str">
        <f>IF('[1]All Data '!BB2729="","",'[1]All Data '!BC2729/'[1]All Data '!BH2729)</f>
        <v/>
      </c>
      <c r="O2724" s="5" t="str">
        <f t="shared" si="45"/>
        <v/>
      </c>
      <c r="P2724" s="5" t="str">
        <f>IF(M2724="","",$C$2*(1-L2724)*907.2/0.621371*N2724*[1]Transportation!$M$40)</f>
        <v/>
      </c>
      <c r="Q2724" s="5" t="str">
        <f>IF(L2724="","",IF([1]Inputs_Outputs!$B$5="Herbaceous",(LCA!$E$29*'[1]LOCH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4" s="5" t="str">
        <f>IF(M2724="","",$E$2*1000*'[1]LOCH Calc COE Calc'!$C$44)</f>
        <v/>
      </c>
      <c r="S2724" s="6" t="str">
        <f>IF(N2724="","",SUM(O2724:R2724)/('[1]LOCH Calc COE Calc'!$C$28))</f>
        <v/>
      </c>
      <c r="T2724" t="str">
        <f>IF(L2724="","",O2724/'[1]LOCH Calc COE Calc'!$C$28)</f>
        <v/>
      </c>
      <c r="U2724" t="str">
        <f>IF(L2724="","",P2724/'[1]LOCH Calc COE Calc'!$C$28)</f>
        <v/>
      </c>
      <c r="V2724" t="str">
        <f>IF(L2724="","",Q2724/'[1]LOCH Calc COE Calc'!$C$28)</f>
        <v/>
      </c>
      <c r="W2724" t="str">
        <f>IF(L2724="","",R2724/'[1]LOCH Calc COE Calc'!$C$28)</f>
        <v/>
      </c>
    </row>
    <row r="2725" spans="12:23" x14ac:dyDescent="0.25">
      <c r="L2725" s="4" t="str">
        <f>IF('[1]All Data '!BE2730="","",'[1]All Data '!BE2730)</f>
        <v/>
      </c>
      <c r="M2725" t="str">
        <f>IF('[1]All Data '!BF2730="","",'[1]All Data '!BF2730)</f>
        <v/>
      </c>
      <c r="N2725" s="5" t="str">
        <f>IF('[1]All Data '!BB2730="","",'[1]All Data '!BC2730/'[1]All Data '!BH2730)</f>
        <v/>
      </c>
      <c r="O2725" s="5" t="str">
        <f t="shared" si="45"/>
        <v/>
      </c>
      <c r="P2725" s="5" t="str">
        <f>IF(M2725="","",$C$2*(1-L2725)*907.2/0.621371*N2725*[1]Transportation!$M$40)</f>
        <v/>
      </c>
      <c r="Q2725" s="5" t="str">
        <f>IF(L2725="","",IF([1]Inputs_Outputs!$B$5="Herbaceous",(LCA!$E$29*'[1]LOCH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5" s="5" t="str">
        <f>IF(M2725="","",$E$2*1000*'[1]LOCH Calc COE Calc'!$C$44)</f>
        <v/>
      </c>
      <c r="S2725" s="6" t="str">
        <f>IF(N2725="","",SUM(O2725:R2725)/('[1]LOCH Calc COE Calc'!$C$28))</f>
        <v/>
      </c>
      <c r="T2725" t="str">
        <f>IF(L2725="","",O2725/'[1]LOCH Calc COE Calc'!$C$28)</f>
        <v/>
      </c>
      <c r="U2725" t="str">
        <f>IF(L2725="","",P2725/'[1]LOCH Calc COE Calc'!$C$28)</f>
        <v/>
      </c>
      <c r="V2725" t="str">
        <f>IF(L2725="","",Q2725/'[1]LOCH Calc COE Calc'!$C$28)</f>
        <v/>
      </c>
      <c r="W2725" t="str">
        <f>IF(L2725="","",R2725/'[1]LOCH Calc COE Calc'!$C$28)</f>
        <v/>
      </c>
    </row>
    <row r="2726" spans="12:23" x14ac:dyDescent="0.25">
      <c r="L2726" s="4" t="str">
        <f>IF('[1]All Data '!BE2731="","",'[1]All Data '!BE2731)</f>
        <v/>
      </c>
      <c r="M2726" t="str">
        <f>IF('[1]All Data '!BF2731="","",'[1]All Data '!BF2731)</f>
        <v/>
      </c>
      <c r="N2726" s="5" t="str">
        <f>IF('[1]All Data '!BB2731="","",'[1]All Data '!BC2731/'[1]All Data '!BH2731)</f>
        <v/>
      </c>
      <c r="O2726" s="5" t="str">
        <f t="shared" si="45"/>
        <v/>
      </c>
      <c r="P2726" s="5" t="str">
        <f>IF(M2726="","",$C$2*(1-L2726)*907.2/0.621371*N2726*[1]Transportation!$M$40)</f>
        <v/>
      </c>
      <c r="Q2726" s="5" t="str">
        <f>IF(L2726="","",IF([1]Inputs_Outputs!$B$5="Herbaceous",(LCA!$E$29*'[1]LOCH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6" s="5" t="str">
        <f>IF(M2726="","",$E$2*1000*'[1]LOCH Calc COE Calc'!$C$44)</f>
        <v/>
      </c>
      <c r="S2726" s="6" t="str">
        <f>IF(N2726="","",SUM(O2726:R2726)/('[1]LOCH Calc COE Calc'!$C$28))</f>
        <v/>
      </c>
      <c r="T2726" t="str">
        <f>IF(L2726="","",O2726/'[1]LOCH Calc COE Calc'!$C$28)</f>
        <v/>
      </c>
      <c r="U2726" t="str">
        <f>IF(L2726="","",P2726/'[1]LOCH Calc COE Calc'!$C$28)</f>
        <v/>
      </c>
      <c r="V2726" t="str">
        <f>IF(L2726="","",Q2726/'[1]LOCH Calc COE Calc'!$C$28)</f>
        <v/>
      </c>
      <c r="W2726" t="str">
        <f>IF(L2726="","",R2726/'[1]LOCH Calc COE Calc'!$C$28)</f>
        <v/>
      </c>
    </row>
    <row r="2727" spans="12:23" x14ac:dyDescent="0.25">
      <c r="L2727" s="4" t="str">
        <f>IF('[1]All Data '!BE2732="","",'[1]All Data '!BE2732)</f>
        <v/>
      </c>
      <c r="M2727" t="str">
        <f>IF('[1]All Data '!BF2732="","",'[1]All Data '!BF2732)</f>
        <v/>
      </c>
      <c r="N2727" s="5" t="str">
        <f>IF('[1]All Data '!BB2732="","",'[1]All Data '!BC2732/'[1]All Data '!BH2732)</f>
        <v/>
      </c>
      <c r="O2727" s="5" t="str">
        <f t="shared" si="45"/>
        <v/>
      </c>
      <c r="P2727" s="5" t="str">
        <f>IF(M2727="","",$C$2*(1-L2727)*907.2/0.621371*N2727*[1]Transportation!$M$40)</f>
        <v/>
      </c>
      <c r="Q2727" s="5" t="str">
        <f>IF(L2727="","",IF([1]Inputs_Outputs!$B$5="Herbaceous",(LCA!$E$29*'[1]LOCH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7" s="5" t="str">
        <f>IF(M2727="","",$E$2*1000*'[1]LOCH Calc COE Calc'!$C$44)</f>
        <v/>
      </c>
      <c r="S2727" s="6" t="str">
        <f>IF(N2727="","",SUM(O2727:R2727)/('[1]LOCH Calc COE Calc'!$C$28))</f>
        <v/>
      </c>
      <c r="T2727" t="str">
        <f>IF(L2727="","",O2727/'[1]LOCH Calc COE Calc'!$C$28)</f>
        <v/>
      </c>
      <c r="U2727" t="str">
        <f>IF(L2727="","",P2727/'[1]LOCH Calc COE Calc'!$C$28)</f>
        <v/>
      </c>
      <c r="V2727" t="str">
        <f>IF(L2727="","",Q2727/'[1]LOCH Calc COE Calc'!$C$28)</f>
        <v/>
      </c>
      <c r="W2727" t="str">
        <f>IF(L2727="","",R2727/'[1]LOCH Calc COE Calc'!$C$28)</f>
        <v/>
      </c>
    </row>
    <row r="2728" spans="12:23" x14ac:dyDescent="0.25">
      <c r="L2728" s="4" t="str">
        <f>IF('[1]All Data '!BE2733="","",'[1]All Data '!BE2733)</f>
        <v/>
      </c>
      <c r="M2728" t="str">
        <f>IF('[1]All Data '!BF2733="","",'[1]All Data '!BF2733)</f>
        <v/>
      </c>
      <c r="N2728" s="5" t="str">
        <f>IF('[1]All Data '!BB2733="","",'[1]All Data '!BC2733/'[1]All Data '!BH2733)</f>
        <v/>
      </c>
      <c r="O2728" s="5" t="str">
        <f t="shared" si="45"/>
        <v/>
      </c>
      <c r="P2728" s="5" t="str">
        <f>IF(M2728="","",$C$2*(1-L2728)*907.2/0.621371*N2728*[1]Transportation!$M$40)</f>
        <v/>
      </c>
      <c r="Q2728" s="5" t="str">
        <f>IF(L2728="","",IF([1]Inputs_Outputs!$B$5="Herbaceous",(LCA!$E$29*'[1]LOCH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8" s="5" t="str">
        <f>IF(M2728="","",$E$2*1000*'[1]LOCH Calc COE Calc'!$C$44)</f>
        <v/>
      </c>
      <c r="S2728" s="6" t="str">
        <f>IF(N2728="","",SUM(O2728:R2728)/('[1]LOCH Calc COE Calc'!$C$28))</f>
        <v/>
      </c>
      <c r="T2728" t="str">
        <f>IF(L2728="","",O2728/'[1]LOCH Calc COE Calc'!$C$28)</f>
        <v/>
      </c>
      <c r="U2728" t="str">
        <f>IF(L2728="","",P2728/'[1]LOCH Calc COE Calc'!$C$28)</f>
        <v/>
      </c>
      <c r="V2728" t="str">
        <f>IF(L2728="","",Q2728/'[1]LOCH Calc COE Calc'!$C$28)</f>
        <v/>
      </c>
      <c r="W2728" t="str">
        <f>IF(L2728="","",R2728/'[1]LOCH Calc COE Calc'!$C$28)</f>
        <v/>
      </c>
    </row>
    <row r="2729" spans="12:23" x14ac:dyDescent="0.25">
      <c r="L2729" s="4" t="str">
        <f>IF('[1]All Data '!BE2734="","",'[1]All Data '!BE2734)</f>
        <v/>
      </c>
      <c r="M2729" t="str">
        <f>IF('[1]All Data '!BF2734="","",'[1]All Data '!BF2734)</f>
        <v/>
      </c>
      <c r="N2729" s="5" t="str">
        <f>IF('[1]All Data '!BB2734="","",'[1]All Data '!BC2734/'[1]All Data '!BH2734)</f>
        <v/>
      </c>
      <c r="O2729" s="5" t="str">
        <f t="shared" si="45"/>
        <v/>
      </c>
      <c r="P2729" s="5" t="str">
        <f>IF(M2729="","",$C$2*(1-L2729)*907.2/0.621371*N2729*[1]Transportation!$M$40)</f>
        <v/>
      </c>
      <c r="Q2729" s="5" t="str">
        <f>IF(L2729="","",IF([1]Inputs_Outputs!$B$5="Herbaceous",(LCA!$E$29*'[1]LOCH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29" s="5" t="str">
        <f>IF(M2729="","",$E$2*1000*'[1]LOCH Calc COE Calc'!$C$44)</f>
        <v/>
      </c>
      <c r="S2729" s="6" t="str">
        <f>IF(N2729="","",SUM(O2729:R2729)/('[1]LOCH Calc COE Calc'!$C$28))</f>
        <v/>
      </c>
      <c r="T2729" t="str">
        <f>IF(L2729="","",O2729/'[1]LOCH Calc COE Calc'!$C$28)</f>
        <v/>
      </c>
      <c r="U2729" t="str">
        <f>IF(L2729="","",P2729/'[1]LOCH Calc COE Calc'!$C$28)</f>
        <v/>
      </c>
      <c r="V2729" t="str">
        <f>IF(L2729="","",Q2729/'[1]LOCH Calc COE Calc'!$C$28)</f>
        <v/>
      </c>
      <c r="W2729" t="str">
        <f>IF(L2729="","",R2729/'[1]LOCH Calc COE Calc'!$C$28)</f>
        <v/>
      </c>
    </row>
    <row r="2730" spans="12:23" x14ac:dyDescent="0.25">
      <c r="L2730" s="4" t="str">
        <f>IF('[1]All Data '!BE2735="","",'[1]All Data '!BE2735)</f>
        <v/>
      </c>
      <c r="M2730" t="str">
        <f>IF('[1]All Data '!BF2735="","",'[1]All Data '!BF2735)</f>
        <v/>
      </c>
      <c r="N2730" s="5" t="str">
        <f>IF('[1]All Data '!BB2735="","",'[1]All Data '!BC2735/'[1]All Data '!BH2735)</f>
        <v/>
      </c>
      <c r="O2730" s="5" t="str">
        <f t="shared" si="45"/>
        <v/>
      </c>
      <c r="P2730" s="5" t="str">
        <f>IF(M2730="","",$C$2*(1-L2730)*907.2/0.621371*N2730*[1]Transportation!$M$40)</f>
        <v/>
      </c>
      <c r="Q2730" s="5" t="str">
        <f>IF(L2730="","",IF([1]Inputs_Outputs!$B$5="Herbaceous",(LCA!$E$29*'[1]LOCH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0" s="5" t="str">
        <f>IF(M2730="","",$E$2*1000*'[1]LOCH Calc COE Calc'!$C$44)</f>
        <v/>
      </c>
      <c r="S2730" s="6" t="str">
        <f>IF(N2730="","",SUM(O2730:R2730)/('[1]LOCH Calc COE Calc'!$C$28))</f>
        <v/>
      </c>
      <c r="T2730" t="str">
        <f>IF(L2730="","",O2730/'[1]LOCH Calc COE Calc'!$C$28)</f>
        <v/>
      </c>
      <c r="U2730" t="str">
        <f>IF(L2730="","",P2730/'[1]LOCH Calc COE Calc'!$C$28)</f>
        <v/>
      </c>
      <c r="V2730" t="str">
        <f>IF(L2730="","",Q2730/'[1]LOCH Calc COE Calc'!$C$28)</f>
        <v/>
      </c>
      <c r="W2730" t="str">
        <f>IF(L2730="","",R2730/'[1]LOCH Calc COE Calc'!$C$28)</f>
        <v/>
      </c>
    </row>
    <row r="2731" spans="12:23" x14ac:dyDescent="0.25">
      <c r="L2731" s="4" t="str">
        <f>IF('[1]All Data '!BE2736="","",'[1]All Data '!BE2736)</f>
        <v/>
      </c>
      <c r="M2731" t="str">
        <f>IF('[1]All Data '!BF2736="","",'[1]All Data '!BF2736)</f>
        <v/>
      </c>
      <c r="N2731" s="5" t="str">
        <f>IF('[1]All Data '!BB2736="","",'[1]All Data '!BC2736/'[1]All Data '!BH2736)</f>
        <v/>
      </c>
      <c r="O2731" s="5" t="str">
        <f t="shared" si="45"/>
        <v/>
      </c>
      <c r="P2731" s="5" t="str">
        <f>IF(M2731="","",$C$2*(1-L2731)*907.2/0.621371*N2731*[1]Transportation!$M$40)</f>
        <v/>
      </c>
      <c r="Q2731" s="5" t="str">
        <f>IF(L2731="","",IF([1]Inputs_Outputs!$B$5="Herbaceous",(LCA!$E$29*'[1]LOCH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1" s="5" t="str">
        <f>IF(M2731="","",$E$2*1000*'[1]LOCH Calc COE Calc'!$C$44)</f>
        <v/>
      </c>
      <c r="S2731" s="6" t="str">
        <f>IF(N2731="","",SUM(O2731:R2731)/('[1]LOCH Calc COE Calc'!$C$28))</f>
        <v/>
      </c>
      <c r="T2731" t="str">
        <f>IF(L2731="","",O2731/'[1]LOCH Calc COE Calc'!$C$28)</f>
        <v/>
      </c>
      <c r="U2731" t="str">
        <f>IF(L2731="","",P2731/'[1]LOCH Calc COE Calc'!$C$28)</f>
        <v/>
      </c>
      <c r="V2731" t="str">
        <f>IF(L2731="","",Q2731/'[1]LOCH Calc COE Calc'!$C$28)</f>
        <v/>
      </c>
      <c r="W2731" t="str">
        <f>IF(L2731="","",R2731/'[1]LOCH Calc COE Calc'!$C$28)</f>
        <v/>
      </c>
    </row>
    <row r="2732" spans="12:23" x14ac:dyDescent="0.25">
      <c r="L2732" s="4" t="str">
        <f>IF('[1]All Data '!BE2737="","",'[1]All Data '!BE2737)</f>
        <v/>
      </c>
      <c r="M2732" t="str">
        <f>IF('[1]All Data '!BF2737="","",'[1]All Data '!BF2737)</f>
        <v/>
      </c>
      <c r="N2732" s="5" t="str">
        <f>IF('[1]All Data '!BB2737="","",'[1]All Data '!BC2737/'[1]All Data '!BH2737)</f>
        <v/>
      </c>
      <c r="O2732" s="5" t="str">
        <f t="shared" si="45"/>
        <v/>
      </c>
      <c r="P2732" s="5" t="str">
        <f>IF(M2732="","",$C$2*(1-L2732)*907.2/0.621371*N2732*[1]Transportation!$M$40)</f>
        <v/>
      </c>
      <c r="Q2732" s="5" t="str">
        <f>IF(L2732="","",IF([1]Inputs_Outputs!$B$5="Herbaceous",(LCA!$E$29*'[1]LOCH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2" s="5" t="str">
        <f>IF(M2732="","",$E$2*1000*'[1]LOCH Calc COE Calc'!$C$44)</f>
        <v/>
      </c>
      <c r="S2732" s="6" t="str">
        <f>IF(N2732="","",SUM(O2732:R2732)/('[1]LOCH Calc COE Calc'!$C$28))</f>
        <v/>
      </c>
      <c r="T2732" t="str">
        <f>IF(L2732="","",O2732/'[1]LOCH Calc COE Calc'!$C$28)</f>
        <v/>
      </c>
      <c r="U2732" t="str">
        <f>IF(L2732="","",P2732/'[1]LOCH Calc COE Calc'!$C$28)</f>
        <v/>
      </c>
      <c r="V2732" t="str">
        <f>IF(L2732="","",Q2732/'[1]LOCH Calc COE Calc'!$C$28)</f>
        <v/>
      </c>
      <c r="W2732" t="str">
        <f>IF(L2732="","",R2732/'[1]LOCH Calc COE Calc'!$C$28)</f>
        <v/>
      </c>
    </row>
    <row r="2733" spans="12:23" x14ac:dyDescent="0.25">
      <c r="L2733" s="4" t="str">
        <f>IF('[1]All Data '!BE2738="","",'[1]All Data '!BE2738)</f>
        <v/>
      </c>
      <c r="M2733" t="str">
        <f>IF('[1]All Data '!BF2738="","",'[1]All Data '!BF2738)</f>
        <v/>
      </c>
      <c r="N2733" s="5" t="str">
        <f>IF('[1]All Data '!BB2738="","",'[1]All Data '!BC2738/'[1]All Data '!BH2738)</f>
        <v/>
      </c>
      <c r="O2733" s="5" t="str">
        <f t="shared" si="45"/>
        <v/>
      </c>
      <c r="P2733" s="5" t="str">
        <f>IF(M2733="","",$C$2*(1-L2733)*907.2/0.621371*N2733*[1]Transportation!$M$40)</f>
        <v/>
      </c>
      <c r="Q2733" s="5" t="str">
        <f>IF(L2733="","",IF([1]Inputs_Outputs!$B$5="Herbaceous",(LCA!$E$29*'[1]LOCH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3" s="5" t="str">
        <f>IF(M2733="","",$E$2*1000*'[1]LOCH Calc COE Calc'!$C$44)</f>
        <v/>
      </c>
      <c r="S2733" s="6" t="str">
        <f>IF(N2733="","",SUM(O2733:R2733)/('[1]LOCH Calc COE Calc'!$C$28))</f>
        <v/>
      </c>
      <c r="T2733" t="str">
        <f>IF(L2733="","",O2733/'[1]LOCH Calc COE Calc'!$C$28)</f>
        <v/>
      </c>
      <c r="U2733" t="str">
        <f>IF(L2733="","",P2733/'[1]LOCH Calc COE Calc'!$C$28)</f>
        <v/>
      </c>
      <c r="V2733" t="str">
        <f>IF(L2733="","",Q2733/'[1]LOCH Calc COE Calc'!$C$28)</f>
        <v/>
      </c>
      <c r="W2733" t="str">
        <f>IF(L2733="","",R2733/'[1]LOCH Calc COE Calc'!$C$28)</f>
        <v/>
      </c>
    </row>
    <row r="2734" spans="12:23" x14ac:dyDescent="0.25">
      <c r="L2734" s="4" t="str">
        <f>IF('[1]All Data '!BE2739="","",'[1]All Data '!BE2739)</f>
        <v/>
      </c>
      <c r="M2734" t="str">
        <f>IF('[1]All Data '!BF2739="","",'[1]All Data '!BF2739)</f>
        <v/>
      </c>
      <c r="N2734" s="5" t="str">
        <f>IF('[1]All Data '!BB2739="","",'[1]All Data '!BC2739/'[1]All Data '!BH2739)</f>
        <v/>
      </c>
      <c r="O2734" s="5" t="str">
        <f t="shared" si="45"/>
        <v/>
      </c>
      <c r="P2734" s="5" t="str">
        <f>IF(M2734="","",$C$2*(1-L2734)*907.2/0.621371*N2734*[1]Transportation!$M$40)</f>
        <v/>
      </c>
      <c r="Q2734" s="5" t="str">
        <f>IF(L2734="","",IF([1]Inputs_Outputs!$B$5="Herbaceous",(LCA!$E$29*'[1]LOCH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4" s="5" t="str">
        <f>IF(M2734="","",$E$2*1000*'[1]LOCH Calc COE Calc'!$C$44)</f>
        <v/>
      </c>
      <c r="S2734" s="6" t="str">
        <f>IF(N2734="","",SUM(O2734:R2734)/('[1]LOCH Calc COE Calc'!$C$28))</f>
        <v/>
      </c>
      <c r="T2734" t="str">
        <f>IF(L2734="","",O2734/'[1]LOCH Calc COE Calc'!$C$28)</f>
        <v/>
      </c>
      <c r="U2734" t="str">
        <f>IF(L2734="","",P2734/'[1]LOCH Calc COE Calc'!$C$28)</f>
        <v/>
      </c>
      <c r="V2734" t="str">
        <f>IF(L2734="","",Q2734/'[1]LOCH Calc COE Calc'!$C$28)</f>
        <v/>
      </c>
      <c r="W2734" t="str">
        <f>IF(L2734="","",R2734/'[1]LOCH Calc COE Calc'!$C$28)</f>
        <v/>
      </c>
    </row>
    <row r="2735" spans="12:23" x14ac:dyDescent="0.25">
      <c r="L2735" s="4" t="str">
        <f>IF('[1]All Data '!BE2740="","",'[1]All Data '!BE2740)</f>
        <v/>
      </c>
      <c r="M2735" t="str">
        <f>IF('[1]All Data '!BF2740="","",'[1]All Data '!BF2740)</f>
        <v/>
      </c>
      <c r="N2735" s="5" t="str">
        <f>IF('[1]All Data '!BB2740="","",'[1]All Data '!BC2740/'[1]All Data '!BH2740)</f>
        <v/>
      </c>
      <c r="O2735" s="5" t="str">
        <f t="shared" si="45"/>
        <v/>
      </c>
      <c r="P2735" s="5" t="str">
        <f>IF(M2735="","",$C$2*(1-L2735)*907.2/0.621371*N2735*[1]Transportation!$M$40)</f>
        <v/>
      </c>
      <c r="Q2735" s="5" t="str">
        <f>IF(L2735="","",IF([1]Inputs_Outputs!$B$5="Herbaceous",(LCA!$E$29*'[1]LOCH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5" s="5" t="str">
        <f>IF(M2735="","",$E$2*1000*'[1]LOCH Calc COE Calc'!$C$44)</f>
        <v/>
      </c>
      <c r="S2735" s="6" t="str">
        <f>IF(N2735="","",SUM(O2735:R2735)/('[1]LOCH Calc COE Calc'!$C$28))</f>
        <v/>
      </c>
      <c r="T2735" t="str">
        <f>IF(L2735="","",O2735/'[1]LOCH Calc COE Calc'!$C$28)</f>
        <v/>
      </c>
      <c r="U2735" t="str">
        <f>IF(L2735="","",P2735/'[1]LOCH Calc COE Calc'!$C$28)</f>
        <v/>
      </c>
      <c r="V2735" t="str">
        <f>IF(L2735="","",Q2735/'[1]LOCH Calc COE Calc'!$C$28)</f>
        <v/>
      </c>
      <c r="W2735" t="str">
        <f>IF(L2735="","",R2735/'[1]LOCH Calc COE Calc'!$C$28)</f>
        <v/>
      </c>
    </row>
    <row r="2736" spans="12:23" x14ac:dyDescent="0.25">
      <c r="L2736" s="4" t="str">
        <f>IF('[1]All Data '!BE2741="","",'[1]All Data '!BE2741)</f>
        <v/>
      </c>
      <c r="M2736" t="str">
        <f>IF('[1]All Data '!BF2741="","",'[1]All Data '!BF2741)</f>
        <v/>
      </c>
      <c r="N2736" s="5" t="str">
        <f>IF('[1]All Data '!BB2741="","",'[1]All Data '!BC2741/'[1]All Data '!BH2741)</f>
        <v/>
      </c>
      <c r="O2736" s="5" t="str">
        <f t="shared" si="45"/>
        <v/>
      </c>
      <c r="P2736" s="5" t="str">
        <f>IF(M2736="","",$C$2*(1-L2736)*907.2/0.621371*N2736*[1]Transportation!$M$40)</f>
        <v/>
      </c>
      <c r="Q2736" s="5" t="str">
        <f>IF(L2736="","",IF([1]Inputs_Outputs!$B$5="Herbaceous",(LCA!$E$29*'[1]LOCH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6" s="5" t="str">
        <f>IF(M2736="","",$E$2*1000*'[1]LOCH Calc COE Calc'!$C$44)</f>
        <v/>
      </c>
      <c r="S2736" s="6" t="str">
        <f>IF(N2736="","",SUM(O2736:R2736)/('[1]LOCH Calc COE Calc'!$C$28))</f>
        <v/>
      </c>
      <c r="T2736" t="str">
        <f>IF(L2736="","",O2736/'[1]LOCH Calc COE Calc'!$C$28)</f>
        <v/>
      </c>
      <c r="U2736" t="str">
        <f>IF(L2736="","",P2736/'[1]LOCH Calc COE Calc'!$C$28)</f>
        <v/>
      </c>
      <c r="V2736" t="str">
        <f>IF(L2736="","",Q2736/'[1]LOCH Calc COE Calc'!$C$28)</f>
        <v/>
      </c>
      <c r="W2736" t="str">
        <f>IF(L2736="","",R2736/'[1]LOCH Calc COE Calc'!$C$28)</f>
        <v/>
      </c>
    </row>
    <row r="2737" spans="12:23" x14ac:dyDescent="0.25">
      <c r="L2737" s="4" t="str">
        <f>IF('[1]All Data '!BE2742="","",'[1]All Data '!BE2742)</f>
        <v/>
      </c>
      <c r="M2737" t="str">
        <f>IF('[1]All Data '!BF2742="","",'[1]All Data '!BF2742)</f>
        <v/>
      </c>
      <c r="N2737" s="5" t="str">
        <f>IF('[1]All Data '!BB2742="","",'[1]All Data '!BC2742/'[1]All Data '!BH2742)</f>
        <v/>
      </c>
      <c r="O2737" s="5" t="str">
        <f t="shared" si="45"/>
        <v/>
      </c>
      <c r="P2737" s="5" t="str">
        <f>IF(M2737="","",$C$2*(1-L2737)*907.2/0.621371*N2737*[1]Transportation!$M$40)</f>
        <v/>
      </c>
      <c r="Q2737" s="5" t="str">
        <f>IF(L2737="","",IF([1]Inputs_Outputs!$B$5="Herbaceous",(LCA!$E$29*'[1]LOCH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7" s="5" t="str">
        <f>IF(M2737="","",$E$2*1000*'[1]LOCH Calc COE Calc'!$C$44)</f>
        <v/>
      </c>
      <c r="S2737" s="6" t="str">
        <f>IF(N2737="","",SUM(O2737:R2737)/('[1]LOCH Calc COE Calc'!$C$28))</f>
        <v/>
      </c>
      <c r="T2737" t="str">
        <f>IF(L2737="","",O2737/'[1]LOCH Calc COE Calc'!$C$28)</f>
        <v/>
      </c>
      <c r="U2737" t="str">
        <f>IF(L2737="","",P2737/'[1]LOCH Calc COE Calc'!$C$28)</f>
        <v/>
      </c>
      <c r="V2737" t="str">
        <f>IF(L2737="","",Q2737/'[1]LOCH Calc COE Calc'!$C$28)</f>
        <v/>
      </c>
      <c r="W2737" t="str">
        <f>IF(L2737="","",R2737/'[1]LOCH Calc COE Calc'!$C$28)</f>
        <v/>
      </c>
    </row>
    <row r="2738" spans="12:23" x14ac:dyDescent="0.25">
      <c r="L2738" s="4" t="str">
        <f>IF('[1]All Data '!BE2743="","",'[1]All Data '!BE2743)</f>
        <v/>
      </c>
      <c r="M2738" t="str">
        <f>IF('[1]All Data '!BF2743="","",'[1]All Data '!BF2743)</f>
        <v/>
      </c>
      <c r="N2738" s="5" t="str">
        <f>IF('[1]All Data '!BB2743="","",'[1]All Data '!BC2743/'[1]All Data '!BH2743)</f>
        <v/>
      </c>
      <c r="O2738" s="5" t="str">
        <f t="shared" si="45"/>
        <v/>
      </c>
      <c r="P2738" s="5" t="str">
        <f>IF(M2738="","",$C$2*(1-L2738)*907.2/0.621371*N2738*[1]Transportation!$M$40)</f>
        <v/>
      </c>
      <c r="Q2738" s="5" t="str">
        <f>IF(L2738="","",IF([1]Inputs_Outputs!$B$5="Herbaceous",(LCA!$E$29*'[1]LOCH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8" s="5" t="str">
        <f>IF(M2738="","",$E$2*1000*'[1]LOCH Calc COE Calc'!$C$44)</f>
        <v/>
      </c>
      <c r="S2738" s="6" t="str">
        <f>IF(N2738="","",SUM(O2738:R2738)/('[1]LOCH Calc COE Calc'!$C$28))</f>
        <v/>
      </c>
      <c r="T2738" t="str">
        <f>IF(L2738="","",O2738/'[1]LOCH Calc COE Calc'!$C$28)</f>
        <v/>
      </c>
      <c r="U2738" t="str">
        <f>IF(L2738="","",P2738/'[1]LOCH Calc COE Calc'!$C$28)</f>
        <v/>
      </c>
      <c r="V2738" t="str">
        <f>IF(L2738="","",Q2738/'[1]LOCH Calc COE Calc'!$C$28)</f>
        <v/>
      </c>
      <c r="W2738" t="str">
        <f>IF(L2738="","",R2738/'[1]LOCH Calc COE Calc'!$C$28)</f>
        <v/>
      </c>
    </row>
    <row r="2739" spans="12:23" x14ac:dyDescent="0.25">
      <c r="L2739" s="4" t="str">
        <f>IF('[1]All Data '!BE2744="","",'[1]All Data '!BE2744)</f>
        <v/>
      </c>
      <c r="M2739" t="str">
        <f>IF('[1]All Data '!BF2744="","",'[1]All Data '!BF2744)</f>
        <v/>
      </c>
      <c r="N2739" s="5" t="str">
        <f>IF('[1]All Data '!BB2744="","",'[1]All Data '!BC2744/'[1]All Data '!BH2744)</f>
        <v/>
      </c>
      <c r="O2739" s="5" t="str">
        <f t="shared" si="45"/>
        <v/>
      </c>
      <c r="P2739" s="5" t="str">
        <f>IF(M2739="","",$C$2*(1-L2739)*907.2/0.621371*N2739*[1]Transportation!$M$40)</f>
        <v/>
      </c>
      <c r="Q2739" s="5" t="str">
        <f>IF(L2739="","",IF([1]Inputs_Outputs!$B$5="Herbaceous",(LCA!$E$29*'[1]LOCH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39" s="5" t="str">
        <f>IF(M2739="","",$E$2*1000*'[1]LOCH Calc COE Calc'!$C$44)</f>
        <v/>
      </c>
      <c r="S2739" s="6" t="str">
        <f>IF(N2739="","",SUM(O2739:R2739)/('[1]LOCH Calc COE Calc'!$C$28))</f>
        <v/>
      </c>
      <c r="T2739" t="str">
        <f>IF(L2739="","",O2739/'[1]LOCH Calc COE Calc'!$C$28)</f>
        <v/>
      </c>
      <c r="U2739" t="str">
        <f>IF(L2739="","",P2739/'[1]LOCH Calc COE Calc'!$C$28)</f>
        <v/>
      </c>
      <c r="V2739" t="str">
        <f>IF(L2739="","",Q2739/'[1]LOCH Calc COE Calc'!$C$28)</f>
        <v/>
      </c>
      <c r="W2739" t="str">
        <f>IF(L2739="","",R2739/'[1]LOCH Calc COE Calc'!$C$28)</f>
        <v/>
      </c>
    </row>
    <row r="2740" spans="12:23" x14ac:dyDescent="0.25">
      <c r="L2740" s="4" t="str">
        <f>IF('[1]All Data '!BE2745="","",'[1]All Data '!BE2745)</f>
        <v/>
      </c>
      <c r="M2740" t="str">
        <f>IF('[1]All Data '!BF2745="","",'[1]All Data '!BF2745)</f>
        <v/>
      </c>
      <c r="N2740" s="5" t="str">
        <f>IF('[1]All Data '!BB2745="","",'[1]All Data '!BC2745/'[1]All Data '!BH2745)</f>
        <v/>
      </c>
      <c r="O2740" s="5" t="str">
        <f t="shared" si="45"/>
        <v/>
      </c>
      <c r="P2740" s="5" t="str">
        <f>IF(M2740="","",$C$2*(1-L2740)*907.2/0.621371*N2740*[1]Transportation!$M$40)</f>
        <v/>
      </c>
      <c r="Q2740" s="5" t="str">
        <f>IF(L2740="","",IF([1]Inputs_Outputs!$B$5="Herbaceous",(LCA!$E$29*'[1]LOCH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0" s="5" t="str">
        <f>IF(M2740="","",$E$2*1000*'[1]LOCH Calc COE Calc'!$C$44)</f>
        <v/>
      </c>
      <c r="S2740" s="6" t="str">
        <f>IF(N2740="","",SUM(O2740:R2740)/('[1]LOCH Calc COE Calc'!$C$28))</f>
        <v/>
      </c>
      <c r="T2740" t="str">
        <f>IF(L2740="","",O2740/'[1]LOCH Calc COE Calc'!$C$28)</f>
        <v/>
      </c>
      <c r="U2740" t="str">
        <f>IF(L2740="","",P2740/'[1]LOCH Calc COE Calc'!$C$28)</f>
        <v/>
      </c>
      <c r="V2740" t="str">
        <f>IF(L2740="","",Q2740/'[1]LOCH Calc COE Calc'!$C$28)</f>
        <v/>
      </c>
      <c r="W2740" t="str">
        <f>IF(L2740="","",R2740/'[1]LOCH Calc COE Calc'!$C$28)</f>
        <v/>
      </c>
    </row>
    <row r="2741" spans="12:23" x14ac:dyDescent="0.25">
      <c r="L2741" s="4" t="str">
        <f>IF('[1]All Data '!BE2746="","",'[1]All Data '!BE2746)</f>
        <v/>
      </c>
      <c r="M2741" t="str">
        <f>IF('[1]All Data '!BF2746="","",'[1]All Data '!BF2746)</f>
        <v/>
      </c>
      <c r="N2741" s="5" t="str">
        <f>IF('[1]All Data '!BB2746="","",'[1]All Data '!BC2746/'[1]All Data '!BH2746)</f>
        <v/>
      </c>
      <c r="O2741" s="5" t="str">
        <f t="shared" si="45"/>
        <v/>
      </c>
      <c r="P2741" s="5" t="str">
        <f>IF(M2741="","",$C$2*(1-L2741)*907.2/0.621371*N2741*[1]Transportation!$M$40)</f>
        <v/>
      </c>
      <c r="Q2741" s="5" t="str">
        <f>IF(L2741="","",IF([1]Inputs_Outputs!$B$5="Herbaceous",(LCA!$E$29*'[1]LOCH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1" s="5" t="str">
        <f>IF(M2741="","",$E$2*1000*'[1]LOCH Calc COE Calc'!$C$44)</f>
        <v/>
      </c>
      <c r="S2741" s="6" t="str">
        <f>IF(N2741="","",SUM(O2741:R2741)/('[1]LOCH Calc COE Calc'!$C$28))</f>
        <v/>
      </c>
      <c r="T2741" t="str">
        <f>IF(L2741="","",O2741/'[1]LOCH Calc COE Calc'!$C$28)</f>
        <v/>
      </c>
      <c r="U2741" t="str">
        <f>IF(L2741="","",P2741/'[1]LOCH Calc COE Calc'!$C$28)</f>
        <v/>
      </c>
      <c r="V2741" t="str">
        <f>IF(L2741="","",Q2741/'[1]LOCH Calc COE Calc'!$C$28)</f>
        <v/>
      </c>
      <c r="W2741" t="str">
        <f>IF(L2741="","",R2741/'[1]LOCH Calc COE Calc'!$C$28)</f>
        <v/>
      </c>
    </row>
    <row r="2742" spans="12:23" x14ac:dyDescent="0.25">
      <c r="L2742" s="4" t="str">
        <f>IF('[1]All Data '!BE2747="","",'[1]All Data '!BE2747)</f>
        <v/>
      </c>
      <c r="M2742" t="str">
        <f>IF('[1]All Data '!BF2747="","",'[1]All Data '!BF2747)</f>
        <v/>
      </c>
      <c r="N2742" s="5" t="str">
        <f>IF('[1]All Data '!BB2747="","",'[1]All Data '!BC2747/'[1]All Data '!BH2747)</f>
        <v/>
      </c>
      <c r="O2742" s="5" t="str">
        <f t="shared" si="45"/>
        <v/>
      </c>
      <c r="P2742" s="5" t="str">
        <f>IF(M2742="","",$C$2*(1-L2742)*907.2/0.621371*N2742*[1]Transportation!$M$40)</f>
        <v/>
      </c>
      <c r="Q2742" s="5" t="str">
        <f>IF(L2742="","",IF([1]Inputs_Outputs!$B$5="Herbaceous",(LCA!$E$29*'[1]LOCH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2" s="5" t="str">
        <f>IF(M2742="","",$E$2*1000*'[1]LOCH Calc COE Calc'!$C$44)</f>
        <v/>
      </c>
      <c r="S2742" s="6" t="str">
        <f>IF(N2742="","",SUM(O2742:R2742)/('[1]LOCH Calc COE Calc'!$C$28))</f>
        <v/>
      </c>
      <c r="T2742" t="str">
        <f>IF(L2742="","",O2742/'[1]LOCH Calc COE Calc'!$C$28)</f>
        <v/>
      </c>
      <c r="U2742" t="str">
        <f>IF(L2742="","",P2742/'[1]LOCH Calc COE Calc'!$C$28)</f>
        <v/>
      </c>
      <c r="V2742" t="str">
        <f>IF(L2742="","",Q2742/'[1]LOCH Calc COE Calc'!$C$28)</f>
        <v/>
      </c>
      <c r="W2742" t="str">
        <f>IF(L2742="","",R2742/'[1]LOCH Calc COE Calc'!$C$28)</f>
        <v/>
      </c>
    </row>
    <row r="2743" spans="12:23" x14ac:dyDescent="0.25">
      <c r="L2743" s="4" t="str">
        <f>IF('[1]All Data '!BE2748="","",'[1]All Data '!BE2748)</f>
        <v/>
      </c>
      <c r="M2743" t="str">
        <f>IF('[1]All Data '!BF2748="","",'[1]All Data '!BF2748)</f>
        <v/>
      </c>
      <c r="N2743" s="5" t="str">
        <f>IF('[1]All Data '!BB2748="","",'[1]All Data '!BC2748/'[1]All Data '!BH2748)</f>
        <v/>
      </c>
      <c r="O2743" s="5" t="str">
        <f t="shared" si="45"/>
        <v/>
      </c>
      <c r="P2743" s="5" t="str">
        <f>IF(M2743="","",$C$2*(1-L2743)*907.2/0.621371*N2743*[1]Transportation!$M$40)</f>
        <v/>
      </c>
      <c r="Q2743" s="5" t="str">
        <f>IF(L2743="","",IF([1]Inputs_Outputs!$B$5="Herbaceous",(LCA!$E$29*'[1]LOCH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3" s="5" t="str">
        <f>IF(M2743="","",$E$2*1000*'[1]LOCH Calc COE Calc'!$C$44)</f>
        <v/>
      </c>
      <c r="S2743" s="6" t="str">
        <f>IF(N2743="","",SUM(O2743:R2743)/('[1]LOCH Calc COE Calc'!$C$28))</f>
        <v/>
      </c>
      <c r="T2743" t="str">
        <f>IF(L2743="","",O2743/'[1]LOCH Calc COE Calc'!$C$28)</f>
        <v/>
      </c>
      <c r="U2743" t="str">
        <f>IF(L2743="","",P2743/'[1]LOCH Calc COE Calc'!$C$28)</f>
        <v/>
      </c>
      <c r="V2743" t="str">
        <f>IF(L2743="","",Q2743/'[1]LOCH Calc COE Calc'!$C$28)</f>
        <v/>
      </c>
      <c r="W2743" t="str">
        <f>IF(L2743="","",R2743/'[1]LOCH Calc COE Calc'!$C$28)</f>
        <v/>
      </c>
    </row>
    <row r="2744" spans="12:23" x14ac:dyDescent="0.25">
      <c r="L2744" s="4" t="str">
        <f>IF('[1]All Data '!BE2749="","",'[1]All Data '!BE2749)</f>
        <v/>
      </c>
      <c r="M2744" t="str">
        <f>IF('[1]All Data '!BF2749="","",'[1]All Data '!BF2749)</f>
        <v/>
      </c>
      <c r="N2744" s="5" t="str">
        <f>IF('[1]All Data '!BB2749="","",'[1]All Data '!BC2749/'[1]All Data '!BH2749)</f>
        <v/>
      </c>
      <c r="O2744" s="5" t="str">
        <f t="shared" si="45"/>
        <v/>
      </c>
      <c r="P2744" s="5" t="str">
        <f>IF(M2744="","",$C$2*(1-L2744)*907.2/0.621371*N2744*[1]Transportation!$M$40)</f>
        <v/>
      </c>
      <c r="Q2744" s="5" t="str">
        <f>IF(L2744="","",IF([1]Inputs_Outputs!$B$5="Herbaceous",(LCA!$E$29*'[1]LOCH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4" s="5" t="str">
        <f>IF(M2744="","",$E$2*1000*'[1]LOCH Calc COE Calc'!$C$44)</f>
        <v/>
      </c>
      <c r="S2744" s="6" t="str">
        <f>IF(N2744="","",SUM(O2744:R2744)/('[1]LOCH Calc COE Calc'!$C$28))</f>
        <v/>
      </c>
      <c r="T2744" t="str">
        <f>IF(L2744="","",O2744/'[1]LOCH Calc COE Calc'!$C$28)</f>
        <v/>
      </c>
      <c r="U2744" t="str">
        <f>IF(L2744="","",P2744/'[1]LOCH Calc COE Calc'!$C$28)</f>
        <v/>
      </c>
      <c r="V2744" t="str">
        <f>IF(L2744="","",Q2744/'[1]LOCH Calc COE Calc'!$C$28)</f>
        <v/>
      </c>
      <c r="W2744" t="str">
        <f>IF(L2744="","",R2744/'[1]LOCH Calc COE Calc'!$C$28)</f>
        <v/>
      </c>
    </row>
    <row r="2745" spans="12:23" x14ac:dyDescent="0.25">
      <c r="L2745" s="4" t="str">
        <f>IF('[1]All Data '!BE2750="","",'[1]All Data '!BE2750)</f>
        <v/>
      </c>
      <c r="M2745" t="str">
        <f>IF('[1]All Data '!BF2750="","",'[1]All Data '!BF2750)</f>
        <v/>
      </c>
      <c r="N2745" s="5" t="str">
        <f>IF('[1]All Data '!BB2750="","",'[1]All Data '!BC2750/'[1]All Data '!BH2750)</f>
        <v/>
      </c>
      <c r="O2745" s="5" t="str">
        <f t="shared" si="45"/>
        <v/>
      </c>
      <c r="P2745" s="5" t="str">
        <f>IF(M2745="","",$C$2*(1-L2745)*907.2/0.621371*N2745*[1]Transportation!$M$40)</f>
        <v/>
      </c>
      <c r="Q2745" s="5" t="str">
        <f>IF(L2745="","",IF([1]Inputs_Outputs!$B$5="Herbaceous",(LCA!$E$29*'[1]LOCH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5" s="5" t="str">
        <f>IF(M2745="","",$E$2*1000*'[1]LOCH Calc COE Calc'!$C$44)</f>
        <v/>
      </c>
      <c r="S2745" s="6" t="str">
        <f>IF(N2745="","",SUM(O2745:R2745)/('[1]LOCH Calc COE Calc'!$C$28))</f>
        <v/>
      </c>
      <c r="T2745" t="str">
        <f>IF(L2745="","",O2745/'[1]LOCH Calc COE Calc'!$C$28)</f>
        <v/>
      </c>
      <c r="U2745" t="str">
        <f>IF(L2745="","",P2745/'[1]LOCH Calc COE Calc'!$C$28)</f>
        <v/>
      </c>
      <c r="V2745" t="str">
        <f>IF(L2745="","",Q2745/'[1]LOCH Calc COE Calc'!$C$28)</f>
        <v/>
      </c>
      <c r="W2745" t="str">
        <f>IF(L2745="","",R2745/'[1]LOCH Calc COE Calc'!$C$28)</f>
        <v/>
      </c>
    </row>
    <row r="2746" spans="12:23" x14ac:dyDescent="0.25">
      <c r="L2746" s="4" t="str">
        <f>IF('[1]All Data '!BE2751="","",'[1]All Data '!BE2751)</f>
        <v/>
      </c>
      <c r="M2746" t="str">
        <f>IF('[1]All Data '!BF2751="","",'[1]All Data '!BF2751)</f>
        <v/>
      </c>
      <c r="N2746" s="5" t="str">
        <f>IF('[1]All Data '!BB2751="","",'[1]All Data '!BC2751/'[1]All Data '!BH2751)</f>
        <v/>
      </c>
      <c r="O2746" s="5" t="str">
        <f t="shared" si="45"/>
        <v/>
      </c>
      <c r="P2746" s="5" t="str">
        <f>IF(M2746="","",$C$2*(1-L2746)*907.2/0.621371*N2746*[1]Transportation!$M$40)</f>
        <v/>
      </c>
      <c r="Q2746" s="5" t="str">
        <f>IF(L2746="","",IF([1]Inputs_Outputs!$B$5="Herbaceous",(LCA!$E$29*'[1]LOCH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6" s="5" t="str">
        <f>IF(M2746="","",$E$2*1000*'[1]LOCH Calc COE Calc'!$C$44)</f>
        <v/>
      </c>
      <c r="S2746" s="6" t="str">
        <f>IF(N2746="","",SUM(O2746:R2746)/('[1]LOCH Calc COE Calc'!$C$28))</f>
        <v/>
      </c>
      <c r="T2746" t="str">
        <f>IF(L2746="","",O2746/'[1]LOCH Calc COE Calc'!$C$28)</f>
        <v/>
      </c>
      <c r="U2746" t="str">
        <f>IF(L2746="","",P2746/'[1]LOCH Calc COE Calc'!$C$28)</f>
        <v/>
      </c>
      <c r="V2746" t="str">
        <f>IF(L2746="","",Q2746/'[1]LOCH Calc COE Calc'!$C$28)</f>
        <v/>
      </c>
      <c r="W2746" t="str">
        <f>IF(L2746="","",R2746/'[1]LOCH Calc COE Calc'!$C$28)</f>
        <v/>
      </c>
    </row>
    <row r="2747" spans="12:23" x14ac:dyDescent="0.25">
      <c r="L2747" s="4" t="str">
        <f>IF('[1]All Data '!BE2752="","",'[1]All Data '!BE2752)</f>
        <v/>
      </c>
      <c r="M2747" t="str">
        <f>IF('[1]All Data '!BF2752="","",'[1]All Data '!BF2752)</f>
        <v/>
      </c>
      <c r="N2747" s="5" t="str">
        <f>IF('[1]All Data '!BB2752="","",'[1]All Data '!BC2752/'[1]All Data '!BH2752)</f>
        <v/>
      </c>
      <c r="O2747" s="5" t="str">
        <f t="shared" si="45"/>
        <v/>
      </c>
      <c r="P2747" s="5" t="str">
        <f>IF(M2747="","",$C$2*(1-L2747)*907.2/0.621371*N2747*[1]Transportation!$M$40)</f>
        <v/>
      </c>
      <c r="Q2747" s="5" t="str">
        <f>IF(L2747="","",IF([1]Inputs_Outputs!$B$5="Herbaceous",(LCA!$E$29*'[1]LOCH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7" s="5" t="str">
        <f>IF(M2747="","",$E$2*1000*'[1]LOCH Calc COE Calc'!$C$44)</f>
        <v/>
      </c>
      <c r="S2747" s="6" t="str">
        <f>IF(N2747="","",SUM(O2747:R2747)/('[1]LOCH Calc COE Calc'!$C$28))</f>
        <v/>
      </c>
      <c r="T2747" t="str">
        <f>IF(L2747="","",O2747/'[1]LOCH Calc COE Calc'!$C$28)</f>
        <v/>
      </c>
      <c r="U2747" t="str">
        <f>IF(L2747="","",P2747/'[1]LOCH Calc COE Calc'!$C$28)</f>
        <v/>
      </c>
      <c r="V2747" t="str">
        <f>IF(L2747="","",Q2747/'[1]LOCH Calc COE Calc'!$C$28)</f>
        <v/>
      </c>
      <c r="W2747" t="str">
        <f>IF(L2747="","",R2747/'[1]LOCH Calc COE Calc'!$C$28)</f>
        <v/>
      </c>
    </row>
    <row r="2748" spans="12:23" x14ac:dyDescent="0.25">
      <c r="L2748" s="4" t="str">
        <f>IF('[1]All Data '!BE2753="","",'[1]All Data '!BE2753)</f>
        <v/>
      </c>
      <c r="M2748" t="str">
        <f>IF('[1]All Data '!BF2753="","",'[1]All Data '!BF2753)</f>
        <v/>
      </c>
      <c r="N2748" s="5" t="str">
        <f>IF('[1]All Data '!BB2753="","",'[1]All Data '!BC2753/'[1]All Data '!BH2753)</f>
        <v/>
      </c>
      <c r="O2748" s="5" t="str">
        <f t="shared" si="45"/>
        <v/>
      </c>
      <c r="P2748" s="5" t="str">
        <f>IF(M2748="","",$C$2*(1-L2748)*907.2/0.621371*N2748*[1]Transportation!$M$40)</f>
        <v/>
      </c>
      <c r="Q2748" s="5" t="str">
        <f>IF(L2748="","",IF([1]Inputs_Outputs!$B$5="Herbaceous",(LCA!$E$29*'[1]LOCH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8" s="5" t="str">
        <f>IF(M2748="","",$E$2*1000*'[1]LOCH Calc COE Calc'!$C$44)</f>
        <v/>
      </c>
      <c r="S2748" s="6" t="str">
        <f>IF(N2748="","",SUM(O2748:R2748)/('[1]LOCH Calc COE Calc'!$C$28))</f>
        <v/>
      </c>
      <c r="T2748" t="str">
        <f>IF(L2748="","",O2748/'[1]LOCH Calc COE Calc'!$C$28)</f>
        <v/>
      </c>
      <c r="U2748" t="str">
        <f>IF(L2748="","",P2748/'[1]LOCH Calc COE Calc'!$C$28)</f>
        <v/>
      </c>
      <c r="V2748" t="str">
        <f>IF(L2748="","",Q2748/'[1]LOCH Calc COE Calc'!$C$28)</f>
        <v/>
      </c>
      <c r="W2748" t="str">
        <f>IF(L2748="","",R2748/'[1]LOCH Calc COE Calc'!$C$28)</f>
        <v/>
      </c>
    </row>
    <row r="2749" spans="12:23" x14ac:dyDescent="0.25">
      <c r="L2749" s="4" t="str">
        <f>IF('[1]All Data '!BE2754="","",'[1]All Data '!BE2754)</f>
        <v/>
      </c>
      <c r="M2749" t="str">
        <f>IF('[1]All Data '!BF2754="","",'[1]All Data '!BF2754)</f>
        <v/>
      </c>
      <c r="N2749" s="5" t="str">
        <f>IF('[1]All Data '!BB2754="","",'[1]All Data '!BC2754/'[1]All Data '!BH2754)</f>
        <v/>
      </c>
      <c r="O2749" s="5" t="str">
        <f t="shared" si="45"/>
        <v/>
      </c>
      <c r="P2749" s="5" t="str">
        <f>IF(M2749="","",$C$2*(1-L2749)*907.2/0.621371*N2749*[1]Transportation!$M$40)</f>
        <v/>
      </c>
      <c r="Q2749" s="5" t="str">
        <f>IF(L2749="","",IF([1]Inputs_Outputs!$B$5="Herbaceous",(LCA!$E$29*'[1]LOCH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49" s="5" t="str">
        <f>IF(M2749="","",$E$2*1000*'[1]LOCH Calc COE Calc'!$C$44)</f>
        <v/>
      </c>
      <c r="S2749" s="6" t="str">
        <f>IF(N2749="","",SUM(O2749:R2749)/('[1]LOCH Calc COE Calc'!$C$28))</f>
        <v/>
      </c>
      <c r="T2749" t="str">
        <f>IF(L2749="","",O2749/'[1]LOCH Calc COE Calc'!$C$28)</f>
        <v/>
      </c>
      <c r="U2749" t="str">
        <f>IF(L2749="","",P2749/'[1]LOCH Calc COE Calc'!$C$28)</f>
        <v/>
      </c>
      <c r="V2749" t="str">
        <f>IF(L2749="","",Q2749/'[1]LOCH Calc COE Calc'!$C$28)</f>
        <v/>
      </c>
      <c r="W2749" t="str">
        <f>IF(L2749="","",R2749/'[1]LOCH Calc COE Calc'!$C$28)</f>
        <v/>
      </c>
    </row>
    <row r="2750" spans="12:23" x14ac:dyDescent="0.25">
      <c r="L2750" s="4" t="str">
        <f>IF('[1]All Data '!BE2755="","",'[1]All Data '!BE2755)</f>
        <v/>
      </c>
      <c r="M2750" t="str">
        <f>IF('[1]All Data '!BF2755="","",'[1]All Data '!BF2755)</f>
        <v/>
      </c>
      <c r="N2750" s="5" t="str">
        <f>IF('[1]All Data '!BB2755="","",'[1]All Data '!BC2755/'[1]All Data '!BH2755)</f>
        <v/>
      </c>
      <c r="O2750" s="5" t="str">
        <f t="shared" si="45"/>
        <v/>
      </c>
      <c r="P2750" s="5" t="str">
        <f>IF(M2750="","",$C$2*(1-L2750)*907.2/0.621371*N2750*[1]Transportation!$M$40)</f>
        <v/>
      </c>
      <c r="Q2750" s="5" t="str">
        <f>IF(L2750="","",IF([1]Inputs_Outputs!$B$5="Herbaceous",(LCA!$E$29*'[1]LOCH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0" s="5" t="str">
        <f>IF(M2750="","",$E$2*1000*'[1]LOCH Calc COE Calc'!$C$44)</f>
        <v/>
      </c>
      <c r="S2750" s="6" t="str">
        <f>IF(N2750="","",SUM(O2750:R2750)/('[1]LOCH Calc COE Calc'!$C$28))</f>
        <v/>
      </c>
      <c r="T2750" t="str">
        <f>IF(L2750="","",O2750/'[1]LOCH Calc COE Calc'!$C$28)</f>
        <v/>
      </c>
      <c r="U2750" t="str">
        <f>IF(L2750="","",P2750/'[1]LOCH Calc COE Calc'!$C$28)</f>
        <v/>
      </c>
      <c r="V2750" t="str">
        <f>IF(L2750="","",Q2750/'[1]LOCH Calc COE Calc'!$C$28)</f>
        <v/>
      </c>
      <c r="W2750" t="str">
        <f>IF(L2750="","",R2750/'[1]LOCH Calc COE Calc'!$C$28)</f>
        <v/>
      </c>
    </row>
    <row r="2751" spans="12:23" x14ac:dyDescent="0.25">
      <c r="L2751" s="4" t="str">
        <f>IF('[1]All Data '!BE2756="","",'[1]All Data '!BE2756)</f>
        <v/>
      </c>
      <c r="M2751" t="str">
        <f>IF('[1]All Data '!BF2756="","",'[1]All Data '!BF2756)</f>
        <v/>
      </c>
      <c r="N2751" s="5" t="str">
        <f>IF('[1]All Data '!BB2756="","",'[1]All Data '!BC2756/'[1]All Data '!BH2756)</f>
        <v/>
      </c>
      <c r="O2751" s="5" t="str">
        <f t="shared" si="45"/>
        <v/>
      </c>
      <c r="P2751" s="5" t="str">
        <f>IF(M2751="","",$C$2*(1-L2751)*907.2/0.621371*N2751*[1]Transportation!$M$40)</f>
        <v/>
      </c>
      <c r="Q2751" s="5" t="str">
        <f>IF(L2751="","",IF([1]Inputs_Outputs!$B$5="Herbaceous",(LCA!$E$29*'[1]LOCH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1" s="5" t="str">
        <f>IF(M2751="","",$E$2*1000*'[1]LOCH Calc COE Calc'!$C$44)</f>
        <v/>
      </c>
      <c r="S2751" s="6" t="str">
        <f>IF(N2751="","",SUM(O2751:R2751)/('[1]LOCH Calc COE Calc'!$C$28))</f>
        <v/>
      </c>
      <c r="T2751" t="str">
        <f>IF(L2751="","",O2751/'[1]LOCH Calc COE Calc'!$C$28)</f>
        <v/>
      </c>
      <c r="U2751" t="str">
        <f>IF(L2751="","",P2751/'[1]LOCH Calc COE Calc'!$C$28)</f>
        <v/>
      </c>
      <c r="V2751" t="str">
        <f>IF(L2751="","",Q2751/'[1]LOCH Calc COE Calc'!$C$28)</f>
        <v/>
      </c>
      <c r="W2751" t="str">
        <f>IF(L2751="","",R2751/'[1]LOCH Calc COE Calc'!$C$28)</f>
        <v/>
      </c>
    </row>
    <row r="2752" spans="12:23" x14ac:dyDescent="0.25">
      <c r="L2752" s="4" t="str">
        <f>IF('[1]All Data '!BE2757="","",'[1]All Data '!BE2757)</f>
        <v/>
      </c>
      <c r="M2752" t="str">
        <f>IF('[1]All Data '!BF2757="","",'[1]All Data '!BF2757)</f>
        <v/>
      </c>
      <c r="N2752" s="5" t="str">
        <f>IF('[1]All Data '!BB2757="","",'[1]All Data '!BC2757/'[1]All Data '!BH2757)</f>
        <v/>
      </c>
      <c r="O2752" s="5" t="str">
        <f t="shared" si="45"/>
        <v/>
      </c>
      <c r="P2752" s="5" t="str">
        <f>IF(M2752="","",$C$2*(1-L2752)*907.2/0.621371*N2752*[1]Transportation!$M$40)</f>
        <v/>
      </c>
      <c r="Q2752" s="5" t="str">
        <f>IF(L2752="","",IF([1]Inputs_Outputs!$B$5="Herbaceous",(LCA!$E$29*'[1]LOCH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2" s="5" t="str">
        <f>IF(M2752="","",$E$2*1000*'[1]LOCH Calc COE Calc'!$C$44)</f>
        <v/>
      </c>
      <c r="S2752" s="6" t="str">
        <f>IF(N2752="","",SUM(O2752:R2752)/('[1]LOCH Calc COE Calc'!$C$28))</f>
        <v/>
      </c>
      <c r="T2752" t="str">
        <f>IF(L2752="","",O2752/'[1]LOCH Calc COE Calc'!$C$28)</f>
        <v/>
      </c>
      <c r="U2752" t="str">
        <f>IF(L2752="","",P2752/'[1]LOCH Calc COE Calc'!$C$28)</f>
        <v/>
      </c>
      <c r="V2752" t="str">
        <f>IF(L2752="","",Q2752/'[1]LOCH Calc COE Calc'!$C$28)</f>
        <v/>
      </c>
      <c r="W2752" t="str">
        <f>IF(L2752="","",R2752/'[1]LOCH Calc COE Calc'!$C$28)</f>
        <v/>
      </c>
    </row>
    <row r="2753" spans="12:23" x14ac:dyDescent="0.25">
      <c r="L2753" s="4" t="str">
        <f>IF('[1]All Data '!BE2758="","",'[1]All Data '!BE2758)</f>
        <v/>
      </c>
      <c r="M2753" t="str">
        <f>IF('[1]All Data '!BF2758="","",'[1]All Data '!BF2758)</f>
        <v/>
      </c>
      <c r="N2753" s="5" t="str">
        <f>IF('[1]All Data '!BB2758="","",'[1]All Data '!BC2758/'[1]All Data '!BH2758)</f>
        <v/>
      </c>
      <c r="O2753" s="5" t="str">
        <f t="shared" si="45"/>
        <v/>
      </c>
      <c r="P2753" s="5" t="str">
        <f>IF(M2753="","",$C$2*(1-L2753)*907.2/0.621371*N2753*[1]Transportation!$M$40)</f>
        <v/>
      </c>
      <c r="Q2753" s="5" t="str">
        <f>IF(L2753="","",IF([1]Inputs_Outputs!$B$5="Herbaceous",(LCA!$E$29*'[1]LOCH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3" s="5" t="str">
        <f>IF(M2753="","",$E$2*1000*'[1]LOCH Calc COE Calc'!$C$44)</f>
        <v/>
      </c>
      <c r="S2753" s="6" t="str">
        <f>IF(N2753="","",SUM(O2753:R2753)/('[1]LOCH Calc COE Calc'!$C$28))</f>
        <v/>
      </c>
      <c r="T2753" t="str">
        <f>IF(L2753="","",O2753/'[1]LOCH Calc COE Calc'!$C$28)</f>
        <v/>
      </c>
      <c r="U2753" t="str">
        <f>IF(L2753="","",P2753/'[1]LOCH Calc COE Calc'!$C$28)</f>
        <v/>
      </c>
      <c r="V2753" t="str">
        <f>IF(L2753="","",Q2753/'[1]LOCH Calc COE Calc'!$C$28)</f>
        <v/>
      </c>
      <c r="W2753" t="str">
        <f>IF(L2753="","",R2753/'[1]LOCH Calc COE Calc'!$C$28)</f>
        <v/>
      </c>
    </row>
    <row r="2754" spans="12:23" x14ac:dyDescent="0.25">
      <c r="L2754" s="4" t="str">
        <f>IF('[1]All Data '!BE2759="","",'[1]All Data '!BE2759)</f>
        <v/>
      </c>
      <c r="M2754" t="str">
        <f>IF('[1]All Data '!BF2759="","",'[1]All Data '!BF2759)</f>
        <v/>
      </c>
      <c r="N2754" s="5" t="str">
        <f>IF('[1]All Data '!BB2759="","",'[1]All Data '!BC2759/'[1]All Data '!BH2759)</f>
        <v/>
      </c>
      <c r="O2754" s="5" t="str">
        <f t="shared" si="45"/>
        <v/>
      </c>
      <c r="P2754" s="5" t="str">
        <f>IF(M2754="","",$C$2*(1-L2754)*907.2/0.621371*N2754*[1]Transportation!$M$40)</f>
        <v/>
      </c>
      <c r="Q2754" s="5" t="str">
        <f>IF(L2754="","",IF([1]Inputs_Outputs!$B$5="Herbaceous",(LCA!$E$29*'[1]LOCH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4" s="5" t="str">
        <f>IF(M2754="","",$E$2*1000*'[1]LOCH Calc COE Calc'!$C$44)</f>
        <v/>
      </c>
      <c r="S2754" s="6" t="str">
        <f>IF(N2754="","",SUM(O2754:R2754)/('[1]LOCH Calc COE Calc'!$C$28))</f>
        <v/>
      </c>
      <c r="T2754" t="str">
        <f>IF(L2754="","",O2754/'[1]LOCH Calc COE Calc'!$C$28)</f>
        <v/>
      </c>
      <c r="U2754" t="str">
        <f>IF(L2754="","",P2754/'[1]LOCH Calc COE Calc'!$C$28)</f>
        <v/>
      </c>
      <c r="V2754" t="str">
        <f>IF(L2754="","",Q2754/'[1]LOCH Calc COE Calc'!$C$28)</f>
        <v/>
      </c>
      <c r="W2754" t="str">
        <f>IF(L2754="","",R2754/'[1]LOCH Calc COE Calc'!$C$28)</f>
        <v/>
      </c>
    </row>
    <row r="2755" spans="12:23" x14ac:dyDescent="0.25">
      <c r="L2755" s="4" t="str">
        <f>IF('[1]All Data '!BE2760="","",'[1]All Data '!BE2760)</f>
        <v/>
      </c>
      <c r="M2755" t="str">
        <f>IF('[1]All Data '!BF2760="","",'[1]All Data '!BF2760)</f>
        <v/>
      </c>
      <c r="N2755" s="5" t="str">
        <f>IF('[1]All Data '!BB2760="","",'[1]All Data '!BC2760/'[1]All Data '!BH2760)</f>
        <v/>
      </c>
      <c r="O2755" s="5" t="str">
        <f t="shared" si="45"/>
        <v/>
      </c>
      <c r="P2755" s="5" t="str">
        <f>IF(M2755="","",$C$2*(1-L2755)*907.2/0.621371*N2755*[1]Transportation!$M$40)</f>
        <v/>
      </c>
      <c r="Q2755" s="5" t="str">
        <f>IF(L2755="","",IF([1]Inputs_Outputs!$B$5="Herbaceous",(LCA!$E$29*'[1]LOCH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5" s="5" t="str">
        <f>IF(M2755="","",$E$2*1000*'[1]LOCH Calc COE Calc'!$C$44)</f>
        <v/>
      </c>
      <c r="S2755" s="6" t="str">
        <f>IF(N2755="","",SUM(O2755:R2755)/('[1]LOCH Calc COE Calc'!$C$28))</f>
        <v/>
      </c>
      <c r="T2755" t="str">
        <f>IF(L2755="","",O2755/'[1]LOCH Calc COE Calc'!$C$28)</f>
        <v/>
      </c>
      <c r="U2755" t="str">
        <f>IF(L2755="","",P2755/'[1]LOCH Calc COE Calc'!$C$28)</f>
        <v/>
      </c>
      <c r="V2755" t="str">
        <f>IF(L2755="","",Q2755/'[1]LOCH Calc COE Calc'!$C$28)</f>
        <v/>
      </c>
      <c r="W2755" t="str">
        <f>IF(L2755="","",R2755/'[1]LOCH Calc COE Calc'!$C$28)</f>
        <v/>
      </c>
    </row>
    <row r="2756" spans="12:23" x14ac:dyDescent="0.25">
      <c r="L2756" s="4" t="str">
        <f>IF('[1]All Data '!BE2761="","",'[1]All Data '!BE2761)</f>
        <v/>
      </c>
      <c r="M2756" t="str">
        <f>IF('[1]All Data '!BF2761="","",'[1]All Data '!BF2761)</f>
        <v/>
      </c>
      <c r="N2756" s="5" t="str">
        <f>IF('[1]All Data '!BB2761="","",'[1]All Data '!BC2761/'[1]All Data '!BH2761)</f>
        <v/>
      </c>
      <c r="O2756" s="5" t="str">
        <f t="shared" si="45"/>
        <v/>
      </c>
      <c r="P2756" s="5" t="str">
        <f>IF(M2756="","",$C$2*(1-L2756)*907.2/0.621371*N2756*[1]Transportation!$M$40)</f>
        <v/>
      </c>
      <c r="Q2756" s="5" t="str">
        <f>IF(L2756="","",IF([1]Inputs_Outputs!$B$5="Herbaceous",(LCA!$E$29*'[1]LOCH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6" s="5" t="str">
        <f>IF(M2756="","",$E$2*1000*'[1]LOCH Calc COE Calc'!$C$44)</f>
        <v/>
      </c>
      <c r="S2756" s="6" t="str">
        <f>IF(N2756="","",SUM(O2756:R2756)/('[1]LOCH Calc COE Calc'!$C$28))</f>
        <v/>
      </c>
      <c r="T2756" t="str">
        <f>IF(L2756="","",O2756/'[1]LOCH Calc COE Calc'!$C$28)</f>
        <v/>
      </c>
      <c r="U2756" t="str">
        <f>IF(L2756="","",P2756/'[1]LOCH Calc COE Calc'!$C$28)</f>
        <v/>
      </c>
      <c r="V2756" t="str">
        <f>IF(L2756="","",Q2756/'[1]LOCH Calc COE Calc'!$C$28)</f>
        <v/>
      </c>
      <c r="W2756" t="str">
        <f>IF(L2756="","",R2756/'[1]LOCH Calc COE Calc'!$C$28)</f>
        <v/>
      </c>
    </row>
    <row r="2757" spans="12:23" x14ac:dyDescent="0.25">
      <c r="L2757" s="4" t="str">
        <f>IF('[1]All Data '!BE2762="","",'[1]All Data '!BE2762)</f>
        <v/>
      </c>
      <c r="M2757" t="str">
        <f>IF('[1]All Data '!BF2762="","",'[1]All Data '!BF2762)</f>
        <v/>
      </c>
      <c r="N2757" s="5" t="str">
        <f>IF('[1]All Data '!BB2762="","",'[1]All Data '!BC2762/'[1]All Data '!BH2762)</f>
        <v/>
      </c>
      <c r="O2757" s="5" t="str">
        <f t="shared" si="45"/>
        <v/>
      </c>
      <c r="P2757" s="5" t="str">
        <f>IF(M2757="","",$C$2*(1-L2757)*907.2/0.621371*N2757*[1]Transportation!$M$40)</f>
        <v/>
      </c>
      <c r="Q2757" s="5" t="str">
        <f>IF(L2757="","",IF([1]Inputs_Outputs!$B$5="Herbaceous",(LCA!$E$29*'[1]LOCH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7" s="5" t="str">
        <f>IF(M2757="","",$E$2*1000*'[1]LOCH Calc COE Calc'!$C$44)</f>
        <v/>
      </c>
      <c r="S2757" s="6" t="str">
        <f>IF(N2757="","",SUM(O2757:R2757)/('[1]LOCH Calc COE Calc'!$C$28))</f>
        <v/>
      </c>
      <c r="T2757" t="str">
        <f>IF(L2757="","",O2757/'[1]LOCH Calc COE Calc'!$C$28)</f>
        <v/>
      </c>
      <c r="U2757" t="str">
        <f>IF(L2757="","",P2757/'[1]LOCH Calc COE Calc'!$C$28)</f>
        <v/>
      </c>
      <c r="V2757" t="str">
        <f>IF(L2757="","",Q2757/'[1]LOCH Calc COE Calc'!$C$28)</f>
        <v/>
      </c>
      <c r="W2757" t="str">
        <f>IF(L2757="","",R2757/'[1]LOCH Calc COE Calc'!$C$28)</f>
        <v/>
      </c>
    </row>
    <row r="2758" spans="12:23" x14ac:dyDescent="0.25">
      <c r="L2758" s="4" t="str">
        <f>IF('[1]All Data '!BE2763="","",'[1]All Data '!BE2763)</f>
        <v/>
      </c>
      <c r="M2758" t="str">
        <f>IF('[1]All Data '!BF2763="","",'[1]All Data '!BF2763)</f>
        <v/>
      </c>
      <c r="N2758" s="5" t="str">
        <f>IF('[1]All Data '!BB2763="","",'[1]All Data '!BC2763/'[1]All Data '!BH2763)</f>
        <v/>
      </c>
      <c r="O2758" s="5" t="str">
        <f t="shared" si="45"/>
        <v/>
      </c>
      <c r="P2758" s="5" t="str">
        <f>IF(M2758="","",$C$2*(1-L2758)*907.2/0.621371*N2758*[1]Transportation!$M$40)</f>
        <v/>
      </c>
      <c r="Q2758" s="5" t="str">
        <f>IF(L2758="","",IF([1]Inputs_Outputs!$B$5="Herbaceous",(LCA!$E$29*'[1]LOCH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8" s="5" t="str">
        <f>IF(M2758="","",$E$2*1000*'[1]LOCH Calc COE Calc'!$C$44)</f>
        <v/>
      </c>
      <c r="S2758" s="6" t="str">
        <f>IF(N2758="","",SUM(O2758:R2758)/('[1]LOCH Calc COE Calc'!$C$28))</f>
        <v/>
      </c>
      <c r="T2758" t="str">
        <f>IF(L2758="","",O2758/'[1]LOCH Calc COE Calc'!$C$28)</f>
        <v/>
      </c>
      <c r="U2758" t="str">
        <f>IF(L2758="","",P2758/'[1]LOCH Calc COE Calc'!$C$28)</f>
        <v/>
      </c>
      <c r="V2758" t="str">
        <f>IF(L2758="","",Q2758/'[1]LOCH Calc COE Calc'!$C$28)</f>
        <v/>
      </c>
      <c r="W2758" t="str">
        <f>IF(L2758="","",R2758/'[1]LOCH Calc COE Calc'!$C$28)</f>
        <v/>
      </c>
    </row>
    <row r="2759" spans="12:23" x14ac:dyDescent="0.25">
      <c r="L2759" s="4" t="str">
        <f>IF('[1]All Data '!BE2764="","",'[1]All Data '!BE2764)</f>
        <v/>
      </c>
      <c r="M2759" t="str">
        <f>IF('[1]All Data '!BF2764="","",'[1]All Data '!BF2764)</f>
        <v/>
      </c>
      <c r="N2759" s="5" t="str">
        <f>IF('[1]All Data '!BB2764="","",'[1]All Data '!BC2764/'[1]All Data '!BH2764)</f>
        <v/>
      </c>
      <c r="O2759" s="5" t="str">
        <f t="shared" si="45"/>
        <v/>
      </c>
      <c r="P2759" s="5" t="str">
        <f>IF(M2759="","",$C$2*(1-L2759)*907.2/0.621371*N2759*[1]Transportation!$M$40)</f>
        <v/>
      </c>
      <c r="Q2759" s="5" t="str">
        <f>IF(L2759="","",IF([1]Inputs_Outputs!$B$5="Herbaceous",(LCA!$E$29*'[1]LOCH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59" s="5" t="str">
        <f>IF(M2759="","",$E$2*1000*'[1]LOCH Calc COE Calc'!$C$44)</f>
        <v/>
      </c>
      <c r="S2759" s="6" t="str">
        <f>IF(N2759="","",SUM(O2759:R2759)/('[1]LOCH Calc COE Calc'!$C$28))</f>
        <v/>
      </c>
      <c r="T2759" t="str">
        <f>IF(L2759="","",O2759/'[1]LOCH Calc COE Calc'!$C$28)</f>
        <v/>
      </c>
      <c r="U2759" t="str">
        <f>IF(L2759="","",P2759/'[1]LOCH Calc COE Calc'!$C$28)</f>
        <v/>
      </c>
      <c r="V2759" t="str">
        <f>IF(L2759="","",Q2759/'[1]LOCH Calc COE Calc'!$C$28)</f>
        <v/>
      </c>
      <c r="W2759" t="str">
        <f>IF(L2759="","",R2759/'[1]LOCH Calc COE Calc'!$C$28)</f>
        <v/>
      </c>
    </row>
    <row r="2760" spans="12:23" x14ac:dyDescent="0.25">
      <c r="L2760" s="4" t="str">
        <f>IF('[1]All Data '!BE2765="","",'[1]All Data '!BE2765)</f>
        <v/>
      </c>
      <c r="M2760" t="str">
        <f>IF('[1]All Data '!BF2765="","",'[1]All Data '!BF2765)</f>
        <v/>
      </c>
      <c r="N2760" s="5" t="str">
        <f>IF('[1]All Data '!BB2765="","",'[1]All Data '!BC2765/'[1]All Data '!BH2765)</f>
        <v/>
      </c>
      <c r="O2760" s="5" t="str">
        <f t="shared" si="45"/>
        <v/>
      </c>
      <c r="P2760" s="5" t="str">
        <f>IF(M2760="","",$C$2*(1-L2760)*907.2/0.621371*N2760*[1]Transportation!$M$40)</f>
        <v/>
      </c>
      <c r="Q2760" s="5" t="str">
        <f>IF(L2760="","",IF([1]Inputs_Outputs!$B$5="Herbaceous",(LCA!$E$29*'[1]LOCH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0" s="5" t="str">
        <f>IF(M2760="","",$E$2*1000*'[1]LOCH Calc COE Calc'!$C$44)</f>
        <v/>
      </c>
      <c r="S2760" s="6" t="str">
        <f>IF(N2760="","",SUM(O2760:R2760)/('[1]LOCH Calc COE Calc'!$C$28))</f>
        <v/>
      </c>
      <c r="T2760" t="str">
        <f>IF(L2760="","",O2760/'[1]LOCH Calc COE Calc'!$C$28)</f>
        <v/>
      </c>
      <c r="U2760" t="str">
        <f>IF(L2760="","",P2760/'[1]LOCH Calc COE Calc'!$C$28)</f>
        <v/>
      </c>
      <c r="V2760" t="str">
        <f>IF(L2760="","",Q2760/'[1]LOCH Calc COE Calc'!$C$28)</f>
        <v/>
      </c>
      <c r="W2760" t="str">
        <f>IF(L2760="","",R2760/'[1]LOCH Calc COE Calc'!$C$28)</f>
        <v/>
      </c>
    </row>
    <row r="2761" spans="12:23" x14ac:dyDescent="0.25">
      <c r="L2761" s="4" t="str">
        <f>IF('[1]All Data '!BE2766="","",'[1]All Data '!BE2766)</f>
        <v/>
      </c>
      <c r="M2761" t="str">
        <f>IF('[1]All Data '!BF2766="","",'[1]All Data '!BF2766)</f>
        <v/>
      </c>
      <c r="N2761" s="5" t="str">
        <f>IF('[1]All Data '!BB2766="","",'[1]All Data '!BC2766/'[1]All Data '!BH2766)</f>
        <v/>
      </c>
      <c r="O2761" s="5" t="str">
        <f t="shared" si="45"/>
        <v/>
      </c>
      <c r="P2761" s="5" t="str">
        <f>IF(M2761="","",$C$2*(1-L2761)*907.2/0.621371*N2761*[1]Transportation!$M$40)</f>
        <v/>
      </c>
      <c r="Q2761" s="5" t="str">
        <f>IF(L2761="","",IF([1]Inputs_Outputs!$B$5="Herbaceous",(LCA!$E$29*'[1]LOCH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1" s="5" t="str">
        <f>IF(M2761="","",$E$2*1000*'[1]LOCH Calc COE Calc'!$C$44)</f>
        <v/>
      </c>
      <c r="S2761" s="6" t="str">
        <f>IF(N2761="","",SUM(O2761:R2761)/('[1]LOCH Calc COE Calc'!$C$28))</f>
        <v/>
      </c>
      <c r="T2761" t="str">
        <f>IF(L2761="","",O2761/'[1]LOCH Calc COE Calc'!$C$28)</f>
        <v/>
      </c>
      <c r="U2761" t="str">
        <f>IF(L2761="","",P2761/'[1]LOCH Calc COE Calc'!$C$28)</f>
        <v/>
      </c>
      <c r="V2761" t="str">
        <f>IF(L2761="","",Q2761/'[1]LOCH Calc COE Calc'!$C$28)</f>
        <v/>
      </c>
      <c r="W2761" t="str">
        <f>IF(L2761="","",R2761/'[1]LOCH Calc COE Calc'!$C$28)</f>
        <v/>
      </c>
    </row>
    <row r="2762" spans="12:23" x14ac:dyDescent="0.25">
      <c r="L2762" s="4" t="str">
        <f>IF('[1]All Data '!BE2767="","",'[1]All Data '!BE2767)</f>
        <v/>
      </c>
      <c r="M2762" t="str">
        <f>IF('[1]All Data '!BF2767="","",'[1]All Data '!BF2767)</f>
        <v/>
      </c>
      <c r="N2762" s="5" t="str">
        <f>IF('[1]All Data '!BB2767="","",'[1]All Data '!BC2767/'[1]All Data '!BH2767)</f>
        <v/>
      </c>
      <c r="O2762" s="5" t="str">
        <f t="shared" si="45"/>
        <v/>
      </c>
      <c r="P2762" s="5" t="str">
        <f>IF(M2762="","",$C$2*(1-L2762)*907.2/0.621371*N2762*[1]Transportation!$M$40)</f>
        <v/>
      </c>
      <c r="Q2762" s="5" t="str">
        <f>IF(L2762="","",IF([1]Inputs_Outputs!$B$5="Herbaceous",(LCA!$E$29*'[1]LOCH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2" s="5" t="str">
        <f>IF(M2762="","",$E$2*1000*'[1]LOCH Calc COE Calc'!$C$44)</f>
        <v/>
      </c>
      <c r="S2762" s="6" t="str">
        <f>IF(N2762="","",SUM(O2762:R2762)/('[1]LOCH Calc COE Calc'!$C$28))</f>
        <v/>
      </c>
      <c r="T2762" t="str">
        <f>IF(L2762="","",O2762/'[1]LOCH Calc COE Calc'!$C$28)</f>
        <v/>
      </c>
      <c r="U2762" t="str">
        <f>IF(L2762="","",P2762/'[1]LOCH Calc COE Calc'!$C$28)</f>
        <v/>
      </c>
      <c r="V2762" t="str">
        <f>IF(L2762="","",Q2762/'[1]LOCH Calc COE Calc'!$C$28)</f>
        <v/>
      </c>
      <c r="W2762" t="str">
        <f>IF(L2762="","",R2762/'[1]LOCH Calc COE Calc'!$C$28)</f>
        <v/>
      </c>
    </row>
    <row r="2763" spans="12:23" x14ac:dyDescent="0.25">
      <c r="L2763" s="4" t="str">
        <f>IF('[1]All Data '!BE2768="","",'[1]All Data '!BE2768)</f>
        <v/>
      </c>
      <c r="M2763" t="str">
        <f>IF('[1]All Data '!BF2768="","",'[1]All Data '!BF2768)</f>
        <v/>
      </c>
      <c r="N2763" s="5" t="str">
        <f>IF('[1]All Data '!BB2768="","",'[1]All Data '!BC2768/'[1]All Data '!BH2768)</f>
        <v/>
      </c>
      <c r="O2763" s="5" t="str">
        <f t="shared" si="45"/>
        <v/>
      </c>
      <c r="P2763" s="5" t="str">
        <f>IF(M2763="","",$C$2*(1-L2763)*907.2/0.621371*N2763*[1]Transportation!$M$40)</f>
        <v/>
      </c>
      <c r="Q2763" s="5" t="str">
        <f>IF(L2763="","",IF([1]Inputs_Outputs!$B$5="Herbaceous",(LCA!$E$29*'[1]LOCH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3" s="5" t="str">
        <f>IF(M2763="","",$E$2*1000*'[1]LOCH Calc COE Calc'!$C$44)</f>
        <v/>
      </c>
      <c r="S2763" s="6" t="str">
        <f>IF(N2763="","",SUM(O2763:R2763)/('[1]LOCH Calc COE Calc'!$C$28))</f>
        <v/>
      </c>
      <c r="T2763" t="str">
        <f>IF(L2763="","",O2763/'[1]LOCH Calc COE Calc'!$C$28)</f>
        <v/>
      </c>
      <c r="U2763" t="str">
        <f>IF(L2763="","",P2763/'[1]LOCH Calc COE Calc'!$C$28)</f>
        <v/>
      </c>
      <c r="V2763" t="str">
        <f>IF(L2763="","",Q2763/'[1]LOCH Calc COE Calc'!$C$28)</f>
        <v/>
      </c>
      <c r="W2763" t="str">
        <f>IF(L2763="","",R2763/'[1]LOCH Calc COE Calc'!$C$28)</f>
        <v/>
      </c>
    </row>
    <row r="2764" spans="12:23" x14ac:dyDescent="0.25">
      <c r="L2764" s="4" t="str">
        <f>IF('[1]All Data '!BE2769="","",'[1]All Data '!BE2769)</f>
        <v/>
      </c>
      <c r="M2764" t="str">
        <f>IF('[1]All Data '!BF2769="","",'[1]All Data '!BF2769)</f>
        <v/>
      </c>
      <c r="N2764" s="5" t="str">
        <f>IF('[1]All Data '!BB2769="","",'[1]All Data '!BC2769/'[1]All Data '!BH2769)</f>
        <v/>
      </c>
      <c r="O2764" s="5" t="str">
        <f t="shared" si="45"/>
        <v/>
      </c>
      <c r="P2764" s="5" t="str">
        <f>IF(M2764="","",$C$2*(1-L2764)*907.2/0.621371*N2764*[1]Transportation!$M$40)</f>
        <v/>
      </c>
      <c r="Q2764" s="5" t="str">
        <f>IF(L2764="","",IF([1]Inputs_Outputs!$B$5="Herbaceous",(LCA!$E$29*'[1]LOCH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4" s="5" t="str">
        <f>IF(M2764="","",$E$2*1000*'[1]LOCH Calc COE Calc'!$C$44)</f>
        <v/>
      </c>
      <c r="S2764" s="6" t="str">
        <f>IF(N2764="","",SUM(O2764:R2764)/('[1]LOCH Calc COE Calc'!$C$28))</f>
        <v/>
      </c>
      <c r="T2764" t="str">
        <f>IF(L2764="","",O2764/'[1]LOCH Calc COE Calc'!$C$28)</f>
        <v/>
      </c>
      <c r="U2764" t="str">
        <f>IF(L2764="","",P2764/'[1]LOCH Calc COE Calc'!$C$28)</f>
        <v/>
      </c>
      <c r="V2764" t="str">
        <f>IF(L2764="","",Q2764/'[1]LOCH Calc COE Calc'!$C$28)</f>
        <v/>
      </c>
      <c r="W2764" t="str">
        <f>IF(L2764="","",R2764/'[1]LOCH Calc COE Calc'!$C$28)</f>
        <v/>
      </c>
    </row>
    <row r="2765" spans="12:23" x14ac:dyDescent="0.25">
      <c r="L2765" s="4" t="str">
        <f>IF('[1]All Data '!BE2770="","",'[1]All Data '!BE2770)</f>
        <v/>
      </c>
      <c r="M2765" t="str">
        <f>IF('[1]All Data '!BF2770="","",'[1]All Data '!BF2770)</f>
        <v/>
      </c>
      <c r="N2765" s="5" t="str">
        <f>IF('[1]All Data '!BB2770="","",'[1]All Data '!BC2770/'[1]All Data '!BH2770)</f>
        <v/>
      </c>
      <c r="O2765" s="5" t="str">
        <f t="shared" si="45"/>
        <v/>
      </c>
      <c r="P2765" s="5" t="str">
        <f>IF(M2765="","",$C$2*(1-L2765)*907.2/0.621371*N2765*[1]Transportation!$M$40)</f>
        <v/>
      </c>
      <c r="Q2765" s="5" t="str">
        <f>IF(L2765="","",IF([1]Inputs_Outputs!$B$5="Herbaceous",(LCA!$E$29*'[1]LOCH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5" s="5" t="str">
        <f>IF(M2765="","",$E$2*1000*'[1]LOCH Calc COE Calc'!$C$44)</f>
        <v/>
      </c>
      <c r="S2765" s="6" t="str">
        <f>IF(N2765="","",SUM(O2765:R2765)/('[1]LOCH Calc COE Calc'!$C$28))</f>
        <v/>
      </c>
      <c r="T2765" t="str">
        <f>IF(L2765="","",O2765/'[1]LOCH Calc COE Calc'!$C$28)</f>
        <v/>
      </c>
      <c r="U2765" t="str">
        <f>IF(L2765="","",P2765/'[1]LOCH Calc COE Calc'!$C$28)</f>
        <v/>
      </c>
      <c r="V2765" t="str">
        <f>IF(L2765="","",Q2765/'[1]LOCH Calc COE Calc'!$C$28)</f>
        <v/>
      </c>
      <c r="W2765" t="str">
        <f>IF(L2765="","",R2765/'[1]LOCH Calc COE Calc'!$C$28)</f>
        <v/>
      </c>
    </row>
    <row r="2766" spans="12:23" x14ac:dyDescent="0.25">
      <c r="L2766" s="4" t="str">
        <f>IF('[1]All Data '!BE2771="","",'[1]All Data '!BE2771)</f>
        <v/>
      </c>
      <c r="M2766" t="str">
        <f>IF('[1]All Data '!BF2771="","",'[1]All Data '!BF2771)</f>
        <v/>
      </c>
      <c r="N2766" s="5" t="str">
        <f>IF('[1]All Data '!BB2771="","",'[1]All Data '!BC2771/'[1]All Data '!BH2771)</f>
        <v/>
      </c>
      <c r="O2766" s="5" t="str">
        <f t="shared" si="45"/>
        <v/>
      </c>
      <c r="P2766" s="5" t="str">
        <f>IF(M2766="","",$C$2*(1-L2766)*907.2/0.621371*N2766*[1]Transportation!$M$40)</f>
        <v/>
      </c>
      <c r="Q2766" s="5" t="str">
        <f>IF(L2766="","",IF([1]Inputs_Outputs!$B$5="Herbaceous",(LCA!$E$29*'[1]LOCH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6" s="5" t="str">
        <f>IF(M2766="","",$E$2*1000*'[1]LOCH Calc COE Calc'!$C$44)</f>
        <v/>
      </c>
      <c r="S2766" s="6" t="str">
        <f>IF(N2766="","",SUM(O2766:R2766)/('[1]LOCH Calc COE Calc'!$C$28))</f>
        <v/>
      </c>
      <c r="T2766" t="str">
        <f>IF(L2766="","",O2766/'[1]LOCH Calc COE Calc'!$C$28)</f>
        <v/>
      </c>
      <c r="U2766" t="str">
        <f>IF(L2766="","",P2766/'[1]LOCH Calc COE Calc'!$C$28)</f>
        <v/>
      </c>
      <c r="V2766" t="str">
        <f>IF(L2766="","",Q2766/'[1]LOCH Calc COE Calc'!$C$28)</f>
        <v/>
      </c>
      <c r="W2766" t="str">
        <f>IF(L2766="","",R2766/'[1]LOCH Calc COE Calc'!$C$28)</f>
        <v/>
      </c>
    </row>
    <row r="2767" spans="12:23" x14ac:dyDescent="0.25">
      <c r="L2767" s="4" t="str">
        <f>IF('[1]All Data '!BE2772="","",'[1]All Data '!BE2772)</f>
        <v/>
      </c>
      <c r="M2767" t="str">
        <f>IF('[1]All Data '!BF2772="","",'[1]All Data '!BF2772)</f>
        <v/>
      </c>
      <c r="N2767" s="5" t="str">
        <f>IF('[1]All Data '!BB2772="","",'[1]All Data '!BC2772/'[1]All Data '!BH2772)</f>
        <v/>
      </c>
      <c r="O2767" s="5" t="str">
        <f t="shared" si="45"/>
        <v/>
      </c>
      <c r="P2767" s="5" t="str">
        <f>IF(M2767="","",$C$2*(1-L2767)*907.2/0.621371*N2767*[1]Transportation!$M$40)</f>
        <v/>
      </c>
      <c r="Q2767" s="5" t="str">
        <f>IF(L2767="","",IF([1]Inputs_Outputs!$B$5="Herbaceous",(LCA!$E$29*'[1]LOCH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7" s="5" t="str">
        <f>IF(M2767="","",$E$2*1000*'[1]LOCH Calc COE Calc'!$C$44)</f>
        <v/>
      </c>
      <c r="S2767" s="6" t="str">
        <f>IF(N2767="","",SUM(O2767:R2767)/('[1]LOCH Calc COE Calc'!$C$28))</f>
        <v/>
      </c>
      <c r="T2767" t="str">
        <f>IF(L2767="","",O2767/'[1]LOCH Calc COE Calc'!$C$28)</f>
        <v/>
      </c>
      <c r="U2767" t="str">
        <f>IF(L2767="","",P2767/'[1]LOCH Calc COE Calc'!$C$28)</f>
        <v/>
      </c>
      <c r="V2767" t="str">
        <f>IF(L2767="","",Q2767/'[1]LOCH Calc COE Calc'!$C$28)</f>
        <v/>
      </c>
      <c r="W2767" t="str">
        <f>IF(L2767="","",R2767/'[1]LOCH Calc COE Calc'!$C$28)</f>
        <v/>
      </c>
    </row>
    <row r="2768" spans="12:23" x14ac:dyDescent="0.25">
      <c r="L2768" s="4" t="str">
        <f>IF('[1]All Data '!BE2773="","",'[1]All Data '!BE2773)</f>
        <v/>
      </c>
      <c r="M2768" t="str">
        <f>IF('[1]All Data '!BF2773="","",'[1]All Data '!BF2773)</f>
        <v/>
      </c>
      <c r="N2768" s="5" t="str">
        <f>IF('[1]All Data '!BB2773="","",'[1]All Data '!BC2773/'[1]All Data '!BH2773)</f>
        <v/>
      </c>
      <c r="O2768" s="5" t="str">
        <f t="shared" si="45"/>
        <v/>
      </c>
      <c r="P2768" s="5" t="str">
        <f>IF(M2768="","",$C$2*(1-L2768)*907.2/0.621371*N2768*[1]Transportation!$M$40)</f>
        <v/>
      </c>
      <c r="Q2768" s="5" t="str">
        <f>IF(L2768="","",IF([1]Inputs_Outputs!$B$5="Herbaceous",(LCA!$E$29*'[1]LOCH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8" s="5" t="str">
        <f>IF(M2768="","",$E$2*1000*'[1]LOCH Calc COE Calc'!$C$44)</f>
        <v/>
      </c>
      <c r="S2768" s="6" t="str">
        <f>IF(N2768="","",SUM(O2768:R2768)/('[1]LOCH Calc COE Calc'!$C$28))</f>
        <v/>
      </c>
      <c r="T2768" t="str">
        <f>IF(L2768="","",O2768/'[1]LOCH Calc COE Calc'!$C$28)</f>
        <v/>
      </c>
      <c r="U2768" t="str">
        <f>IF(L2768="","",P2768/'[1]LOCH Calc COE Calc'!$C$28)</f>
        <v/>
      </c>
      <c r="V2768" t="str">
        <f>IF(L2768="","",Q2768/'[1]LOCH Calc COE Calc'!$C$28)</f>
        <v/>
      </c>
      <c r="W2768" t="str">
        <f>IF(L2768="","",R2768/'[1]LOCH Calc COE Calc'!$C$28)</f>
        <v/>
      </c>
    </row>
    <row r="2769" spans="12:23" x14ac:dyDescent="0.25">
      <c r="L2769" s="4" t="str">
        <f>IF('[1]All Data '!BE2774="","",'[1]All Data '!BE2774)</f>
        <v/>
      </c>
      <c r="M2769" t="str">
        <f>IF('[1]All Data '!BF2774="","",'[1]All Data '!BF2774)</f>
        <v/>
      </c>
      <c r="N2769" s="5" t="str">
        <f>IF('[1]All Data '!BB2774="","",'[1]All Data '!BC2774/'[1]All Data '!BH2774)</f>
        <v/>
      </c>
      <c r="O2769" s="5" t="str">
        <f t="shared" si="45"/>
        <v/>
      </c>
      <c r="P2769" s="5" t="str">
        <f>IF(M2769="","",$C$2*(1-L2769)*907.2/0.621371*N2769*[1]Transportation!$M$40)</f>
        <v/>
      </c>
      <c r="Q2769" s="5" t="str">
        <f>IF(L2769="","",IF([1]Inputs_Outputs!$B$5="Herbaceous",(LCA!$E$29*'[1]LOCH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69" s="5" t="str">
        <f>IF(M2769="","",$E$2*1000*'[1]LOCH Calc COE Calc'!$C$44)</f>
        <v/>
      </c>
      <c r="S2769" s="6" t="str">
        <f>IF(N2769="","",SUM(O2769:R2769)/('[1]LOCH Calc COE Calc'!$C$28))</f>
        <v/>
      </c>
      <c r="T2769" t="str">
        <f>IF(L2769="","",O2769/'[1]LOCH Calc COE Calc'!$C$28)</f>
        <v/>
      </c>
      <c r="U2769" t="str">
        <f>IF(L2769="","",P2769/'[1]LOCH Calc COE Calc'!$C$28)</f>
        <v/>
      </c>
      <c r="V2769" t="str">
        <f>IF(L2769="","",Q2769/'[1]LOCH Calc COE Calc'!$C$28)</f>
        <v/>
      </c>
      <c r="W2769" t="str">
        <f>IF(L2769="","",R2769/'[1]LOCH Calc COE Calc'!$C$28)</f>
        <v/>
      </c>
    </row>
    <row r="2770" spans="12:23" x14ac:dyDescent="0.25">
      <c r="L2770" s="4" t="str">
        <f>IF('[1]All Data '!BE2775="","",'[1]All Data '!BE2775)</f>
        <v/>
      </c>
      <c r="M2770" t="str">
        <f>IF('[1]All Data '!BF2775="","",'[1]All Data '!BF2775)</f>
        <v/>
      </c>
      <c r="N2770" s="5" t="str">
        <f>IF('[1]All Data '!BB2775="","",'[1]All Data '!BC2775/'[1]All Data '!BH2775)</f>
        <v/>
      </c>
      <c r="O2770" s="5" t="str">
        <f t="shared" si="45"/>
        <v/>
      </c>
      <c r="P2770" s="5" t="str">
        <f>IF(M2770="","",$C$2*(1-L2770)*907.2/0.621371*N2770*[1]Transportation!$M$40)</f>
        <v/>
      </c>
      <c r="Q2770" s="5" t="str">
        <f>IF(L2770="","",IF([1]Inputs_Outputs!$B$5="Herbaceous",(LCA!$E$29*'[1]LOCH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0" s="5" t="str">
        <f>IF(M2770="","",$E$2*1000*'[1]LOCH Calc COE Calc'!$C$44)</f>
        <v/>
      </c>
      <c r="S2770" s="6" t="str">
        <f>IF(N2770="","",SUM(O2770:R2770)/('[1]LOCH Calc COE Calc'!$C$28))</f>
        <v/>
      </c>
      <c r="T2770" t="str">
        <f>IF(L2770="","",O2770/'[1]LOCH Calc COE Calc'!$C$28)</f>
        <v/>
      </c>
      <c r="U2770" t="str">
        <f>IF(L2770="","",P2770/'[1]LOCH Calc COE Calc'!$C$28)</f>
        <v/>
      </c>
      <c r="V2770" t="str">
        <f>IF(L2770="","",Q2770/'[1]LOCH Calc COE Calc'!$C$28)</f>
        <v/>
      </c>
      <c r="W2770" t="str">
        <f>IF(L2770="","",R2770/'[1]LOCH Calc COE Calc'!$C$28)</f>
        <v/>
      </c>
    </row>
    <row r="2771" spans="12:23" x14ac:dyDescent="0.25">
      <c r="L2771" s="4" t="str">
        <f>IF('[1]All Data '!BE2776="","",'[1]All Data '!BE2776)</f>
        <v/>
      </c>
      <c r="M2771" t="str">
        <f>IF('[1]All Data '!BF2776="","",'[1]All Data '!BF2776)</f>
        <v/>
      </c>
      <c r="N2771" s="5" t="str">
        <f>IF('[1]All Data '!BB2776="","",'[1]All Data '!BC2776/'[1]All Data '!BH2776)</f>
        <v/>
      </c>
      <c r="O2771" s="5" t="str">
        <f t="shared" si="45"/>
        <v/>
      </c>
      <c r="P2771" s="5" t="str">
        <f>IF(M2771="","",$C$2*(1-L2771)*907.2/0.621371*N2771*[1]Transportation!$M$40)</f>
        <v/>
      </c>
      <c r="Q2771" s="5" t="str">
        <f>IF(L2771="","",IF([1]Inputs_Outputs!$B$5="Herbaceous",(LCA!$E$29*'[1]LOCH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1" s="5" t="str">
        <f>IF(M2771="","",$E$2*1000*'[1]LOCH Calc COE Calc'!$C$44)</f>
        <v/>
      </c>
      <c r="S2771" s="6" t="str">
        <f>IF(N2771="","",SUM(O2771:R2771)/('[1]LOCH Calc COE Calc'!$C$28))</f>
        <v/>
      </c>
      <c r="T2771" t="str">
        <f>IF(L2771="","",O2771/'[1]LOCH Calc COE Calc'!$C$28)</f>
        <v/>
      </c>
      <c r="U2771" t="str">
        <f>IF(L2771="","",P2771/'[1]LOCH Calc COE Calc'!$C$28)</f>
        <v/>
      </c>
      <c r="V2771" t="str">
        <f>IF(L2771="","",Q2771/'[1]LOCH Calc COE Calc'!$C$28)</f>
        <v/>
      </c>
      <c r="W2771" t="str">
        <f>IF(L2771="","",R2771/'[1]LOCH Calc COE Calc'!$C$28)</f>
        <v/>
      </c>
    </row>
    <row r="2772" spans="12:23" x14ac:dyDescent="0.25">
      <c r="L2772" s="4" t="str">
        <f>IF('[1]All Data '!BE2777="","",'[1]All Data '!BE2777)</f>
        <v/>
      </c>
      <c r="M2772" t="str">
        <f>IF('[1]All Data '!BF2777="","",'[1]All Data '!BF2777)</f>
        <v/>
      </c>
      <c r="N2772" s="5" t="str">
        <f>IF('[1]All Data '!BB2777="","",'[1]All Data '!BC2777/'[1]All Data '!BH2777)</f>
        <v/>
      </c>
      <c r="O2772" s="5" t="str">
        <f t="shared" si="45"/>
        <v/>
      </c>
      <c r="P2772" s="5" t="str">
        <f>IF(M2772="","",$C$2*(1-L2772)*907.2/0.621371*N2772*[1]Transportation!$M$40)</f>
        <v/>
      </c>
      <c r="Q2772" s="5" t="str">
        <f>IF(L2772="","",IF([1]Inputs_Outputs!$B$5="Herbaceous",(LCA!$E$29*'[1]LOCH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2" s="5" t="str">
        <f>IF(M2772="","",$E$2*1000*'[1]LOCH Calc COE Calc'!$C$44)</f>
        <v/>
      </c>
      <c r="S2772" s="6" t="str">
        <f>IF(N2772="","",SUM(O2772:R2772)/('[1]LOCH Calc COE Calc'!$C$28))</f>
        <v/>
      </c>
      <c r="T2772" t="str">
        <f>IF(L2772="","",O2772/'[1]LOCH Calc COE Calc'!$C$28)</f>
        <v/>
      </c>
      <c r="U2772" t="str">
        <f>IF(L2772="","",P2772/'[1]LOCH Calc COE Calc'!$C$28)</f>
        <v/>
      </c>
      <c r="V2772" t="str">
        <f>IF(L2772="","",Q2772/'[1]LOCH Calc COE Calc'!$C$28)</f>
        <v/>
      </c>
      <c r="W2772" t="str">
        <f>IF(L2772="","",R2772/'[1]LOCH Calc COE Calc'!$C$28)</f>
        <v/>
      </c>
    </row>
    <row r="2773" spans="12:23" x14ac:dyDescent="0.25">
      <c r="L2773" s="4" t="str">
        <f>IF('[1]All Data '!BE2778="","",'[1]All Data '!BE2778)</f>
        <v/>
      </c>
      <c r="M2773" t="str">
        <f>IF('[1]All Data '!BF2778="","",'[1]All Data '!BF2778)</f>
        <v/>
      </c>
      <c r="N2773" s="5" t="str">
        <f>IF('[1]All Data '!BB2778="","",'[1]All Data '!BC2778/'[1]All Data '!BH2778)</f>
        <v/>
      </c>
      <c r="O2773" s="5" t="str">
        <f t="shared" si="45"/>
        <v/>
      </c>
      <c r="P2773" s="5" t="str">
        <f>IF(M2773="","",$C$2*(1-L2773)*907.2/0.621371*N2773*[1]Transportation!$M$40)</f>
        <v/>
      </c>
      <c r="Q2773" s="5" t="str">
        <f>IF(L2773="","",IF([1]Inputs_Outputs!$B$5="Herbaceous",(LCA!$E$29*'[1]LOCH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3" s="5" t="str">
        <f>IF(M2773="","",$E$2*1000*'[1]LOCH Calc COE Calc'!$C$44)</f>
        <v/>
      </c>
      <c r="S2773" s="6" t="str">
        <f>IF(N2773="","",SUM(O2773:R2773)/('[1]LOCH Calc COE Calc'!$C$28))</f>
        <v/>
      </c>
      <c r="T2773" t="str">
        <f>IF(L2773="","",O2773/'[1]LOCH Calc COE Calc'!$C$28)</f>
        <v/>
      </c>
      <c r="U2773" t="str">
        <f>IF(L2773="","",P2773/'[1]LOCH Calc COE Calc'!$C$28)</f>
        <v/>
      </c>
      <c r="V2773" t="str">
        <f>IF(L2773="","",Q2773/'[1]LOCH Calc COE Calc'!$C$28)</f>
        <v/>
      </c>
      <c r="W2773" t="str">
        <f>IF(L2773="","",R2773/'[1]LOCH Calc COE Calc'!$C$28)</f>
        <v/>
      </c>
    </row>
    <row r="2774" spans="12:23" x14ac:dyDescent="0.25">
      <c r="L2774" s="4" t="str">
        <f>IF('[1]All Data '!BE2779="","",'[1]All Data '!BE2779)</f>
        <v/>
      </c>
      <c r="M2774" t="str">
        <f>IF('[1]All Data '!BF2779="","",'[1]All Data '!BF2779)</f>
        <v/>
      </c>
      <c r="N2774" s="5" t="str">
        <f>IF('[1]All Data '!BB2779="","",'[1]All Data '!BC2779/'[1]All Data '!BH2779)</f>
        <v/>
      </c>
      <c r="O2774" s="5" t="str">
        <f t="shared" si="45"/>
        <v/>
      </c>
      <c r="P2774" s="5" t="str">
        <f>IF(M2774="","",$C$2*(1-L2774)*907.2/0.621371*N2774*[1]Transportation!$M$40)</f>
        <v/>
      </c>
      <c r="Q2774" s="5" t="str">
        <f>IF(L2774="","",IF([1]Inputs_Outputs!$B$5="Herbaceous",(LCA!$E$29*'[1]LOCH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4" s="5" t="str">
        <f>IF(M2774="","",$E$2*1000*'[1]LOCH Calc COE Calc'!$C$44)</f>
        <v/>
      </c>
      <c r="S2774" s="6" t="str">
        <f>IF(N2774="","",SUM(O2774:R2774)/('[1]LOCH Calc COE Calc'!$C$28))</f>
        <v/>
      </c>
      <c r="T2774" t="str">
        <f>IF(L2774="","",O2774/'[1]LOCH Calc COE Calc'!$C$28)</f>
        <v/>
      </c>
      <c r="U2774" t="str">
        <f>IF(L2774="","",P2774/'[1]LOCH Calc COE Calc'!$C$28)</f>
        <v/>
      </c>
      <c r="V2774" t="str">
        <f>IF(L2774="","",Q2774/'[1]LOCH Calc COE Calc'!$C$28)</f>
        <v/>
      </c>
      <c r="W2774" t="str">
        <f>IF(L2774="","",R2774/'[1]LOCH Calc COE Calc'!$C$28)</f>
        <v/>
      </c>
    </row>
    <row r="2775" spans="12:23" x14ac:dyDescent="0.25">
      <c r="L2775" s="4" t="str">
        <f>IF('[1]All Data '!BE2780="","",'[1]All Data '!BE2780)</f>
        <v/>
      </c>
      <c r="M2775" t="str">
        <f>IF('[1]All Data '!BF2780="","",'[1]All Data '!BF2780)</f>
        <v/>
      </c>
      <c r="N2775" s="5" t="str">
        <f>IF('[1]All Data '!BB2780="","",'[1]All Data '!BC2780/'[1]All Data '!BH2780)</f>
        <v/>
      </c>
      <c r="O2775" s="5" t="str">
        <f t="shared" si="45"/>
        <v/>
      </c>
      <c r="P2775" s="5" t="str">
        <f>IF(M2775="","",$C$2*(1-L2775)*907.2/0.621371*N2775*[1]Transportation!$M$40)</f>
        <v/>
      </c>
      <c r="Q2775" s="5" t="str">
        <f>IF(L2775="","",IF([1]Inputs_Outputs!$B$5="Herbaceous",(LCA!$E$29*'[1]LOCH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5" s="5" t="str">
        <f>IF(M2775="","",$E$2*1000*'[1]LOCH Calc COE Calc'!$C$44)</f>
        <v/>
      </c>
      <c r="S2775" s="6" t="str">
        <f>IF(N2775="","",SUM(O2775:R2775)/('[1]LOCH Calc COE Calc'!$C$28))</f>
        <v/>
      </c>
      <c r="T2775" t="str">
        <f>IF(L2775="","",O2775/'[1]LOCH Calc COE Calc'!$C$28)</f>
        <v/>
      </c>
      <c r="U2775" t="str">
        <f>IF(L2775="","",P2775/'[1]LOCH Calc COE Calc'!$C$28)</f>
        <v/>
      </c>
      <c r="V2775" t="str">
        <f>IF(L2775="","",Q2775/'[1]LOCH Calc COE Calc'!$C$28)</f>
        <v/>
      </c>
      <c r="W2775" t="str">
        <f>IF(L2775="","",R2775/'[1]LOCH Calc COE Calc'!$C$28)</f>
        <v/>
      </c>
    </row>
    <row r="2776" spans="12:23" x14ac:dyDescent="0.25">
      <c r="L2776" s="4" t="str">
        <f>IF('[1]All Data '!BE2781="","",'[1]All Data '!BE2781)</f>
        <v/>
      </c>
      <c r="M2776" t="str">
        <f>IF('[1]All Data '!BF2781="","",'[1]All Data '!BF2781)</f>
        <v/>
      </c>
      <c r="N2776" s="5" t="str">
        <f>IF('[1]All Data '!BB2781="","",'[1]All Data '!BC2781/'[1]All Data '!BH2781)</f>
        <v/>
      </c>
      <c r="O2776" s="5" t="str">
        <f t="shared" si="45"/>
        <v/>
      </c>
      <c r="P2776" s="5" t="str">
        <f>IF(M2776="","",$C$2*(1-L2776)*907.2/0.621371*N2776*[1]Transportation!$M$40)</f>
        <v/>
      </c>
      <c r="Q2776" s="5" t="str">
        <f>IF(L2776="","",IF([1]Inputs_Outputs!$B$5="Herbaceous",(LCA!$E$29*'[1]LOCH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6" s="5" t="str">
        <f>IF(M2776="","",$E$2*1000*'[1]LOCH Calc COE Calc'!$C$44)</f>
        <v/>
      </c>
      <c r="S2776" s="6" t="str">
        <f>IF(N2776="","",SUM(O2776:R2776)/('[1]LOCH Calc COE Calc'!$C$28))</f>
        <v/>
      </c>
      <c r="T2776" t="str">
        <f>IF(L2776="","",O2776/'[1]LOCH Calc COE Calc'!$C$28)</f>
        <v/>
      </c>
      <c r="U2776" t="str">
        <f>IF(L2776="","",P2776/'[1]LOCH Calc COE Calc'!$C$28)</f>
        <v/>
      </c>
      <c r="V2776" t="str">
        <f>IF(L2776="","",Q2776/'[1]LOCH Calc COE Calc'!$C$28)</f>
        <v/>
      </c>
      <c r="W2776" t="str">
        <f>IF(L2776="","",R2776/'[1]LOCH Calc COE Calc'!$C$28)</f>
        <v/>
      </c>
    </row>
    <row r="2777" spans="12:23" x14ac:dyDescent="0.25">
      <c r="L2777" s="4" t="str">
        <f>IF('[1]All Data '!BE2782="","",'[1]All Data '!BE2782)</f>
        <v/>
      </c>
      <c r="M2777" t="str">
        <f>IF('[1]All Data '!BF2782="","",'[1]All Data '!BF2782)</f>
        <v/>
      </c>
      <c r="N2777" s="5" t="str">
        <f>IF('[1]All Data '!BB2782="","",'[1]All Data '!BC2782/'[1]All Data '!BH2782)</f>
        <v/>
      </c>
      <c r="O2777" s="5" t="str">
        <f t="shared" si="45"/>
        <v/>
      </c>
      <c r="P2777" s="5" t="str">
        <f>IF(M2777="","",$C$2*(1-L2777)*907.2/0.621371*N2777*[1]Transportation!$M$40)</f>
        <v/>
      </c>
      <c r="Q2777" s="5" t="str">
        <f>IF(L2777="","",IF([1]Inputs_Outputs!$B$5="Herbaceous",(LCA!$E$29*'[1]LOCH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7" s="5" t="str">
        <f>IF(M2777="","",$E$2*1000*'[1]LOCH Calc COE Calc'!$C$44)</f>
        <v/>
      </c>
      <c r="S2777" s="6" t="str">
        <f>IF(N2777="","",SUM(O2777:R2777)/('[1]LOCH Calc COE Calc'!$C$28))</f>
        <v/>
      </c>
      <c r="T2777" t="str">
        <f>IF(L2777="","",O2777/'[1]LOCH Calc COE Calc'!$C$28)</f>
        <v/>
      </c>
      <c r="U2777" t="str">
        <f>IF(L2777="","",P2777/'[1]LOCH Calc COE Calc'!$C$28)</f>
        <v/>
      </c>
      <c r="V2777" t="str">
        <f>IF(L2777="","",Q2777/'[1]LOCH Calc COE Calc'!$C$28)</f>
        <v/>
      </c>
      <c r="W2777" t="str">
        <f>IF(L2777="","",R2777/'[1]LOCH Calc COE Calc'!$C$28)</f>
        <v/>
      </c>
    </row>
    <row r="2778" spans="12:23" x14ac:dyDescent="0.25">
      <c r="L2778" s="4" t="str">
        <f>IF('[1]All Data '!BE2783="","",'[1]All Data '!BE2783)</f>
        <v/>
      </c>
      <c r="M2778" t="str">
        <f>IF('[1]All Data '!BF2783="","",'[1]All Data '!BF2783)</f>
        <v/>
      </c>
      <c r="N2778" s="5" t="str">
        <f>IF('[1]All Data '!BB2783="","",'[1]All Data '!BC2783/'[1]All Data '!BH2783)</f>
        <v/>
      </c>
      <c r="O2778" s="5" t="str">
        <f t="shared" si="45"/>
        <v/>
      </c>
      <c r="P2778" s="5" t="str">
        <f>IF(M2778="","",$C$2*(1-L2778)*907.2/0.621371*N2778*[1]Transportation!$M$40)</f>
        <v/>
      </c>
      <c r="Q2778" s="5" t="str">
        <f>IF(L2778="","",IF([1]Inputs_Outputs!$B$5="Herbaceous",(LCA!$E$29*'[1]LOCH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8" s="5" t="str">
        <f>IF(M2778="","",$E$2*1000*'[1]LOCH Calc COE Calc'!$C$44)</f>
        <v/>
      </c>
      <c r="S2778" s="6" t="str">
        <f>IF(N2778="","",SUM(O2778:R2778)/('[1]LOCH Calc COE Calc'!$C$28))</f>
        <v/>
      </c>
      <c r="T2778" t="str">
        <f>IF(L2778="","",O2778/'[1]LOCH Calc COE Calc'!$C$28)</f>
        <v/>
      </c>
      <c r="U2778" t="str">
        <f>IF(L2778="","",P2778/'[1]LOCH Calc COE Calc'!$C$28)</f>
        <v/>
      </c>
      <c r="V2778" t="str">
        <f>IF(L2778="","",Q2778/'[1]LOCH Calc COE Calc'!$C$28)</f>
        <v/>
      </c>
      <c r="W2778" t="str">
        <f>IF(L2778="","",R2778/'[1]LOCH Calc COE Calc'!$C$28)</f>
        <v/>
      </c>
    </row>
    <row r="2779" spans="12:23" x14ac:dyDescent="0.25">
      <c r="L2779" s="4" t="str">
        <f>IF('[1]All Data '!BE2784="","",'[1]All Data '!BE2784)</f>
        <v/>
      </c>
      <c r="M2779" t="str">
        <f>IF('[1]All Data '!BF2784="","",'[1]All Data '!BF2784)</f>
        <v/>
      </c>
      <c r="N2779" s="5" t="str">
        <f>IF('[1]All Data '!BB2784="","",'[1]All Data '!BC2784/'[1]All Data '!BH2784)</f>
        <v/>
      </c>
      <c r="O2779" s="5" t="str">
        <f t="shared" si="45"/>
        <v/>
      </c>
      <c r="P2779" s="5" t="str">
        <f>IF(M2779="","",$C$2*(1-L2779)*907.2/0.621371*N2779*[1]Transportation!$M$40)</f>
        <v/>
      </c>
      <c r="Q2779" s="5" t="str">
        <f>IF(L2779="","",IF([1]Inputs_Outputs!$B$5="Herbaceous",(LCA!$E$29*'[1]LOCH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79" s="5" t="str">
        <f>IF(M2779="","",$E$2*1000*'[1]LOCH Calc COE Calc'!$C$44)</f>
        <v/>
      </c>
      <c r="S2779" s="6" t="str">
        <f>IF(N2779="","",SUM(O2779:R2779)/('[1]LOCH Calc COE Calc'!$C$28))</f>
        <v/>
      </c>
      <c r="T2779" t="str">
        <f>IF(L2779="","",O2779/'[1]LOCH Calc COE Calc'!$C$28)</f>
        <v/>
      </c>
      <c r="U2779" t="str">
        <f>IF(L2779="","",P2779/'[1]LOCH Calc COE Calc'!$C$28)</f>
        <v/>
      </c>
      <c r="V2779" t="str">
        <f>IF(L2779="","",Q2779/'[1]LOCH Calc COE Calc'!$C$28)</f>
        <v/>
      </c>
      <c r="W2779" t="str">
        <f>IF(L2779="","",R2779/'[1]LOCH Calc COE Calc'!$C$28)</f>
        <v/>
      </c>
    </row>
    <row r="2780" spans="12:23" x14ac:dyDescent="0.25">
      <c r="L2780" s="4" t="str">
        <f>IF('[1]All Data '!BE2785="","",'[1]All Data '!BE2785)</f>
        <v/>
      </c>
      <c r="M2780" t="str">
        <f>IF('[1]All Data '!BF2785="","",'[1]All Data '!BF2785)</f>
        <v/>
      </c>
      <c r="N2780" s="5" t="str">
        <f>IF('[1]All Data '!BB2785="","",'[1]All Data '!BC2785/'[1]All Data '!BH2785)</f>
        <v/>
      </c>
      <c r="O2780" s="5" t="str">
        <f t="shared" si="45"/>
        <v/>
      </c>
      <c r="P2780" s="5" t="str">
        <f>IF(M2780="","",$C$2*(1-L2780)*907.2/0.621371*N2780*[1]Transportation!$M$40)</f>
        <v/>
      </c>
      <c r="Q2780" s="5" t="str">
        <f>IF(L2780="","",IF([1]Inputs_Outputs!$B$5="Herbaceous",(LCA!$E$29*'[1]LOCH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0" s="5" t="str">
        <f>IF(M2780="","",$E$2*1000*'[1]LOCH Calc COE Calc'!$C$44)</f>
        <v/>
      </c>
      <c r="S2780" s="6" t="str">
        <f>IF(N2780="","",SUM(O2780:R2780)/('[1]LOCH Calc COE Calc'!$C$28))</f>
        <v/>
      </c>
      <c r="T2780" t="str">
        <f>IF(L2780="","",O2780/'[1]LOCH Calc COE Calc'!$C$28)</f>
        <v/>
      </c>
      <c r="U2780" t="str">
        <f>IF(L2780="","",P2780/'[1]LOCH Calc COE Calc'!$C$28)</f>
        <v/>
      </c>
      <c r="V2780" t="str">
        <f>IF(L2780="","",Q2780/'[1]LOCH Calc COE Calc'!$C$28)</f>
        <v/>
      </c>
      <c r="W2780" t="str">
        <f>IF(L2780="","",R2780/'[1]LOCH Calc COE Calc'!$C$28)</f>
        <v/>
      </c>
    </row>
    <row r="2781" spans="12:23" x14ac:dyDescent="0.25">
      <c r="L2781" s="4" t="str">
        <f>IF('[1]All Data '!BE2786="","",'[1]All Data '!BE2786)</f>
        <v/>
      </c>
      <c r="M2781" t="str">
        <f>IF('[1]All Data '!BF2786="","",'[1]All Data '!BF2786)</f>
        <v/>
      </c>
      <c r="N2781" s="5" t="str">
        <f>IF('[1]All Data '!BB2786="","",'[1]All Data '!BC2786/'[1]All Data '!BH2786)</f>
        <v/>
      </c>
      <c r="O2781" s="5" t="str">
        <f t="shared" si="45"/>
        <v/>
      </c>
      <c r="P2781" s="5" t="str">
        <f>IF(M2781="","",$C$2*(1-L2781)*907.2/0.621371*N2781*[1]Transportation!$M$40)</f>
        <v/>
      </c>
      <c r="Q2781" s="5" t="str">
        <f>IF(L2781="","",IF([1]Inputs_Outputs!$B$5="Herbaceous",(LCA!$E$29*'[1]LOCH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1" s="5" t="str">
        <f>IF(M2781="","",$E$2*1000*'[1]LOCH Calc COE Calc'!$C$44)</f>
        <v/>
      </c>
      <c r="S2781" s="6" t="str">
        <f>IF(N2781="","",SUM(O2781:R2781)/('[1]LOCH Calc COE Calc'!$C$28))</f>
        <v/>
      </c>
      <c r="T2781" t="str">
        <f>IF(L2781="","",O2781/'[1]LOCH Calc COE Calc'!$C$28)</f>
        <v/>
      </c>
      <c r="U2781" t="str">
        <f>IF(L2781="","",P2781/'[1]LOCH Calc COE Calc'!$C$28)</f>
        <v/>
      </c>
      <c r="V2781" t="str">
        <f>IF(L2781="","",Q2781/'[1]LOCH Calc COE Calc'!$C$28)</f>
        <v/>
      </c>
      <c r="W2781" t="str">
        <f>IF(L2781="","",R2781/'[1]LOCH Calc COE Calc'!$C$28)</f>
        <v/>
      </c>
    </row>
    <row r="2782" spans="12:23" x14ac:dyDescent="0.25">
      <c r="L2782" s="4" t="str">
        <f>IF('[1]All Data '!BE2787="","",'[1]All Data '!BE2787)</f>
        <v/>
      </c>
      <c r="M2782" t="str">
        <f>IF('[1]All Data '!BF2787="","",'[1]All Data '!BF2787)</f>
        <v/>
      </c>
      <c r="N2782" s="5" t="str">
        <f>IF('[1]All Data '!BB2787="","",'[1]All Data '!BC2787/'[1]All Data '!BH2787)</f>
        <v/>
      </c>
      <c r="O2782" s="5" t="str">
        <f t="shared" si="45"/>
        <v/>
      </c>
      <c r="P2782" s="5" t="str">
        <f>IF(M2782="","",$C$2*(1-L2782)*907.2/0.621371*N2782*[1]Transportation!$M$40)</f>
        <v/>
      </c>
      <c r="Q2782" s="5" t="str">
        <f>IF(L2782="","",IF([1]Inputs_Outputs!$B$5="Herbaceous",(LCA!$E$29*'[1]LOCH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2" s="5" t="str">
        <f>IF(M2782="","",$E$2*1000*'[1]LOCH Calc COE Calc'!$C$44)</f>
        <v/>
      </c>
      <c r="S2782" s="6" t="str">
        <f>IF(N2782="","",SUM(O2782:R2782)/('[1]LOCH Calc COE Calc'!$C$28))</f>
        <v/>
      </c>
      <c r="T2782" t="str">
        <f>IF(L2782="","",O2782/'[1]LOCH Calc COE Calc'!$C$28)</f>
        <v/>
      </c>
      <c r="U2782" t="str">
        <f>IF(L2782="","",P2782/'[1]LOCH Calc COE Calc'!$C$28)</f>
        <v/>
      </c>
      <c r="V2782" t="str">
        <f>IF(L2782="","",Q2782/'[1]LOCH Calc COE Calc'!$C$28)</f>
        <v/>
      </c>
      <c r="W2782" t="str">
        <f>IF(L2782="","",R2782/'[1]LOCH Calc COE Calc'!$C$28)</f>
        <v/>
      </c>
    </row>
    <row r="2783" spans="12:23" x14ac:dyDescent="0.25">
      <c r="L2783" s="4" t="str">
        <f>IF('[1]All Data '!BE2788="","",'[1]All Data '!BE2788)</f>
        <v/>
      </c>
      <c r="M2783" t="str">
        <f>IF('[1]All Data '!BF2788="","",'[1]All Data '!BF2788)</f>
        <v/>
      </c>
      <c r="N2783" s="5" t="str">
        <f>IF('[1]All Data '!BB2788="","",'[1]All Data '!BC2788/'[1]All Data '!BH2788)</f>
        <v/>
      </c>
      <c r="O2783" s="5" t="str">
        <f t="shared" si="45"/>
        <v/>
      </c>
      <c r="P2783" s="5" t="str">
        <f>IF(M2783="","",$C$2*(1-L2783)*907.2/0.621371*N2783*[1]Transportation!$M$40)</f>
        <v/>
      </c>
      <c r="Q2783" s="5" t="str">
        <f>IF(L2783="","",IF([1]Inputs_Outputs!$B$5="Herbaceous",(LCA!$E$29*'[1]LOCH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3" s="5" t="str">
        <f>IF(M2783="","",$E$2*1000*'[1]LOCH Calc COE Calc'!$C$44)</f>
        <v/>
      </c>
      <c r="S2783" s="6" t="str">
        <f>IF(N2783="","",SUM(O2783:R2783)/('[1]LOCH Calc COE Calc'!$C$28))</f>
        <v/>
      </c>
      <c r="T2783" t="str">
        <f>IF(L2783="","",O2783/'[1]LOCH Calc COE Calc'!$C$28)</f>
        <v/>
      </c>
      <c r="U2783" t="str">
        <f>IF(L2783="","",P2783/'[1]LOCH Calc COE Calc'!$C$28)</f>
        <v/>
      </c>
      <c r="V2783" t="str">
        <f>IF(L2783="","",Q2783/'[1]LOCH Calc COE Calc'!$C$28)</f>
        <v/>
      </c>
      <c r="W2783" t="str">
        <f>IF(L2783="","",R2783/'[1]LOCH Calc COE Calc'!$C$28)</f>
        <v/>
      </c>
    </row>
    <row r="2784" spans="12:23" x14ac:dyDescent="0.25">
      <c r="L2784" s="4" t="str">
        <f>IF('[1]All Data '!BE2789="","",'[1]All Data '!BE2789)</f>
        <v/>
      </c>
      <c r="M2784" t="str">
        <f>IF('[1]All Data '!BF2789="","",'[1]All Data '!BF2789)</f>
        <v/>
      </c>
      <c r="N2784" s="5" t="str">
        <f>IF('[1]All Data '!BB2789="","",'[1]All Data '!BC2789/'[1]All Data '!BH2789)</f>
        <v/>
      </c>
      <c r="O2784" s="5" t="str">
        <f t="shared" si="45"/>
        <v/>
      </c>
      <c r="P2784" s="5" t="str">
        <f>IF(M2784="","",$C$2*(1-L2784)*907.2/0.621371*N2784*[1]Transportation!$M$40)</f>
        <v/>
      </c>
      <c r="Q2784" s="5" t="str">
        <f>IF(L2784="","",IF([1]Inputs_Outputs!$B$5="Herbaceous",(LCA!$E$29*'[1]LOCH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4" s="5" t="str">
        <f>IF(M2784="","",$E$2*1000*'[1]LOCH Calc COE Calc'!$C$44)</f>
        <v/>
      </c>
      <c r="S2784" s="6" t="str">
        <f>IF(N2784="","",SUM(O2784:R2784)/('[1]LOCH Calc COE Calc'!$C$28))</f>
        <v/>
      </c>
      <c r="T2784" t="str">
        <f>IF(L2784="","",O2784/'[1]LOCH Calc COE Calc'!$C$28)</f>
        <v/>
      </c>
      <c r="U2784" t="str">
        <f>IF(L2784="","",P2784/'[1]LOCH Calc COE Calc'!$C$28)</f>
        <v/>
      </c>
      <c r="V2784" t="str">
        <f>IF(L2784="","",Q2784/'[1]LOCH Calc COE Calc'!$C$28)</f>
        <v/>
      </c>
      <c r="W2784" t="str">
        <f>IF(L2784="","",R2784/'[1]LOCH Calc COE Calc'!$C$28)</f>
        <v/>
      </c>
    </row>
    <row r="2785" spans="12:23" x14ac:dyDescent="0.25">
      <c r="L2785" s="4" t="str">
        <f>IF('[1]All Data '!BE2790="","",'[1]All Data '!BE2790)</f>
        <v/>
      </c>
      <c r="M2785" t="str">
        <f>IF('[1]All Data '!BF2790="","",'[1]All Data '!BF2790)</f>
        <v/>
      </c>
      <c r="N2785" s="5" t="str">
        <f>IF('[1]All Data '!BB2790="","",'[1]All Data '!BC2790/'[1]All Data '!BH2790)</f>
        <v/>
      </c>
      <c r="O2785" s="5" t="str">
        <f t="shared" si="45"/>
        <v/>
      </c>
      <c r="P2785" s="5" t="str">
        <f>IF(M2785="","",$C$2*(1-L2785)*907.2/0.621371*N2785*[1]Transportation!$M$40)</f>
        <v/>
      </c>
      <c r="Q2785" s="5" t="str">
        <f>IF(L2785="","",IF([1]Inputs_Outputs!$B$5="Herbaceous",(LCA!$E$29*'[1]LOCH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5" s="5" t="str">
        <f>IF(M2785="","",$E$2*1000*'[1]LOCH Calc COE Calc'!$C$44)</f>
        <v/>
      </c>
      <c r="S2785" s="6" t="str">
        <f>IF(N2785="","",SUM(O2785:R2785)/('[1]LOCH Calc COE Calc'!$C$28))</f>
        <v/>
      </c>
      <c r="T2785" t="str">
        <f>IF(L2785="","",O2785/'[1]LOCH Calc COE Calc'!$C$28)</f>
        <v/>
      </c>
      <c r="U2785" t="str">
        <f>IF(L2785="","",P2785/'[1]LOCH Calc COE Calc'!$C$28)</f>
        <v/>
      </c>
      <c r="V2785" t="str">
        <f>IF(L2785="","",Q2785/'[1]LOCH Calc COE Calc'!$C$28)</f>
        <v/>
      </c>
      <c r="W2785" t="str">
        <f>IF(L2785="","",R2785/'[1]LOCH Calc COE Calc'!$C$28)</f>
        <v/>
      </c>
    </row>
    <row r="2786" spans="12:23" x14ac:dyDescent="0.25">
      <c r="L2786" s="4" t="str">
        <f>IF('[1]All Data '!BE2791="","",'[1]All Data '!BE2791)</f>
        <v/>
      </c>
      <c r="M2786" t="str">
        <f>IF('[1]All Data '!BF2791="","",'[1]All Data '!BF2791)</f>
        <v/>
      </c>
      <c r="N2786" s="5" t="str">
        <f>IF('[1]All Data '!BB2791="","",'[1]All Data '!BC2791/'[1]All Data '!BH2791)</f>
        <v/>
      </c>
      <c r="O2786" s="5" t="str">
        <f t="shared" si="45"/>
        <v/>
      </c>
      <c r="P2786" s="5" t="str">
        <f>IF(M2786="","",$C$2*(1-L2786)*907.2/0.621371*N2786*[1]Transportation!$M$40)</f>
        <v/>
      </c>
      <c r="Q2786" s="5" t="str">
        <f>IF(L2786="","",IF([1]Inputs_Outputs!$B$5="Herbaceous",(LCA!$E$29*'[1]LOCH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6" s="5" t="str">
        <f>IF(M2786="","",$E$2*1000*'[1]LOCH Calc COE Calc'!$C$44)</f>
        <v/>
      </c>
      <c r="S2786" s="6" t="str">
        <f>IF(N2786="","",SUM(O2786:R2786)/('[1]LOCH Calc COE Calc'!$C$28))</f>
        <v/>
      </c>
      <c r="T2786" t="str">
        <f>IF(L2786="","",O2786/'[1]LOCH Calc COE Calc'!$C$28)</f>
        <v/>
      </c>
      <c r="U2786" t="str">
        <f>IF(L2786="","",P2786/'[1]LOCH Calc COE Calc'!$C$28)</f>
        <v/>
      </c>
      <c r="V2786" t="str">
        <f>IF(L2786="","",Q2786/'[1]LOCH Calc COE Calc'!$C$28)</f>
        <v/>
      </c>
      <c r="W2786" t="str">
        <f>IF(L2786="","",R2786/'[1]LOCH Calc COE Calc'!$C$28)</f>
        <v/>
      </c>
    </row>
    <row r="2787" spans="12:23" x14ac:dyDescent="0.25">
      <c r="L2787" s="4" t="str">
        <f>IF('[1]All Data '!BE2792="","",'[1]All Data '!BE2792)</f>
        <v/>
      </c>
      <c r="M2787" t="str">
        <f>IF('[1]All Data '!BF2792="","",'[1]All Data '!BF2792)</f>
        <v/>
      </c>
      <c r="N2787" s="5" t="str">
        <f>IF('[1]All Data '!BB2792="","",'[1]All Data '!BC2792/'[1]All Data '!BH2792)</f>
        <v/>
      </c>
      <c r="O2787" s="5" t="str">
        <f t="shared" ref="O2787:O2850" si="46">IF(N2787="","",M2787*N2787)</f>
        <v/>
      </c>
      <c r="P2787" s="5" t="str">
        <f>IF(M2787="","",$C$2*(1-L2787)*907.2/0.621371*N2787*[1]Transportation!$M$40)</f>
        <v/>
      </c>
      <c r="Q2787" s="5" t="str">
        <f>IF(L2787="","",IF([1]Inputs_Outputs!$B$5="Herbaceous",(LCA!$E$29*'[1]LOCH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7" s="5" t="str">
        <f>IF(M2787="","",$E$2*1000*'[1]LOCH Calc COE Calc'!$C$44)</f>
        <v/>
      </c>
      <c r="S2787" s="6" t="str">
        <f>IF(N2787="","",SUM(O2787:R2787)/('[1]LOCH Calc COE Calc'!$C$28))</f>
        <v/>
      </c>
      <c r="T2787" t="str">
        <f>IF(L2787="","",O2787/'[1]LOCH Calc COE Calc'!$C$28)</f>
        <v/>
      </c>
      <c r="U2787" t="str">
        <f>IF(L2787="","",P2787/'[1]LOCH Calc COE Calc'!$C$28)</f>
        <v/>
      </c>
      <c r="V2787" t="str">
        <f>IF(L2787="","",Q2787/'[1]LOCH Calc COE Calc'!$C$28)</f>
        <v/>
      </c>
      <c r="W2787" t="str">
        <f>IF(L2787="","",R2787/'[1]LOCH Calc COE Calc'!$C$28)</f>
        <v/>
      </c>
    </row>
    <row r="2788" spans="12:23" x14ac:dyDescent="0.25">
      <c r="L2788" s="4" t="str">
        <f>IF('[1]All Data '!BE2793="","",'[1]All Data '!BE2793)</f>
        <v/>
      </c>
      <c r="M2788" t="str">
        <f>IF('[1]All Data '!BF2793="","",'[1]All Data '!BF2793)</f>
        <v/>
      </c>
      <c r="N2788" s="5" t="str">
        <f>IF('[1]All Data '!BB2793="","",'[1]All Data '!BC2793/'[1]All Data '!BH2793)</f>
        <v/>
      </c>
      <c r="O2788" s="5" t="str">
        <f t="shared" si="46"/>
        <v/>
      </c>
      <c r="P2788" s="5" t="str">
        <f>IF(M2788="","",$C$2*(1-L2788)*907.2/0.621371*N2788*[1]Transportation!$M$40)</f>
        <v/>
      </c>
      <c r="Q2788" s="5" t="str">
        <f>IF(L2788="","",IF([1]Inputs_Outputs!$B$5="Herbaceous",(LCA!$E$29*'[1]LOCH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8" s="5" t="str">
        <f>IF(M2788="","",$E$2*1000*'[1]LOCH Calc COE Calc'!$C$44)</f>
        <v/>
      </c>
      <c r="S2788" s="6" t="str">
        <f>IF(N2788="","",SUM(O2788:R2788)/('[1]LOCH Calc COE Calc'!$C$28))</f>
        <v/>
      </c>
      <c r="T2788" t="str">
        <f>IF(L2788="","",O2788/'[1]LOCH Calc COE Calc'!$C$28)</f>
        <v/>
      </c>
      <c r="U2788" t="str">
        <f>IF(L2788="","",P2788/'[1]LOCH Calc COE Calc'!$C$28)</f>
        <v/>
      </c>
      <c r="V2788" t="str">
        <f>IF(L2788="","",Q2788/'[1]LOCH Calc COE Calc'!$C$28)</f>
        <v/>
      </c>
      <c r="W2788" t="str">
        <f>IF(L2788="","",R2788/'[1]LOCH Calc COE Calc'!$C$28)</f>
        <v/>
      </c>
    </row>
    <row r="2789" spans="12:23" x14ac:dyDescent="0.25">
      <c r="L2789" s="4" t="str">
        <f>IF('[1]All Data '!BE2794="","",'[1]All Data '!BE2794)</f>
        <v/>
      </c>
      <c r="M2789" t="str">
        <f>IF('[1]All Data '!BF2794="","",'[1]All Data '!BF2794)</f>
        <v/>
      </c>
      <c r="N2789" s="5" t="str">
        <f>IF('[1]All Data '!BB2794="","",'[1]All Data '!BC2794/'[1]All Data '!BH2794)</f>
        <v/>
      </c>
      <c r="O2789" s="5" t="str">
        <f t="shared" si="46"/>
        <v/>
      </c>
      <c r="P2789" s="5" t="str">
        <f>IF(M2789="","",$C$2*(1-L2789)*907.2/0.621371*N2789*[1]Transportation!$M$40)</f>
        <v/>
      </c>
      <c r="Q2789" s="5" t="str">
        <f>IF(L2789="","",IF([1]Inputs_Outputs!$B$5="Herbaceous",(LCA!$E$29*'[1]LOCH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89" s="5" t="str">
        <f>IF(M2789="","",$E$2*1000*'[1]LOCH Calc COE Calc'!$C$44)</f>
        <v/>
      </c>
      <c r="S2789" s="6" t="str">
        <f>IF(N2789="","",SUM(O2789:R2789)/('[1]LOCH Calc COE Calc'!$C$28))</f>
        <v/>
      </c>
      <c r="T2789" t="str">
        <f>IF(L2789="","",O2789/'[1]LOCH Calc COE Calc'!$C$28)</f>
        <v/>
      </c>
      <c r="U2789" t="str">
        <f>IF(L2789="","",P2789/'[1]LOCH Calc COE Calc'!$C$28)</f>
        <v/>
      </c>
      <c r="V2789" t="str">
        <f>IF(L2789="","",Q2789/'[1]LOCH Calc COE Calc'!$C$28)</f>
        <v/>
      </c>
      <c r="W2789" t="str">
        <f>IF(L2789="","",R2789/'[1]LOCH Calc COE Calc'!$C$28)</f>
        <v/>
      </c>
    </row>
    <row r="2790" spans="12:23" x14ac:dyDescent="0.25">
      <c r="L2790" s="4" t="str">
        <f>IF('[1]All Data '!BE2795="","",'[1]All Data '!BE2795)</f>
        <v/>
      </c>
      <c r="M2790" t="str">
        <f>IF('[1]All Data '!BF2795="","",'[1]All Data '!BF2795)</f>
        <v/>
      </c>
      <c r="N2790" s="5" t="str">
        <f>IF('[1]All Data '!BB2795="","",'[1]All Data '!BC2795/'[1]All Data '!BH2795)</f>
        <v/>
      </c>
      <c r="O2790" s="5" t="str">
        <f t="shared" si="46"/>
        <v/>
      </c>
      <c r="P2790" s="5" t="str">
        <f>IF(M2790="","",$C$2*(1-L2790)*907.2/0.621371*N2790*[1]Transportation!$M$40)</f>
        <v/>
      </c>
      <c r="Q2790" s="5" t="str">
        <f>IF(L2790="","",IF([1]Inputs_Outputs!$B$5="Herbaceous",(LCA!$E$29*'[1]LOCH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0" s="5" t="str">
        <f>IF(M2790="","",$E$2*1000*'[1]LOCH Calc COE Calc'!$C$44)</f>
        <v/>
      </c>
      <c r="S2790" s="6" t="str">
        <f>IF(N2790="","",SUM(O2790:R2790)/('[1]LOCH Calc COE Calc'!$C$28))</f>
        <v/>
      </c>
      <c r="T2790" t="str">
        <f>IF(L2790="","",O2790/'[1]LOCH Calc COE Calc'!$C$28)</f>
        <v/>
      </c>
      <c r="U2790" t="str">
        <f>IF(L2790="","",P2790/'[1]LOCH Calc COE Calc'!$C$28)</f>
        <v/>
      </c>
      <c r="V2790" t="str">
        <f>IF(L2790="","",Q2790/'[1]LOCH Calc COE Calc'!$C$28)</f>
        <v/>
      </c>
      <c r="W2790" t="str">
        <f>IF(L2790="","",R2790/'[1]LOCH Calc COE Calc'!$C$28)</f>
        <v/>
      </c>
    </row>
    <row r="2791" spans="12:23" x14ac:dyDescent="0.25">
      <c r="L2791" s="4" t="str">
        <f>IF('[1]All Data '!BE2796="","",'[1]All Data '!BE2796)</f>
        <v/>
      </c>
      <c r="M2791" t="str">
        <f>IF('[1]All Data '!BF2796="","",'[1]All Data '!BF2796)</f>
        <v/>
      </c>
      <c r="N2791" s="5" t="str">
        <f>IF('[1]All Data '!BB2796="","",'[1]All Data '!BC2796/'[1]All Data '!BH2796)</f>
        <v/>
      </c>
      <c r="O2791" s="5" t="str">
        <f t="shared" si="46"/>
        <v/>
      </c>
      <c r="P2791" s="5" t="str">
        <f>IF(M2791="","",$C$2*(1-L2791)*907.2/0.621371*N2791*[1]Transportation!$M$40)</f>
        <v/>
      </c>
      <c r="Q2791" s="5" t="str">
        <f>IF(L2791="","",IF([1]Inputs_Outputs!$B$5="Herbaceous",(LCA!$E$29*'[1]LOCH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1" s="5" t="str">
        <f>IF(M2791="","",$E$2*1000*'[1]LOCH Calc COE Calc'!$C$44)</f>
        <v/>
      </c>
      <c r="S2791" s="6" t="str">
        <f>IF(N2791="","",SUM(O2791:R2791)/('[1]LOCH Calc COE Calc'!$C$28))</f>
        <v/>
      </c>
      <c r="T2791" t="str">
        <f>IF(L2791="","",O2791/'[1]LOCH Calc COE Calc'!$C$28)</f>
        <v/>
      </c>
      <c r="U2791" t="str">
        <f>IF(L2791="","",P2791/'[1]LOCH Calc COE Calc'!$C$28)</f>
        <v/>
      </c>
      <c r="V2791" t="str">
        <f>IF(L2791="","",Q2791/'[1]LOCH Calc COE Calc'!$C$28)</f>
        <v/>
      </c>
      <c r="W2791" t="str">
        <f>IF(L2791="","",R2791/'[1]LOCH Calc COE Calc'!$C$28)</f>
        <v/>
      </c>
    </row>
    <row r="2792" spans="12:23" x14ac:dyDescent="0.25">
      <c r="L2792" s="4" t="str">
        <f>IF('[1]All Data '!BE2797="","",'[1]All Data '!BE2797)</f>
        <v/>
      </c>
      <c r="M2792" t="str">
        <f>IF('[1]All Data '!BF2797="","",'[1]All Data '!BF2797)</f>
        <v/>
      </c>
      <c r="N2792" s="5" t="str">
        <f>IF('[1]All Data '!BB2797="","",'[1]All Data '!BC2797/'[1]All Data '!BH2797)</f>
        <v/>
      </c>
      <c r="O2792" s="5" t="str">
        <f t="shared" si="46"/>
        <v/>
      </c>
      <c r="P2792" s="5" t="str">
        <f>IF(M2792="","",$C$2*(1-L2792)*907.2/0.621371*N2792*[1]Transportation!$M$40)</f>
        <v/>
      </c>
      <c r="Q2792" s="5" t="str">
        <f>IF(L2792="","",IF([1]Inputs_Outputs!$B$5="Herbaceous",(LCA!$E$29*'[1]LOCH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2" s="5" t="str">
        <f>IF(M2792="","",$E$2*1000*'[1]LOCH Calc COE Calc'!$C$44)</f>
        <v/>
      </c>
      <c r="S2792" s="6" t="str">
        <f>IF(N2792="","",SUM(O2792:R2792)/('[1]LOCH Calc COE Calc'!$C$28))</f>
        <v/>
      </c>
      <c r="T2792" t="str">
        <f>IF(L2792="","",O2792/'[1]LOCH Calc COE Calc'!$C$28)</f>
        <v/>
      </c>
      <c r="U2792" t="str">
        <f>IF(L2792="","",P2792/'[1]LOCH Calc COE Calc'!$C$28)</f>
        <v/>
      </c>
      <c r="V2792" t="str">
        <f>IF(L2792="","",Q2792/'[1]LOCH Calc COE Calc'!$C$28)</f>
        <v/>
      </c>
      <c r="W2792" t="str">
        <f>IF(L2792="","",R2792/'[1]LOCH Calc COE Calc'!$C$28)</f>
        <v/>
      </c>
    </row>
    <row r="2793" spans="12:23" x14ac:dyDescent="0.25">
      <c r="L2793" s="4" t="str">
        <f>IF('[1]All Data '!BE2798="","",'[1]All Data '!BE2798)</f>
        <v/>
      </c>
      <c r="M2793" t="str">
        <f>IF('[1]All Data '!BF2798="","",'[1]All Data '!BF2798)</f>
        <v/>
      </c>
      <c r="N2793" s="5" t="str">
        <f>IF('[1]All Data '!BB2798="","",'[1]All Data '!BC2798/'[1]All Data '!BH2798)</f>
        <v/>
      </c>
      <c r="O2793" s="5" t="str">
        <f t="shared" si="46"/>
        <v/>
      </c>
      <c r="P2793" s="5" t="str">
        <f>IF(M2793="","",$C$2*(1-L2793)*907.2/0.621371*N2793*[1]Transportation!$M$40)</f>
        <v/>
      </c>
      <c r="Q2793" s="5" t="str">
        <f>IF(L2793="","",IF([1]Inputs_Outputs!$B$5="Herbaceous",(LCA!$E$29*'[1]LOCH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3" s="5" t="str">
        <f>IF(M2793="","",$E$2*1000*'[1]LOCH Calc COE Calc'!$C$44)</f>
        <v/>
      </c>
      <c r="S2793" s="6" t="str">
        <f>IF(N2793="","",SUM(O2793:R2793)/('[1]LOCH Calc COE Calc'!$C$28))</f>
        <v/>
      </c>
      <c r="T2793" t="str">
        <f>IF(L2793="","",O2793/'[1]LOCH Calc COE Calc'!$C$28)</f>
        <v/>
      </c>
      <c r="U2793" t="str">
        <f>IF(L2793="","",P2793/'[1]LOCH Calc COE Calc'!$C$28)</f>
        <v/>
      </c>
      <c r="V2793" t="str">
        <f>IF(L2793="","",Q2793/'[1]LOCH Calc COE Calc'!$C$28)</f>
        <v/>
      </c>
      <c r="W2793" t="str">
        <f>IF(L2793="","",R2793/'[1]LOCH Calc COE Calc'!$C$28)</f>
        <v/>
      </c>
    </row>
    <row r="2794" spans="12:23" x14ac:dyDescent="0.25">
      <c r="L2794" s="4" t="str">
        <f>IF('[1]All Data '!BE2799="","",'[1]All Data '!BE2799)</f>
        <v/>
      </c>
      <c r="M2794" t="str">
        <f>IF('[1]All Data '!BF2799="","",'[1]All Data '!BF2799)</f>
        <v/>
      </c>
      <c r="N2794" s="5" t="str">
        <f>IF('[1]All Data '!BB2799="","",'[1]All Data '!BC2799/'[1]All Data '!BH2799)</f>
        <v/>
      </c>
      <c r="O2794" s="5" t="str">
        <f t="shared" si="46"/>
        <v/>
      </c>
      <c r="P2794" s="5" t="str">
        <f>IF(M2794="","",$C$2*(1-L2794)*907.2/0.621371*N2794*[1]Transportation!$M$40)</f>
        <v/>
      </c>
      <c r="Q2794" s="5" t="str">
        <f>IF(L2794="","",IF([1]Inputs_Outputs!$B$5="Herbaceous",(LCA!$E$29*'[1]LOCH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4" s="5" t="str">
        <f>IF(M2794="","",$E$2*1000*'[1]LOCH Calc COE Calc'!$C$44)</f>
        <v/>
      </c>
      <c r="S2794" s="6" t="str">
        <f>IF(N2794="","",SUM(O2794:R2794)/('[1]LOCH Calc COE Calc'!$C$28))</f>
        <v/>
      </c>
      <c r="T2794" t="str">
        <f>IF(L2794="","",O2794/'[1]LOCH Calc COE Calc'!$C$28)</f>
        <v/>
      </c>
      <c r="U2794" t="str">
        <f>IF(L2794="","",P2794/'[1]LOCH Calc COE Calc'!$C$28)</f>
        <v/>
      </c>
      <c r="V2794" t="str">
        <f>IF(L2794="","",Q2794/'[1]LOCH Calc COE Calc'!$C$28)</f>
        <v/>
      </c>
      <c r="W2794" t="str">
        <f>IF(L2794="","",R2794/'[1]LOCH Calc COE Calc'!$C$28)</f>
        <v/>
      </c>
    </row>
    <row r="2795" spans="12:23" x14ac:dyDescent="0.25">
      <c r="L2795" s="4" t="str">
        <f>IF('[1]All Data '!BE2800="","",'[1]All Data '!BE2800)</f>
        <v/>
      </c>
      <c r="M2795" t="str">
        <f>IF('[1]All Data '!BF2800="","",'[1]All Data '!BF2800)</f>
        <v/>
      </c>
      <c r="N2795" s="5" t="str">
        <f>IF('[1]All Data '!BB2800="","",'[1]All Data '!BC2800/'[1]All Data '!BH2800)</f>
        <v/>
      </c>
      <c r="O2795" s="5" t="str">
        <f t="shared" si="46"/>
        <v/>
      </c>
      <c r="P2795" s="5" t="str">
        <f>IF(M2795="","",$C$2*(1-L2795)*907.2/0.621371*N2795*[1]Transportation!$M$40)</f>
        <v/>
      </c>
      <c r="Q2795" s="5" t="str">
        <f>IF(L2795="","",IF([1]Inputs_Outputs!$B$5="Herbaceous",(LCA!$E$29*'[1]LOCH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5" s="5" t="str">
        <f>IF(M2795="","",$E$2*1000*'[1]LOCH Calc COE Calc'!$C$44)</f>
        <v/>
      </c>
      <c r="S2795" s="6" t="str">
        <f>IF(N2795="","",SUM(O2795:R2795)/('[1]LOCH Calc COE Calc'!$C$28))</f>
        <v/>
      </c>
      <c r="T2795" t="str">
        <f>IF(L2795="","",O2795/'[1]LOCH Calc COE Calc'!$C$28)</f>
        <v/>
      </c>
      <c r="U2795" t="str">
        <f>IF(L2795="","",P2795/'[1]LOCH Calc COE Calc'!$C$28)</f>
        <v/>
      </c>
      <c r="V2795" t="str">
        <f>IF(L2795="","",Q2795/'[1]LOCH Calc COE Calc'!$C$28)</f>
        <v/>
      </c>
      <c r="W2795" t="str">
        <f>IF(L2795="","",R2795/'[1]LOCH Calc COE Calc'!$C$28)</f>
        <v/>
      </c>
    </row>
    <row r="2796" spans="12:23" x14ac:dyDescent="0.25">
      <c r="L2796" s="4" t="str">
        <f>IF('[1]All Data '!BE2801="","",'[1]All Data '!BE2801)</f>
        <v/>
      </c>
      <c r="M2796" t="str">
        <f>IF('[1]All Data '!BF2801="","",'[1]All Data '!BF2801)</f>
        <v/>
      </c>
      <c r="N2796" s="5" t="str">
        <f>IF('[1]All Data '!BB2801="","",'[1]All Data '!BC2801/'[1]All Data '!BH2801)</f>
        <v/>
      </c>
      <c r="O2796" s="5" t="str">
        <f t="shared" si="46"/>
        <v/>
      </c>
      <c r="P2796" s="5" t="str">
        <f>IF(M2796="","",$C$2*(1-L2796)*907.2/0.621371*N2796*[1]Transportation!$M$40)</f>
        <v/>
      </c>
      <c r="Q2796" s="5" t="str">
        <f>IF(L2796="","",IF([1]Inputs_Outputs!$B$5="Herbaceous",(LCA!$E$29*'[1]LOCH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6" s="5" t="str">
        <f>IF(M2796="","",$E$2*1000*'[1]LOCH Calc COE Calc'!$C$44)</f>
        <v/>
      </c>
      <c r="S2796" s="6" t="str">
        <f>IF(N2796="","",SUM(O2796:R2796)/('[1]LOCH Calc COE Calc'!$C$28))</f>
        <v/>
      </c>
      <c r="T2796" t="str">
        <f>IF(L2796="","",O2796/'[1]LOCH Calc COE Calc'!$C$28)</f>
        <v/>
      </c>
      <c r="U2796" t="str">
        <f>IF(L2796="","",P2796/'[1]LOCH Calc COE Calc'!$C$28)</f>
        <v/>
      </c>
      <c r="V2796" t="str">
        <f>IF(L2796="","",Q2796/'[1]LOCH Calc COE Calc'!$C$28)</f>
        <v/>
      </c>
      <c r="W2796" t="str">
        <f>IF(L2796="","",R2796/'[1]LOCH Calc COE Calc'!$C$28)</f>
        <v/>
      </c>
    </row>
    <row r="2797" spans="12:23" x14ac:dyDescent="0.25">
      <c r="L2797" s="4" t="str">
        <f>IF('[1]All Data '!BE2802="","",'[1]All Data '!BE2802)</f>
        <v/>
      </c>
      <c r="M2797" t="str">
        <f>IF('[1]All Data '!BF2802="","",'[1]All Data '!BF2802)</f>
        <v/>
      </c>
      <c r="N2797" s="5" t="str">
        <f>IF('[1]All Data '!BB2802="","",'[1]All Data '!BC2802/'[1]All Data '!BH2802)</f>
        <v/>
      </c>
      <c r="O2797" s="5" t="str">
        <f t="shared" si="46"/>
        <v/>
      </c>
      <c r="P2797" s="5" t="str">
        <f>IF(M2797="","",$C$2*(1-L2797)*907.2/0.621371*N2797*[1]Transportation!$M$40)</f>
        <v/>
      </c>
      <c r="Q2797" s="5" t="str">
        <f>IF(L2797="","",IF([1]Inputs_Outputs!$B$5="Herbaceous",(LCA!$E$29*'[1]LOCH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7" s="5" t="str">
        <f>IF(M2797="","",$E$2*1000*'[1]LOCH Calc COE Calc'!$C$44)</f>
        <v/>
      </c>
      <c r="S2797" s="6" t="str">
        <f>IF(N2797="","",SUM(O2797:R2797)/('[1]LOCH Calc COE Calc'!$C$28))</f>
        <v/>
      </c>
      <c r="T2797" t="str">
        <f>IF(L2797="","",O2797/'[1]LOCH Calc COE Calc'!$C$28)</f>
        <v/>
      </c>
      <c r="U2797" t="str">
        <f>IF(L2797="","",P2797/'[1]LOCH Calc COE Calc'!$C$28)</f>
        <v/>
      </c>
      <c r="V2797" t="str">
        <f>IF(L2797="","",Q2797/'[1]LOCH Calc COE Calc'!$C$28)</f>
        <v/>
      </c>
      <c r="W2797" t="str">
        <f>IF(L2797="","",R2797/'[1]LOCH Calc COE Calc'!$C$28)</f>
        <v/>
      </c>
    </row>
    <row r="2798" spans="12:23" x14ac:dyDescent="0.25">
      <c r="L2798" s="4" t="str">
        <f>IF('[1]All Data '!BE2803="","",'[1]All Data '!BE2803)</f>
        <v/>
      </c>
      <c r="M2798" t="str">
        <f>IF('[1]All Data '!BF2803="","",'[1]All Data '!BF2803)</f>
        <v/>
      </c>
      <c r="N2798" s="5" t="str">
        <f>IF('[1]All Data '!BB2803="","",'[1]All Data '!BC2803/'[1]All Data '!BH2803)</f>
        <v/>
      </c>
      <c r="O2798" s="5" t="str">
        <f t="shared" si="46"/>
        <v/>
      </c>
      <c r="P2798" s="5" t="str">
        <f>IF(M2798="","",$C$2*(1-L2798)*907.2/0.621371*N2798*[1]Transportation!$M$40)</f>
        <v/>
      </c>
      <c r="Q2798" s="5" t="str">
        <f>IF(L2798="","",IF([1]Inputs_Outputs!$B$5="Herbaceous",(LCA!$E$29*'[1]LOCH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8" s="5" t="str">
        <f>IF(M2798="","",$E$2*1000*'[1]LOCH Calc COE Calc'!$C$44)</f>
        <v/>
      </c>
      <c r="S2798" s="6" t="str">
        <f>IF(N2798="","",SUM(O2798:R2798)/('[1]LOCH Calc COE Calc'!$C$28))</f>
        <v/>
      </c>
      <c r="T2798" t="str">
        <f>IF(L2798="","",O2798/'[1]LOCH Calc COE Calc'!$C$28)</f>
        <v/>
      </c>
      <c r="U2798" t="str">
        <f>IF(L2798="","",P2798/'[1]LOCH Calc COE Calc'!$C$28)</f>
        <v/>
      </c>
      <c r="V2798" t="str">
        <f>IF(L2798="","",Q2798/'[1]LOCH Calc COE Calc'!$C$28)</f>
        <v/>
      </c>
      <c r="W2798" t="str">
        <f>IF(L2798="","",R2798/'[1]LOCH Calc COE Calc'!$C$28)</f>
        <v/>
      </c>
    </row>
    <row r="2799" spans="12:23" x14ac:dyDescent="0.25">
      <c r="L2799" s="4" t="str">
        <f>IF('[1]All Data '!BE2804="","",'[1]All Data '!BE2804)</f>
        <v/>
      </c>
      <c r="M2799" t="str">
        <f>IF('[1]All Data '!BF2804="","",'[1]All Data '!BF2804)</f>
        <v/>
      </c>
      <c r="N2799" s="5" t="str">
        <f>IF('[1]All Data '!BB2804="","",'[1]All Data '!BC2804/'[1]All Data '!BH2804)</f>
        <v/>
      </c>
      <c r="O2799" s="5" t="str">
        <f t="shared" si="46"/>
        <v/>
      </c>
      <c r="P2799" s="5" t="str">
        <f>IF(M2799="","",$C$2*(1-L2799)*907.2/0.621371*N2799*[1]Transportation!$M$40)</f>
        <v/>
      </c>
      <c r="Q2799" s="5" t="str">
        <f>IF(L2799="","",IF([1]Inputs_Outputs!$B$5="Herbaceous",(LCA!$E$29*'[1]LOCH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799" s="5" t="str">
        <f>IF(M2799="","",$E$2*1000*'[1]LOCH Calc COE Calc'!$C$44)</f>
        <v/>
      </c>
      <c r="S2799" s="6" t="str">
        <f>IF(N2799="","",SUM(O2799:R2799)/('[1]LOCH Calc COE Calc'!$C$28))</f>
        <v/>
      </c>
      <c r="T2799" t="str">
        <f>IF(L2799="","",O2799/'[1]LOCH Calc COE Calc'!$C$28)</f>
        <v/>
      </c>
      <c r="U2799" t="str">
        <f>IF(L2799="","",P2799/'[1]LOCH Calc COE Calc'!$C$28)</f>
        <v/>
      </c>
      <c r="V2799" t="str">
        <f>IF(L2799="","",Q2799/'[1]LOCH Calc COE Calc'!$C$28)</f>
        <v/>
      </c>
      <c r="W2799" t="str">
        <f>IF(L2799="","",R2799/'[1]LOCH Calc COE Calc'!$C$28)</f>
        <v/>
      </c>
    </row>
    <row r="2800" spans="12:23" x14ac:dyDescent="0.25">
      <c r="L2800" s="4" t="str">
        <f>IF('[1]All Data '!BE2805="","",'[1]All Data '!BE2805)</f>
        <v/>
      </c>
      <c r="M2800" t="str">
        <f>IF('[1]All Data '!BF2805="","",'[1]All Data '!BF2805)</f>
        <v/>
      </c>
      <c r="N2800" s="5" t="str">
        <f>IF('[1]All Data '!BB2805="","",'[1]All Data '!BC2805/'[1]All Data '!BH2805)</f>
        <v/>
      </c>
      <c r="O2800" s="5" t="str">
        <f t="shared" si="46"/>
        <v/>
      </c>
      <c r="P2800" s="5" t="str">
        <f>IF(M2800="","",$C$2*(1-L2800)*907.2/0.621371*N2800*[1]Transportation!$M$40)</f>
        <v/>
      </c>
      <c r="Q2800" s="5" t="str">
        <f>IF(L2800="","",IF([1]Inputs_Outputs!$B$5="Herbaceous",(LCA!$E$29*'[1]LOCH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0" s="5" t="str">
        <f>IF(M2800="","",$E$2*1000*'[1]LOCH Calc COE Calc'!$C$44)</f>
        <v/>
      </c>
      <c r="S2800" s="6" t="str">
        <f>IF(N2800="","",SUM(O2800:R2800)/('[1]LOCH Calc COE Calc'!$C$28))</f>
        <v/>
      </c>
      <c r="T2800" t="str">
        <f>IF(L2800="","",O2800/'[1]LOCH Calc COE Calc'!$C$28)</f>
        <v/>
      </c>
      <c r="U2800" t="str">
        <f>IF(L2800="","",P2800/'[1]LOCH Calc COE Calc'!$C$28)</f>
        <v/>
      </c>
      <c r="V2800" t="str">
        <f>IF(L2800="","",Q2800/'[1]LOCH Calc COE Calc'!$C$28)</f>
        <v/>
      </c>
      <c r="W2800" t="str">
        <f>IF(L2800="","",R2800/'[1]LOCH Calc COE Calc'!$C$28)</f>
        <v/>
      </c>
    </row>
    <row r="2801" spans="12:23" x14ac:dyDescent="0.25">
      <c r="L2801" s="4" t="str">
        <f>IF('[1]All Data '!BE2806="","",'[1]All Data '!BE2806)</f>
        <v/>
      </c>
      <c r="M2801" t="str">
        <f>IF('[1]All Data '!BF2806="","",'[1]All Data '!BF2806)</f>
        <v/>
      </c>
      <c r="N2801" s="5" t="str">
        <f>IF('[1]All Data '!BB2806="","",'[1]All Data '!BC2806/'[1]All Data '!BH2806)</f>
        <v/>
      </c>
      <c r="O2801" s="5" t="str">
        <f t="shared" si="46"/>
        <v/>
      </c>
      <c r="P2801" s="5" t="str">
        <f>IF(M2801="","",$C$2*(1-L2801)*907.2/0.621371*N2801*[1]Transportation!$M$40)</f>
        <v/>
      </c>
      <c r="Q2801" s="5" t="str">
        <f>IF(L2801="","",IF([1]Inputs_Outputs!$B$5="Herbaceous",(LCA!$E$29*'[1]LOCH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1" s="5" t="str">
        <f>IF(M2801="","",$E$2*1000*'[1]LOCH Calc COE Calc'!$C$44)</f>
        <v/>
      </c>
      <c r="S2801" s="6" t="str">
        <f>IF(N2801="","",SUM(O2801:R2801)/('[1]LOCH Calc COE Calc'!$C$28))</f>
        <v/>
      </c>
      <c r="T2801" t="str">
        <f>IF(L2801="","",O2801/'[1]LOCH Calc COE Calc'!$C$28)</f>
        <v/>
      </c>
      <c r="U2801" t="str">
        <f>IF(L2801="","",P2801/'[1]LOCH Calc COE Calc'!$C$28)</f>
        <v/>
      </c>
      <c r="V2801" t="str">
        <f>IF(L2801="","",Q2801/'[1]LOCH Calc COE Calc'!$C$28)</f>
        <v/>
      </c>
      <c r="W2801" t="str">
        <f>IF(L2801="","",R2801/'[1]LOCH Calc COE Calc'!$C$28)</f>
        <v/>
      </c>
    </row>
    <row r="2802" spans="12:23" x14ac:dyDescent="0.25">
      <c r="L2802" s="4" t="str">
        <f>IF('[1]All Data '!BE2807="","",'[1]All Data '!BE2807)</f>
        <v/>
      </c>
      <c r="M2802" t="str">
        <f>IF('[1]All Data '!BF2807="","",'[1]All Data '!BF2807)</f>
        <v/>
      </c>
      <c r="N2802" s="5" t="str">
        <f>IF('[1]All Data '!BB2807="","",'[1]All Data '!BC2807/'[1]All Data '!BH2807)</f>
        <v/>
      </c>
      <c r="O2802" s="5" t="str">
        <f t="shared" si="46"/>
        <v/>
      </c>
      <c r="P2802" s="5" t="str">
        <f>IF(M2802="","",$C$2*(1-L2802)*907.2/0.621371*N2802*[1]Transportation!$M$40)</f>
        <v/>
      </c>
      <c r="Q2802" s="5" t="str">
        <f>IF(L2802="","",IF([1]Inputs_Outputs!$B$5="Herbaceous",(LCA!$E$29*'[1]LOCH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2" s="5" t="str">
        <f>IF(M2802="","",$E$2*1000*'[1]LOCH Calc COE Calc'!$C$44)</f>
        <v/>
      </c>
      <c r="S2802" s="6" t="str">
        <f>IF(N2802="","",SUM(O2802:R2802)/('[1]LOCH Calc COE Calc'!$C$28))</f>
        <v/>
      </c>
      <c r="T2802" t="str">
        <f>IF(L2802="","",O2802/'[1]LOCH Calc COE Calc'!$C$28)</f>
        <v/>
      </c>
      <c r="U2802" t="str">
        <f>IF(L2802="","",P2802/'[1]LOCH Calc COE Calc'!$C$28)</f>
        <v/>
      </c>
      <c r="V2802" t="str">
        <f>IF(L2802="","",Q2802/'[1]LOCH Calc COE Calc'!$C$28)</f>
        <v/>
      </c>
      <c r="W2802" t="str">
        <f>IF(L2802="","",R2802/'[1]LOCH Calc COE Calc'!$C$28)</f>
        <v/>
      </c>
    </row>
    <row r="2803" spans="12:23" x14ac:dyDescent="0.25">
      <c r="L2803" s="4" t="str">
        <f>IF('[1]All Data '!BE2808="","",'[1]All Data '!BE2808)</f>
        <v/>
      </c>
      <c r="M2803" t="str">
        <f>IF('[1]All Data '!BF2808="","",'[1]All Data '!BF2808)</f>
        <v/>
      </c>
      <c r="N2803" s="5" t="str">
        <f>IF('[1]All Data '!BB2808="","",'[1]All Data '!BC2808/'[1]All Data '!BH2808)</f>
        <v/>
      </c>
      <c r="O2803" s="5" t="str">
        <f t="shared" si="46"/>
        <v/>
      </c>
      <c r="P2803" s="5" t="str">
        <f>IF(M2803="","",$C$2*(1-L2803)*907.2/0.621371*N2803*[1]Transportation!$M$40)</f>
        <v/>
      </c>
      <c r="Q2803" s="5" t="str">
        <f>IF(L2803="","",IF([1]Inputs_Outputs!$B$5="Herbaceous",(LCA!$E$29*'[1]LOCH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3" s="5" t="str">
        <f>IF(M2803="","",$E$2*1000*'[1]LOCH Calc COE Calc'!$C$44)</f>
        <v/>
      </c>
      <c r="S2803" s="6" t="str">
        <f>IF(N2803="","",SUM(O2803:R2803)/('[1]LOCH Calc COE Calc'!$C$28))</f>
        <v/>
      </c>
      <c r="T2803" t="str">
        <f>IF(L2803="","",O2803/'[1]LOCH Calc COE Calc'!$C$28)</f>
        <v/>
      </c>
      <c r="U2803" t="str">
        <f>IF(L2803="","",P2803/'[1]LOCH Calc COE Calc'!$C$28)</f>
        <v/>
      </c>
      <c r="V2803" t="str">
        <f>IF(L2803="","",Q2803/'[1]LOCH Calc COE Calc'!$C$28)</f>
        <v/>
      </c>
      <c r="W2803" t="str">
        <f>IF(L2803="","",R2803/'[1]LOCH Calc COE Calc'!$C$28)</f>
        <v/>
      </c>
    </row>
    <row r="2804" spans="12:23" x14ac:dyDescent="0.25">
      <c r="L2804" s="4" t="str">
        <f>IF('[1]All Data '!BE2809="","",'[1]All Data '!BE2809)</f>
        <v/>
      </c>
      <c r="M2804" t="str">
        <f>IF('[1]All Data '!BF2809="","",'[1]All Data '!BF2809)</f>
        <v/>
      </c>
      <c r="N2804" s="5" t="str">
        <f>IF('[1]All Data '!BB2809="","",'[1]All Data '!BC2809/'[1]All Data '!BH2809)</f>
        <v/>
      </c>
      <c r="O2804" s="5" t="str">
        <f t="shared" si="46"/>
        <v/>
      </c>
      <c r="P2804" s="5" t="str">
        <f>IF(M2804="","",$C$2*(1-L2804)*907.2/0.621371*N2804*[1]Transportation!$M$40)</f>
        <v/>
      </c>
      <c r="Q2804" s="5" t="str">
        <f>IF(L2804="","",IF([1]Inputs_Outputs!$B$5="Herbaceous",(LCA!$E$29*'[1]LOCH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4" s="5" t="str">
        <f>IF(M2804="","",$E$2*1000*'[1]LOCH Calc COE Calc'!$C$44)</f>
        <v/>
      </c>
      <c r="S2804" s="6" t="str">
        <f>IF(N2804="","",SUM(O2804:R2804)/('[1]LOCH Calc COE Calc'!$C$28))</f>
        <v/>
      </c>
      <c r="T2804" t="str">
        <f>IF(L2804="","",O2804/'[1]LOCH Calc COE Calc'!$C$28)</f>
        <v/>
      </c>
      <c r="U2804" t="str">
        <f>IF(L2804="","",P2804/'[1]LOCH Calc COE Calc'!$C$28)</f>
        <v/>
      </c>
      <c r="V2804" t="str">
        <f>IF(L2804="","",Q2804/'[1]LOCH Calc COE Calc'!$C$28)</f>
        <v/>
      </c>
      <c r="W2804" t="str">
        <f>IF(L2804="","",R2804/'[1]LOCH Calc COE Calc'!$C$28)</f>
        <v/>
      </c>
    </row>
    <row r="2805" spans="12:23" x14ac:dyDescent="0.25">
      <c r="L2805" s="4" t="str">
        <f>IF('[1]All Data '!BE2810="","",'[1]All Data '!BE2810)</f>
        <v/>
      </c>
      <c r="M2805" t="str">
        <f>IF('[1]All Data '!BF2810="","",'[1]All Data '!BF2810)</f>
        <v/>
      </c>
      <c r="N2805" s="5" t="str">
        <f>IF('[1]All Data '!BB2810="","",'[1]All Data '!BC2810/'[1]All Data '!BH2810)</f>
        <v/>
      </c>
      <c r="O2805" s="5" t="str">
        <f t="shared" si="46"/>
        <v/>
      </c>
      <c r="P2805" s="5" t="str">
        <f>IF(M2805="","",$C$2*(1-L2805)*907.2/0.621371*N2805*[1]Transportation!$M$40)</f>
        <v/>
      </c>
      <c r="Q2805" s="5" t="str">
        <f>IF(L2805="","",IF([1]Inputs_Outputs!$B$5="Herbaceous",(LCA!$E$29*'[1]LOCH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5" s="5" t="str">
        <f>IF(M2805="","",$E$2*1000*'[1]LOCH Calc COE Calc'!$C$44)</f>
        <v/>
      </c>
      <c r="S2805" s="6" t="str">
        <f>IF(N2805="","",SUM(O2805:R2805)/('[1]LOCH Calc COE Calc'!$C$28))</f>
        <v/>
      </c>
      <c r="T2805" t="str">
        <f>IF(L2805="","",O2805/'[1]LOCH Calc COE Calc'!$C$28)</f>
        <v/>
      </c>
      <c r="U2805" t="str">
        <f>IF(L2805="","",P2805/'[1]LOCH Calc COE Calc'!$C$28)</f>
        <v/>
      </c>
      <c r="V2805" t="str">
        <f>IF(L2805="","",Q2805/'[1]LOCH Calc COE Calc'!$C$28)</f>
        <v/>
      </c>
      <c r="W2805" t="str">
        <f>IF(L2805="","",R2805/'[1]LOCH Calc COE Calc'!$C$28)</f>
        <v/>
      </c>
    </row>
    <row r="2806" spans="12:23" x14ac:dyDescent="0.25">
      <c r="L2806" s="4" t="str">
        <f>IF('[1]All Data '!BE2811="","",'[1]All Data '!BE2811)</f>
        <v/>
      </c>
      <c r="M2806" t="str">
        <f>IF('[1]All Data '!BF2811="","",'[1]All Data '!BF2811)</f>
        <v/>
      </c>
      <c r="N2806" s="5" t="str">
        <f>IF('[1]All Data '!BB2811="","",'[1]All Data '!BC2811/'[1]All Data '!BH2811)</f>
        <v/>
      </c>
      <c r="O2806" s="5" t="str">
        <f t="shared" si="46"/>
        <v/>
      </c>
      <c r="P2806" s="5" t="str">
        <f>IF(M2806="","",$C$2*(1-L2806)*907.2/0.621371*N2806*[1]Transportation!$M$40)</f>
        <v/>
      </c>
      <c r="Q2806" s="5" t="str">
        <f>IF(L2806="","",IF([1]Inputs_Outputs!$B$5="Herbaceous",(LCA!$E$29*'[1]LOCH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6" s="5" t="str">
        <f>IF(M2806="","",$E$2*1000*'[1]LOCH Calc COE Calc'!$C$44)</f>
        <v/>
      </c>
      <c r="S2806" s="6" t="str">
        <f>IF(N2806="","",SUM(O2806:R2806)/('[1]LOCH Calc COE Calc'!$C$28))</f>
        <v/>
      </c>
      <c r="T2806" t="str">
        <f>IF(L2806="","",O2806/'[1]LOCH Calc COE Calc'!$C$28)</f>
        <v/>
      </c>
      <c r="U2806" t="str">
        <f>IF(L2806="","",P2806/'[1]LOCH Calc COE Calc'!$C$28)</f>
        <v/>
      </c>
      <c r="V2806" t="str">
        <f>IF(L2806="","",Q2806/'[1]LOCH Calc COE Calc'!$C$28)</f>
        <v/>
      </c>
      <c r="W2806" t="str">
        <f>IF(L2806="","",R2806/'[1]LOCH Calc COE Calc'!$C$28)</f>
        <v/>
      </c>
    </row>
    <row r="2807" spans="12:23" x14ac:dyDescent="0.25">
      <c r="L2807" s="4" t="str">
        <f>IF('[1]All Data '!BE2812="","",'[1]All Data '!BE2812)</f>
        <v/>
      </c>
      <c r="M2807" t="str">
        <f>IF('[1]All Data '!BF2812="","",'[1]All Data '!BF2812)</f>
        <v/>
      </c>
      <c r="N2807" s="5" t="str">
        <f>IF('[1]All Data '!BB2812="","",'[1]All Data '!BC2812/'[1]All Data '!BH2812)</f>
        <v/>
      </c>
      <c r="O2807" s="5" t="str">
        <f t="shared" si="46"/>
        <v/>
      </c>
      <c r="P2807" s="5" t="str">
        <f>IF(M2807="","",$C$2*(1-L2807)*907.2/0.621371*N2807*[1]Transportation!$M$40)</f>
        <v/>
      </c>
      <c r="Q2807" s="5" t="str">
        <f>IF(L2807="","",IF([1]Inputs_Outputs!$B$5="Herbaceous",(LCA!$E$29*'[1]LOCH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7" s="5" t="str">
        <f>IF(M2807="","",$E$2*1000*'[1]LOCH Calc COE Calc'!$C$44)</f>
        <v/>
      </c>
      <c r="S2807" s="6" t="str">
        <f>IF(N2807="","",SUM(O2807:R2807)/('[1]LOCH Calc COE Calc'!$C$28))</f>
        <v/>
      </c>
      <c r="T2807" t="str">
        <f>IF(L2807="","",O2807/'[1]LOCH Calc COE Calc'!$C$28)</f>
        <v/>
      </c>
      <c r="U2807" t="str">
        <f>IF(L2807="","",P2807/'[1]LOCH Calc COE Calc'!$C$28)</f>
        <v/>
      </c>
      <c r="V2807" t="str">
        <f>IF(L2807="","",Q2807/'[1]LOCH Calc COE Calc'!$C$28)</f>
        <v/>
      </c>
      <c r="W2807" t="str">
        <f>IF(L2807="","",R2807/'[1]LOCH Calc COE Calc'!$C$28)</f>
        <v/>
      </c>
    </row>
    <row r="2808" spans="12:23" x14ac:dyDescent="0.25">
      <c r="L2808" s="4" t="str">
        <f>IF('[1]All Data '!BE2813="","",'[1]All Data '!BE2813)</f>
        <v/>
      </c>
      <c r="M2808" t="str">
        <f>IF('[1]All Data '!BF2813="","",'[1]All Data '!BF2813)</f>
        <v/>
      </c>
      <c r="N2808" s="5" t="str">
        <f>IF('[1]All Data '!BB2813="","",'[1]All Data '!BC2813/'[1]All Data '!BH2813)</f>
        <v/>
      </c>
      <c r="O2808" s="5" t="str">
        <f t="shared" si="46"/>
        <v/>
      </c>
      <c r="P2808" s="5" t="str">
        <f>IF(M2808="","",$C$2*(1-L2808)*907.2/0.621371*N2808*[1]Transportation!$M$40)</f>
        <v/>
      </c>
      <c r="Q2808" s="5" t="str">
        <f>IF(L2808="","",IF([1]Inputs_Outputs!$B$5="Herbaceous",(LCA!$E$29*'[1]LOCH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8" s="5" t="str">
        <f>IF(M2808="","",$E$2*1000*'[1]LOCH Calc COE Calc'!$C$44)</f>
        <v/>
      </c>
      <c r="S2808" s="6" t="str">
        <f>IF(N2808="","",SUM(O2808:R2808)/('[1]LOCH Calc COE Calc'!$C$28))</f>
        <v/>
      </c>
      <c r="T2808" t="str">
        <f>IF(L2808="","",O2808/'[1]LOCH Calc COE Calc'!$C$28)</f>
        <v/>
      </c>
      <c r="U2808" t="str">
        <f>IF(L2808="","",P2808/'[1]LOCH Calc COE Calc'!$C$28)</f>
        <v/>
      </c>
      <c r="V2808" t="str">
        <f>IF(L2808="","",Q2808/'[1]LOCH Calc COE Calc'!$C$28)</f>
        <v/>
      </c>
      <c r="W2808" t="str">
        <f>IF(L2808="","",R2808/'[1]LOCH Calc COE Calc'!$C$28)</f>
        <v/>
      </c>
    </row>
    <row r="2809" spans="12:23" x14ac:dyDescent="0.25">
      <c r="L2809" s="4" t="str">
        <f>IF('[1]All Data '!BE2814="","",'[1]All Data '!BE2814)</f>
        <v/>
      </c>
      <c r="M2809" t="str">
        <f>IF('[1]All Data '!BF2814="","",'[1]All Data '!BF2814)</f>
        <v/>
      </c>
      <c r="N2809" s="5" t="str">
        <f>IF('[1]All Data '!BB2814="","",'[1]All Data '!BC2814/'[1]All Data '!BH2814)</f>
        <v/>
      </c>
      <c r="O2809" s="5" t="str">
        <f t="shared" si="46"/>
        <v/>
      </c>
      <c r="P2809" s="5" t="str">
        <f>IF(M2809="","",$C$2*(1-L2809)*907.2/0.621371*N2809*[1]Transportation!$M$40)</f>
        <v/>
      </c>
      <c r="Q2809" s="5" t="str">
        <f>IF(L2809="","",IF([1]Inputs_Outputs!$B$5="Herbaceous",(LCA!$E$29*'[1]LOCH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09" s="5" t="str">
        <f>IF(M2809="","",$E$2*1000*'[1]LOCH Calc COE Calc'!$C$44)</f>
        <v/>
      </c>
      <c r="S2809" s="6" t="str">
        <f>IF(N2809="","",SUM(O2809:R2809)/('[1]LOCH Calc COE Calc'!$C$28))</f>
        <v/>
      </c>
      <c r="T2809" t="str">
        <f>IF(L2809="","",O2809/'[1]LOCH Calc COE Calc'!$C$28)</f>
        <v/>
      </c>
      <c r="U2809" t="str">
        <f>IF(L2809="","",P2809/'[1]LOCH Calc COE Calc'!$C$28)</f>
        <v/>
      </c>
      <c r="V2809" t="str">
        <f>IF(L2809="","",Q2809/'[1]LOCH Calc COE Calc'!$C$28)</f>
        <v/>
      </c>
      <c r="W2809" t="str">
        <f>IF(L2809="","",R2809/'[1]LOCH Calc COE Calc'!$C$28)</f>
        <v/>
      </c>
    </row>
    <row r="2810" spans="12:23" x14ac:dyDescent="0.25">
      <c r="L2810" s="4" t="str">
        <f>IF('[1]All Data '!BE2815="","",'[1]All Data '!BE2815)</f>
        <v/>
      </c>
      <c r="M2810" t="str">
        <f>IF('[1]All Data '!BF2815="","",'[1]All Data '!BF2815)</f>
        <v/>
      </c>
      <c r="N2810" s="5" t="str">
        <f>IF('[1]All Data '!BB2815="","",'[1]All Data '!BC2815/'[1]All Data '!BH2815)</f>
        <v/>
      </c>
      <c r="O2810" s="5" t="str">
        <f t="shared" si="46"/>
        <v/>
      </c>
      <c r="P2810" s="5" t="str">
        <f>IF(M2810="","",$C$2*(1-L2810)*907.2/0.621371*N2810*[1]Transportation!$M$40)</f>
        <v/>
      </c>
      <c r="Q2810" s="5" t="str">
        <f>IF(L2810="","",IF([1]Inputs_Outputs!$B$5="Herbaceous",(LCA!$E$29*'[1]LOCH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0" s="5" t="str">
        <f>IF(M2810="","",$E$2*1000*'[1]LOCH Calc COE Calc'!$C$44)</f>
        <v/>
      </c>
      <c r="S2810" s="6" t="str">
        <f>IF(N2810="","",SUM(O2810:R2810)/('[1]LOCH Calc COE Calc'!$C$28))</f>
        <v/>
      </c>
      <c r="T2810" t="str">
        <f>IF(L2810="","",O2810/'[1]LOCH Calc COE Calc'!$C$28)</f>
        <v/>
      </c>
      <c r="U2810" t="str">
        <f>IF(L2810="","",P2810/'[1]LOCH Calc COE Calc'!$C$28)</f>
        <v/>
      </c>
      <c r="V2810" t="str">
        <f>IF(L2810="","",Q2810/'[1]LOCH Calc COE Calc'!$C$28)</f>
        <v/>
      </c>
      <c r="W2810" t="str">
        <f>IF(L2810="","",R2810/'[1]LOCH Calc COE Calc'!$C$28)</f>
        <v/>
      </c>
    </row>
    <row r="2811" spans="12:23" x14ac:dyDescent="0.25">
      <c r="L2811" s="4" t="str">
        <f>IF('[1]All Data '!BE2816="","",'[1]All Data '!BE2816)</f>
        <v/>
      </c>
      <c r="M2811" t="str">
        <f>IF('[1]All Data '!BF2816="","",'[1]All Data '!BF2816)</f>
        <v/>
      </c>
      <c r="N2811" s="5" t="str">
        <f>IF('[1]All Data '!BB2816="","",'[1]All Data '!BC2816/'[1]All Data '!BH2816)</f>
        <v/>
      </c>
      <c r="O2811" s="5" t="str">
        <f t="shared" si="46"/>
        <v/>
      </c>
      <c r="P2811" s="5" t="str">
        <f>IF(M2811="","",$C$2*(1-L2811)*907.2/0.621371*N2811*[1]Transportation!$M$40)</f>
        <v/>
      </c>
      <c r="Q2811" s="5" t="str">
        <f>IF(L2811="","",IF([1]Inputs_Outputs!$B$5="Herbaceous",(LCA!$E$29*'[1]LOCH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1" s="5" t="str">
        <f>IF(M2811="","",$E$2*1000*'[1]LOCH Calc COE Calc'!$C$44)</f>
        <v/>
      </c>
      <c r="S2811" s="6" t="str">
        <f>IF(N2811="","",SUM(O2811:R2811)/('[1]LOCH Calc COE Calc'!$C$28))</f>
        <v/>
      </c>
      <c r="T2811" t="str">
        <f>IF(L2811="","",O2811/'[1]LOCH Calc COE Calc'!$C$28)</f>
        <v/>
      </c>
      <c r="U2811" t="str">
        <f>IF(L2811="","",P2811/'[1]LOCH Calc COE Calc'!$C$28)</f>
        <v/>
      </c>
      <c r="V2811" t="str">
        <f>IF(L2811="","",Q2811/'[1]LOCH Calc COE Calc'!$C$28)</f>
        <v/>
      </c>
      <c r="W2811" t="str">
        <f>IF(L2811="","",R2811/'[1]LOCH Calc COE Calc'!$C$28)</f>
        <v/>
      </c>
    </row>
    <row r="2812" spans="12:23" x14ac:dyDescent="0.25">
      <c r="L2812" s="4" t="str">
        <f>IF('[1]All Data '!BE2817="","",'[1]All Data '!BE2817)</f>
        <v/>
      </c>
      <c r="M2812" t="str">
        <f>IF('[1]All Data '!BF2817="","",'[1]All Data '!BF2817)</f>
        <v/>
      </c>
      <c r="N2812" s="5" t="str">
        <f>IF('[1]All Data '!BB2817="","",'[1]All Data '!BC2817/'[1]All Data '!BH2817)</f>
        <v/>
      </c>
      <c r="O2812" s="5" t="str">
        <f t="shared" si="46"/>
        <v/>
      </c>
      <c r="P2812" s="5" t="str">
        <f>IF(M2812="","",$C$2*(1-L2812)*907.2/0.621371*N2812*[1]Transportation!$M$40)</f>
        <v/>
      </c>
      <c r="Q2812" s="5" t="str">
        <f>IF(L2812="","",IF([1]Inputs_Outputs!$B$5="Herbaceous",(LCA!$E$29*'[1]LOCH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2" s="5" t="str">
        <f>IF(M2812="","",$E$2*1000*'[1]LOCH Calc COE Calc'!$C$44)</f>
        <v/>
      </c>
      <c r="S2812" s="6" t="str">
        <f>IF(N2812="","",SUM(O2812:R2812)/('[1]LOCH Calc COE Calc'!$C$28))</f>
        <v/>
      </c>
      <c r="T2812" t="str">
        <f>IF(L2812="","",O2812/'[1]LOCH Calc COE Calc'!$C$28)</f>
        <v/>
      </c>
      <c r="U2812" t="str">
        <f>IF(L2812="","",P2812/'[1]LOCH Calc COE Calc'!$C$28)</f>
        <v/>
      </c>
      <c r="V2812" t="str">
        <f>IF(L2812="","",Q2812/'[1]LOCH Calc COE Calc'!$C$28)</f>
        <v/>
      </c>
      <c r="W2812" t="str">
        <f>IF(L2812="","",R2812/'[1]LOCH Calc COE Calc'!$C$28)</f>
        <v/>
      </c>
    </row>
    <row r="2813" spans="12:23" x14ac:dyDescent="0.25">
      <c r="L2813" s="4" t="str">
        <f>IF('[1]All Data '!BE2818="","",'[1]All Data '!BE2818)</f>
        <v/>
      </c>
      <c r="M2813" t="str">
        <f>IF('[1]All Data '!BF2818="","",'[1]All Data '!BF2818)</f>
        <v/>
      </c>
      <c r="N2813" s="5" t="str">
        <f>IF('[1]All Data '!BB2818="","",'[1]All Data '!BC2818/'[1]All Data '!BH2818)</f>
        <v/>
      </c>
      <c r="O2813" s="5" t="str">
        <f t="shared" si="46"/>
        <v/>
      </c>
      <c r="P2813" s="5" t="str">
        <f>IF(M2813="","",$C$2*(1-L2813)*907.2/0.621371*N2813*[1]Transportation!$M$40)</f>
        <v/>
      </c>
      <c r="Q2813" s="5" t="str">
        <f>IF(L2813="","",IF([1]Inputs_Outputs!$B$5="Herbaceous",(LCA!$E$29*'[1]LOCH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3" s="5" t="str">
        <f>IF(M2813="","",$E$2*1000*'[1]LOCH Calc COE Calc'!$C$44)</f>
        <v/>
      </c>
      <c r="S2813" s="6" t="str">
        <f>IF(N2813="","",SUM(O2813:R2813)/('[1]LOCH Calc COE Calc'!$C$28))</f>
        <v/>
      </c>
      <c r="T2813" t="str">
        <f>IF(L2813="","",O2813/'[1]LOCH Calc COE Calc'!$C$28)</f>
        <v/>
      </c>
      <c r="U2813" t="str">
        <f>IF(L2813="","",P2813/'[1]LOCH Calc COE Calc'!$C$28)</f>
        <v/>
      </c>
      <c r="V2813" t="str">
        <f>IF(L2813="","",Q2813/'[1]LOCH Calc COE Calc'!$C$28)</f>
        <v/>
      </c>
      <c r="W2813" t="str">
        <f>IF(L2813="","",R2813/'[1]LOCH Calc COE Calc'!$C$28)</f>
        <v/>
      </c>
    </row>
    <row r="2814" spans="12:23" x14ac:dyDescent="0.25">
      <c r="L2814" s="4" t="str">
        <f>IF('[1]All Data '!BE2819="","",'[1]All Data '!BE2819)</f>
        <v/>
      </c>
      <c r="M2814" t="str">
        <f>IF('[1]All Data '!BF2819="","",'[1]All Data '!BF2819)</f>
        <v/>
      </c>
      <c r="N2814" s="5" t="str">
        <f>IF('[1]All Data '!BB2819="","",'[1]All Data '!BC2819/'[1]All Data '!BH2819)</f>
        <v/>
      </c>
      <c r="O2814" s="5" t="str">
        <f t="shared" si="46"/>
        <v/>
      </c>
      <c r="P2814" s="5" t="str">
        <f>IF(M2814="","",$C$2*(1-L2814)*907.2/0.621371*N2814*[1]Transportation!$M$40)</f>
        <v/>
      </c>
      <c r="Q2814" s="5" t="str">
        <f>IF(L2814="","",IF([1]Inputs_Outputs!$B$5="Herbaceous",(LCA!$E$29*'[1]LOCH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4" s="5" t="str">
        <f>IF(M2814="","",$E$2*1000*'[1]LOCH Calc COE Calc'!$C$44)</f>
        <v/>
      </c>
      <c r="S2814" s="6" t="str">
        <f>IF(N2814="","",SUM(O2814:R2814)/('[1]LOCH Calc COE Calc'!$C$28))</f>
        <v/>
      </c>
      <c r="T2814" t="str">
        <f>IF(L2814="","",O2814/'[1]LOCH Calc COE Calc'!$C$28)</f>
        <v/>
      </c>
      <c r="U2814" t="str">
        <f>IF(L2814="","",P2814/'[1]LOCH Calc COE Calc'!$C$28)</f>
        <v/>
      </c>
      <c r="V2814" t="str">
        <f>IF(L2814="","",Q2814/'[1]LOCH Calc COE Calc'!$C$28)</f>
        <v/>
      </c>
      <c r="W2814" t="str">
        <f>IF(L2814="","",R2814/'[1]LOCH Calc COE Calc'!$C$28)</f>
        <v/>
      </c>
    </row>
    <row r="2815" spans="12:23" x14ac:dyDescent="0.25">
      <c r="L2815" s="4" t="str">
        <f>IF('[1]All Data '!BE2820="","",'[1]All Data '!BE2820)</f>
        <v/>
      </c>
      <c r="M2815" t="str">
        <f>IF('[1]All Data '!BF2820="","",'[1]All Data '!BF2820)</f>
        <v/>
      </c>
      <c r="N2815" s="5" t="str">
        <f>IF('[1]All Data '!BB2820="","",'[1]All Data '!BC2820/'[1]All Data '!BH2820)</f>
        <v/>
      </c>
      <c r="O2815" s="5" t="str">
        <f t="shared" si="46"/>
        <v/>
      </c>
      <c r="P2815" s="5" t="str">
        <f>IF(M2815="","",$C$2*(1-L2815)*907.2/0.621371*N2815*[1]Transportation!$M$40)</f>
        <v/>
      </c>
      <c r="Q2815" s="5" t="str">
        <f>IF(L2815="","",IF([1]Inputs_Outputs!$B$5="Herbaceous",(LCA!$E$29*'[1]LOCH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5" s="5" t="str">
        <f>IF(M2815="","",$E$2*1000*'[1]LOCH Calc COE Calc'!$C$44)</f>
        <v/>
      </c>
      <c r="S2815" s="6" t="str">
        <f>IF(N2815="","",SUM(O2815:R2815)/('[1]LOCH Calc COE Calc'!$C$28))</f>
        <v/>
      </c>
      <c r="T2815" t="str">
        <f>IF(L2815="","",O2815/'[1]LOCH Calc COE Calc'!$C$28)</f>
        <v/>
      </c>
      <c r="U2815" t="str">
        <f>IF(L2815="","",P2815/'[1]LOCH Calc COE Calc'!$C$28)</f>
        <v/>
      </c>
      <c r="V2815" t="str">
        <f>IF(L2815="","",Q2815/'[1]LOCH Calc COE Calc'!$C$28)</f>
        <v/>
      </c>
      <c r="W2815" t="str">
        <f>IF(L2815="","",R2815/'[1]LOCH Calc COE Calc'!$C$28)</f>
        <v/>
      </c>
    </row>
    <row r="2816" spans="12:23" x14ac:dyDescent="0.25">
      <c r="L2816" s="4" t="str">
        <f>IF('[1]All Data '!BE2821="","",'[1]All Data '!BE2821)</f>
        <v/>
      </c>
      <c r="M2816" t="str">
        <f>IF('[1]All Data '!BF2821="","",'[1]All Data '!BF2821)</f>
        <v/>
      </c>
      <c r="N2816" s="5" t="str">
        <f>IF('[1]All Data '!BB2821="","",'[1]All Data '!BC2821/'[1]All Data '!BH2821)</f>
        <v/>
      </c>
      <c r="O2816" s="5" t="str">
        <f t="shared" si="46"/>
        <v/>
      </c>
      <c r="P2816" s="5" t="str">
        <f>IF(M2816="","",$C$2*(1-L2816)*907.2/0.621371*N2816*[1]Transportation!$M$40)</f>
        <v/>
      </c>
      <c r="Q2816" s="5" t="str">
        <f>IF(L2816="","",IF([1]Inputs_Outputs!$B$5="Herbaceous",(LCA!$E$29*'[1]LOCH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6" s="5" t="str">
        <f>IF(M2816="","",$E$2*1000*'[1]LOCH Calc COE Calc'!$C$44)</f>
        <v/>
      </c>
      <c r="S2816" s="6" t="str">
        <f>IF(N2816="","",SUM(O2816:R2816)/('[1]LOCH Calc COE Calc'!$C$28))</f>
        <v/>
      </c>
      <c r="T2816" t="str">
        <f>IF(L2816="","",O2816/'[1]LOCH Calc COE Calc'!$C$28)</f>
        <v/>
      </c>
      <c r="U2816" t="str">
        <f>IF(L2816="","",P2816/'[1]LOCH Calc COE Calc'!$C$28)</f>
        <v/>
      </c>
      <c r="V2816" t="str">
        <f>IF(L2816="","",Q2816/'[1]LOCH Calc COE Calc'!$C$28)</f>
        <v/>
      </c>
      <c r="W2816" t="str">
        <f>IF(L2816="","",R2816/'[1]LOCH Calc COE Calc'!$C$28)</f>
        <v/>
      </c>
    </row>
    <row r="2817" spans="12:23" x14ac:dyDescent="0.25">
      <c r="L2817" s="4" t="str">
        <f>IF('[1]All Data '!BE2822="","",'[1]All Data '!BE2822)</f>
        <v/>
      </c>
      <c r="M2817" t="str">
        <f>IF('[1]All Data '!BF2822="","",'[1]All Data '!BF2822)</f>
        <v/>
      </c>
      <c r="N2817" s="5" t="str">
        <f>IF('[1]All Data '!BB2822="","",'[1]All Data '!BC2822/'[1]All Data '!BH2822)</f>
        <v/>
      </c>
      <c r="O2817" s="5" t="str">
        <f t="shared" si="46"/>
        <v/>
      </c>
      <c r="P2817" s="5" t="str">
        <f>IF(M2817="","",$C$2*(1-L2817)*907.2/0.621371*N2817*[1]Transportation!$M$40)</f>
        <v/>
      </c>
      <c r="Q2817" s="5" t="str">
        <f>IF(L2817="","",IF([1]Inputs_Outputs!$B$5="Herbaceous",(LCA!$E$29*'[1]LOCH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7" s="5" t="str">
        <f>IF(M2817="","",$E$2*1000*'[1]LOCH Calc COE Calc'!$C$44)</f>
        <v/>
      </c>
      <c r="S2817" s="6" t="str">
        <f>IF(N2817="","",SUM(O2817:R2817)/('[1]LOCH Calc COE Calc'!$C$28))</f>
        <v/>
      </c>
      <c r="T2817" t="str">
        <f>IF(L2817="","",O2817/'[1]LOCH Calc COE Calc'!$C$28)</f>
        <v/>
      </c>
      <c r="U2817" t="str">
        <f>IF(L2817="","",P2817/'[1]LOCH Calc COE Calc'!$C$28)</f>
        <v/>
      </c>
      <c r="V2817" t="str">
        <f>IF(L2817="","",Q2817/'[1]LOCH Calc COE Calc'!$C$28)</f>
        <v/>
      </c>
      <c r="W2817" t="str">
        <f>IF(L2817="","",R2817/'[1]LOCH Calc COE Calc'!$C$28)</f>
        <v/>
      </c>
    </row>
    <row r="2818" spans="12:23" x14ac:dyDescent="0.25">
      <c r="L2818" s="4" t="str">
        <f>IF('[1]All Data '!BE2823="","",'[1]All Data '!BE2823)</f>
        <v/>
      </c>
      <c r="M2818" t="str">
        <f>IF('[1]All Data '!BF2823="","",'[1]All Data '!BF2823)</f>
        <v/>
      </c>
      <c r="N2818" s="5" t="str">
        <f>IF('[1]All Data '!BB2823="","",'[1]All Data '!BC2823/'[1]All Data '!BH2823)</f>
        <v/>
      </c>
      <c r="O2818" s="5" t="str">
        <f t="shared" si="46"/>
        <v/>
      </c>
      <c r="P2818" s="5" t="str">
        <f>IF(M2818="","",$C$2*(1-L2818)*907.2/0.621371*N2818*[1]Transportation!$M$40)</f>
        <v/>
      </c>
      <c r="Q2818" s="5" t="str">
        <f>IF(L2818="","",IF([1]Inputs_Outputs!$B$5="Herbaceous",(LCA!$E$29*'[1]LOCH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8" s="5" t="str">
        <f>IF(M2818="","",$E$2*1000*'[1]LOCH Calc COE Calc'!$C$44)</f>
        <v/>
      </c>
      <c r="S2818" s="6" t="str">
        <f>IF(N2818="","",SUM(O2818:R2818)/('[1]LOCH Calc COE Calc'!$C$28))</f>
        <v/>
      </c>
      <c r="T2818" t="str">
        <f>IF(L2818="","",O2818/'[1]LOCH Calc COE Calc'!$C$28)</f>
        <v/>
      </c>
      <c r="U2818" t="str">
        <f>IF(L2818="","",P2818/'[1]LOCH Calc COE Calc'!$C$28)</f>
        <v/>
      </c>
      <c r="V2818" t="str">
        <f>IF(L2818="","",Q2818/'[1]LOCH Calc COE Calc'!$C$28)</f>
        <v/>
      </c>
      <c r="W2818" t="str">
        <f>IF(L2818="","",R2818/'[1]LOCH Calc COE Calc'!$C$28)</f>
        <v/>
      </c>
    </row>
    <row r="2819" spans="12:23" x14ac:dyDescent="0.25">
      <c r="L2819" s="4" t="str">
        <f>IF('[1]All Data '!BE2824="","",'[1]All Data '!BE2824)</f>
        <v/>
      </c>
      <c r="M2819" t="str">
        <f>IF('[1]All Data '!BF2824="","",'[1]All Data '!BF2824)</f>
        <v/>
      </c>
      <c r="N2819" s="5" t="str">
        <f>IF('[1]All Data '!BB2824="","",'[1]All Data '!BC2824/'[1]All Data '!BH2824)</f>
        <v/>
      </c>
      <c r="O2819" s="5" t="str">
        <f t="shared" si="46"/>
        <v/>
      </c>
      <c r="P2819" s="5" t="str">
        <f>IF(M2819="","",$C$2*(1-L2819)*907.2/0.621371*N2819*[1]Transportation!$M$40)</f>
        <v/>
      </c>
      <c r="Q2819" s="5" t="str">
        <f>IF(L2819="","",IF([1]Inputs_Outputs!$B$5="Herbaceous",(LCA!$E$29*'[1]LOCH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19" s="5" t="str">
        <f>IF(M2819="","",$E$2*1000*'[1]LOCH Calc COE Calc'!$C$44)</f>
        <v/>
      </c>
      <c r="S2819" s="6" t="str">
        <f>IF(N2819="","",SUM(O2819:R2819)/('[1]LOCH Calc COE Calc'!$C$28))</f>
        <v/>
      </c>
      <c r="T2819" t="str">
        <f>IF(L2819="","",O2819/'[1]LOCH Calc COE Calc'!$C$28)</f>
        <v/>
      </c>
      <c r="U2819" t="str">
        <f>IF(L2819="","",P2819/'[1]LOCH Calc COE Calc'!$C$28)</f>
        <v/>
      </c>
      <c r="V2819" t="str">
        <f>IF(L2819="","",Q2819/'[1]LOCH Calc COE Calc'!$C$28)</f>
        <v/>
      </c>
      <c r="W2819" t="str">
        <f>IF(L2819="","",R2819/'[1]LOCH Calc COE Calc'!$C$28)</f>
        <v/>
      </c>
    </row>
    <row r="2820" spans="12:23" x14ac:dyDescent="0.25">
      <c r="L2820" s="4" t="str">
        <f>IF('[1]All Data '!BE2825="","",'[1]All Data '!BE2825)</f>
        <v/>
      </c>
      <c r="M2820" t="str">
        <f>IF('[1]All Data '!BF2825="","",'[1]All Data '!BF2825)</f>
        <v/>
      </c>
      <c r="N2820" s="5" t="str">
        <f>IF('[1]All Data '!BB2825="","",'[1]All Data '!BC2825/'[1]All Data '!BH2825)</f>
        <v/>
      </c>
      <c r="O2820" s="5" t="str">
        <f t="shared" si="46"/>
        <v/>
      </c>
      <c r="P2820" s="5" t="str">
        <f>IF(M2820="","",$C$2*(1-L2820)*907.2/0.621371*N2820*[1]Transportation!$M$40)</f>
        <v/>
      </c>
      <c r="Q2820" s="5" t="str">
        <f>IF(L2820="","",IF([1]Inputs_Outputs!$B$5="Herbaceous",(LCA!$E$29*'[1]LOCH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0" s="5" t="str">
        <f>IF(M2820="","",$E$2*1000*'[1]LOCH Calc COE Calc'!$C$44)</f>
        <v/>
      </c>
      <c r="S2820" s="6" t="str">
        <f>IF(N2820="","",SUM(O2820:R2820)/('[1]LOCH Calc COE Calc'!$C$28))</f>
        <v/>
      </c>
      <c r="T2820" t="str">
        <f>IF(L2820="","",O2820/'[1]LOCH Calc COE Calc'!$C$28)</f>
        <v/>
      </c>
      <c r="U2820" t="str">
        <f>IF(L2820="","",P2820/'[1]LOCH Calc COE Calc'!$C$28)</f>
        <v/>
      </c>
      <c r="V2820" t="str">
        <f>IF(L2820="","",Q2820/'[1]LOCH Calc COE Calc'!$C$28)</f>
        <v/>
      </c>
      <c r="W2820" t="str">
        <f>IF(L2820="","",R2820/'[1]LOCH Calc COE Calc'!$C$28)</f>
        <v/>
      </c>
    </row>
    <row r="2821" spans="12:23" x14ac:dyDescent="0.25">
      <c r="L2821" s="4" t="str">
        <f>IF('[1]All Data '!BE2826="","",'[1]All Data '!BE2826)</f>
        <v/>
      </c>
      <c r="M2821" t="str">
        <f>IF('[1]All Data '!BF2826="","",'[1]All Data '!BF2826)</f>
        <v/>
      </c>
      <c r="N2821" s="5" t="str">
        <f>IF('[1]All Data '!BB2826="","",'[1]All Data '!BC2826/'[1]All Data '!BH2826)</f>
        <v/>
      </c>
      <c r="O2821" s="5" t="str">
        <f t="shared" si="46"/>
        <v/>
      </c>
      <c r="P2821" s="5" t="str">
        <f>IF(M2821="","",$C$2*(1-L2821)*907.2/0.621371*N2821*[1]Transportation!$M$40)</f>
        <v/>
      </c>
      <c r="Q2821" s="5" t="str">
        <f>IF(L2821="","",IF([1]Inputs_Outputs!$B$5="Herbaceous",(LCA!$E$29*'[1]LOCH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1" s="5" t="str">
        <f>IF(M2821="","",$E$2*1000*'[1]LOCH Calc COE Calc'!$C$44)</f>
        <v/>
      </c>
      <c r="S2821" s="6" t="str">
        <f>IF(N2821="","",SUM(O2821:R2821)/('[1]LOCH Calc COE Calc'!$C$28))</f>
        <v/>
      </c>
      <c r="T2821" t="str">
        <f>IF(L2821="","",O2821/'[1]LOCH Calc COE Calc'!$C$28)</f>
        <v/>
      </c>
      <c r="U2821" t="str">
        <f>IF(L2821="","",P2821/'[1]LOCH Calc COE Calc'!$C$28)</f>
        <v/>
      </c>
      <c r="V2821" t="str">
        <f>IF(L2821="","",Q2821/'[1]LOCH Calc COE Calc'!$C$28)</f>
        <v/>
      </c>
      <c r="W2821" t="str">
        <f>IF(L2821="","",R2821/'[1]LOCH Calc COE Calc'!$C$28)</f>
        <v/>
      </c>
    </row>
    <row r="2822" spans="12:23" x14ac:dyDescent="0.25">
      <c r="L2822" s="4" t="str">
        <f>IF('[1]All Data '!BE2827="","",'[1]All Data '!BE2827)</f>
        <v/>
      </c>
      <c r="M2822" t="str">
        <f>IF('[1]All Data '!BF2827="","",'[1]All Data '!BF2827)</f>
        <v/>
      </c>
      <c r="N2822" s="5" t="str">
        <f>IF('[1]All Data '!BB2827="","",'[1]All Data '!BC2827/'[1]All Data '!BH2827)</f>
        <v/>
      </c>
      <c r="O2822" s="5" t="str">
        <f t="shared" si="46"/>
        <v/>
      </c>
      <c r="P2822" s="5" t="str">
        <f>IF(M2822="","",$C$2*(1-L2822)*907.2/0.621371*N2822*[1]Transportation!$M$40)</f>
        <v/>
      </c>
      <c r="Q2822" s="5" t="str">
        <f>IF(L2822="","",IF([1]Inputs_Outputs!$B$5="Herbaceous",(LCA!$E$29*'[1]LOCH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2" s="5" t="str">
        <f>IF(M2822="","",$E$2*1000*'[1]LOCH Calc COE Calc'!$C$44)</f>
        <v/>
      </c>
      <c r="S2822" s="6" t="str">
        <f>IF(N2822="","",SUM(O2822:R2822)/('[1]LOCH Calc COE Calc'!$C$28))</f>
        <v/>
      </c>
      <c r="T2822" t="str">
        <f>IF(L2822="","",O2822/'[1]LOCH Calc COE Calc'!$C$28)</f>
        <v/>
      </c>
      <c r="U2822" t="str">
        <f>IF(L2822="","",P2822/'[1]LOCH Calc COE Calc'!$C$28)</f>
        <v/>
      </c>
      <c r="V2822" t="str">
        <f>IF(L2822="","",Q2822/'[1]LOCH Calc COE Calc'!$C$28)</f>
        <v/>
      </c>
      <c r="W2822" t="str">
        <f>IF(L2822="","",R2822/'[1]LOCH Calc COE Calc'!$C$28)</f>
        <v/>
      </c>
    </row>
    <row r="2823" spans="12:23" x14ac:dyDescent="0.25">
      <c r="L2823" s="4" t="str">
        <f>IF('[1]All Data '!BE2828="","",'[1]All Data '!BE2828)</f>
        <v/>
      </c>
      <c r="M2823" t="str">
        <f>IF('[1]All Data '!BF2828="","",'[1]All Data '!BF2828)</f>
        <v/>
      </c>
      <c r="N2823" s="5" t="str">
        <f>IF('[1]All Data '!BB2828="","",'[1]All Data '!BC2828/'[1]All Data '!BH2828)</f>
        <v/>
      </c>
      <c r="O2823" s="5" t="str">
        <f t="shared" si="46"/>
        <v/>
      </c>
      <c r="P2823" s="5" t="str">
        <f>IF(M2823="","",$C$2*(1-L2823)*907.2/0.621371*N2823*[1]Transportation!$M$40)</f>
        <v/>
      </c>
      <c r="Q2823" s="5" t="str">
        <f>IF(L2823="","",IF([1]Inputs_Outputs!$B$5="Herbaceous",(LCA!$E$29*'[1]LOCH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3" s="5" t="str">
        <f>IF(M2823="","",$E$2*1000*'[1]LOCH Calc COE Calc'!$C$44)</f>
        <v/>
      </c>
      <c r="S2823" s="6" t="str">
        <f>IF(N2823="","",SUM(O2823:R2823)/('[1]LOCH Calc COE Calc'!$C$28))</f>
        <v/>
      </c>
      <c r="T2823" t="str">
        <f>IF(L2823="","",O2823/'[1]LOCH Calc COE Calc'!$C$28)</f>
        <v/>
      </c>
      <c r="U2823" t="str">
        <f>IF(L2823="","",P2823/'[1]LOCH Calc COE Calc'!$C$28)</f>
        <v/>
      </c>
      <c r="V2823" t="str">
        <f>IF(L2823="","",Q2823/'[1]LOCH Calc COE Calc'!$C$28)</f>
        <v/>
      </c>
      <c r="W2823" t="str">
        <f>IF(L2823="","",R2823/'[1]LOCH Calc COE Calc'!$C$28)</f>
        <v/>
      </c>
    </row>
    <row r="2824" spans="12:23" x14ac:dyDescent="0.25">
      <c r="L2824" s="4" t="str">
        <f>IF('[1]All Data '!BE2829="","",'[1]All Data '!BE2829)</f>
        <v/>
      </c>
      <c r="M2824" t="str">
        <f>IF('[1]All Data '!BF2829="","",'[1]All Data '!BF2829)</f>
        <v/>
      </c>
      <c r="N2824" s="5" t="str">
        <f>IF('[1]All Data '!BB2829="","",'[1]All Data '!BC2829/'[1]All Data '!BH2829)</f>
        <v/>
      </c>
      <c r="O2824" s="5" t="str">
        <f t="shared" si="46"/>
        <v/>
      </c>
      <c r="P2824" s="5" t="str">
        <f>IF(M2824="","",$C$2*(1-L2824)*907.2/0.621371*N2824*[1]Transportation!$M$40)</f>
        <v/>
      </c>
      <c r="Q2824" s="5" t="str">
        <f>IF(L2824="","",IF([1]Inputs_Outputs!$B$5="Herbaceous",(LCA!$E$29*'[1]LOCH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4" s="5" t="str">
        <f>IF(M2824="","",$E$2*1000*'[1]LOCH Calc COE Calc'!$C$44)</f>
        <v/>
      </c>
      <c r="S2824" s="6" t="str">
        <f>IF(N2824="","",SUM(O2824:R2824)/('[1]LOCH Calc COE Calc'!$C$28))</f>
        <v/>
      </c>
      <c r="T2824" t="str">
        <f>IF(L2824="","",O2824/'[1]LOCH Calc COE Calc'!$C$28)</f>
        <v/>
      </c>
      <c r="U2824" t="str">
        <f>IF(L2824="","",P2824/'[1]LOCH Calc COE Calc'!$C$28)</f>
        <v/>
      </c>
      <c r="V2824" t="str">
        <f>IF(L2824="","",Q2824/'[1]LOCH Calc COE Calc'!$C$28)</f>
        <v/>
      </c>
      <c r="W2824" t="str">
        <f>IF(L2824="","",R2824/'[1]LOCH Calc COE Calc'!$C$28)</f>
        <v/>
      </c>
    </row>
    <row r="2825" spans="12:23" x14ac:dyDescent="0.25">
      <c r="L2825" s="4" t="str">
        <f>IF('[1]All Data '!BE2830="","",'[1]All Data '!BE2830)</f>
        <v/>
      </c>
      <c r="M2825" t="str">
        <f>IF('[1]All Data '!BF2830="","",'[1]All Data '!BF2830)</f>
        <v/>
      </c>
      <c r="N2825" s="5" t="str">
        <f>IF('[1]All Data '!BB2830="","",'[1]All Data '!BC2830/'[1]All Data '!BH2830)</f>
        <v/>
      </c>
      <c r="O2825" s="5" t="str">
        <f t="shared" si="46"/>
        <v/>
      </c>
      <c r="P2825" s="5" t="str">
        <f>IF(M2825="","",$C$2*(1-L2825)*907.2/0.621371*N2825*[1]Transportation!$M$40)</f>
        <v/>
      </c>
      <c r="Q2825" s="5" t="str">
        <f>IF(L2825="","",IF([1]Inputs_Outputs!$B$5="Herbaceous",(LCA!$E$29*'[1]LOCH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5" s="5" t="str">
        <f>IF(M2825="","",$E$2*1000*'[1]LOCH Calc COE Calc'!$C$44)</f>
        <v/>
      </c>
      <c r="S2825" s="6" t="str">
        <f>IF(N2825="","",SUM(O2825:R2825)/('[1]LOCH Calc COE Calc'!$C$28))</f>
        <v/>
      </c>
      <c r="T2825" t="str">
        <f>IF(L2825="","",O2825/'[1]LOCH Calc COE Calc'!$C$28)</f>
        <v/>
      </c>
      <c r="U2825" t="str">
        <f>IF(L2825="","",P2825/'[1]LOCH Calc COE Calc'!$C$28)</f>
        <v/>
      </c>
      <c r="V2825" t="str">
        <f>IF(L2825="","",Q2825/'[1]LOCH Calc COE Calc'!$C$28)</f>
        <v/>
      </c>
      <c r="W2825" t="str">
        <f>IF(L2825="","",R2825/'[1]LOCH Calc COE Calc'!$C$28)</f>
        <v/>
      </c>
    </row>
    <row r="2826" spans="12:23" x14ac:dyDescent="0.25">
      <c r="L2826" s="4" t="str">
        <f>IF('[1]All Data '!BE2831="","",'[1]All Data '!BE2831)</f>
        <v/>
      </c>
      <c r="M2826" t="str">
        <f>IF('[1]All Data '!BF2831="","",'[1]All Data '!BF2831)</f>
        <v/>
      </c>
      <c r="N2826" s="5" t="str">
        <f>IF('[1]All Data '!BB2831="","",'[1]All Data '!BC2831/'[1]All Data '!BH2831)</f>
        <v/>
      </c>
      <c r="O2826" s="5" t="str">
        <f t="shared" si="46"/>
        <v/>
      </c>
      <c r="P2826" s="5" t="str">
        <f>IF(M2826="","",$C$2*(1-L2826)*907.2/0.621371*N2826*[1]Transportation!$M$40)</f>
        <v/>
      </c>
      <c r="Q2826" s="5" t="str">
        <f>IF(L2826="","",IF([1]Inputs_Outputs!$B$5="Herbaceous",(LCA!$E$29*'[1]LOCH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6" s="5" t="str">
        <f>IF(M2826="","",$E$2*1000*'[1]LOCH Calc COE Calc'!$C$44)</f>
        <v/>
      </c>
      <c r="S2826" s="6" t="str">
        <f>IF(N2826="","",SUM(O2826:R2826)/('[1]LOCH Calc COE Calc'!$C$28))</f>
        <v/>
      </c>
      <c r="T2826" t="str">
        <f>IF(L2826="","",O2826/'[1]LOCH Calc COE Calc'!$C$28)</f>
        <v/>
      </c>
      <c r="U2826" t="str">
        <f>IF(L2826="","",P2826/'[1]LOCH Calc COE Calc'!$C$28)</f>
        <v/>
      </c>
      <c r="V2826" t="str">
        <f>IF(L2826="","",Q2826/'[1]LOCH Calc COE Calc'!$C$28)</f>
        <v/>
      </c>
      <c r="W2826" t="str">
        <f>IF(L2826="","",R2826/'[1]LOCH Calc COE Calc'!$C$28)</f>
        <v/>
      </c>
    </row>
    <row r="2827" spans="12:23" x14ac:dyDescent="0.25">
      <c r="L2827" s="4" t="str">
        <f>IF('[1]All Data '!BE2832="","",'[1]All Data '!BE2832)</f>
        <v/>
      </c>
      <c r="M2827" t="str">
        <f>IF('[1]All Data '!BF2832="","",'[1]All Data '!BF2832)</f>
        <v/>
      </c>
      <c r="N2827" s="5" t="str">
        <f>IF('[1]All Data '!BB2832="","",'[1]All Data '!BC2832/'[1]All Data '!BH2832)</f>
        <v/>
      </c>
      <c r="O2827" s="5" t="str">
        <f t="shared" si="46"/>
        <v/>
      </c>
      <c r="P2827" s="5" t="str">
        <f>IF(M2827="","",$C$2*(1-L2827)*907.2/0.621371*N2827*[1]Transportation!$M$40)</f>
        <v/>
      </c>
      <c r="Q2827" s="5" t="str">
        <f>IF(L2827="","",IF([1]Inputs_Outputs!$B$5="Herbaceous",(LCA!$E$29*'[1]LOCH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7" s="5" t="str">
        <f>IF(M2827="","",$E$2*1000*'[1]LOCH Calc COE Calc'!$C$44)</f>
        <v/>
      </c>
      <c r="S2827" s="6" t="str">
        <f>IF(N2827="","",SUM(O2827:R2827)/('[1]LOCH Calc COE Calc'!$C$28))</f>
        <v/>
      </c>
      <c r="T2827" t="str">
        <f>IF(L2827="","",O2827/'[1]LOCH Calc COE Calc'!$C$28)</f>
        <v/>
      </c>
      <c r="U2827" t="str">
        <f>IF(L2827="","",P2827/'[1]LOCH Calc COE Calc'!$C$28)</f>
        <v/>
      </c>
      <c r="V2827" t="str">
        <f>IF(L2827="","",Q2827/'[1]LOCH Calc COE Calc'!$C$28)</f>
        <v/>
      </c>
      <c r="W2827" t="str">
        <f>IF(L2827="","",R2827/'[1]LOCH Calc COE Calc'!$C$28)</f>
        <v/>
      </c>
    </row>
    <row r="2828" spans="12:23" x14ac:dyDescent="0.25">
      <c r="L2828" s="4" t="str">
        <f>IF('[1]All Data '!BE2833="","",'[1]All Data '!BE2833)</f>
        <v/>
      </c>
      <c r="M2828" t="str">
        <f>IF('[1]All Data '!BF2833="","",'[1]All Data '!BF2833)</f>
        <v/>
      </c>
      <c r="N2828" s="5" t="str">
        <f>IF('[1]All Data '!BB2833="","",'[1]All Data '!BC2833/'[1]All Data '!BH2833)</f>
        <v/>
      </c>
      <c r="O2828" s="5" t="str">
        <f t="shared" si="46"/>
        <v/>
      </c>
      <c r="P2828" s="5" t="str">
        <f>IF(M2828="","",$C$2*(1-L2828)*907.2/0.621371*N2828*[1]Transportation!$M$40)</f>
        <v/>
      </c>
      <c r="Q2828" s="5" t="str">
        <f>IF(L2828="","",IF([1]Inputs_Outputs!$B$5="Herbaceous",(LCA!$E$29*'[1]LOCH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8" s="5" t="str">
        <f>IF(M2828="","",$E$2*1000*'[1]LOCH Calc COE Calc'!$C$44)</f>
        <v/>
      </c>
      <c r="S2828" s="6" t="str">
        <f>IF(N2828="","",SUM(O2828:R2828)/('[1]LOCH Calc COE Calc'!$C$28))</f>
        <v/>
      </c>
      <c r="T2828" t="str">
        <f>IF(L2828="","",O2828/'[1]LOCH Calc COE Calc'!$C$28)</f>
        <v/>
      </c>
      <c r="U2828" t="str">
        <f>IF(L2828="","",P2828/'[1]LOCH Calc COE Calc'!$C$28)</f>
        <v/>
      </c>
      <c r="V2828" t="str">
        <f>IF(L2828="","",Q2828/'[1]LOCH Calc COE Calc'!$C$28)</f>
        <v/>
      </c>
      <c r="W2828" t="str">
        <f>IF(L2828="","",R2828/'[1]LOCH Calc COE Calc'!$C$28)</f>
        <v/>
      </c>
    </row>
    <row r="2829" spans="12:23" x14ac:dyDescent="0.25">
      <c r="L2829" s="4" t="str">
        <f>IF('[1]All Data '!BE2834="","",'[1]All Data '!BE2834)</f>
        <v/>
      </c>
      <c r="M2829" t="str">
        <f>IF('[1]All Data '!BF2834="","",'[1]All Data '!BF2834)</f>
        <v/>
      </c>
      <c r="N2829" s="5" t="str">
        <f>IF('[1]All Data '!BB2834="","",'[1]All Data '!BC2834/'[1]All Data '!BH2834)</f>
        <v/>
      </c>
      <c r="O2829" s="5" t="str">
        <f t="shared" si="46"/>
        <v/>
      </c>
      <c r="P2829" s="5" t="str">
        <f>IF(M2829="","",$C$2*(1-L2829)*907.2/0.621371*N2829*[1]Transportation!$M$40)</f>
        <v/>
      </c>
      <c r="Q2829" s="5" t="str">
        <f>IF(L2829="","",IF([1]Inputs_Outputs!$B$5="Herbaceous",(LCA!$E$29*'[1]LOCH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29" s="5" t="str">
        <f>IF(M2829="","",$E$2*1000*'[1]LOCH Calc COE Calc'!$C$44)</f>
        <v/>
      </c>
      <c r="S2829" s="6" t="str">
        <f>IF(N2829="","",SUM(O2829:R2829)/('[1]LOCH Calc COE Calc'!$C$28))</f>
        <v/>
      </c>
      <c r="T2829" t="str">
        <f>IF(L2829="","",O2829/'[1]LOCH Calc COE Calc'!$C$28)</f>
        <v/>
      </c>
      <c r="U2829" t="str">
        <f>IF(L2829="","",P2829/'[1]LOCH Calc COE Calc'!$C$28)</f>
        <v/>
      </c>
      <c r="V2829" t="str">
        <f>IF(L2829="","",Q2829/'[1]LOCH Calc COE Calc'!$C$28)</f>
        <v/>
      </c>
      <c r="W2829" t="str">
        <f>IF(L2829="","",R2829/'[1]LOCH Calc COE Calc'!$C$28)</f>
        <v/>
      </c>
    </row>
    <row r="2830" spans="12:23" x14ac:dyDescent="0.25">
      <c r="L2830" s="4" t="str">
        <f>IF('[1]All Data '!BE2835="","",'[1]All Data '!BE2835)</f>
        <v/>
      </c>
      <c r="M2830" t="str">
        <f>IF('[1]All Data '!BF2835="","",'[1]All Data '!BF2835)</f>
        <v/>
      </c>
      <c r="N2830" s="5" t="str">
        <f>IF('[1]All Data '!BB2835="","",'[1]All Data '!BC2835/'[1]All Data '!BH2835)</f>
        <v/>
      </c>
      <c r="O2830" s="5" t="str">
        <f t="shared" si="46"/>
        <v/>
      </c>
      <c r="P2830" s="5" t="str">
        <f>IF(M2830="","",$C$2*(1-L2830)*907.2/0.621371*N2830*[1]Transportation!$M$40)</f>
        <v/>
      </c>
      <c r="Q2830" s="5" t="str">
        <f>IF(L2830="","",IF([1]Inputs_Outputs!$B$5="Herbaceous",(LCA!$E$29*'[1]LOCH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0" s="5" t="str">
        <f>IF(M2830="","",$E$2*1000*'[1]LOCH Calc COE Calc'!$C$44)</f>
        <v/>
      </c>
      <c r="S2830" s="6" t="str">
        <f>IF(N2830="","",SUM(O2830:R2830)/('[1]LOCH Calc COE Calc'!$C$28))</f>
        <v/>
      </c>
      <c r="T2830" t="str">
        <f>IF(L2830="","",O2830/'[1]LOCH Calc COE Calc'!$C$28)</f>
        <v/>
      </c>
      <c r="U2830" t="str">
        <f>IF(L2830="","",P2830/'[1]LOCH Calc COE Calc'!$C$28)</f>
        <v/>
      </c>
      <c r="V2830" t="str">
        <f>IF(L2830="","",Q2830/'[1]LOCH Calc COE Calc'!$C$28)</f>
        <v/>
      </c>
      <c r="W2830" t="str">
        <f>IF(L2830="","",R2830/'[1]LOCH Calc COE Calc'!$C$28)</f>
        <v/>
      </c>
    </row>
    <row r="2831" spans="12:23" x14ac:dyDescent="0.25">
      <c r="L2831" s="4" t="str">
        <f>IF('[1]All Data '!BE2836="","",'[1]All Data '!BE2836)</f>
        <v/>
      </c>
      <c r="M2831" t="str">
        <f>IF('[1]All Data '!BF2836="","",'[1]All Data '!BF2836)</f>
        <v/>
      </c>
      <c r="N2831" s="5" t="str">
        <f>IF('[1]All Data '!BB2836="","",'[1]All Data '!BC2836/'[1]All Data '!BH2836)</f>
        <v/>
      </c>
      <c r="O2831" s="5" t="str">
        <f t="shared" si="46"/>
        <v/>
      </c>
      <c r="P2831" s="5" t="str">
        <f>IF(M2831="","",$C$2*(1-L2831)*907.2/0.621371*N2831*[1]Transportation!$M$40)</f>
        <v/>
      </c>
      <c r="Q2831" s="5" t="str">
        <f>IF(L2831="","",IF([1]Inputs_Outputs!$B$5="Herbaceous",(LCA!$E$29*'[1]LOCH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1" s="5" t="str">
        <f>IF(M2831="","",$E$2*1000*'[1]LOCH Calc COE Calc'!$C$44)</f>
        <v/>
      </c>
      <c r="S2831" s="6" t="str">
        <f>IF(N2831="","",SUM(O2831:R2831)/('[1]LOCH Calc COE Calc'!$C$28))</f>
        <v/>
      </c>
      <c r="T2831" t="str">
        <f>IF(L2831="","",O2831/'[1]LOCH Calc COE Calc'!$C$28)</f>
        <v/>
      </c>
      <c r="U2831" t="str">
        <f>IF(L2831="","",P2831/'[1]LOCH Calc COE Calc'!$C$28)</f>
        <v/>
      </c>
      <c r="V2831" t="str">
        <f>IF(L2831="","",Q2831/'[1]LOCH Calc COE Calc'!$C$28)</f>
        <v/>
      </c>
      <c r="W2831" t="str">
        <f>IF(L2831="","",R2831/'[1]LOCH Calc COE Calc'!$C$28)</f>
        <v/>
      </c>
    </row>
    <row r="2832" spans="12:23" x14ac:dyDescent="0.25">
      <c r="L2832" s="4" t="str">
        <f>IF('[1]All Data '!BE2837="","",'[1]All Data '!BE2837)</f>
        <v/>
      </c>
      <c r="M2832" t="str">
        <f>IF('[1]All Data '!BF2837="","",'[1]All Data '!BF2837)</f>
        <v/>
      </c>
      <c r="N2832" s="5" t="str">
        <f>IF('[1]All Data '!BB2837="","",'[1]All Data '!BC2837/'[1]All Data '!BH2837)</f>
        <v/>
      </c>
      <c r="O2832" s="5" t="str">
        <f t="shared" si="46"/>
        <v/>
      </c>
      <c r="P2832" s="5" t="str">
        <f>IF(M2832="","",$C$2*(1-L2832)*907.2/0.621371*N2832*[1]Transportation!$M$40)</f>
        <v/>
      </c>
      <c r="Q2832" s="5" t="str">
        <f>IF(L2832="","",IF([1]Inputs_Outputs!$B$5="Herbaceous",(LCA!$E$29*'[1]LOCH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2" s="5" t="str">
        <f>IF(M2832="","",$E$2*1000*'[1]LOCH Calc COE Calc'!$C$44)</f>
        <v/>
      </c>
      <c r="S2832" s="6" t="str">
        <f>IF(N2832="","",SUM(O2832:R2832)/('[1]LOCH Calc COE Calc'!$C$28))</f>
        <v/>
      </c>
      <c r="T2832" t="str">
        <f>IF(L2832="","",O2832/'[1]LOCH Calc COE Calc'!$C$28)</f>
        <v/>
      </c>
      <c r="U2832" t="str">
        <f>IF(L2832="","",P2832/'[1]LOCH Calc COE Calc'!$C$28)</f>
        <v/>
      </c>
      <c r="V2832" t="str">
        <f>IF(L2832="","",Q2832/'[1]LOCH Calc COE Calc'!$C$28)</f>
        <v/>
      </c>
      <c r="W2832" t="str">
        <f>IF(L2832="","",R2832/'[1]LOCH Calc COE Calc'!$C$28)</f>
        <v/>
      </c>
    </row>
    <row r="2833" spans="12:23" x14ac:dyDescent="0.25">
      <c r="L2833" s="4" t="str">
        <f>IF('[1]All Data '!BE2838="","",'[1]All Data '!BE2838)</f>
        <v/>
      </c>
      <c r="M2833" t="str">
        <f>IF('[1]All Data '!BF2838="","",'[1]All Data '!BF2838)</f>
        <v/>
      </c>
      <c r="N2833" s="5" t="str">
        <f>IF('[1]All Data '!BB2838="","",'[1]All Data '!BC2838/'[1]All Data '!BH2838)</f>
        <v/>
      </c>
      <c r="O2833" s="5" t="str">
        <f t="shared" si="46"/>
        <v/>
      </c>
      <c r="P2833" s="5" t="str">
        <f>IF(M2833="","",$C$2*(1-L2833)*907.2/0.621371*N2833*[1]Transportation!$M$40)</f>
        <v/>
      </c>
      <c r="Q2833" s="5" t="str">
        <f>IF(L2833="","",IF([1]Inputs_Outputs!$B$5="Herbaceous",(LCA!$E$29*'[1]LOCH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3" s="5" t="str">
        <f>IF(M2833="","",$E$2*1000*'[1]LOCH Calc COE Calc'!$C$44)</f>
        <v/>
      </c>
      <c r="S2833" s="6" t="str">
        <f>IF(N2833="","",SUM(O2833:R2833)/('[1]LOCH Calc COE Calc'!$C$28))</f>
        <v/>
      </c>
      <c r="T2833" t="str">
        <f>IF(L2833="","",O2833/'[1]LOCH Calc COE Calc'!$C$28)</f>
        <v/>
      </c>
      <c r="U2833" t="str">
        <f>IF(L2833="","",P2833/'[1]LOCH Calc COE Calc'!$C$28)</f>
        <v/>
      </c>
      <c r="V2833" t="str">
        <f>IF(L2833="","",Q2833/'[1]LOCH Calc COE Calc'!$C$28)</f>
        <v/>
      </c>
      <c r="W2833" t="str">
        <f>IF(L2833="","",R2833/'[1]LOCH Calc COE Calc'!$C$28)</f>
        <v/>
      </c>
    </row>
    <row r="2834" spans="12:23" x14ac:dyDescent="0.25">
      <c r="L2834" s="4" t="str">
        <f>IF('[1]All Data '!BE2839="","",'[1]All Data '!BE2839)</f>
        <v/>
      </c>
      <c r="M2834" t="str">
        <f>IF('[1]All Data '!BF2839="","",'[1]All Data '!BF2839)</f>
        <v/>
      </c>
      <c r="N2834" s="5" t="str">
        <f>IF('[1]All Data '!BB2839="","",'[1]All Data '!BC2839/'[1]All Data '!BH2839)</f>
        <v/>
      </c>
      <c r="O2834" s="5" t="str">
        <f t="shared" si="46"/>
        <v/>
      </c>
      <c r="P2834" s="5" t="str">
        <f>IF(M2834="","",$C$2*(1-L2834)*907.2/0.621371*N2834*[1]Transportation!$M$40)</f>
        <v/>
      </c>
      <c r="Q2834" s="5" t="str">
        <f>IF(L2834="","",IF([1]Inputs_Outputs!$B$5="Herbaceous",(LCA!$E$29*'[1]LOCH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4" s="5" t="str">
        <f>IF(M2834="","",$E$2*1000*'[1]LOCH Calc COE Calc'!$C$44)</f>
        <v/>
      </c>
      <c r="S2834" s="6" t="str">
        <f>IF(N2834="","",SUM(O2834:R2834)/('[1]LOCH Calc COE Calc'!$C$28))</f>
        <v/>
      </c>
      <c r="T2834" t="str">
        <f>IF(L2834="","",O2834/'[1]LOCH Calc COE Calc'!$C$28)</f>
        <v/>
      </c>
      <c r="U2834" t="str">
        <f>IF(L2834="","",P2834/'[1]LOCH Calc COE Calc'!$C$28)</f>
        <v/>
      </c>
      <c r="V2834" t="str">
        <f>IF(L2834="","",Q2834/'[1]LOCH Calc COE Calc'!$C$28)</f>
        <v/>
      </c>
      <c r="W2834" t="str">
        <f>IF(L2834="","",R2834/'[1]LOCH Calc COE Calc'!$C$28)</f>
        <v/>
      </c>
    </row>
    <row r="2835" spans="12:23" x14ac:dyDescent="0.25">
      <c r="L2835" s="4" t="str">
        <f>IF('[1]All Data '!BE2840="","",'[1]All Data '!BE2840)</f>
        <v/>
      </c>
      <c r="M2835" t="str">
        <f>IF('[1]All Data '!BF2840="","",'[1]All Data '!BF2840)</f>
        <v/>
      </c>
      <c r="N2835" s="5" t="str">
        <f>IF('[1]All Data '!BB2840="","",'[1]All Data '!BC2840/'[1]All Data '!BH2840)</f>
        <v/>
      </c>
      <c r="O2835" s="5" t="str">
        <f t="shared" si="46"/>
        <v/>
      </c>
      <c r="P2835" s="5" t="str">
        <f>IF(M2835="","",$C$2*(1-L2835)*907.2/0.621371*N2835*[1]Transportation!$M$40)</f>
        <v/>
      </c>
      <c r="Q2835" s="5" t="str">
        <f>IF(L2835="","",IF([1]Inputs_Outputs!$B$5="Herbaceous",(LCA!$E$29*'[1]LOCH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5" s="5" t="str">
        <f>IF(M2835="","",$E$2*1000*'[1]LOCH Calc COE Calc'!$C$44)</f>
        <v/>
      </c>
      <c r="S2835" s="6" t="str">
        <f>IF(N2835="","",SUM(O2835:R2835)/('[1]LOCH Calc COE Calc'!$C$28))</f>
        <v/>
      </c>
      <c r="T2835" t="str">
        <f>IF(L2835="","",O2835/'[1]LOCH Calc COE Calc'!$C$28)</f>
        <v/>
      </c>
      <c r="U2835" t="str">
        <f>IF(L2835="","",P2835/'[1]LOCH Calc COE Calc'!$C$28)</f>
        <v/>
      </c>
      <c r="V2835" t="str">
        <f>IF(L2835="","",Q2835/'[1]LOCH Calc COE Calc'!$C$28)</f>
        <v/>
      </c>
      <c r="W2835" t="str">
        <f>IF(L2835="","",R2835/'[1]LOCH Calc COE Calc'!$C$28)</f>
        <v/>
      </c>
    </row>
    <row r="2836" spans="12:23" x14ac:dyDescent="0.25">
      <c r="L2836" s="4" t="str">
        <f>IF('[1]All Data '!BE2841="","",'[1]All Data '!BE2841)</f>
        <v/>
      </c>
      <c r="M2836" t="str">
        <f>IF('[1]All Data '!BF2841="","",'[1]All Data '!BF2841)</f>
        <v/>
      </c>
      <c r="N2836" s="5" t="str">
        <f>IF('[1]All Data '!BB2841="","",'[1]All Data '!BC2841/'[1]All Data '!BH2841)</f>
        <v/>
      </c>
      <c r="O2836" s="5" t="str">
        <f t="shared" si="46"/>
        <v/>
      </c>
      <c r="P2836" s="5" t="str">
        <f>IF(M2836="","",$C$2*(1-L2836)*907.2/0.621371*N2836*[1]Transportation!$M$40)</f>
        <v/>
      </c>
      <c r="Q2836" s="5" t="str">
        <f>IF(L2836="","",IF([1]Inputs_Outputs!$B$5="Herbaceous",(LCA!$E$29*'[1]LOCH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6" s="5" t="str">
        <f>IF(M2836="","",$E$2*1000*'[1]LOCH Calc COE Calc'!$C$44)</f>
        <v/>
      </c>
      <c r="S2836" s="6" t="str">
        <f>IF(N2836="","",SUM(O2836:R2836)/('[1]LOCH Calc COE Calc'!$C$28))</f>
        <v/>
      </c>
      <c r="T2836" t="str">
        <f>IF(L2836="","",O2836/'[1]LOCH Calc COE Calc'!$C$28)</f>
        <v/>
      </c>
      <c r="U2836" t="str">
        <f>IF(L2836="","",P2836/'[1]LOCH Calc COE Calc'!$C$28)</f>
        <v/>
      </c>
      <c r="V2836" t="str">
        <f>IF(L2836="","",Q2836/'[1]LOCH Calc COE Calc'!$C$28)</f>
        <v/>
      </c>
      <c r="W2836" t="str">
        <f>IF(L2836="","",R2836/'[1]LOCH Calc COE Calc'!$C$28)</f>
        <v/>
      </c>
    </row>
    <row r="2837" spans="12:23" x14ac:dyDescent="0.25">
      <c r="L2837" s="4" t="str">
        <f>IF('[1]All Data '!BE2842="","",'[1]All Data '!BE2842)</f>
        <v/>
      </c>
      <c r="M2837" t="str">
        <f>IF('[1]All Data '!BF2842="","",'[1]All Data '!BF2842)</f>
        <v/>
      </c>
      <c r="N2837" s="5" t="str">
        <f>IF('[1]All Data '!BB2842="","",'[1]All Data '!BC2842/'[1]All Data '!BH2842)</f>
        <v/>
      </c>
      <c r="O2837" s="5" t="str">
        <f t="shared" si="46"/>
        <v/>
      </c>
      <c r="P2837" s="5" t="str">
        <f>IF(M2837="","",$C$2*(1-L2837)*907.2/0.621371*N2837*[1]Transportation!$M$40)</f>
        <v/>
      </c>
      <c r="Q2837" s="5" t="str">
        <f>IF(L2837="","",IF([1]Inputs_Outputs!$B$5="Herbaceous",(LCA!$E$29*'[1]LOCH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7" s="5" t="str">
        <f>IF(M2837="","",$E$2*1000*'[1]LOCH Calc COE Calc'!$C$44)</f>
        <v/>
      </c>
      <c r="S2837" s="6" t="str">
        <f>IF(N2837="","",SUM(O2837:R2837)/('[1]LOCH Calc COE Calc'!$C$28))</f>
        <v/>
      </c>
      <c r="T2837" t="str">
        <f>IF(L2837="","",O2837/'[1]LOCH Calc COE Calc'!$C$28)</f>
        <v/>
      </c>
      <c r="U2837" t="str">
        <f>IF(L2837="","",P2837/'[1]LOCH Calc COE Calc'!$C$28)</f>
        <v/>
      </c>
      <c r="V2837" t="str">
        <f>IF(L2837="","",Q2837/'[1]LOCH Calc COE Calc'!$C$28)</f>
        <v/>
      </c>
      <c r="W2837" t="str">
        <f>IF(L2837="","",R2837/'[1]LOCH Calc COE Calc'!$C$28)</f>
        <v/>
      </c>
    </row>
    <row r="2838" spans="12:23" x14ac:dyDescent="0.25">
      <c r="L2838" s="4" t="str">
        <f>IF('[1]All Data '!BE2843="","",'[1]All Data '!BE2843)</f>
        <v/>
      </c>
      <c r="M2838" t="str">
        <f>IF('[1]All Data '!BF2843="","",'[1]All Data '!BF2843)</f>
        <v/>
      </c>
      <c r="N2838" s="5" t="str">
        <f>IF('[1]All Data '!BB2843="","",'[1]All Data '!BC2843/'[1]All Data '!BH2843)</f>
        <v/>
      </c>
      <c r="O2838" s="5" t="str">
        <f t="shared" si="46"/>
        <v/>
      </c>
      <c r="P2838" s="5" t="str">
        <f>IF(M2838="","",$C$2*(1-L2838)*907.2/0.621371*N2838*[1]Transportation!$M$40)</f>
        <v/>
      </c>
      <c r="Q2838" s="5" t="str">
        <f>IF(L2838="","",IF([1]Inputs_Outputs!$B$5="Herbaceous",(LCA!$E$29*'[1]LOCH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8" s="5" t="str">
        <f>IF(M2838="","",$E$2*1000*'[1]LOCH Calc COE Calc'!$C$44)</f>
        <v/>
      </c>
      <c r="S2838" s="6" t="str">
        <f>IF(N2838="","",SUM(O2838:R2838)/('[1]LOCH Calc COE Calc'!$C$28))</f>
        <v/>
      </c>
      <c r="T2838" t="str">
        <f>IF(L2838="","",O2838/'[1]LOCH Calc COE Calc'!$C$28)</f>
        <v/>
      </c>
      <c r="U2838" t="str">
        <f>IF(L2838="","",P2838/'[1]LOCH Calc COE Calc'!$C$28)</f>
        <v/>
      </c>
      <c r="V2838" t="str">
        <f>IF(L2838="","",Q2838/'[1]LOCH Calc COE Calc'!$C$28)</f>
        <v/>
      </c>
      <c r="W2838" t="str">
        <f>IF(L2838="","",R2838/'[1]LOCH Calc COE Calc'!$C$28)</f>
        <v/>
      </c>
    </row>
    <row r="2839" spans="12:23" x14ac:dyDescent="0.25">
      <c r="L2839" s="4" t="str">
        <f>IF('[1]All Data '!BE2844="","",'[1]All Data '!BE2844)</f>
        <v/>
      </c>
      <c r="M2839" t="str">
        <f>IF('[1]All Data '!BF2844="","",'[1]All Data '!BF2844)</f>
        <v/>
      </c>
      <c r="N2839" s="5" t="str">
        <f>IF('[1]All Data '!BB2844="","",'[1]All Data '!BC2844/'[1]All Data '!BH2844)</f>
        <v/>
      </c>
      <c r="O2839" s="5" t="str">
        <f t="shared" si="46"/>
        <v/>
      </c>
      <c r="P2839" s="5" t="str">
        <f>IF(M2839="","",$C$2*(1-L2839)*907.2/0.621371*N2839*[1]Transportation!$M$40)</f>
        <v/>
      </c>
      <c r="Q2839" s="5" t="str">
        <f>IF(L2839="","",IF([1]Inputs_Outputs!$B$5="Herbaceous",(LCA!$E$29*'[1]LOCH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39" s="5" t="str">
        <f>IF(M2839="","",$E$2*1000*'[1]LOCH Calc COE Calc'!$C$44)</f>
        <v/>
      </c>
      <c r="S2839" s="6" t="str">
        <f>IF(N2839="","",SUM(O2839:R2839)/('[1]LOCH Calc COE Calc'!$C$28))</f>
        <v/>
      </c>
      <c r="T2839" t="str">
        <f>IF(L2839="","",O2839/'[1]LOCH Calc COE Calc'!$C$28)</f>
        <v/>
      </c>
      <c r="U2839" t="str">
        <f>IF(L2839="","",P2839/'[1]LOCH Calc COE Calc'!$C$28)</f>
        <v/>
      </c>
      <c r="V2839" t="str">
        <f>IF(L2839="","",Q2839/'[1]LOCH Calc COE Calc'!$C$28)</f>
        <v/>
      </c>
      <c r="W2839" t="str">
        <f>IF(L2839="","",R2839/'[1]LOCH Calc COE Calc'!$C$28)</f>
        <v/>
      </c>
    </row>
    <row r="2840" spans="12:23" x14ac:dyDescent="0.25">
      <c r="L2840" s="4" t="str">
        <f>IF('[1]All Data '!BE2845="","",'[1]All Data '!BE2845)</f>
        <v/>
      </c>
      <c r="M2840" t="str">
        <f>IF('[1]All Data '!BF2845="","",'[1]All Data '!BF2845)</f>
        <v/>
      </c>
      <c r="N2840" s="5" t="str">
        <f>IF('[1]All Data '!BB2845="","",'[1]All Data '!BC2845/'[1]All Data '!BH2845)</f>
        <v/>
      </c>
      <c r="O2840" s="5" t="str">
        <f t="shared" si="46"/>
        <v/>
      </c>
      <c r="P2840" s="5" t="str">
        <f>IF(M2840="","",$C$2*(1-L2840)*907.2/0.621371*N2840*[1]Transportation!$M$40)</f>
        <v/>
      </c>
      <c r="Q2840" s="5" t="str">
        <f>IF(L2840="","",IF([1]Inputs_Outputs!$B$5="Herbaceous",(LCA!$E$29*'[1]LOCH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0" s="5" t="str">
        <f>IF(M2840="","",$E$2*1000*'[1]LOCH Calc COE Calc'!$C$44)</f>
        <v/>
      </c>
      <c r="S2840" s="6" t="str">
        <f>IF(N2840="","",SUM(O2840:R2840)/('[1]LOCH Calc COE Calc'!$C$28))</f>
        <v/>
      </c>
      <c r="T2840" t="str">
        <f>IF(L2840="","",O2840/'[1]LOCH Calc COE Calc'!$C$28)</f>
        <v/>
      </c>
      <c r="U2840" t="str">
        <f>IF(L2840="","",P2840/'[1]LOCH Calc COE Calc'!$C$28)</f>
        <v/>
      </c>
      <c r="V2840" t="str">
        <f>IF(L2840="","",Q2840/'[1]LOCH Calc COE Calc'!$C$28)</f>
        <v/>
      </c>
      <c r="W2840" t="str">
        <f>IF(L2840="","",R2840/'[1]LOCH Calc COE Calc'!$C$28)</f>
        <v/>
      </c>
    </row>
    <row r="2841" spans="12:23" x14ac:dyDescent="0.25">
      <c r="L2841" s="4" t="str">
        <f>IF('[1]All Data '!BE2846="","",'[1]All Data '!BE2846)</f>
        <v/>
      </c>
      <c r="M2841" t="str">
        <f>IF('[1]All Data '!BF2846="","",'[1]All Data '!BF2846)</f>
        <v/>
      </c>
      <c r="N2841" s="5" t="str">
        <f>IF('[1]All Data '!BB2846="","",'[1]All Data '!BC2846/'[1]All Data '!BH2846)</f>
        <v/>
      </c>
      <c r="O2841" s="5" t="str">
        <f t="shared" si="46"/>
        <v/>
      </c>
      <c r="P2841" s="5" t="str">
        <f>IF(M2841="","",$C$2*(1-L2841)*907.2/0.621371*N2841*[1]Transportation!$M$40)</f>
        <v/>
      </c>
      <c r="Q2841" s="5" t="str">
        <f>IF(L2841="","",IF([1]Inputs_Outputs!$B$5="Herbaceous",(LCA!$E$29*'[1]LOCH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1" s="5" t="str">
        <f>IF(M2841="","",$E$2*1000*'[1]LOCH Calc COE Calc'!$C$44)</f>
        <v/>
      </c>
      <c r="S2841" s="6" t="str">
        <f>IF(N2841="","",SUM(O2841:R2841)/('[1]LOCH Calc COE Calc'!$C$28))</f>
        <v/>
      </c>
      <c r="T2841" t="str">
        <f>IF(L2841="","",O2841/'[1]LOCH Calc COE Calc'!$C$28)</f>
        <v/>
      </c>
      <c r="U2841" t="str">
        <f>IF(L2841="","",P2841/'[1]LOCH Calc COE Calc'!$C$28)</f>
        <v/>
      </c>
      <c r="V2841" t="str">
        <f>IF(L2841="","",Q2841/'[1]LOCH Calc COE Calc'!$C$28)</f>
        <v/>
      </c>
      <c r="W2841" t="str">
        <f>IF(L2841="","",R2841/'[1]LOCH Calc COE Calc'!$C$28)</f>
        <v/>
      </c>
    </row>
    <row r="2842" spans="12:23" x14ac:dyDescent="0.25">
      <c r="L2842" s="4" t="str">
        <f>IF('[1]All Data '!BE2847="","",'[1]All Data '!BE2847)</f>
        <v/>
      </c>
      <c r="M2842" t="str">
        <f>IF('[1]All Data '!BF2847="","",'[1]All Data '!BF2847)</f>
        <v/>
      </c>
      <c r="N2842" s="5" t="str">
        <f>IF('[1]All Data '!BB2847="","",'[1]All Data '!BC2847/'[1]All Data '!BH2847)</f>
        <v/>
      </c>
      <c r="O2842" s="5" t="str">
        <f t="shared" si="46"/>
        <v/>
      </c>
      <c r="P2842" s="5" t="str">
        <f>IF(M2842="","",$C$2*(1-L2842)*907.2/0.621371*N2842*[1]Transportation!$M$40)</f>
        <v/>
      </c>
      <c r="Q2842" s="5" t="str">
        <f>IF(L2842="","",IF([1]Inputs_Outputs!$B$5="Herbaceous",(LCA!$E$29*'[1]LOCH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2" s="5" t="str">
        <f>IF(M2842="","",$E$2*1000*'[1]LOCH Calc COE Calc'!$C$44)</f>
        <v/>
      </c>
      <c r="S2842" s="6" t="str">
        <f>IF(N2842="","",SUM(O2842:R2842)/('[1]LOCH Calc COE Calc'!$C$28))</f>
        <v/>
      </c>
      <c r="T2842" t="str">
        <f>IF(L2842="","",O2842/'[1]LOCH Calc COE Calc'!$C$28)</f>
        <v/>
      </c>
      <c r="U2842" t="str">
        <f>IF(L2842="","",P2842/'[1]LOCH Calc COE Calc'!$C$28)</f>
        <v/>
      </c>
      <c r="V2842" t="str">
        <f>IF(L2842="","",Q2842/'[1]LOCH Calc COE Calc'!$C$28)</f>
        <v/>
      </c>
      <c r="W2842" t="str">
        <f>IF(L2842="","",R2842/'[1]LOCH Calc COE Calc'!$C$28)</f>
        <v/>
      </c>
    </row>
    <row r="2843" spans="12:23" x14ac:dyDescent="0.25">
      <c r="L2843" s="4" t="str">
        <f>IF('[1]All Data '!BE2848="","",'[1]All Data '!BE2848)</f>
        <v/>
      </c>
      <c r="M2843" t="str">
        <f>IF('[1]All Data '!BF2848="","",'[1]All Data '!BF2848)</f>
        <v/>
      </c>
      <c r="N2843" s="5" t="str">
        <f>IF('[1]All Data '!BB2848="","",'[1]All Data '!BC2848/'[1]All Data '!BH2848)</f>
        <v/>
      </c>
      <c r="O2843" s="5" t="str">
        <f t="shared" si="46"/>
        <v/>
      </c>
      <c r="P2843" s="5" t="str">
        <f>IF(M2843="","",$C$2*(1-L2843)*907.2/0.621371*N2843*[1]Transportation!$M$40)</f>
        <v/>
      </c>
      <c r="Q2843" s="5" t="str">
        <f>IF(L2843="","",IF([1]Inputs_Outputs!$B$5="Herbaceous",(LCA!$E$29*'[1]LOCH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3" s="5" t="str">
        <f>IF(M2843="","",$E$2*1000*'[1]LOCH Calc COE Calc'!$C$44)</f>
        <v/>
      </c>
      <c r="S2843" s="6" t="str">
        <f>IF(N2843="","",SUM(O2843:R2843)/('[1]LOCH Calc COE Calc'!$C$28))</f>
        <v/>
      </c>
      <c r="T2843" t="str">
        <f>IF(L2843="","",O2843/'[1]LOCH Calc COE Calc'!$C$28)</f>
        <v/>
      </c>
      <c r="U2843" t="str">
        <f>IF(L2843="","",P2843/'[1]LOCH Calc COE Calc'!$C$28)</f>
        <v/>
      </c>
      <c r="V2843" t="str">
        <f>IF(L2843="","",Q2843/'[1]LOCH Calc COE Calc'!$C$28)</f>
        <v/>
      </c>
      <c r="W2843" t="str">
        <f>IF(L2843="","",R2843/'[1]LOCH Calc COE Calc'!$C$28)</f>
        <v/>
      </c>
    </row>
    <row r="2844" spans="12:23" x14ac:dyDescent="0.25">
      <c r="L2844" s="4" t="str">
        <f>IF('[1]All Data '!BE2849="","",'[1]All Data '!BE2849)</f>
        <v/>
      </c>
      <c r="M2844" t="str">
        <f>IF('[1]All Data '!BF2849="","",'[1]All Data '!BF2849)</f>
        <v/>
      </c>
      <c r="N2844" s="5" t="str">
        <f>IF('[1]All Data '!BB2849="","",'[1]All Data '!BC2849/'[1]All Data '!BH2849)</f>
        <v/>
      </c>
      <c r="O2844" s="5" t="str">
        <f t="shared" si="46"/>
        <v/>
      </c>
      <c r="P2844" s="5" t="str">
        <f>IF(M2844="","",$C$2*(1-L2844)*907.2/0.621371*N2844*[1]Transportation!$M$40)</f>
        <v/>
      </c>
      <c r="Q2844" s="5" t="str">
        <f>IF(L2844="","",IF([1]Inputs_Outputs!$B$5="Herbaceous",(LCA!$E$29*'[1]LOCH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4" s="5" t="str">
        <f>IF(M2844="","",$E$2*1000*'[1]LOCH Calc COE Calc'!$C$44)</f>
        <v/>
      </c>
      <c r="S2844" s="6" t="str">
        <f>IF(N2844="","",SUM(O2844:R2844)/('[1]LOCH Calc COE Calc'!$C$28))</f>
        <v/>
      </c>
      <c r="T2844" t="str">
        <f>IF(L2844="","",O2844/'[1]LOCH Calc COE Calc'!$C$28)</f>
        <v/>
      </c>
      <c r="U2844" t="str">
        <f>IF(L2844="","",P2844/'[1]LOCH Calc COE Calc'!$C$28)</f>
        <v/>
      </c>
      <c r="V2844" t="str">
        <f>IF(L2844="","",Q2844/'[1]LOCH Calc COE Calc'!$C$28)</f>
        <v/>
      </c>
      <c r="W2844" t="str">
        <f>IF(L2844="","",R2844/'[1]LOCH Calc COE Calc'!$C$28)</f>
        <v/>
      </c>
    </row>
    <row r="2845" spans="12:23" x14ac:dyDescent="0.25">
      <c r="L2845" s="4" t="str">
        <f>IF('[1]All Data '!BE2850="","",'[1]All Data '!BE2850)</f>
        <v/>
      </c>
      <c r="M2845" t="str">
        <f>IF('[1]All Data '!BF2850="","",'[1]All Data '!BF2850)</f>
        <v/>
      </c>
      <c r="N2845" s="5" t="str">
        <f>IF('[1]All Data '!BB2850="","",'[1]All Data '!BC2850/'[1]All Data '!BH2850)</f>
        <v/>
      </c>
      <c r="O2845" s="5" t="str">
        <f t="shared" si="46"/>
        <v/>
      </c>
      <c r="P2845" s="5" t="str">
        <f>IF(M2845="","",$C$2*(1-L2845)*907.2/0.621371*N2845*[1]Transportation!$M$40)</f>
        <v/>
      </c>
      <c r="Q2845" s="5" t="str">
        <f>IF(L2845="","",IF([1]Inputs_Outputs!$B$5="Herbaceous",(LCA!$E$29*'[1]LOCH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5" s="5" t="str">
        <f>IF(M2845="","",$E$2*1000*'[1]LOCH Calc COE Calc'!$C$44)</f>
        <v/>
      </c>
      <c r="S2845" s="6" t="str">
        <f>IF(N2845="","",SUM(O2845:R2845)/('[1]LOCH Calc COE Calc'!$C$28))</f>
        <v/>
      </c>
      <c r="T2845" t="str">
        <f>IF(L2845="","",O2845/'[1]LOCH Calc COE Calc'!$C$28)</f>
        <v/>
      </c>
      <c r="U2845" t="str">
        <f>IF(L2845="","",P2845/'[1]LOCH Calc COE Calc'!$C$28)</f>
        <v/>
      </c>
      <c r="V2845" t="str">
        <f>IF(L2845="","",Q2845/'[1]LOCH Calc COE Calc'!$C$28)</f>
        <v/>
      </c>
      <c r="W2845" t="str">
        <f>IF(L2845="","",R2845/'[1]LOCH Calc COE Calc'!$C$28)</f>
        <v/>
      </c>
    </row>
    <row r="2846" spans="12:23" x14ac:dyDescent="0.25">
      <c r="L2846" s="4" t="str">
        <f>IF('[1]All Data '!BE2851="","",'[1]All Data '!BE2851)</f>
        <v/>
      </c>
      <c r="M2846" t="str">
        <f>IF('[1]All Data '!BF2851="","",'[1]All Data '!BF2851)</f>
        <v/>
      </c>
      <c r="N2846" s="5" t="str">
        <f>IF('[1]All Data '!BB2851="","",'[1]All Data '!BC2851/'[1]All Data '!BH2851)</f>
        <v/>
      </c>
      <c r="O2846" s="5" t="str">
        <f t="shared" si="46"/>
        <v/>
      </c>
      <c r="P2846" s="5" t="str">
        <f>IF(M2846="","",$C$2*(1-L2846)*907.2/0.621371*N2846*[1]Transportation!$M$40)</f>
        <v/>
      </c>
      <c r="Q2846" s="5" t="str">
        <f>IF(L2846="","",IF([1]Inputs_Outputs!$B$5="Herbaceous",(LCA!$E$29*'[1]LOCH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6" s="5" t="str">
        <f>IF(M2846="","",$E$2*1000*'[1]LOCH Calc COE Calc'!$C$44)</f>
        <v/>
      </c>
      <c r="S2846" s="6" t="str">
        <f>IF(N2846="","",SUM(O2846:R2846)/('[1]LOCH Calc COE Calc'!$C$28))</f>
        <v/>
      </c>
      <c r="T2846" t="str">
        <f>IF(L2846="","",O2846/'[1]LOCH Calc COE Calc'!$C$28)</f>
        <v/>
      </c>
      <c r="U2846" t="str">
        <f>IF(L2846="","",P2846/'[1]LOCH Calc COE Calc'!$C$28)</f>
        <v/>
      </c>
      <c r="V2846" t="str">
        <f>IF(L2846="","",Q2846/'[1]LOCH Calc COE Calc'!$C$28)</f>
        <v/>
      </c>
      <c r="W2846" t="str">
        <f>IF(L2846="","",R2846/'[1]LOCH Calc COE Calc'!$C$28)</f>
        <v/>
      </c>
    </row>
    <row r="2847" spans="12:23" x14ac:dyDescent="0.25">
      <c r="L2847" s="4" t="str">
        <f>IF('[1]All Data '!BE2852="","",'[1]All Data '!BE2852)</f>
        <v/>
      </c>
      <c r="M2847" t="str">
        <f>IF('[1]All Data '!BF2852="","",'[1]All Data '!BF2852)</f>
        <v/>
      </c>
      <c r="N2847" s="5" t="str">
        <f>IF('[1]All Data '!BB2852="","",'[1]All Data '!BC2852/'[1]All Data '!BH2852)</f>
        <v/>
      </c>
      <c r="O2847" s="5" t="str">
        <f t="shared" si="46"/>
        <v/>
      </c>
      <c r="P2847" s="5" t="str">
        <f>IF(M2847="","",$C$2*(1-L2847)*907.2/0.621371*N2847*[1]Transportation!$M$40)</f>
        <v/>
      </c>
      <c r="Q2847" s="5" t="str">
        <f>IF(L2847="","",IF([1]Inputs_Outputs!$B$5="Herbaceous",(LCA!$E$29*'[1]LOCH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7" s="5" t="str">
        <f>IF(M2847="","",$E$2*1000*'[1]LOCH Calc COE Calc'!$C$44)</f>
        <v/>
      </c>
      <c r="S2847" s="6" t="str">
        <f>IF(N2847="","",SUM(O2847:R2847)/('[1]LOCH Calc COE Calc'!$C$28))</f>
        <v/>
      </c>
      <c r="T2847" t="str">
        <f>IF(L2847="","",O2847/'[1]LOCH Calc COE Calc'!$C$28)</f>
        <v/>
      </c>
      <c r="U2847" t="str">
        <f>IF(L2847="","",P2847/'[1]LOCH Calc COE Calc'!$C$28)</f>
        <v/>
      </c>
      <c r="V2847" t="str">
        <f>IF(L2847="","",Q2847/'[1]LOCH Calc COE Calc'!$C$28)</f>
        <v/>
      </c>
      <c r="W2847" t="str">
        <f>IF(L2847="","",R2847/'[1]LOCH Calc COE Calc'!$C$28)</f>
        <v/>
      </c>
    </row>
    <row r="2848" spans="12:23" x14ac:dyDescent="0.25">
      <c r="L2848" s="4" t="str">
        <f>IF('[1]All Data '!BE2853="","",'[1]All Data '!BE2853)</f>
        <v/>
      </c>
      <c r="M2848" t="str">
        <f>IF('[1]All Data '!BF2853="","",'[1]All Data '!BF2853)</f>
        <v/>
      </c>
      <c r="N2848" s="5" t="str">
        <f>IF('[1]All Data '!BB2853="","",'[1]All Data '!BC2853/'[1]All Data '!BH2853)</f>
        <v/>
      </c>
      <c r="O2848" s="5" t="str">
        <f t="shared" si="46"/>
        <v/>
      </c>
      <c r="P2848" s="5" t="str">
        <f>IF(M2848="","",$C$2*(1-L2848)*907.2/0.621371*N2848*[1]Transportation!$M$40)</f>
        <v/>
      </c>
      <c r="Q2848" s="5" t="str">
        <f>IF(L2848="","",IF([1]Inputs_Outputs!$B$5="Herbaceous",(LCA!$E$29*'[1]LOCH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8" s="5" t="str">
        <f>IF(M2848="","",$E$2*1000*'[1]LOCH Calc COE Calc'!$C$44)</f>
        <v/>
      </c>
      <c r="S2848" s="6" t="str">
        <f>IF(N2848="","",SUM(O2848:R2848)/('[1]LOCH Calc COE Calc'!$C$28))</f>
        <v/>
      </c>
      <c r="T2848" t="str">
        <f>IF(L2848="","",O2848/'[1]LOCH Calc COE Calc'!$C$28)</f>
        <v/>
      </c>
      <c r="U2848" t="str">
        <f>IF(L2848="","",P2848/'[1]LOCH Calc COE Calc'!$C$28)</f>
        <v/>
      </c>
      <c r="V2848" t="str">
        <f>IF(L2848="","",Q2848/'[1]LOCH Calc COE Calc'!$C$28)</f>
        <v/>
      </c>
      <c r="W2848" t="str">
        <f>IF(L2848="","",R2848/'[1]LOCH Calc COE Calc'!$C$28)</f>
        <v/>
      </c>
    </row>
    <row r="2849" spans="12:23" x14ac:dyDescent="0.25">
      <c r="L2849" s="4" t="str">
        <f>IF('[1]All Data '!BE2854="","",'[1]All Data '!BE2854)</f>
        <v/>
      </c>
      <c r="M2849" t="str">
        <f>IF('[1]All Data '!BF2854="","",'[1]All Data '!BF2854)</f>
        <v/>
      </c>
      <c r="N2849" s="5" t="str">
        <f>IF('[1]All Data '!BB2854="","",'[1]All Data '!BC2854/'[1]All Data '!BH2854)</f>
        <v/>
      </c>
      <c r="O2849" s="5" t="str">
        <f t="shared" si="46"/>
        <v/>
      </c>
      <c r="P2849" s="5" t="str">
        <f>IF(M2849="","",$C$2*(1-L2849)*907.2/0.621371*N2849*[1]Transportation!$M$40)</f>
        <v/>
      </c>
      <c r="Q2849" s="5" t="str">
        <f>IF(L2849="","",IF([1]Inputs_Outputs!$B$5="Herbaceous",(LCA!$E$29*'[1]LOCH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49" s="5" t="str">
        <f>IF(M2849="","",$E$2*1000*'[1]LOCH Calc COE Calc'!$C$44)</f>
        <v/>
      </c>
      <c r="S2849" s="6" t="str">
        <f>IF(N2849="","",SUM(O2849:R2849)/('[1]LOCH Calc COE Calc'!$C$28))</f>
        <v/>
      </c>
      <c r="T2849" t="str">
        <f>IF(L2849="","",O2849/'[1]LOCH Calc COE Calc'!$C$28)</f>
        <v/>
      </c>
      <c r="U2849" t="str">
        <f>IF(L2849="","",P2849/'[1]LOCH Calc COE Calc'!$C$28)</f>
        <v/>
      </c>
      <c r="V2849" t="str">
        <f>IF(L2849="","",Q2849/'[1]LOCH Calc COE Calc'!$C$28)</f>
        <v/>
      </c>
      <c r="W2849" t="str">
        <f>IF(L2849="","",R2849/'[1]LOCH Calc COE Calc'!$C$28)</f>
        <v/>
      </c>
    </row>
    <row r="2850" spans="12:23" x14ac:dyDescent="0.25">
      <c r="L2850" s="4" t="str">
        <f>IF('[1]All Data '!BE2855="","",'[1]All Data '!BE2855)</f>
        <v/>
      </c>
      <c r="M2850" t="str">
        <f>IF('[1]All Data '!BF2855="","",'[1]All Data '!BF2855)</f>
        <v/>
      </c>
      <c r="N2850" s="5" t="str">
        <f>IF('[1]All Data '!BB2855="","",'[1]All Data '!BC2855/'[1]All Data '!BH2855)</f>
        <v/>
      </c>
      <c r="O2850" s="5" t="str">
        <f t="shared" si="46"/>
        <v/>
      </c>
      <c r="P2850" s="5" t="str">
        <f>IF(M2850="","",$C$2*(1-L2850)*907.2/0.621371*N2850*[1]Transportation!$M$40)</f>
        <v/>
      </c>
      <c r="Q2850" s="5" t="str">
        <f>IF(L2850="","",IF([1]Inputs_Outputs!$B$5="Herbaceous",(LCA!$E$29*'[1]LOCH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0" s="5" t="str">
        <f>IF(M2850="","",$E$2*1000*'[1]LOCH Calc COE Calc'!$C$44)</f>
        <v/>
      </c>
      <c r="S2850" s="6" t="str">
        <f>IF(N2850="","",SUM(O2850:R2850)/('[1]LOCH Calc COE Calc'!$C$28))</f>
        <v/>
      </c>
      <c r="T2850" t="str">
        <f>IF(L2850="","",O2850/'[1]LOCH Calc COE Calc'!$C$28)</f>
        <v/>
      </c>
      <c r="U2850" t="str">
        <f>IF(L2850="","",P2850/'[1]LOCH Calc COE Calc'!$C$28)</f>
        <v/>
      </c>
      <c r="V2850" t="str">
        <f>IF(L2850="","",Q2850/'[1]LOCH Calc COE Calc'!$C$28)</f>
        <v/>
      </c>
      <c r="W2850" t="str">
        <f>IF(L2850="","",R2850/'[1]LOCH Calc COE Calc'!$C$28)</f>
        <v/>
      </c>
    </row>
    <row r="2851" spans="12:23" x14ac:dyDescent="0.25">
      <c r="L2851" s="4" t="str">
        <f>IF('[1]All Data '!BE2856="","",'[1]All Data '!BE2856)</f>
        <v/>
      </c>
      <c r="M2851" t="str">
        <f>IF('[1]All Data '!BF2856="","",'[1]All Data '!BF2856)</f>
        <v/>
      </c>
      <c r="N2851" s="5" t="str">
        <f>IF('[1]All Data '!BB2856="","",'[1]All Data '!BC2856/'[1]All Data '!BH2856)</f>
        <v/>
      </c>
      <c r="O2851" s="5" t="str">
        <f t="shared" ref="O2851:O2914" si="47">IF(N2851="","",M2851*N2851)</f>
        <v/>
      </c>
      <c r="P2851" s="5" t="str">
        <f>IF(M2851="","",$C$2*(1-L2851)*907.2/0.621371*N2851*[1]Transportation!$M$40)</f>
        <v/>
      </c>
      <c r="Q2851" s="5" t="str">
        <f>IF(L2851="","",IF([1]Inputs_Outputs!$B$5="Herbaceous",(LCA!$E$29*'[1]LOCH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1" s="5" t="str">
        <f>IF(M2851="","",$E$2*1000*'[1]LOCH Calc COE Calc'!$C$44)</f>
        <v/>
      </c>
      <c r="S2851" s="6" t="str">
        <f>IF(N2851="","",SUM(O2851:R2851)/('[1]LOCH Calc COE Calc'!$C$28))</f>
        <v/>
      </c>
      <c r="T2851" t="str">
        <f>IF(L2851="","",O2851/'[1]LOCH Calc COE Calc'!$C$28)</f>
        <v/>
      </c>
      <c r="U2851" t="str">
        <f>IF(L2851="","",P2851/'[1]LOCH Calc COE Calc'!$C$28)</f>
        <v/>
      </c>
      <c r="V2851" t="str">
        <f>IF(L2851="","",Q2851/'[1]LOCH Calc COE Calc'!$C$28)</f>
        <v/>
      </c>
      <c r="W2851" t="str">
        <f>IF(L2851="","",R2851/'[1]LOCH Calc COE Calc'!$C$28)</f>
        <v/>
      </c>
    </row>
    <row r="2852" spans="12:23" x14ac:dyDescent="0.25">
      <c r="L2852" s="4" t="str">
        <f>IF('[1]All Data '!BE2857="","",'[1]All Data '!BE2857)</f>
        <v/>
      </c>
      <c r="M2852" t="str">
        <f>IF('[1]All Data '!BF2857="","",'[1]All Data '!BF2857)</f>
        <v/>
      </c>
      <c r="N2852" s="5" t="str">
        <f>IF('[1]All Data '!BB2857="","",'[1]All Data '!BC2857/'[1]All Data '!BH2857)</f>
        <v/>
      </c>
      <c r="O2852" s="5" t="str">
        <f t="shared" si="47"/>
        <v/>
      </c>
      <c r="P2852" s="5" t="str">
        <f>IF(M2852="","",$C$2*(1-L2852)*907.2/0.621371*N2852*[1]Transportation!$M$40)</f>
        <v/>
      </c>
      <c r="Q2852" s="5" t="str">
        <f>IF(L2852="","",IF([1]Inputs_Outputs!$B$5="Herbaceous",(LCA!$E$29*'[1]LOCH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2" s="5" t="str">
        <f>IF(M2852="","",$E$2*1000*'[1]LOCH Calc COE Calc'!$C$44)</f>
        <v/>
      </c>
      <c r="S2852" s="6" t="str">
        <f>IF(N2852="","",SUM(O2852:R2852)/('[1]LOCH Calc COE Calc'!$C$28))</f>
        <v/>
      </c>
      <c r="T2852" t="str">
        <f>IF(L2852="","",O2852/'[1]LOCH Calc COE Calc'!$C$28)</f>
        <v/>
      </c>
      <c r="U2852" t="str">
        <f>IF(L2852="","",P2852/'[1]LOCH Calc COE Calc'!$C$28)</f>
        <v/>
      </c>
      <c r="V2852" t="str">
        <f>IF(L2852="","",Q2852/'[1]LOCH Calc COE Calc'!$C$28)</f>
        <v/>
      </c>
      <c r="W2852" t="str">
        <f>IF(L2852="","",R2852/'[1]LOCH Calc COE Calc'!$C$28)</f>
        <v/>
      </c>
    </row>
    <row r="2853" spans="12:23" x14ac:dyDescent="0.25">
      <c r="L2853" s="4" t="str">
        <f>IF('[1]All Data '!BE2858="","",'[1]All Data '!BE2858)</f>
        <v/>
      </c>
      <c r="M2853" t="str">
        <f>IF('[1]All Data '!BF2858="","",'[1]All Data '!BF2858)</f>
        <v/>
      </c>
      <c r="N2853" s="5" t="str">
        <f>IF('[1]All Data '!BB2858="","",'[1]All Data '!BC2858/'[1]All Data '!BH2858)</f>
        <v/>
      </c>
      <c r="O2853" s="5" t="str">
        <f t="shared" si="47"/>
        <v/>
      </c>
      <c r="P2853" s="5" t="str">
        <f>IF(M2853="","",$C$2*(1-L2853)*907.2/0.621371*N2853*[1]Transportation!$M$40)</f>
        <v/>
      </c>
      <c r="Q2853" s="5" t="str">
        <f>IF(L2853="","",IF([1]Inputs_Outputs!$B$5="Herbaceous",(LCA!$E$29*'[1]LOCH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3" s="5" t="str">
        <f>IF(M2853="","",$E$2*1000*'[1]LOCH Calc COE Calc'!$C$44)</f>
        <v/>
      </c>
      <c r="S2853" s="6" t="str">
        <f>IF(N2853="","",SUM(O2853:R2853)/('[1]LOCH Calc COE Calc'!$C$28))</f>
        <v/>
      </c>
      <c r="T2853" t="str">
        <f>IF(L2853="","",O2853/'[1]LOCH Calc COE Calc'!$C$28)</f>
        <v/>
      </c>
      <c r="U2853" t="str">
        <f>IF(L2853="","",P2853/'[1]LOCH Calc COE Calc'!$C$28)</f>
        <v/>
      </c>
      <c r="V2853" t="str">
        <f>IF(L2853="","",Q2853/'[1]LOCH Calc COE Calc'!$C$28)</f>
        <v/>
      </c>
      <c r="W2853" t="str">
        <f>IF(L2853="","",R2853/'[1]LOCH Calc COE Calc'!$C$28)</f>
        <v/>
      </c>
    </row>
    <row r="2854" spans="12:23" x14ac:dyDescent="0.25">
      <c r="L2854" s="4" t="str">
        <f>IF('[1]All Data '!BE2859="","",'[1]All Data '!BE2859)</f>
        <v/>
      </c>
      <c r="M2854" t="str">
        <f>IF('[1]All Data '!BF2859="","",'[1]All Data '!BF2859)</f>
        <v/>
      </c>
      <c r="N2854" s="5" t="str">
        <f>IF('[1]All Data '!BB2859="","",'[1]All Data '!BC2859/'[1]All Data '!BH2859)</f>
        <v/>
      </c>
      <c r="O2854" s="5" t="str">
        <f t="shared" si="47"/>
        <v/>
      </c>
      <c r="P2854" s="5" t="str">
        <f>IF(M2854="","",$C$2*(1-L2854)*907.2/0.621371*N2854*[1]Transportation!$M$40)</f>
        <v/>
      </c>
      <c r="Q2854" s="5" t="str">
        <f>IF(L2854="","",IF([1]Inputs_Outputs!$B$5="Herbaceous",(LCA!$E$29*'[1]LOCH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4" s="5" t="str">
        <f>IF(M2854="","",$E$2*1000*'[1]LOCH Calc COE Calc'!$C$44)</f>
        <v/>
      </c>
      <c r="S2854" s="6" t="str">
        <f>IF(N2854="","",SUM(O2854:R2854)/('[1]LOCH Calc COE Calc'!$C$28))</f>
        <v/>
      </c>
      <c r="T2854" t="str">
        <f>IF(L2854="","",O2854/'[1]LOCH Calc COE Calc'!$C$28)</f>
        <v/>
      </c>
      <c r="U2854" t="str">
        <f>IF(L2854="","",P2854/'[1]LOCH Calc COE Calc'!$C$28)</f>
        <v/>
      </c>
      <c r="V2854" t="str">
        <f>IF(L2854="","",Q2854/'[1]LOCH Calc COE Calc'!$C$28)</f>
        <v/>
      </c>
      <c r="W2854" t="str">
        <f>IF(L2854="","",R2854/'[1]LOCH Calc COE Calc'!$C$28)</f>
        <v/>
      </c>
    </row>
    <row r="2855" spans="12:23" x14ac:dyDescent="0.25">
      <c r="L2855" s="4" t="str">
        <f>IF('[1]All Data '!BE2860="","",'[1]All Data '!BE2860)</f>
        <v/>
      </c>
      <c r="M2855" t="str">
        <f>IF('[1]All Data '!BF2860="","",'[1]All Data '!BF2860)</f>
        <v/>
      </c>
      <c r="N2855" s="5" t="str">
        <f>IF('[1]All Data '!BB2860="","",'[1]All Data '!BC2860/'[1]All Data '!BH2860)</f>
        <v/>
      </c>
      <c r="O2855" s="5" t="str">
        <f t="shared" si="47"/>
        <v/>
      </c>
      <c r="P2855" s="5" t="str">
        <f>IF(M2855="","",$C$2*(1-L2855)*907.2/0.621371*N2855*[1]Transportation!$M$40)</f>
        <v/>
      </c>
      <c r="Q2855" s="5" t="str">
        <f>IF(L2855="","",IF([1]Inputs_Outputs!$B$5="Herbaceous",(LCA!$E$29*'[1]LOCH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5" s="5" t="str">
        <f>IF(M2855="","",$E$2*1000*'[1]LOCH Calc COE Calc'!$C$44)</f>
        <v/>
      </c>
      <c r="S2855" s="6" t="str">
        <f>IF(N2855="","",SUM(O2855:R2855)/('[1]LOCH Calc COE Calc'!$C$28))</f>
        <v/>
      </c>
      <c r="T2855" t="str">
        <f>IF(L2855="","",O2855/'[1]LOCH Calc COE Calc'!$C$28)</f>
        <v/>
      </c>
      <c r="U2855" t="str">
        <f>IF(L2855="","",P2855/'[1]LOCH Calc COE Calc'!$C$28)</f>
        <v/>
      </c>
      <c r="V2855" t="str">
        <f>IF(L2855="","",Q2855/'[1]LOCH Calc COE Calc'!$C$28)</f>
        <v/>
      </c>
      <c r="W2855" t="str">
        <f>IF(L2855="","",R2855/'[1]LOCH Calc COE Calc'!$C$28)</f>
        <v/>
      </c>
    </row>
    <row r="2856" spans="12:23" x14ac:dyDescent="0.25">
      <c r="L2856" s="4" t="str">
        <f>IF('[1]All Data '!BE2861="","",'[1]All Data '!BE2861)</f>
        <v/>
      </c>
      <c r="M2856" t="str">
        <f>IF('[1]All Data '!BF2861="","",'[1]All Data '!BF2861)</f>
        <v/>
      </c>
      <c r="N2856" s="5" t="str">
        <f>IF('[1]All Data '!BB2861="","",'[1]All Data '!BC2861/'[1]All Data '!BH2861)</f>
        <v/>
      </c>
      <c r="O2856" s="5" t="str">
        <f t="shared" si="47"/>
        <v/>
      </c>
      <c r="P2856" s="5" t="str">
        <f>IF(M2856="","",$C$2*(1-L2856)*907.2/0.621371*N2856*[1]Transportation!$M$40)</f>
        <v/>
      </c>
      <c r="Q2856" s="5" t="str">
        <f>IF(L2856="","",IF([1]Inputs_Outputs!$B$5="Herbaceous",(LCA!$E$29*'[1]LOCH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6" s="5" t="str">
        <f>IF(M2856="","",$E$2*1000*'[1]LOCH Calc COE Calc'!$C$44)</f>
        <v/>
      </c>
      <c r="S2856" s="6" t="str">
        <f>IF(N2856="","",SUM(O2856:R2856)/('[1]LOCH Calc COE Calc'!$C$28))</f>
        <v/>
      </c>
      <c r="T2856" t="str">
        <f>IF(L2856="","",O2856/'[1]LOCH Calc COE Calc'!$C$28)</f>
        <v/>
      </c>
      <c r="U2856" t="str">
        <f>IF(L2856="","",P2856/'[1]LOCH Calc COE Calc'!$C$28)</f>
        <v/>
      </c>
      <c r="V2856" t="str">
        <f>IF(L2856="","",Q2856/'[1]LOCH Calc COE Calc'!$C$28)</f>
        <v/>
      </c>
      <c r="W2856" t="str">
        <f>IF(L2856="","",R2856/'[1]LOCH Calc COE Calc'!$C$28)</f>
        <v/>
      </c>
    </row>
    <row r="2857" spans="12:23" x14ac:dyDescent="0.25">
      <c r="L2857" s="4" t="str">
        <f>IF('[1]All Data '!BE2862="","",'[1]All Data '!BE2862)</f>
        <v/>
      </c>
      <c r="M2857" t="str">
        <f>IF('[1]All Data '!BF2862="","",'[1]All Data '!BF2862)</f>
        <v/>
      </c>
      <c r="N2857" s="5" t="str">
        <f>IF('[1]All Data '!BB2862="","",'[1]All Data '!BC2862/'[1]All Data '!BH2862)</f>
        <v/>
      </c>
      <c r="O2857" s="5" t="str">
        <f t="shared" si="47"/>
        <v/>
      </c>
      <c r="P2857" s="5" t="str">
        <f>IF(M2857="","",$C$2*(1-L2857)*907.2/0.621371*N2857*[1]Transportation!$M$40)</f>
        <v/>
      </c>
      <c r="Q2857" s="5" t="str">
        <f>IF(L2857="","",IF([1]Inputs_Outputs!$B$5="Herbaceous",(LCA!$E$29*'[1]LOCH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7" s="5" t="str">
        <f>IF(M2857="","",$E$2*1000*'[1]LOCH Calc COE Calc'!$C$44)</f>
        <v/>
      </c>
      <c r="S2857" s="6" t="str">
        <f>IF(N2857="","",SUM(O2857:R2857)/('[1]LOCH Calc COE Calc'!$C$28))</f>
        <v/>
      </c>
      <c r="T2857" t="str">
        <f>IF(L2857="","",O2857/'[1]LOCH Calc COE Calc'!$C$28)</f>
        <v/>
      </c>
      <c r="U2857" t="str">
        <f>IF(L2857="","",P2857/'[1]LOCH Calc COE Calc'!$C$28)</f>
        <v/>
      </c>
      <c r="V2857" t="str">
        <f>IF(L2857="","",Q2857/'[1]LOCH Calc COE Calc'!$C$28)</f>
        <v/>
      </c>
      <c r="W2857" t="str">
        <f>IF(L2857="","",R2857/'[1]LOCH Calc COE Calc'!$C$28)</f>
        <v/>
      </c>
    </row>
    <row r="2858" spans="12:23" x14ac:dyDescent="0.25">
      <c r="L2858" s="4" t="str">
        <f>IF('[1]All Data '!BE2863="","",'[1]All Data '!BE2863)</f>
        <v/>
      </c>
      <c r="M2858" t="str">
        <f>IF('[1]All Data '!BF2863="","",'[1]All Data '!BF2863)</f>
        <v/>
      </c>
      <c r="N2858" s="5" t="str">
        <f>IF('[1]All Data '!BB2863="","",'[1]All Data '!BC2863/'[1]All Data '!BH2863)</f>
        <v/>
      </c>
      <c r="O2858" s="5" t="str">
        <f t="shared" si="47"/>
        <v/>
      </c>
      <c r="P2858" s="5" t="str">
        <f>IF(M2858="","",$C$2*(1-L2858)*907.2/0.621371*N2858*[1]Transportation!$M$40)</f>
        <v/>
      </c>
      <c r="Q2858" s="5" t="str">
        <f>IF(L2858="","",IF([1]Inputs_Outputs!$B$5="Herbaceous",(LCA!$E$29*'[1]LOCH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8" s="5" t="str">
        <f>IF(M2858="","",$E$2*1000*'[1]LOCH Calc COE Calc'!$C$44)</f>
        <v/>
      </c>
      <c r="S2858" s="6" t="str">
        <f>IF(N2858="","",SUM(O2858:R2858)/('[1]LOCH Calc COE Calc'!$C$28))</f>
        <v/>
      </c>
      <c r="T2858" t="str">
        <f>IF(L2858="","",O2858/'[1]LOCH Calc COE Calc'!$C$28)</f>
        <v/>
      </c>
      <c r="U2858" t="str">
        <f>IF(L2858="","",P2858/'[1]LOCH Calc COE Calc'!$C$28)</f>
        <v/>
      </c>
      <c r="V2858" t="str">
        <f>IF(L2858="","",Q2858/'[1]LOCH Calc COE Calc'!$C$28)</f>
        <v/>
      </c>
      <c r="W2858" t="str">
        <f>IF(L2858="","",R2858/'[1]LOCH Calc COE Calc'!$C$28)</f>
        <v/>
      </c>
    </row>
    <row r="2859" spans="12:23" x14ac:dyDescent="0.25">
      <c r="L2859" s="4" t="str">
        <f>IF('[1]All Data '!BE2864="","",'[1]All Data '!BE2864)</f>
        <v/>
      </c>
      <c r="M2859" t="str">
        <f>IF('[1]All Data '!BF2864="","",'[1]All Data '!BF2864)</f>
        <v/>
      </c>
      <c r="N2859" s="5" t="str">
        <f>IF('[1]All Data '!BB2864="","",'[1]All Data '!BC2864/'[1]All Data '!BH2864)</f>
        <v/>
      </c>
      <c r="O2859" s="5" t="str">
        <f t="shared" si="47"/>
        <v/>
      </c>
      <c r="P2859" s="5" t="str">
        <f>IF(M2859="","",$C$2*(1-L2859)*907.2/0.621371*N2859*[1]Transportation!$M$40)</f>
        <v/>
      </c>
      <c r="Q2859" s="5" t="str">
        <f>IF(L2859="","",IF([1]Inputs_Outputs!$B$5="Herbaceous",(LCA!$E$29*'[1]LOCH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59" s="5" t="str">
        <f>IF(M2859="","",$E$2*1000*'[1]LOCH Calc COE Calc'!$C$44)</f>
        <v/>
      </c>
      <c r="S2859" s="6" t="str">
        <f>IF(N2859="","",SUM(O2859:R2859)/('[1]LOCH Calc COE Calc'!$C$28))</f>
        <v/>
      </c>
      <c r="T2859" t="str">
        <f>IF(L2859="","",O2859/'[1]LOCH Calc COE Calc'!$C$28)</f>
        <v/>
      </c>
      <c r="U2859" t="str">
        <f>IF(L2859="","",P2859/'[1]LOCH Calc COE Calc'!$C$28)</f>
        <v/>
      </c>
      <c r="V2859" t="str">
        <f>IF(L2859="","",Q2859/'[1]LOCH Calc COE Calc'!$C$28)</f>
        <v/>
      </c>
      <c r="W2859" t="str">
        <f>IF(L2859="","",R2859/'[1]LOCH Calc COE Calc'!$C$28)</f>
        <v/>
      </c>
    </row>
    <row r="2860" spans="12:23" x14ac:dyDescent="0.25">
      <c r="L2860" s="4" t="str">
        <f>IF('[1]All Data '!BE2865="","",'[1]All Data '!BE2865)</f>
        <v/>
      </c>
      <c r="M2860" t="str">
        <f>IF('[1]All Data '!BF2865="","",'[1]All Data '!BF2865)</f>
        <v/>
      </c>
      <c r="N2860" s="5" t="str">
        <f>IF('[1]All Data '!BB2865="","",'[1]All Data '!BC2865/'[1]All Data '!BH2865)</f>
        <v/>
      </c>
      <c r="O2860" s="5" t="str">
        <f t="shared" si="47"/>
        <v/>
      </c>
      <c r="P2860" s="5" t="str">
        <f>IF(M2860="","",$C$2*(1-L2860)*907.2/0.621371*N2860*[1]Transportation!$M$40)</f>
        <v/>
      </c>
      <c r="Q2860" s="5" t="str">
        <f>IF(L2860="","",IF([1]Inputs_Outputs!$B$5="Herbaceous",(LCA!$E$29*'[1]LOCH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0" s="5" t="str">
        <f>IF(M2860="","",$E$2*1000*'[1]LOCH Calc COE Calc'!$C$44)</f>
        <v/>
      </c>
      <c r="S2860" s="6" t="str">
        <f>IF(N2860="","",SUM(O2860:R2860)/('[1]LOCH Calc COE Calc'!$C$28))</f>
        <v/>
      </c>
      <c r="T2860" t="str">
        <f>IF(L2860="","",O2860/'[1]LOCH Calc COE Calc'!$C$28)</f>
        <v/>
      </c>
      <c r="U2860" t="str">
        <f>IF(L2860="","",P2860/'[1]LOCH Calc COE Calc'!$C$28)</f>
        <v/>
      </c>
      <c r="V2860" t="str">
        <f>IF(L2860="","",Q2860/'[1]LOCH Calc COE Calc'!$C$28)</f>
        <v/>
      </c>
      <c r="W2860" t="str">
        <f>IF(L2860="","",R2860/'[1]LOCH Calc COE Calc'!$C$28)</f>
        <v/>
      </c>
    </row>
    <row r="2861" spans="12:23" x14ac:dyDescent="0.25">
      <c r="L2861" s="4" t="str">
        <f>IF('[1]All Data '!BE2866="","",'[1]All Data '!BE2866)</f>
        <v/>
      </c>
      <c r="M2861" t="str">
        <f>IF('[1]All Data '!BF2866="","",'[1]All Data '!BF2866)</f>
        <v/>
      </c>
      <c r="N2861" s="5" t="str">
        <f>IF('[1]All Data '!BB2866="","",'[1]All Data '!BC2866/'[1]All Data '!BH2866)</f>
        <v/>
      </c>
      <c r="O2861" s="5" t="str">
        <f t="shared" si="47"/>
        <v/>
      </c>
      <c r="P2861" s="5" t="str">
        <f>IF(M2861="","",$C$2*(1-L2861)*907.2/0.621371*N2861*[1]Transportation!$M$40)</f>
        <v/>
      </c>
      <c r="Q2861" s="5" t="str">
        <f>IF(L2861="","",IF([1]Inputs_Outputs!$B$5="Herbaceous",(LCA!$E$29*'[1]LOCH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1" s="5" t="str">
        <f>IF(M2861="","",$E$2*1000*'[1]LOCH Calc COE Calc'!$C$44)</f>
        <v/>
      </c>
      <c r="S2861" s="6" t="str">
        <f>IF(N2861="","",SUM(O2861:R2861)/('[1]LOCH Calc COE Calc'!$C$28))</f>
        <v/>
      </c>
      <c r="T2861" t="str">
        <f>IF(L2861="","",O2861/'[1]LOCH Calc COE Calc'!$C$28)</f>
        <v/>
      </c>
      <c r="U2861" t="str">
        <f>IF(L2861="","",P2861/'[1]LOCH Calc COE Calc'!$C$28)</f>
        <v/>
      </c>
      <c r="V2861" t="str">
        <f>IF(L2861="","",Q2861/'[1]LOCH Calc COE Calc'!$C$28)</f>
        <v/>
      </c>
      <c r="W2861" t="str">
        <f>IF(L2861="","",R2861/'[1]LOCH Calc COE Calc'!$C$28)</f>
        <v/>
      </c>
    </row>
    <row r="2862" spans="12:23" x14ac:dyDescent="0.25">
      <c r="L2862" s="4" t="str">
        <f>IF('[1]All Data '!BE2867="","",'[1]All Data '!BE2867)</f>
        <v/>
      </c>
      <c r="M2862" t="str">
        <f>IF('[1]All Data '!BF2867="","",'[1]All Data '!BF2867)</f>
        <v/>
      </c>
      <c r="N2862" s="5" t="str">
        <f>IF('[1]All Data '!BB2867="","",'[1]All Data '!BC2867/'[1]All Data '!BH2867)</f>
        <v/>
      </c>
      <c r="O2862" s="5" t="str">
        <f t="shared" si="47"/>
        <v/>
      </c>
      <c r="P2862" s="5" t="str">
        <f>IF(M2862="","",$C$2*(1-L2862)*907.2/0.621371*N2862*[1]Transportation!$M$40)</f>
        <v/>
      </c>
      <c r="Q2862" s="5" t="str">
        <f>IF(L2862="","",IF([1]Inputs_Outputs!$B$5="Herbaceous",(LCA!$E$29*'[1]LOCH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2" s="5" t="str">
        <f>IF(M2862="","",$E$2*1000*'[1]LOCH Calc COE Calc'!$C$44)</f>
        <v/>
      </c>
      <c r="S2862" s="6" t="str">
        <f>IF(N2862="","",SUM(O2862:R2862)/('[1]LOCH Calc COE Calc'!$C$28))</f>
        <v/>
      </c>
      <c r="T2862" t="str">
        <f>IF(L2862="","",O2862/'[1]LOCH Calc COE Calc'!$C$28)</f>
        <v/>
      </c>
      <c r="U2862" t="str">
        <f>IF(L2862="","",P2862/'[1]LOCH Calc COE Calc'!$C$28)</f>
        <v/>
      </c>
      <c r="V2862" t="str">
        <f>IF(L2862="","",Q2862/'[1]LOCH Calc COE Calc'!$C$28)</f>
        <v/>
      </c>
      <c r="W2862" t="str">
        <f>IF(L2862="","",R2862/'[1]LOCH Calc COE Calc'!$C$28)</f>
        <v/>
      </c>
    </row>
    <row r="2863" spans="12:23" x14ac:dyDescent="0.25">
      <c r="L2863" s="4" t="str">
        <f>IF('[1]All Data '!BE2868="","",'[1]All Data '!BE2868)</f>
        <v/>
      </c>
      <c r="M2863" t="str">
        <f>IF('[1]All Data '!BF2868="","",'[1]All Data '!BF2868)</f>
        <v/>
      </c>
      <c r="N2863" s="5" t="str">
        <f>IF('[1]All Data '!BB2868="","",'[1]All Data '!BC2868/'[1]All Data '!BH2868)</f>
        <v/>
      </c>
      <c r="O2863" s="5" t="str">
        <f t="shared" si="47"/>
        <v/>
      </c>
      <c r="P2863" s="5" t="str">
        <f>IF(M2863="","",$C$2*(1-L2863)*907.2/0.621371*N2863*[1]Transportation!$M$40)</f>
        <v/>
      </c>
      <c r="Q2863" s="5" t="str">
        <f>IF(L2863="","",IF([1]Inputs_Outputs!$B$5="Herbaceous",(LCA!$E$29*'[1]LOCH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3" s="5" t="str">
        <f>IF(M2863="","",$E$2*1000*'[1]LOCH Calc COE Calc'!$C$44)</f>
        <v/>
      </c>
      <c r="S2863" s="6" t="str">
        <f>IF(N2863="","",SUM(O2863:R2863)/('[1]LOCH Calc COE Calc'!$C$28))</f>
        <v/>
      </c>
      <c r="T2863" t="str">
        <f>IF(L2863="","",O2863/'[1]LOCH Calc COE Calc'!$C$28)</f>
        <v/>
      </c>
      <c r="U2863" t="str">
        <f>IF(L2863="","",P2863/'[1]LOCH Calc COE Calc'!$C$28)</f>
        <v/>
      </c>
      <c r="V2863" t="str">
        <f>IF(L2863="","",Q2863/'[1]LOCH Calc COE Calc'!$C$28)</f>
        <v/>
      </c>
      <c r="W2863" t="str">
        <f>IF(L2863="","",R2863/'[1]LOCH Calc COE Calc'!$C$28)</f>
        <v/>
      </c>
    </row>
    <row r="2864" spans="12:23" x14ac:dyDescent="0.25">
      <c r="L2864" s="4" t="str">
        <f>IF('[1]All Data '!BE2869="","",'[1]All Data '!BE2869)</f>
        <v/>
      </c>
      <c r="M2864" t="str">
        <f>IF('[1]All Data '!BF2869="","",'[1]All Data '!BF2869)</f>
        <v/>
      </c>
      <c r="N2864" s="5" t="str">
        <f>IF('[1]All Data '!BB2869="","",'[1]All Data '!BC2869/'[1]All Data '!BH2869)</f>
        <v/>
      </c>
      <c r="O2864" s="5" t="str">
        <f t="shared" si="47"/>
        <v/>
      </c>
      <c r="P2864" s="5" t="str">
        <f>IF(M2864="","",$C$2*(1-L2864)*907.2/0.621371*N2864*[1]Transportation!$M$40)</f>
        <v/>
      </c>
      <c r="Q2864" s="5" t="str">
        <f>IF(L2864="","",IF([1]Inputs_Outputs!$B$5="Herbaceous",(LCA!$E$29*'[1]LOCH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4" s="5" t="str">
        <f>IF(M2864="","",$E$2*1000*'[1]LOCH Calc COE Calc'!$C$44)</f>
        <v/>
      </c>
      <c r="S2864" s="6" t="str">
        <f>IF(N2864="","",SUM(O2864:R2864)/('[1]LOCH Calc COE Calc'!$C$28))</f>
        <v/>
      </c>
      <c r="T2864" t="str">
        <f>IF(L2864="","",O2864/'[1]LOCH Calc COE Calc'!$C$28)</f>
        <v/>
      </c>
      <c r="U2864" t="str">
        <f>IF(L2864="","",P2864/'[1]LOCH Calc COE Calc'!$C$28)</f>
        <v/>
      </c>
      <c r="V2864" t="str">
        <f>IF(L2864="","",Q2864/'[1]LOCH Calc COE Calc'!$C$28)</f>
        <v/>
      </c>
      <c r="W2864" t="str">
        <f>IF(L2864="","",R2864/'[1]LOCH Calc COE Calc'!$C$28)</f>
        <v/>
      </c>
    </row>
    <row r="2865" spans="12:23" x14ac:dyDescent="0.25">
      <c r="L2865" s="4" t="str">
        <f>IF('[1]All Data '!BE2870="","",'[1]All Data '!BE2870)</f>
        <v/>
      </c>
      <c r="M2865" t="str">
        <f>IF('[1]All Data '!BF2870="","",'[1]All Data '!BF2870)</f>
        <v/>
      </c>
      <c r="N2865" s="5" t="str">
        <f>IF('[1]All Data '!BB2870="","",'[1]All Data '!BC2870/'[1]All Data '!BH2870)</f>
        <v/>
      </c>
      <c r="O2865" s="5" t="str">
        <f t="shared" si="47"/>
        <v/>
      </c>
      <c r="P2865" s="5" t="str">
        <f>IF(M2865="","",$C$2*(1-L2865)*907.2/0.621371*N2865*[1]Transportation!$M$40)</f>
        <v/>
      </c>
      <c r="Q2865" s="5" t="str">
        <f>IF(L2865="","",IF([1]Inputs_Outputs!$B$5="Herbaceous",(LCA!$E$29*'[1]LOCH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5" s="5" t="str">
        <f>IF(M2865="","",$E$2*1000*'[1]LOCH Calc COE Calc'!$C$44)</f>
        <v/>
      </c>
      <c r="S2865" s="6" t="str">
        <f>IF(N2865="","",SUM(O2865:R2865)/('[1]LOCH Calc COE Calc'!$C$28))</f>
        <v/>
      </c>
      <c r="T2865" t="str">
        <f>IF(L2865="","",O2865/'[1]LOCH Calc COE Calc'!$C$28)</f>
        <v/>
      </c>
      <c r="U2865" t="str">
        <f>IF(L2865="","",P2865/'[1]LOCH Calc COE Calc'!$C$28)</f>
        <v/>
      </c>
      <c r="V2865" t="str">
        <f>IF(L2865="","",Q2865/'[1]LOCH Calc COE Calc'!$C$28)</f>
        <v/>
      </c>
      <c r="W2865" t="str">
        <f>IF(L2865="","",R2865/'[1]LOCH Calc COE Calc'!$C$28)</f>
        <v/>
      </c>
    </row>
    <row r="2866" spans="12:23" x14ac:dyDescent="0.25">
      <c r="L2866" s="4" t="str">
        <f>IF('[1]All Data '!BE2871="","",'[1]All Data '!BE2871)</f>
        <v/>
      </c>
      <c r="M2866" t="str">
        <f>IF('[1]All Data '!BF2871="","",'[1]All Data '!BF2871)</f>
        <v/>
      </c>
      <c r="N2866" s="5" t="str">
        <f>IF('[1]All Data '!BB2871="","",'[1]All Data '!BC2871/'[1]All Data '!BH2871)</f>
        <v/>
      </c>
      <c r="O2866" s="5" t="str">
        <f t="shared" si="47"/>
        <v/>
      </c>
      <c r="P2866" s="5" t="str">
        <f>IF(M2866="","",$C$2*(1-L2866)*907.2/0.621371*N2866*[1]Transportation!$M$40)</f>
        <v/>
      </c>
      <c r="Q2866" s="5" t="str">
        <f>IF(L2866="","",IF([1]Inputs_Outputs!$B$5="Herbaceous",(LCA!$E$29*'[1]LOCH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6" s="5" t="str">
        <f>IF(M2866="","",$E$2*1000*'[1]LOCH Calc COE Calc'!$C$44)</f>
        <v/>
      </c>
      <c r="S2866" s="6" t="str">
        <f>IF(N2866="","",SUM(O2866:R2866)/('[1]LOCH Calc COE Calc'!$C$28))</f>
        <v/>
      </c>
      <c r="T2866" t="str">
        <f>IF(L2866="","",O2866/'[1]LOCH Calc COE Calc'!$C$28)</f>
        <v/>
      </c>
      <c r="U2866" t="str">
        <f>IF(L2866="","",P2866/'[1]LOCH Calc COE Calc'!$C$28)</f>
        <v/>
      </c>
      <c r="V2866" t="str">
        <f>IF(L2866="","",Q2866/'[1]LOCH Calc COE Calc'!$C$28)</f>
        <v/>
      </c>
      <c r="W2866" t="str">
        <f>IF(L2866="","",R2866/'[1]LOCH Calc COE Calc'!$C$28)</f>
        <v/>
      </c>
    </row>
    <row r="2867" spans="12:23" x14ac:dyDescent="0.25">
      <c r="L2867" s="4" t="str">
        <f>IF('[1]All Data '!BE2872="","",'[1]All Data '!BE2872)</f>
        <v/>
      </c>
      <c r="M2867" t="str">
        <f>IF('[1]All Data '!BF2872="","",'[1]All Data '!BF2872)</f>
        <v/>
      </c>
      <c r="N2867" s="5" t="str">
        <f>IF('[1]All Data '!BB2872="","",'[1]All Data '!BC2872/'[1]All Data '!BH2872)</f>
        <v/>
      </c>
      <c r="O2867" s="5" t="str">
        <f t="shared" si="47"/>
        <v/>
      </c>
      <c r="P2867" s="5" t="str">
        <f>IF(M2867="","",$C$2*(1-L2867)*907.2/0.621371*N2867*[1]Transportation!$M$40)</f>
        <v/>
      </c>
      <c r="Q2867" s="5" t="str">
        <f>IF(L2867="","",IF([1]Inputs_Outputs!$B$5="Herbaceous",(LCA!$E$29*'[1]LOCH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7" s="5" t="str">
        <f>IF(M2867="","",$E$2*1000*'[1]LOCH Calc COE Calc'!$C$44)</f>
        <v/>
      </c>
      <c r="S2867" s="6" t="str">
        <f>IF(N2867="","",SUM(O2867:R2867)/('[1]LOCH Calc COE Calc'!$C$28))</f>
        <v/>
      </c>
      <c r="T2867" t="str">
        <f>IF(L2867="","",O2867/'[1]LOCH Calc COE Calc'!$C$28)</f>
        <v/>
      </c>
      <c r="U2867" t="str">
        <f>IF(L2867="","",P2867/'[1]LOCH Calc COE Calc'!$C$28)</f>
        <v/>
      </c>
      <c r="V2867" t="str">
        <f>IF(L2867="","",Q2867/'[1]LOCH Calc COE Calc'!$C$28)</f>
        <v/>
      </c>
      <c r="W2867" t="str">
        <f>IF(L2867="","",R2867/'[1]LOCH Calc COE Calc'!$C$28)</f>
        <v/>
      </c>
    </row>
    <row r="2868" spans="12:23" x14ac:dyDescent="0.25">
      <c r="L2868" s="4" t="str">
        <f>IF('[1]All Data '!BE2873="","",'[1]All Data '!BE2873)</f>
        <v/>
      </c>
      <c r="M2868" t="str">
        <f>IF('[1]All Data '!BF2873="","",'[1]All Data '!BF2873)</f>
        <v/>
      </c>
      <c r="N2868" s="5" t="str">
        <f>IF('[1]All Data '!BB2873="","",'[1]All Data '!BC2873/'[1]All Data '!BH2873)</f>
        <v/>
      </c>
      <c r="O2868" s="5" t="str">
        <f t="shared" si="47"/>
        <v/>
      </c>
      <c r="P2868" s="5" t="str">
        <f>IF(M2868="","",$C$2*(1-L2868)*907.2/0.621371*N2868*[1]Transportation!$M$40)</f>
        <v/>
      </c>
      <c r="Q2868" s="5" t="str">
        <f>IF(L2868="","",IF([1]Inputs_Outputs!$B$5="Herbaceous",(LCA!$E$29*'[1]LOCH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8" s="5" t="str">
        <f>IF(M2868="","",$E$2*1000*'[1]LOCH Calc COE Calc'!$C$44)</f>
        <v/>
      </c>
      <c r="S2868" s="6" t="str">
        <f>IF(N2868="","",SUM(O2868:R2868)/('[1]LOCH Calc COE Calc'!$C$28))</f>
        <v/>
      </c>
      <c r="T2868" t="str">
        <f>IF(L2868="","",O2868/'[1]LOCH Calc COE Calc'!$C$28)</f>
        <v/>
      </c>
      <c r="U2868" t="str">
        <f>IF(L2868="","",P2868/'[1]LOCH Calc COE Calc'!$C$28)</f>
        <v/>
      </c>
      <c r="V2868" t="str">
        <f>IF(L2868="","",Q2868/'[1]LOCH Calc COE Calc'!$C$28)</f>
        <v/>
      </c>
      <c r="W2868" t="str">
        <f>IF(L2868="","",R2868/'[1]LOCH Calc COE Calc'!$C$28)</f>
        <v/>
      </c>
    </row>
    <row r="2869" spans="12:23" x14ac:dyDescent="0.25">
      <c r="L2869" s="4" t="str">
        <f>IF('[1]All Data '!BE2874="","",'[1]All Data '!BE2874)</f>
        <v/>
      </c>
      <c r="M2869" t="str">
        <f>IF('[1]All Data '!BF2874="","",'[1]All Data '!BF2874)</f>
        <v/>
      </c>
      <c r="N2869" s="5" t="str">
        <f>IF('[1]All Data '!BB2874="","",'[1]All Data '!BC2874/'[1]All Data '!BH2874)</f>
        <v/>
      </c>
      <c r="O2869" s="5" t="str">
        <f t="shared" si="47"/>
        <v/>
      </c>
      <c r="P2869" s="5" t="str">
        <f>IF(M2869="","",$C$2*(1-L2869)*907.2/0.621371*N2869*[1]Transportation!$M$40)</f>
        <v/>
      </c>
      <c r="Q2869" s="5" t="str">
        <f>IF(L2869="","",IF([1]Inputs_Outputs!$B$5="Herbaceous",(LCA!$E$29*'[1]LOCH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69" s="5" t="str">
        <f>IF(M2869="","",$E$2*1000*'[1]LOCH Calc COE Calc'!$C$44)</f>
        <v/>
      </c>
      <c r="S2869" s="6" t="str">
        <f>IF(N2869="","",SUM(O2869:R2869)/('[1]LOCH Calc COE Calc'!$C$28))</f>
        <v/>
      </c>
      <c r="T2869" t="str">
        <f>IF(L2869="","",O2869/'[1]LOCH Calc COE Calc'!$C$28)</f>
        <v/>
      </c>
      <c r="U2869" t="str">
        <f>IF(L2869="","",P2869/'[1]LOCH Calc COE Calc'!$C$28)</f>
        <v/>
      </c>
      <c r="V2869" t="str">
        <f>IF(L2869="","",Q2869/'[1]LOCH Calc COE Calc'!$C$28)</f>
        <v/>
      </c>
      <c r="W2869" t="str">
        <f>IF(L2869="","",R2869/'[1]LOCH Calc COE Calc'!$C$28)</f>
        <v/>
      </c>
    </row>
    <row r="2870" spans="12:23" x14ac:dyDescent="0.25">
      <c r="L2870" s="4" t="str">
        <f>IF('[1]All Data '!BE2875="","",'[1]All Data '!BE2875)</f>
        <v/>
      </c>
      <c r="M2870" t="str">
        <f>IF('[1]All Data '!BF2875="","",'[1]All Data '!BF2875)</f>
        <v/>
      </c>
      <c r="N2870" s="5" t="str">
        <f>IF('[1]All Data '!BB2875="","",'[1]All Data '!BC2875/'[1]All Data '!BH2875)</f>
        <v/>
      </c>
      <c r="O2870" s="5" t="str">
        <f t="shared" si="47"/>
        <v/>
      </c>
      <c r="P2870" s="5" t="str">
        <f>IF(M2870="","",$C$2*(1-L2870)*907.2/0.621371*N2870*[1]Transportation!$M$40)</f>
        <v/>
      </c>
      <c r="Q2870" s="5" t="str">
        <f>IF(L2870="","",IF([1]Inputs_Outputs!$B$5="Herbaceous",(LCA!$E$29*'[1]LOCH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0" s="5" t="str">
        <f>IF(M2870="","",$E$2*1000*'[1]LOCH Calc COE Calc'!$C$44)</f>
        <v/>
      </c>
      <c r="S2870" s="6" t="str">
        <f>IF(N2870="","",SUM(O2870:R2870)/('[1]LOCH Calc COE Calc'!$C$28))</f>
        <v/>
      </c>
      <c r="T2870" t="str">
        <f>IF(L2870="","",O2870/'[1]LOCH Calc COE Calc'!$C$28)</f>
        <v/>
      </c>
      <c r="U2870" t="str">
        <f>IF(L2870="","",P2870/'[1]LOCH Calc COE Calc'!$C$28)</f>
        <v/>
      </c>
      <c r="V2870" t="str">
        <f>IF(L2870="","",Q2870/'[1]LOCH Calc COE Calc'!$C$28)</f>
        <v/>
      </c>
      <c r="W2870" t="str">
        <f>IF(L2870="","",R2870/'[1]LOCH Calc COE Calc'!$C$28)</f>
        <v/>
      </c>
    </row>
    <row r="2871" spans="12:23" x14ac:dyDescent="0.25">
      <c r="L2871" s="4" t="str">
        <f>IF('[1]All Data '!BE2876="","",'[1]All Data '!BE2876)</f>
        <v/>
      </c>
      <c r="M2871" t="str">
        <f>IF('[1]All Data '!BF2876="","",'[1]All Data '!BF2876)</f>
        <v/>
      </c>
      <c r="N2871" s="5" t="str">
        <f>IF('[1]All Data '!BB2876="","",'[1]All Data '!BC2876/'[1]All Data '!BH2876)</f>
        <v/>
      </c>
      <c r="O2871" s="5" t="str">
        <f t="shared" si="47"/>
        <v/>
      </c>
      <c r="P2871" s="5" t="str">
        <f>IF(M2871="","",$C$2*(1-L2871)*907.2/0.621371*N2871*[1]Transportation!$M$40)</f>
        <v/>
      </c>
      <c r="Q2871" s="5" t="str">
        <f>IF(L2871="","",IF([1]Inputs_Outputs!$B$5="Herbaceous",(LCA!$E$29*'[1]LOCH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1" s="5" t="str">
        <f>IF(M2871="","",$E$2*1000*'[1]LOCH Calc COE Calc'!$C$44)</f>
        <v/>
      </c>
      <c r="S2871" s="6" t="str">
        <f>IF(N2871="","",SUM(O2871:R2871)/('[1]LOCH Calc COE Calc'!$C$28))</f>
        <v/>
      </c>
      <c r="T2871" t="str">
        <f>IF(L2871="","",O2871/'[1]LOCH Calc COE Calc'!$C$28)</f>
        <v/>
      </c>
      <c r="U2871" t="str">
        <f>IF(L2871="","",P2871/'[1]LOCH Calc COE Calc'!$C$28)</f>
        <v/>
      </c>
      <c r="V2871" t="str">
        <f>IF(L2871="","",Q2871/'[1]LOCH Calc COE Calc'!$C$28)</f>
        <v/>
      </c>
      <c r="W2871" t="str">
        <f>IF(L2871="","",R2871/'[1]LOCH Calc COE Calc'!$C$28)</f>
        <v/>
      </c>
    </row>
    <row r="2872" spans="12:23" x14ac:dyDescent="0.25">
      <c r="L2872" s="4" t="str">
        <f>IF('[1]All Data '!BE2877="","",'[1]All Data '!BE2877)</f>
        <v/>
      </c>
      <c r="M2872" t="str">
        <f>IF('[1]All Data '!BF2877="","",'[1]All Data '!BF2877)</f>
        <v/>
      </c>
      <c r="N2872" s="5" t="str">
        <f>IF('[1]All Data '!BB2877="","",'[1]All Data '!BC2877/'[1]All Data '!BH2877)</f>
        <v/>
      </c>
      <c r="O2872" s="5" t="str">
        <f t="shared" si="47"/>
        <v/>
      </c>
      <c r="P2872" s="5" t="str">
        <f>IF(M2872="","",$C$2*(1-L2872)*907.2/0.621371*N2872*[1]Transportation!$M$40)</f>
        <v/>
      </c>
      <c r="Q2872" s="5" t="str">
        <f>IF(L2872="","",IF([1]Inputs_Outputs!$B$5="Herbaceous",(LCA!$E$29*'[1]LOCH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2" s="5" t="str">
        <f>IF(M2872="","",$E$2*1000*'[1]LOCH Calc COE Calc'!$C$44)</f>
        <v/>
      </c>
      <c r="S2872" s="6" t="str">
        <f>IF(N2872="","",SUM(O2872:R2872)/('[1]LOCH Calc COE Calc'!$C$28))</f>
        <v/>
      </c>
      <c r="T2872" t="str">
        <f>IF(L2872="","",O2872/'[1]LOCH Calc COE Calc'!$C$28)</f>
        <v/>
      </c>
      <c r="U2872" t="str">
        <f>IF(L2872="","",P2872/'[1]LOCH Calc COE Calc'!$C$28)</f>
        <v/>
      </c>
      <c r="V2872" t="str">
        <f>IF(L2872="","",Q2872/'[1]LOCH Calc COE Calc'!$C$28)</f>
        <v/>
      </c>
      <c r="W2872" t="str">
        <f>IF(L2872="","",R2872/'[1]LOCH Calc COE Calc'!$C$28)</f>
        <v/>
      </c>
    </row>
    <row r="2873" spans="12:23" x14ac:dyDescent="0.25">
      <c r="L2873" s="4" t="str">
        <f>IF('[1]All Data '!BE2878="","",'[1]All Data '!BE2878)</f>
        <v/>
      </c>
      <c r="M2873" t="str">
        <f>IF('[1]All Data '!BF2878="","",'[1]All Data '!BF2878)</f>
        <v/>
      </c>
      <c r="N2873" s="5" t="str">
        <f>IF('[1]All Data '!BB2878="","",'[1]All Data '!BC2878/'[1]All Data '!BH2878)</f>
        <v/>
      </c>
      <c r="O2873" s="5" t="str">
        <f t="shared" si="47"/>
        <v/>
      </c>
      <c r="P2873" s="5" t="str">
        <f>IF(M2873="","",$C$2*(1-L2873)*907.2/0.621371*N2873*[1]Transportation!$M$40)</f>
        <v/>
      </c>
      <c r="Q2873" s="5" t="str">
        <f>IF(L2873="","",IF([1]Inputs_Outputs!$B$5="Herbaceous",(LCA!$E$29*'[1]LOCH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3" s="5" t="str">
        <f>IF(M2873="","",$E$2*1000*'[1]LOCH Calc COE Calc'!$C$44)</f>
        <v/>
      </c>
      <c r="S2873" s="6" t="str">
        <f>IF(N2873="","",SUM(O2873:R2873)/('[1]LOCH Calc COE Calc'!$C$28))</f>
        <v/>
      </c>
      <c r="T2873" t="str">
        <f>IF(L2873="","",O2873/'[1]LOCH Calc COE Calc'!$C$28)</f>
        <v/>
      </c>
      <c r="U2873" t="str">
        <f>IF(L2873="","",P2873/'[1]LOCH Calc COE Calc'!$C$28)</f>
        <v/>
      </c>
      <c r="V2873" t="str">
        <f>IF(L2873="","",Q2873/'[1]LOCH Calc COE Calc'!$C$28)</f>
        <v/>
      </c>
      <c r="W2873" t="str">
        <f>IF(L2873="","",R2873/'[1]LOCH Calc COE Calc'!$C$28)</f>
        <v/>
      </c>
    </row>
    <row r="2874" spans="12:23" x14ac:dyDescent="0.25">
      <c r="L2874" s="4" t="str">
        <f>IF('[1]All Data '!BE2879="","",'[1]All Data '!BE2879)</f>
        <v/>
      </c>
      <c r="M2874" t="str">
        <f>IF('[1]All Data '!BF2879="","",'[1]All Data '!BF2879)</f>
        <v/>
      </c>
      <c r="N2874" s="5" t="str">
        <f>IF('[1]All Data '!BB2879="","",'[1]All Data '!BC2879/'[1]All Data '!BH2879)</f>
        <v/>
      </c>
      <c r="O2874" s="5" t="str">
        <f t="shared" si="47"/>
        <v/>
      </c>
      <c r="P2874" s="5" t="str">
        <f>IF(M2874="","",$C$2*(1-L2874)*907.2/0.621371*N2874*[1]Transportation!$M$40)</f>
        <v/>
      </c>
      <c r="Q2874" s="5" t="str">
        <f>IF(L2874="","",IF([1]Inputs_Outputs!$B$5="Herbaceous",(LCA!$E$29*'[1]LOCH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4" s="5" t="str">
        <f>IF(M2874="","",$E$2*1000*'[1]LOCH Calc COE Calc'!$C$44)</f>
        <v/>
      </c>
      <c r="S2874" s="6" t="str">
        <f>IF(N2874="","",SUM(O2874:R2874)/('[1]LOCH Calc COE Calc'!$C$28))</f>
        <v/>
      </c>
      <c r="T2874" t="str">
        <f>IF(L2874="","",O2874/'[1]LOCH Calc COE Calc'!$C$28)</f>
        <v/>
      </c>
      <c r="U2874" t="str">
        <f>IF(L2874="","",P2874/'[1]LOCH Calc COE Calc'!$C$28)</f>
        <v/>
      </c>
      <c r="V2874" t="str">
        <f>IF(L2874="","",Q2874/'[1]LOCH Calc COE Calc'!$C$28)</f>
        <v/>
      </c>
      <c r="W2874" t="str">
        <f>IF(L2874="","",R2874/'[1]LOCH Calc COE Calc'!$C$28)</f>
        <v/>
      </c>
    </row>
    <row r="2875" spans="12:23" x14ac:dyDescent="0.25">
      <c r="L2875" s="4" t="str">
        <f>IF('[1]All Data '!BE2880="","",'[1]All Data '!BE2880)</f>
        <v/>
      </c>
      <c r="M2875" t="str">
        <f>IF('[1]All Data '!BF2880="","",'[1]All Data '!BF2880)</f>
        <v/>
      </c>
      <c r="N2875" s="5" t="str">
        <f>IF('[1]All Data '!BB2880="","",'[1]All Data '!BC2880/'[1]All Data '!BH2880)</f>
        <v/>
      </c>
      <c r="O2875" s="5" t="str">
        <f t="shared" si="47"/>
        <v/>
      </c>
      <c r="P2875" s="5" t="str">
        <f>IF(M2875="","",$C$2*(1-L2875)*907.2/0.621371*N2875*[1]Transportation!$M$40)</f>
        <v/>
      </c>
      <c r="Q2875" s="5" t="str">
        <f>IF(L2875="","",IF([1]Inputs_Outputs!$B$5="Herbaceous",(LCA!$E$29*'[1]LOCH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5" s="5" t="str">
        <f>IF(M2875="","",$E$2*1000*'[1]LOCH Calc COE Calc'!$C$44)</f>
        <v/>
      </c>
      <c r="S2875" s="6" t="str">
        <f>IF(N2875="","",SUM(O2875:R2875)/('[1]LOCH Calc COE Calc'!$C$28))</f>
        <v/>
      </c>
      <c r="T2875" t="str">
        <f>IF(L2875="","",O2875/'[1]LOCH Calc COE Calc'!$C$28)</f>
        <v/>
      </c>
      <c r="U2875" t="str">
        <f>IF(L2875="","",P2875/'[1]LOCH Calc COE Calc'!$C$28)</f>
        <v/>
      </c>
      <c r="V2875" t="str">
        <f>IF(L2875="","",Q2875/'[1]LOCH Calc COE Calc'!$C$28)</f>
        <v/>
      </c>
      <c r="W2875" t="str">
        <f>IF(L2875="","",R2875/'[1]LOCH Calc COE Calc'!$C$28)</f>
        <v/>
      </c>
    </row>
    <row r="2876" spans="12:23" x14ac:dyDescent="0.25">
      <c r="L2876" s="4" t="str">
        <f>IF('[1]All Data '!BE2881="","",'[1]All Data '!BE2881)</f>
        <v/>
      </c>
      <c r="M2876" t="str">
        <f>IF('[1]All Data '!BF2881="","",'[1]All Data '!BF2881)</f>
        <v/>
      </c>
      <c r="N2876" s="5" t="str">
        <f>IF('[1]All Data '!BB2881="","",'[1]All Data '!BC2881/'[1]All Data '!BH2881)</f>
        <v/>
      </c>
      <c r="O2876" s="5" t="str">
        <f t="shared" si="47"/>
        <v/>
      </c>
      <c r="P2876" s="5" t="str">
        <f>IF(M2876="","",$C$2*(1-L2876)*907.2/0.621371*N2876*[1]Transportation!$M$40)</f>
        <v/>
      </c>
      <c r="Q2876" s="5" t="str">
        <f>IF(L2876="","",IF([1]Inputs_Outputs!$B$5="Herbaceous",(LCA!$E$29*'[1]LOCH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6" s="5" t="str">
        <f>IF(M2876="","",$E$2*1000*'[1]LOCH Calc COE Calc'!$C$44)</f>
        <v/>
      </c>
      <c r="S2876" s="6" t="str">
        <f>IF(N2876="","",SUM(O2876:R2876)/('[1]LOCH Calc COE Calc'!$C$28))</f>
        <v/>
      </c>
      <c r="T2876" t="str">
        <f>IF(L2876="","",O2876/'[1]LOCH Calc COE Calc'!$C$28)</f>
        <v/>
      </c>
      <c r="U2876" t="str">
        <f>IF(L2876="","",P2876/'[1]LOCH Calc COE Calc'!$C$28)</f>
        <v/>
      </c>
      <c r="V2876" t="str">
        <f>IF(L2876="","",Q2876/'[1]LOCH Calc COE Calc'!$C$28)</f>
        <v/>
      </c>
      <c r="W2876" t="str">
        <f>IF(L2876="","",R2876/'[1]LOCH Calc COE Calc'!$C$28)</f>
        <v/>
      </c>
    </row>
    <row r="2877" spans="12:23" x14ac:dyDescent="0.25">
      <c r="L2877" s="4" t="str">
        <f>IF('[1]All Data '!BE2882="","",'[1]All Data '!BE2882)</f>
        <v/>
      </c>
      <c r="M2877" t="str">
        <f>IF('[1]All Data '!BF2882="","",'[1]All Data '!BF2882)</f>
        <v/>
      </c>
      <c r="N2877" s="5" t="str">
        <f>IF('[1]All Data '!BB2882="","",'[1]All Data '!BC2882/'[1]All Data '!BH2882)</f>
        <v/>
      </c>
      <c r="O2877" s="5" t="str">
        <f t="shared" si="47"/>
        <v/>
      </c>
      <c r="P2877" s="5" t="str">
        <f>IF(M2877="","",$C$2*(1-L2877)*907.2/0.621371*N2877*[1]Transportation!$M$40)</f>
        <v/>
      </c>
      <c r="Q2877" s="5" t="str">
        <f>IF(L2877="","",IF([1]Inputs_Outputs!$B$5="Herbaceous",(LCA!$E$29*'[1]LOCH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7" s="5" t="str">
        <f>IF(M2877="","",$E$2*1000*'[1]LOCH Calc COE Calc'!$C$44)</f>
        <v/>
      </c>
      <c r="S2877" s="6" t="str">
        <f>IF(N2877="","",SUM(O2877:R2877)/('[1]LOCH Calc COE Calc'!$C$28))</f>
        <v/>
      </c>
      <c r="T2877" t="str">
        <f>IF(L2877="","",O2877/'[1]LOCH Calc COE Calc'!$C$28)</f>
        <v/>
      </c>
      <c r="U2877" t="str">
        <f>IF(L2877="","",P2877/'[1]LOCH Calc COE Calc'!$C$28)</f>
        <v/>
      </c>
      <c r="V2877" t="str">
        <f>IF(L2877="","",Q2877/'[1]LOCH Calc COE Calc'!$C$28)</f>
        <v/>
      </c>
      <c r="W2877" t="str">
        <f>IF(L2877="","",R2877/'[1]LOCH Calc COE Calc'!$C$28)</f>
        <v/>
      </c>
    </row>
    <row r="2878" spans="12:23" x14ac:dyDescent="0.25">
      <c r="L2878" s="4" t="str">
        <f>IF('[1]All Data '!BE2883="","",'[1]All Data '!BE2883)</f>
        <v/>
      </c>
      <c r="M2878" t="str">
        <f>IF('[1]All Data '!BF2883="","",'[1]All Data '!BF2883)</f>
        <v/>
      </c>
      <c r="N2878" s="5" t="str">
        <f>IF('[1]All Data '!BB2883="","",'[1]All Data '!BC2883/'[1]All Data '!BH2883)</f>
        <v/>
      </c>
      <c r="O2878" s="5" t="str">
        <f t="shared" si="47"/>
        <v/>
      </c>
      <c r="P2878" s="5" t="str">
        <f>IF(M2878="","",$C$2*(1-L2878)*907.2/0.621371*N2878*[1]Transportation!$M$40)</f>
        <v/>
      </c>
      <c r="Q2878" s="5" t="str">
        <f>IF(L2878="","",IF([1]Inputs_Outputs!$B$5="Herbaceous",(LCA!$E$29*'[1]LOCH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8" s="5" t="str">
        <f>IF(M2878="","",$E$2*1000*'[1]LOCH Calc COE Calc'!$C$44)</f>
        <v/>
      </c>
      <c r="S2878" s="6" t="str">
        <f>IF(N2878="","",SUM(O2878:R2878)/('[1]LOCH Calc COE Calc'!$C$28))</f>
        <v/>
      </c>
      <c r="T2878" t="str">
        <f>IF(L2878="","",O2878/'[1]LOCH Calc COE Calc'!$C$28)</f>
        <v/>
      </c>
      <c r="U2878" t="str">
        <f>IF(L2878="","",P2878/'[1]LOCH Calc COE Calc'!$C$28)</f>
        <v/>
      </c>
      <c r="V2878" t="str">
        <f>IF(L2878="","",Q2878/'[1]LOCH Calc COE Calc'!$C$28)</f>
        <v/>
      </c>
      <c r="W2878" t="str">
        <f>IF(L2878="","",R2878/'[1]LOCH Calc COE Calc'!$C$28)</f>
        <v/>
      </c>
    </row>
    <row r="2879" spans="12:23" x14ac:dyDescent="0.25">
      <c r="L2879" s="4" t="str">
        <f>IF('[1]All Data '!BE2884="","",'[1]All Data '!BE2884)</f>
        <v/>
      </c>
      <c r="M2879" t="str">
        <f>IF('[1]All Data '!BF2884="","",'[1]All Data '!BF2884)</f>
        <v/>
      </c>
      <c r="N2879" s="5" t="str">
        <f>IF('[1]All Data '!BB2884="","",'[1]All Data '!BC2884/'[1]All Data '!BH2884)</f>
        <v/>
      </c>
      <c r="O2879" s="5" t="str">
        <f t="shared" si="47"/>
        <v/>
      </c>
      <c r="P2879" s="5" t="str">
        <f>IF(M2879="","",$C$2*(1-L2879)*907.2/0.621371*N2879*[1]Transportation!$M$40)</f>
        <v/>
      </c>
      <c r="Q2879" s="5" t="str">
        <f>IF(L2879="","",IF([1]Inputs_Outputs!$B$5="Herbaceous",(LCA!$E$29*'[1]LOCH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79" s="5" t="str">
        <f>IF(M2879="","",$E$2*1000*'[1]LOCH Calc COE Calc'!$C$44)</f>
        <v/>
      </c>
      <c r="S2879" s="6" t="str">
        <f>IF(N2879="","",SUM(O2879:R2879)/('[1]LOCH Calc COE Calc'!$C$28))</f>
        <v/>
      </c>
      <c r="T2879" t="str">
        <f>IF(L2879="","",O2879/'[1]LOCH Calc COE Calc'!$C$28)</f>
        <v/>
      </c>
      <c r="U2879" t="str">
        <f>IF(L2879="","",P2879/'[1]LOCH Calc COE Calc'!$C$28)</f>
        <v/>
      </c>
      <c r="V2879" t="str">
        <f>IF(L2879="","",Q2879/'[1]LOCH Calc COE Calc'!$C$28)</f>
        <v/>
      </c>
      <c r="W2879" t="str">
        <f>IF(L2879="","",R2879/'[1]LOCH Calc COE Calc'!$C$28)</f>
        <v/>
      </c>
    </row>
    <row r="2880" spans="12:23" x14ac:dyDescent="0.25">
      <c r="L2880" s="4" t="str">
        <f>IF('[1]All Data '!BE2885="","",'[1]All Data '!BE2885)</f>
        <v/>
      </c>
      <c r="M2880" t="str">
        <f>IF('[1]All Data '!BF2885="","",'[1]All Data '!BF2885)</f>
        <v/>
      </c>
      <c r="N2880" s="5" t="str">
        <f>IF('[1]All Data '!BB2885="","",'[1]All Data '!BC2885/'[1]All Data '!BH2885)</f>
        <v/>
      </c>
      <c r="O2880" s="5" t="str">
        <f t="shared" si="47"/>
        <v/>
      </c>
      <c r="P2880" s="5" t="str">
        <f>IF(M2880="","",$C$2*(1-L2880)*907.2/0.621371*N2880*[1]Transportation!$M$40)</f>
        <v/>
      </c>
      <c r="Q2880" s="5" t="str">
        <f>IF(L2880="","",IF([1]Inputs_Outputs!$B$5="Herbaceous",(LCA!$E$29*'[1]LOCH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0" s="5" t="str">
        <f>IF(M2880="","",$E$2*1000*'[1]LOCH Calc COE Calc'!$C$44)</f>
        <v/>
      </c>
      <c r="S2880" s="6" t="str">
        <f>IF(N2880="","",SUM(O2880:R2880)/('[1]LOCH Calc COE Calc'!$C$28))</f>
        <v/>
      </c>
      <c r="T2880" t="str">
        <f>IF(L2880="","",O2880/'[1]LOCH Calc COE Calc'!$C$28)</f>
        <v/>
      </c>
      <c r="U2880" t="str">
        <f>IF(L2880="","",P2880/'[1]LOCH Calc COE Calc'!$C$28)</f>
        <v/>
      </c>
      <c r="V2880" t="str">
        <f>IF(L2880="","",Q2880/'[1]LOCH Calc COE Calc'!$C$28)</f>
        <v/>
      </c>
      <c r="W2880" t="str">
        <f>IF(L2880="","",R2880/'[1]LOCH Calc COE Calc'!$C$28)</f>
        <v/>
      </c>
    </row>
    <row r="2881" spans="12:23" x14ac:dyDescent="0.25">
      <c r="L2881" s="4" t="str">
        <f>IF('[1]All Data '!BE2886="","",'[1]All Data '!BE2886)</f>
        <v/>
      </c>
      <c r="M2881" t="str">
        <f>IF('[1]All Data '!BF2886="","",'[1]All Data '!BF2886)</f>
        <v/>
      </c>
      <c r="N2881" s="5" t="str">
        <f>IF('[1]All Data '!BB2886="","",'[1]All Data '!BC2886/'[1]All Data '!BH2886)</f>
        <v/>
      </c>
      <c r="O2881" s="5" t="str">
        <f t="shared" si="47"/>
        <v/>
      </c>
      <c r="P2881" s="5" t="str">
        <f>IF(M2881="","",$C$2*(1-L2881)*907.2/0.621371*N2881*[1]Transportation!$M$40)</f>
        <v/>
      </c>
      <c r="Q2881" s="5" t="str">
        <f>IF(L2881="","",IF([1]Inputs_Outputs!$B$5="Herbaceous",(LCA!$E$29*'[1]LOCH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1" s="5" t="str">
        <f>IF(M2881="","",$E$2*1000*'[1]LOCH Calc COE Calc'!$C$44)</f>
        <v/>
      </c>
      <c r="S2881" s="6" t="str">
        <f>IF(N2881="","",SUM(O2881:R2881)/('[1]LOCH Calc COE Calc'!$C$28))</f>
        <v/>
      </c>
      <c r="T2881" t="str">
        <f>IF(L2881="","",O2881/'[1]LOCH Calc COE Calc'!$C$28)</f>
        <v/>
      </c>
      <c r="U2881" t="str">
        <f>IF(L2881="","",P2881/'[1]LOCH Calc COE Calc'!$C$28)</f>
        <v/>
      </c>
      <c r="V2881" t="str">
        <f>IF(L2881="","",Q2881/'[1]LOCH Calc COE Calc'!$C$28)</f>
        <v/>
      </c>
      <c r="W2881" t="str">
        <f>IF(L2881="","",R2881/'[1]LOCH Calc COE Calc'!$C$28)</f>
        <v/>
      </c>
    </row>
    <row r="2882" spans="12:23" x14ac:dyDescent="0.25">
      <c r="L2882" s="4" t="str">
        <f>IF('[1]All Data '!BE2887="","",'[1]All Data '!BE2887)</f>
        <v/>
      </c>
      <c r="M2882" t="str">
        <f>IF('[1]All Data '!BF2887="","",'[1]All Data '!BF2887)</f>
        <v/>
      </c>
      <c r="N2882" s="5" t="str">
        <f>IF('[1]All Data '!BB2887="","",'[1]All Data '!BC2887/'[1]All Data '!BH2887)</f>
        <v/>
      </c>
      <c r="O2882" s="5" t="str">
        <f t="shared" si="47"/>
        <v/>
      </c>
      <c r="P2882" s="5" t="str">
        <f>IF(M2882="","",$C$2*(1-L2882)*907.2/0.621371*N2882*[1]Transportation!$M$40)</f>
        <v/>
      </c>
      <c r="Q2882" s="5" t="str">
        <f>IF(L2882="","",IF([1]Inputs_Outputs!$B$5="Herbaceous",(LCA!$E$29*'[1]LOCH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2" s="5" t="str">
        <f>IF(M2882="","",$E$2*1000*'[1]LOCH Calc COE Calc'!$C$44)</f>
        <v/>
      </c>
      <c r="S2882" s="6" t="str">
        <f>IF(N2882="","",SUM(O2882:R2882)/('[1]LOCH Calc COE Calc'!$C$28))</f>
        <v/>
      </c>
      <c r="T2882" t="str">
        <f>IF(L2882="","",O2882/'[1]LOCH Calc COE Calc'!$C$28)</f>
        <v/>
      </c>
      <c r="U2882" t="str">
        <f>IF(L2882="","",P2882/'[1]LOCH Calc COE Calc'!$C$28)</f>
        <v/>
      </c>
      <c r="V2882" t="str">
        <f>IF(L2882="","",Q2882/'[1]LOCH Calc COE Calc'!$C$28)</f>
        <v/>
      </c>
      <c r="W2882" t="str">
        <f>IF(L2882="","",R2882/'[1]LOCH Calc COE Calc'!$C$28)</f>
        <v/>
      </c>
    </row>
    <row r="2883" spans="12:23" x14ac:dyDescent="0.25">
      <c r="L2883" s="4" t="str">
        <f>IF('[1]All Data '!BE2888="","",'[1]All Data '!BE2888)</f>
        <v/>
      </c>
      <c r="M2883" t="str">
        <f>IF('[1]All Data '!BF2888="","",'[1]All Data '!BF2888)</f>
        <v/>
      </c>
      <c r="N2883" s="5" t="str">
        <f>IF('[1]All Data '!BB2888="","",'[1]All Data '!BC2888/'[1]All Data '!BH2888)</f>
        <v/>
      </c>
      <c r="O2883" s="5" t="str">
        <f t="shared" si="47"/>
        <v/>
      </c>
      <c r="P2883" s="5" t="str">
        <f>IF(M2883="","",$C$2*(1-L2883)*907.2/0.621371*N2883*[1]Transportation!$M$40)</f>
        <v/>
      </c>
      <c r="Q2883" s="5" t="str">
        <f>IF(L2883="","",IF([1]Inputs_Outputs!$B$5="Herbaceous",(LCA!$E$29*'[1]LOCH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3" s="5" t="str">
        <f>IF(M2883="","",$E$2*1000*'[1]LOCH Calc COE Calc'!$C$44)</f>
        <v/>
      </c>
      <c r="S2883" s="6" t="str">
        <f>IF(N2883="","",SUM(O2883:R2883)/('[1]LOCH Calc COE Calc'!$C$28))</f>
        <v/>
      </c>
      <c r="T2883" t="str">
        <f>IF(L2883="","",O2883/'[1]LOCH Calc COE Calc'!$C$28)</f>
        <v/>
      </c>
      <c r="U2883" t="str">
        <f>IF(L2883="","",P2883/'[1]LOCH Calc COE Calc'!$C$28)</f>
        <v/>
      </c>
      <c r="V2883" t="str">
        <f>IF(L2883="","",Q2883/'[1]LOCH Calc COE Calc'!$C$28)</f>
        <v/>
      </c>
      <c r="W2883" t="str">
        <f>IF(L2883="","",R2883/'[1]LOCH Calc COE Calc'!$C$28)</f>
        <v/>
      </c>
    </row>
    <row r="2884" spans="12:23" x14ac:dyDescent="0.25">
      <c r="L2884" s="4" t="str">
        <f>IF('[1]All Data '!BE2889="","",'[1]All Data '!BE2889)</f>
        <v/>
      </c>
      <c r="M2884" t="str">
        <f>IF('[1]All Data '!BF2889="","",'[1]All Data '!BF2889)</f>
        <v/>
      </c>
      <c r="N2884" s="5" t="str">
        <f>IF('[1]All Data '!BB2889="","",'[1]All Data '!BC2889/'[1]All Data '!BH2889)</f>
        <v/>
      </c>
      <c r="O2884" s="5" t="str">
        <f t="shared" si="47"/>
        <v/>
      </c>
      <c r="P2884" s="5" t="str">
        <f>IF(M2884="","",$C$2*(1-L2884)*907.2/0.621371*N2884*[1]Transportation!$M$40)</f>
        <v/>
      </c>
      <c r="Q2884" s="5" t="str">
        <f>IF(L2884="","",IF([1]Inputs_Outputs!$B$5="Herbaceous",(LCA!$E$29*'[1]LOCH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4" s="5" t="str">
        <f>IF(M2884="","",$E$2*1000*'[1]LOCH Calc COE Calc'!$C$44)</f>
        <v/>
      </c>
      <c r="S2884" s="6" t="str">
        <f>IF(N2884="","",SUM(O2884:R2884)/('[1]LOCH Calc COE Calc'!$C$28))</f>
        <v/>
      </c>
      <c r="T2884" t="str">
        <f>IF(L2884="","",O2884/'[1]LOCH Calc COE Calc'!$C$28)</f>
        <v/>
      </c>
      <c r="U2884" t="str">
        <f>IF(L2884="","",P2884/'[1]LOCH Calc COE Calc'!$C$28)</f>
        <v/>
      </c>
      <c r="V2884" t="str">
        <f>IF(L2884="","",Q2884/'[1]LOCH Calc COE Calc'!$C$28)</f>
        <v/>
      </c>
      <c r="W2884" t="str">
        <f>IF(L2884="","",R2884/'[1]LOCH Calc COE Calc'!$C$28)</f>
        <v/>
      </c>
    </row>
    <row r="2885" spans="12:23" x14ac:dyDescent="0.25">
      <c r="L2885" s="4" t="str">
        <f>IF('[1]All Data '!BE2890="","",'[1]All Data '!BE2890)</f>
        <v/>
      </c>
      <c r="M2885" t="str">
        <f>IF('[1]All Data '!BF2890="","",'[1]All Data '!BF2890)</f>
        <v/>
      </c>
      <c r="N2885" s="5" t="str">
        <f>IF('[1]All Data '!BB2890="","",'[1]All Data '!BC2890/'[1]All Data '!BH2890)</f>
        <v/>
      </c>
      <c r="O2885" s="5" t="str">
        <f t="shared" si="47"/>
        <v/>
      </c>
      <c r="P2885" s="5" t="str">
        <f>IF(M2885="","",$C$2*(1-L2885)*907.2/0.621371*N2885*[1]Transportation!$M$40)</f>
        <v/>
      </c>
      <c r="Q2885" s="5" t="str">
        <f>IF(L2885="","",IF([1]Inputs_Outputs!$B$5="Herbaceous",(LCA!$E$29*'[1]LOCH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5" s="5" t="str">
        <f>IF(M2885="","",$E$2*1000*'[1]LOCH Calc COE Calc'!$C$44)</f>
        <v/>
      </c>
      <c r="S2885" s="6" t="str">
        <f>IF(N2885="","",SUM(O2885:R2885)/('[1]LOCH Calc COE Calc'!$C$28))</f>
        <v/>
      </c>
      <c r="T2885" t="str">
        <f>IF(L2885="","",O2885/'[1]LOCH Calc COE Calc'!$C$28)</f>
        <v/>
      </c>
      <c r="U2885" t="str">
        <f>IF(L2885="","",P2885/'[1]LOCH Calc COE Calc'!$C$28)</f>
        <v/>
      </c>
      <c r="V2885" t="str">
        <f>IF(L2885="","",Q2885/'[1]LOCH Calc COE Calc'!$C$28)</f>
        <v/>
      </c>
      <c r="W2885" t="str">
        <f>IF(L2885="","",R2885/'[1]LOCH Calc COE Calc'!$C$28)</f>
        <v/>
      </c>
    </row>
    <row r="2886" spans="12:23" x14ac:dyDescent="0.25">
      <c r="L2886" s="4" t="str">
        <f>IF('[1]All Data '!BE2891="","",'[1]All Data '!BE2891)</f>
        <v/>
      </c>
      <c r="M2886" t="str">
        <f>IF('[1]All Data '!BF2891="","",'[1]All Data '!BF2891)</f>
        <v/>
      </c>
      <c r="N2886" s="5" t="str">
        <f>IF('[1]All Data '!BB2891="","",'[1]All Data '!BC2891/'[1]All Data '!BH2891)</f>
        <v/>
      </c>
      <c r="O2886" s="5" t="str">
        <f t="shared" si="47"/>
        <v/>
      </c>
      <c r="P2886" s="5" t="str">
        <f>IF(M2886="","",$C$2*(1-L2886)*907.2/0.621371*N2886*[1]Transportation!$M$40)</f>
        <v/>
      </c>
      <c r="Q2886" s="5" t="str">
        <f>IF(L2886="","",IF([1]Inputs_Outputs!$B$5="Herbaceous",(LCA!$E$29*'[1]LOCH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6" s="5" t="str">
        <f>IF(M2886="","",$E$2*1000*'[1]LOCH Calc COE Calc'!$C$44)</f>
        <v/>
      </c>
      <c r="S2886" s="6" t="str">
        <f>IF(N2886="","",SUM(O2886:R2886)/('[1]LOCH Calc COE Calc'!$C$28))</f>
        <v/>
      </c>
      <c r="T2886" t="str">
        <f>IF(L2886="","",O2886/'[1]LOCH Calc COE Calc'!$C$28)</f>
        <v/>
      </c>
      <c r="U2886" t="str">
        <f>IF(L2886="","",P2886/'[1]LOCH Calc COE Calc'!$C$28)</f>
        <v/>
      </c>
      <c r="V2886" t="str">
        <f>IF(L2886="","",Q2886/'[1]LOCH Calc COE Calc'!$C$28)</f>
        <v/>
      </c>
      <c r="W2886" t="str">
        <f>IF(L2886="","",R2886/'[1]LOCH Calc COE Calc'!$C$28)</f>
        <v/>
      </c>
    </row>
    <row r="2887" spans="12:23" x14ac:dyDescent="0.25">
      <c r="L2887" s="4" t="str">
        <f>IF('[1]All Data '!BE2892="","",'[1]All Data '!BE2892)</f>
        <v/>
      </c>
      <c r="M2887" t="str">
        <f>IF('[1]All Data '!BF2892="","",'[1]All Data '!BF2892)</f>
        <v/>
      </c>
      <c r="N2887" s="5" t="str">
        <f>IF('[1]All Data '!BB2892="","",'[1]All Data '!BC2892/'[1]All Data '!BH2892)</f>
        <v/>
      </c>
      <c r="O2887" s="5" t="str">
        <f t="shared" si="47"/>
        <v/>
      </c>
      <c r="P2887" s="5" t="str">
        <f>IF(M2887="","",$C$2*(1-L2887)*907.2/0.621371*N2887*[1]Transportation!$M$40)</f>
        <v/>
      </c>
      <c r="Q2887" s="5" t="str">
        <f>IF(L2887="","",IF([1]Inputs_Outputs!$B$5="Herbaceous",(LCA!$E$29*'[1]LOCH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7" s="5" t="str">
        <f>IF(M2887="","",$E$2*1000*'[1]LOCH Calc COE Calc'!$C$44)</f>
        <v/>
      </c>
      <c r="S2887" s="6" t="str">
        <f>IF(N2887="","",SUM(O2887:R2887)/('[1]LOCH Calc COE Calc'!$C$28))</f>
        <v/>
      </c>
      <c r="T2887" t="str">
        <f>IF(L2887="","",O2887/'[1]LOCH Calc COE Calc'!$C$28)</f>
        <v/>
      </c>
      <c r="U2887" t="str">
        <f>IF(L2887="","",P2887/'[1]LOCH Calc COE Calc'!$C$28)</f>
        <v/>
      </c>
      <c r="V2887" t="str">
        <f>IF(L2887="","",Q2887/'[1]LOCH Calc COE Calc'!$C$28)</f>
        <v/>
      </c>
      <c r="W2887" t="str">
        <f>IF(L2887="","",R2887/'[1]LOCH Calc COE Calc'!$C$28)</f>
        <v/>
      </c>
    </row>
    <row r="2888" spans="12:23" x14ac:dyDescent="0.25">
      <c r="L2888" s="4" t="str">
        <f>IF('[1]All Data '!BE2893="","",'[1]All Data '!BE2893)</f>
        <v/>
      </c>
      <c r="M2888" t="str">
        <f>IF('[1]All Data '!BF2893="","",'[1]All Data '!BF2893)</f>
        <v/>
      </c>
      <c r="N2888" s="5" t="str">
        <f>IF('[1]All Data '!BB2893="","",'[1]All Data '!BC2893/'[1]All Data '!BH2893)</f>
        <v/>
      </c>
      <c r="O2888" s="5" t="str">
        <f t="shared" si="47"/>
        <v/>
      </c>
      <c r="P2888" s="5" t="str">
        <f>IF(M2888="","",$C$2*(1-L2888)*907.2/0.621371*N2888*[1]Transportation!$M$40)</f>
        <v/>
      </c>
      <c r="Q2888" s="5" t="str">
        <f>IF(L2888="","",IF([1]Inputs_Outputs!$B$5="Herbaceous",(LCA!$E$29*'[1]LOCH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8" s="5" t="str">
        <f>IF(M2888="","",$E$2*1000*'[1]LOCH Calc COE Calc'!$C$44)</f>
        <v/>
      </c>
      <c r="S2888" s="6" t="str">
        <f>IF(N2888="","",SUM(O2888:R2888)/('[1]LOCH Calc COE Calc'!$C$28))</f>
        <v/>
      </c>
      <c r="T2888" t="str">
        <f>IF(L2888="","",O2888/'[1]LOCH Calc COE Calc'!$C$28)</f>
        <v/>
      </c>
      <c r="U2888" t="str">
        <f>IF(L2888="","",P2888/'[1]LOCH Calc COE Calc'!$C$28)</f>
        <v/>
      </c>
      <c r="V2888" t="str">
        <f>IF(L2888="","",Q2888/'[1]LOCH Calc COE Calc'!$C$28)</f>
        <v/>
      </c>
      <c r="W2888" t="str">
        <f>IF(L2888="","",R2888/'[1]LOCH Calc COE Calc'!$C$28)</f>
        <v/>
      </c>
    </row>
    <row r="2889" spans="12:23" x14ac:dyDescent="0.25">
      <c r="L2889" s="4" t="str">
        <f>IF('[1]All Data '!BE2894="","",'[1]All Data '!BE2894)</f>
        <v/>
      </c>
      <c r="M2889" t="str">
        <f>IF('[1]All Data '!BF2894="","",'[1]All Data '!BF2894)</f>
        <v/>
      </c>
      <c r="N2889" s="5" t="str">
        <f>IF('[1]All Data '!BB2894="","",'[1]All Data '!BC2894/'[1]All Data '!BH2894)</f>
        <v/>
      </c>
      <c r="O2889" s="5" t="str">
        <f t="shared" si="47"/>
        <v/>
      </c>
      <c r="P2889" s="5" t="str">
        <f>IF(M2889="","",$C$2*(1-L2889)*907.2/0.621371*N2889*[1]Transportation!$M$40)</f>
        <v/>
      </c>
      <c r="Q2889" s="5" t="str">
        <f>IF(L2889="","",IF([1]Inputs_Outputs!$B$5="Herbaceous",(LCA!$E$29*'[1]LOCH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89" s="5" t="str">
        <f>IF(M2889="","",$E$2*1000*'[1]LOCH Calc COE Calc'!$C$44)</f>
        <v/>
      </c>
      <c r="S2889" s="6" t="str">
        <f>IF(N2889="","",SUM(O2889:R2889)/('[1]LOCH Calc COE Calc'!$C$28))</f>
        <v/>
      </c>
      <c r="T2889" t="str">
        <f>IF(L2889="","",O2889/'[1]LOCH Calc COE Calc'!$C$28)</f>
        <v/>
      </c>
      <c r="U2889" t="str">
        <f>IF(L2889="","",P2889/'[1]LOCH Calc COE Calc'!$C$28)</f>
        <v/>
      </c>
      <c r="V2889" t="str">
        <f>IF(L2889="","",Q2889/'[1]LOCH Calc COE Calc'!$C$28)</f>
        <v/>
      </c>
      <c r="W2889" t="str">
        <f>IF(L2889="","",R2889/'[1]LOCH Calc COE Calc'!$C$28)</f>
        <v/>
      </c>
    </row>
    <row r="2890" spans="12:23" x14ac:dyDescent="0.25">
      <c r="L2890" s="4" t="str">
        <f>IF('[1]All Data '!BE2895="","",'[1]All Data '!BE2895)</f>
        <v/>
      </c>
      <c r="M2890" t="str">
        <f>IF('[1]All Data '!BF2895="","",'[1]All Data '!BF2895)</f>
        <v/>
      </c>
      <c r="N2890" s="5" t="str">
        <f>IF('[1]All Data '!BB2895="","",'[1]All Data '!BC2895/'[1]All Data '!BH2895)</f>
        <v/>
      </c>
      <c r="O2890" s="5" t="str">
        <f t="shared" si="47"/>
        <v/>
      </c>
      <c r="P2890" s="5" t="str">
        <f>IF(M2890="","",$C$2*(1-L2890)*907.2/0.621371*N2890*[1]Transportation!$M$40)</f>
        <v/>
      </c>
      <c r="Q2890" s="5" t="str">
        <f>IF(L2890="","",IF([1]Inputs_Outputs!$B$5="Herbaceous",(LCA!$E$29*'[1]LOCH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0" s="5" t="str">
        <f>IF(M2890="","",$E$2*1000*'[1]LOCH Calc COE Calc'!$C$44)</f>
        <v/>
      </c>
      <c r="S2890" s="6" t="str">
        <f>IF(N2890="","",SUM(O2890:R2890)/('[1]LOCH Calc COE Calc'!$C$28))</f>
        <v/>
      </c>
      <c r="T2890" t="str">
        <f>IF(L2890="","",O2890/'[1]LOCH Calc COE Calc'!$C$28)</f>
        <v/>
      </c>
      <c r="U2890" t="str">
        <f>IF(L2890="","",P2890/'[1]LOCH Calc COE Calc'!$C$28)</f>
        <v/>
      </c>
      <c r="V2890" t="str">
        <f>IF(L2890="","",Q2890/'[1]LOCH Calc COE Calc'!$C$28)</f>
        <v/>
      </c>
      <c r="W2890" t="str">
        <f>IF(L2890="","",R2890/'[1]LOCH Calc COE Calc'!$C$28)</f>
        <v/>
      </c>
    </row>
    <row r="2891" spans="12:23" x14ac:dyDescent="0.25">
      <c r="L2891" s="4" t="str">
        <f>IF('[1]All Data '!BE2896="","",'[1]All Data '!BE2896)</f>
        <v/>
      </c>
      <c r="M2891" t="str">
        <f>IF('[1]All Data '!BF2896="","",'[1]All Data '!BF2896)</f>
        <v/>
      </c>
      <c r="N2891" s="5" t="str">
        <f>IF('[1]All Data '!BB2896="","",'[1]All Data '!BC2896/'[1]All Data '!BH2896)</f>
        <v/>
      </c>
      <c r="O2891" s="5" t="str">
        <f t="shared" si="47"/>
        <v/>
      </c>
      <c r="P2891" s="5" t="str">
        <f>IF(M2891="","",$C$2*(1-L2891)*907.2/0.621371*N2891*[1]Transportation!$M$40)</f>
        <v/>
      </c>
      <c r="Q2891" s="5" t="str">
        <f>IF(L2891="","",IF([1]Inputs_Outputs!$B$5="Herbaceous",(LCA!$E$29*'[1]LOCH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1" s="5" t="str">
        <f>IF(M2891="","",$E$2*1000*'[1]LOCH Calc COE Calc'!$C$44)</f>
        <v/>
      </c>
      <c r="S2891" s="6" t="str">
        <f>IF(N2891="","",SUM(O2891:R2891)/('[1]LOCH Calc COE Calc'!$C$28))</f>
        <v/>
      </c>
      <c r="T2891" t="str">
        <f>IF(L2891="","",O2891/'[1]LOCH Calc COE Calc'!$C$28)</f>
        <v/>
      </c>
      <c r="U2891" t="str">
        <f>IF(L2891="","",P2891/'[1]LOCH Calc COE Calc'!$C$28)</f>
        <v/>
      </c>
      <c r="V2891" t="str">
        <f>IF(L2891="","",Q2891/'[1]LOCH Calc COE Calc'!$C$28)</f>
        <v/>
      </c>
      <c r="W2891" t="str">
        <f>IF(L2891="","",R2891/'[1]LOCH Calc COE Calc'!$C$28)</f>
        <v/>
      </c>
    </row>
    <row r="2892" spans="12:23" x14ac:dyDescent="0.25">
      <c r="L2892" s="4" t="str">
        <f>IF('[1]All Data '!BE2897="","",'[1]All Data '!BE2897)</f>
        <v/>
      </c>
      <c r="M2892" t="str">
        <f>IF('[1]All Data '!BF2897="","",'[1]All Data '!BF2897)</f>
        <v/>
      </c>
      <c r="N2892" s="5" t="str">
        <f>IF('[1]All Data '!BB2897="","",'[1]All Data '!BC2897/'[1]All Data '!BH2897)</f>
        <v/>
      </c>
      <c r="O2892" s="5" t="str">
        <f t="shared" si="47"/>
        <v/>
      </c>
      <c r="P2892" s="5" t="str">
        <f>IF(M2892="","",$C$2*(1-L2892)*907.2/0.621371*N2892*[1]Transportation!$M$40)</f>
        <v/>
      </c>
      <c r="Q2892" s="5" t="str">
        <f>IF(L2892="","",IF([1]Inputs_Outputs!$B$5="Herbaceous",(LCA!$E$29*'[1]LOCH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2" s="5" t="str">
        <f>IF(M2892="","",$E$2*1000*'[1]LOCH Calc COE Calc'!$C$44)</f>
        <v/>
      </c>
      <c r="S2892" s="6" t="str">
        <f>IF(N2892="","",SUM(O2892:R2892)/('[1]LOCH Calc COE Calc'!$C$28))</f>
        <v/>
      </c>
      <c r="T2892" t="str">
        <f>IF(L2892="","",O2892/'[1]LOCH Calc COE Calc'!$C$28)</f>
        <v/>
      </c>
      <c r="U2892" t="str">
        <f>IF(L2892="","",P2892/'[1]LOCH Calc COE Calc'!$C$28)</f>
        <v/>
      </c>
      <c r="V2892" t="str">
        <f>IF(L2892="","",Q2892/'[1]LOCH Calc COE Calc'!$C$28)</f>
        <v/>
      </c>
      <c r="W2892" t="str">
        <f>IF(L2892="","",R2892/'[1]LOCH Calc COE Calc'!$C$28)</f>
        <v/>
      </c>
    </row>
    <row r="2893" spans="12:23" x14ac:dyDescent="0.25">
      <c r="L2893" s="4" t="str">
        <f>IF('[1]All Data '!BE2898="","",'[1]All Data '!BE2898)</f>
        <v/>
      </c>
      <c r="M2893" t="str">
        <f>IF('[1]All Data '!BF2898="","",'[1]All Data '!BF2898)</f>
        <v/>
      </c>
      <c r="N2893" s="5" t="str">
        <f>IF('[1]All Data '!BB2898="","",'[1]All Data '!BC2898/'[1]All Data '!BH2898)</f>
        <v/>
      </c>
      <c r="O2893" s="5" t="str">
        <f t="shared" si="47"/>
        <v/>
      </c>
      <c r="P2893" s="5" t="str">
        <f>IF(M2893="","",$C$2*(1-L2893)*907.2/0.621371*N2893*[1]Transportation!$M$40)</f>
        <v/>
      </c>
      <c r="Q2893" s="5" t="str">
        <f>IF(L2893="","",IF([1]Inputs_Outputs!$B$5="Herbaceous",(LCA!$E$29*'[1]LOCH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3" s="5" t="str">
        <f>IF(M2893="","",$E$2*1000*'[1]LOCH Calc COE Calc'!$C$44)</f>
        <v/>
      </c>
      <c r="S2893" s="6" t="str">
        <f>IF(N2893="","",SUM(O2893:R2893)/('[1]LOCH Calc COE Calc'!$C$28))</f>
        <v/>
      </c>
      <c r="T2893" t="str">
        <f>IF(L2893="","",O2893/'[1]LOCH Calc COE Calc'!$C$28)</f>
        <v/>
      </c>
      <c r="U2893" t="str">
        <f>IF(L2893="","",P2893/'[1]LOCH Calc COE Calc'!$C$28)</f>
        <v/>
      </c>
      <c r="V2893" t="str">
        <f>IF(L2893="","",Q2893/'[1]LOCH Calc COE Calc'!$C$28)</f>
        <v/>
      </c>
      <c r="W2893" t="str">
        <f>IF(L2893="","",R2893/'[1]LOCH Calc COE Calc'!$C$28)</f>
        <v/>
      </c>
    </row>
    <row r="2894" spans="12:23" x14ac:dyDescent="0.25">
      <c r="L2894" s="4" t="str">
        <f>IF('[1]All Data '!BE2899="","",'[1]All Data '!BE2899)</f>
        <v/>
      </c>
      <c r="M2894" t="str">
        <f>IF('[1]All Data '!BF2899="","",'[1]All Data '!BF2899)</f>
        <v/>
      </c>
      <c r="N2894" s="5" t="str">
        <f>IF('[1]All Data '!BB2899="","",'[1]All Data '!BC2899/'[1]All Data '!BH2899)</f>
        <v/>
      </c>
      <c r="O2894" s="5" t="str">
        <f t="shared" si="47"/>
        <v/>
      </c>
      <c r="P2894" s="5" t="str">
        <f>IF(M2894="","",$C$2*(1-L2894)*907.2/0.621371*N2894*[1]Transportation!$M$40)</f>
        <v/>
      </c>
      <c r="Q2894" s="5" t="str">
        <f>IF(L2894="","",IF([1]Inputs_Outputs!$B$5="Herbaceous",(LCA!$E$29*'[1]LOCH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4" s="5" t="str">
        <f>IF(M2894="","",$E$2*1000*'[1]LOCH Calc COE Calc'!$C$44)</f>
        <v/>
      </c>
      <c r="S2894" s="6" t="str">
        <f>IF(N2894="","",SUM(O2894:R2894)/('[1]LOCH Calc COE Calc'!$C$28))</f>
        <v/>
      </c>
      <c r="T2894" t="str">
        <f>IF(L2894="","",O2894/'[1]LOCH Calc COE Calc'!$C$28)</f>
        <v/>
      </c>
      <c r="U2894" t="str">
        <f>IF(L2894="","",P2894/'[1]LOCH Calc COE Calc'!$C$28)</f>
        <v/>
      </c>
      <c r="V2894" t="str">
        <f>IF(L2894="","",Q2894/'[1]LOCH Calc COE Calc'!$C$28)</f>
        <v/>
      </c>
      <c r="W2894" t="str">
        <f>IF(L2894="","",R2894/'[1]LOCH Calc COE Calc'!$C$28)</f>
        <v/>
      </c>
    </row>
    <row r="2895" spans="12:23" x14ac:dyDescent="0.25">
      <c r="L2895" s="4" t="str">
        <f>IF('[1]All Data '!BE2900="","",'[1]All Data '!BE2900)</f>
        <v/>
      </c>
      <c r="M2895" t="str">
        <f>IF('[1]All Data '!BF2900="","",'[1]All Data '!BF2900)</f>
        <v/>
      </c>
      <c r="N2895" s="5" t="str">
        <f>IF('[1]All Data '!BB2900="","",'[1]All Data '!BC2900/'[1]All Data '!BH2900)</f>
        <v/>
      </c>
      <c r="O2895" s="5" t="str">
        <f t="shared" si="47"/>
        <v/>
      </c>
      <c r="P2895" s="5" t="str">
        <f>IF(M2895="","",$C$2*(1-L2895)*907.2/0.621371*N2895*[1]Transportation!$M$40)</f>
        <v/>
      </c>
      <c r="Q2895" s="5" t="str">
        <f>IF(L2895="","",IF([1]Inputs_Outputs!$B$5="Herbaceous",(LCA!$E$29*'[1]LOCH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5" s="5" t="str">
        <f>IF(M2895="","",$E$2*1000*'[1]LOCH Calc COE Calc'!$C$44)</f>
        <v/>
      </c>
      <c r="S2895" s="6" t="str">
        <f>IF(N2895="","",SUM(O2895:R2895)/('[1]LOCH Calc COE Calc'!$C$28))</f>
        <v/>
      </c>
      <c r="T2895" t="str">
        <f>IF(L2895="","",O2895/'[1]LOCH Calc COE Calc'!$C$28)</f>
        <v/>
      </c>
      <c r="U2895" t="str">
        <f>IF(L2895="","",P2895/'[1]LOCH Calc COE Calc'!$C$28)</f>
        <v/>
      </c>
      <c r="V2895" t="str">
        <f>IF(L2895="","",Q2895/'[1]LOCH Calc COE Calc'!$C$28)</f>
        <v/>
      </c>
      <c r="W2895" t="str">
        <f>IF(L2895="","",R2895/'[1]LOCH Calc COE Calc'!$C$28)</f>
        <v/>
      </c>
    </row>
    <row r="2896" spans="12:23" x14ac:dyDescent="0.25">
      <c r="L2896" s="4" t="str">
        <f>IF('[1]All Data '!BE2901="","",'[1]All Data '!BE2901)</f>
        <v/>
      </c>
      <c r="M2896" t="str">
        <f>IF('[1]All Data '!BF2901="","",'[1]All Data '!BF2901)</f>
        <v/>
      </c>
      <c r="N2896" s="5" t="str">
        <f>IF('[1]All Data '!BB2901="","",'[1]All Data '!BC2901/'[1]All Data '!BH2901)</f>
        <v/>
      </c>
      <c r="O2896" s="5" t="str">
        <f t="shared" si="47"/>
        <v/>
      </c>
      <c r="P2896" s="5" t="str">
        <f>IF(M2896="","",$C$2*(1-L2896)*907.2/0.621371*N2896*[1]Transportation!$M$40)</f>
        <v/>
      </c>
      <c r="Q2896" s="5" t="str">
        <f>IF(L2896="","",IF([1]Inputs_Outputs!$B$5="Herbaceous",(LCA!$E$29*'[1]LOCH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6" s="5" t="str">
        <f>IF(M2896="","",$E$2*1000*'[1]LOCH Calc COE Calc'!$C$44)</f>
        <v/>
      </c>
      <c r="S2896" s="6" t="str">
        <f>IF(N2896="","",SUM(O2896:R2896)/('[1]LOCH Calc COE Calc'!$C$28))</f>
        <v/>
      </c>
      <c r="T2896" t="str">
        <f>IF(L2896="","",O2896/'[1]LOCH Calc COE Calc'!$C$28)</f>
        <v/>
      </c>
      <c r="U2896" t="str">
        <f>IF(L2896="","",P2896/'[1]LOCH Calc COE Calc'!$C$28)</f>
        <v/>
      </c>
      <c r="V2896" t="str">
        <f>IF(L2896="","",Q2896/'[1]LOCH Calc COE Calc'!$C$28)</f>
        <v/>
      </c>
      <c r="W2896" t="str">
        <f>IF(L2896="","",R2896/'[1]LOCH Calc COE Calc'!$C$28)</f>
        <v/>
      </c>
    </row>
    <row r="2897" spans="12:23" x14ac:dyDescent="0.25">
      <c r="L2897" s="4" t="str">
        <f>IF('[1]All Data '!BE2902="","",'[1]All Data '!BE2902)</f>
        <v/>
      </c>
      <c r="M2897" t="str">
        <f>IF('[1]All Data '!BF2902="","",'[1]All Data '!BF2902)</f>
        <v/>
      </c>
      <c r="N2897" s="5" t="str">
        <f>IF('[1]All Data '!BB2902="","",'[1]All Data '!BC2902/'[1]All Data '!BH2902)</f>
        <v/>
      </c>
      <c r="O2897" s="5" t="str">
        <f t="shared" si="47"/>
        <v/>
      </c>
      <c r="P2897" s="5" t="str">
        <f>IF(M2897="","",$C$2*(1-L2897)*907.2/0.621371*N2897*[1]Transportation!$M$40)</f>
        <v/>
      </c>
      <c r="Q2897" s="5" t="str">
        <f>IF(L2897="","",IF([1]Inputs_Outputs!$B$5="Herbaceous",(LCA!$E$29*'[1]LOCH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7" s="5" t="str">
        <f>IF(M2897="","",$E$2*1000*'[1]LOCH Calc COE Calc'!$C$44)</f>
        <v/>
      </c>
      <c r="S2897" s="6" t="str">
        <f>IF(N2897="","",SUM(O2897:R2897)/('[1]LOCH Calc COE Calc'!$C$28))</f>
        <v/>
      </c>
      <c r="T2897" t="str">
        <f>IF(L2897="","",O2897/'[1]LOCH Calc COE Calc'!$C$28)</f>
        <v/>
      </c>
      <c r="U2897" t="str">
        <f>IF(L2897="","",P2897/'[1]LOCH Calc COE Calc'!$C$28)</f>
        <v/>
      </c>
      <c r="V2897" t="str">
        <f>IF(L2897="","",Q2897/'[1]LOCH Calc COE Calc'!$C$28)</f>
        <v/>
      </c>
      <c r="W2897" t="str">
        <f>IF(L2897="","",R2897/'[1]LOCH Calc COE Calc'!$C$28)</f>
        <v/>
      </c>
    </row>
    <row r="2898" spans="12:23" x14ac:dyDescent="0.25">
      <c r="L2898" s="4" t="str">
        <f>IF('[1]All Data '!BE2903="","",'[1]All Data '!BE2903)</f>
        <v/>
      </c>
      <c r="M2898" t="str">
        <f>IF('[1]All Data '!BF2903="","",'[1]All Data '!BF2903)</f>
        <v/>
      </c>
      <c r="N2898" s="5" t="str">
        <f>IF('[1]All Data '!BB2903="","",'[1]All Data '!BC2903/'[1]All Data '!BH2903)</f>
        <v/>
      </c>
      <c r="O2898" s="5" t="str">
        <f t="shared" si="47"/>
        <v/>
      </c>
      <c r="P2898" s="5" t="str">
        <f>IF(M2898="","",$C$2*(1-L2898)*907.2/0.621371*N2898*[1]Transportation!$M$40)</f>
        <v/>
      </c>
      <c r="Q2898" s="5" t="str">
        <f>IF(L2898="","",IF([1]Inputs_Outputs!$B$5="Herbaceous",(LCA!$E$29*'[1]LOCH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8" s="5" t="str">
        <f>IF(M2898="","",$E$2*1000*'[1]LOCH Calc COE Calc'!$C$44)</f>
        <v/>
      </c>
      <c r="S2898" s="6" t="str">
        <f>IF(N2898="","",SUM(O2898:R2898)/('[1]LOCH Calc COE Calc'!$C$28))</f>
        <v/>
      </c>
      <c r="T2898" t="str">
        <f>IF(L2898="","",O2898/'[1]LOCH Calc COE Calc'!$C$28)</f>
        <v/>
      </c>
      <c r="U2898" t="str">
        <f>IF(L2898="","",P2898/'[1]LOCH Calc COE Calc'!$C$28)</f>
        <v/>
      </c>
      <c r="V2898" t="str">
        <f>IF(L2898="","",Q2898/'[1]LOCH Calc COE Calc'!$C$28)</f>
        <v/>
      </c>
      <c r="W2898" t="str">
        <f>IF(L2898="","",R2898/'[1]LOCH Calc COE Calc'!$C$28)</f>
        <v/>
      </c>
    </row>
    <row r="2899" spans="12:23" x14ac:dyDescent="0.25">
      <c r="L2899" s="4" t="str">
        <f>IF('[1]All Data '!BE2904="","",'[1]All Data '!BE2904)</f>
        <v/>
      </c>
      <c r="M2899" t="str">
        <f>IF('[1]All Data '!BF2904="","",'[1]All Data '!BF2904)</f>
        <v/>
      </c>
      <c r="N2899" s="5" t="str">
        <f>IF('[1]All Data '!BB2904="","",'[1]All Data '!BC2904/'[1]All Data '!BH2904)</f>
        <v/>
      </c>
      <c r="O2899" s="5" t="str">
        <f t="shared" si="47"/>
        <v/>
      </c>
      <c r="P2899" s="5" t="str">
        <f>IF(M2899="","",$C$2*(1-L2899)*907.2/0.621371*N2899*[1]Transportation!$M$40)</f>
        <v/>
      </c>
      <c r="Q2899" s="5" t="str">
        <f>IF(L2899="","",IF([1]Inputs_Outputs!$B$5="Herbaceous",(LCA!$E$29*'[1]LOCH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899" s="5" t="str">
        <f>IF(M2899="","",$E$2*1000*'[1]LOCH Calc COE Calc'!$C$44)</f>
        <v/>
      </c>
      <c r="S2899" s="6" t="str">
        <f>IF(N2899="","",SUM(O2899:R2899)/('[1]LOCH Calc COE Calc'!$C$28))</f>
        <v/>
      </c>
      <c r="T2899" t="str">
        <f>IF(L2899="","",O2899/'[1]LOCH Calc COE Calc'!$C$28)</f>
        <v/>
      </c>
      <c r="U2899" t="str">
        <f>IF(L2899="","",P2899/'[1]LOCH Calc COE Calc'!$C$28)</f>
        <v/>
      </c>
      <c r="V2899" t="str">
        <f>IF(L2899="","",Q2899/'[1]LOCH Calc COE Calc'!$C$28)</f>
        <v/>
      </c>
      <c r="W2899" t="str">
        <f>IF(L2899="","",R2899/'[1]LOCH Calc COE Calc'!$C$28)</f>
        <v/>
      </c>
    </row>
    <row r="2900" spans="12:23" x14ac:dyDescent="0.25">
      <c r="L2900" s="4" t="str">
        <f>IF('[1]All Data '!BE2905="","",'[1]All Data '!BE2905)</f>
        <v/>
      </c>
      <c r="M2900" t="str">
        <f>IF('[1]All Data '!BF2905="","",'[1]All Data '!BF2905)</f>
        <v/>
      </c>
      <c r="N2900" s="5" t="str">
        <f>IF('[1]All Data '!BB2905="","",'[1]All Data '!BC2905/'[1]All Data '!BH2905)</f>
        <v/>
      </c>
      <c r="O2900" s="5" t="str">
        <f t="shared" si="47"/>
        <v/>
      </c>
      <c r="P2900" s="5" t="str">
        <f>IF(M2900="","",$C$2*(1-L2900)*907.2/0.621371*N2900*[1]Transportation!$M$40)</f>
        <v/>
      </c>
      <c r="Q2900" s="5" t="str">
        <f>IF(L2900="","",IF([1]Inputs_Outputs!$B$5="Herbaceous",(LCA!$E$29*'[1]LOCH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0" s="5" t="str">
        <f>IF(M2900="","",$E$2*1000*'[1]LOCH Calc COE Calc'!$C$44)</f>
        <v/>
      </c>
      <c r="S2900" s="6" t="str">
        <f>IF(N2900="","",SUM(O2900:R2900)/('[1]LOCH Calc COE Calc'!$C$28))</f>
        <v/>
      </c>
      <c r="T2900" t="str">
        <f>IF(L2900="","",O2900/'[1]LOCH Calc COE Calc'!$C$28)</f>
        <v/>
      </c>
      <c r="U2900" t="str">
        <f>IF(L2900="","",P2900/'[1]LOCH Calc COE Calc'!$C$28)</f>
        <v/>
      </c>
      <c r="V2900" t="str">
        <f>IF(L2900="","",Q2900/'[1]LOCH Calc COE Calc'!$C$28)</f>
        <v/>
      </c>
      <c r="W2900" t="str">
        <f>IF(L2900="","",R2900/'[1]LOCH Calc COE Calc'!$C$28)</f>
        <v/>
      </c>
    </row>
    <row r="2901" spans="12:23" x14ac:dyDescent="0.25">
      <c r="L2901" s="4" t="str">
        <f>IF('[1]All Data '!BE2906="","",'[1]All Data '!BE2906)</f>
        <v/>
      </c>
      <c r="M2901" t="str">
        <f>IF('[1]All Data '!BF2906="","",'[1]All Data '!BF2906)</f>
        <v/>
      </c>
      <c r="N2901" s="5" t="str">
        <f>IF('[1]All Data '!BB2906="","",'[1]All Data '!BC2906/'[1]All Data '!BH2906)</f>
        <v/>
      </c>
      <c r="O2901" s="5" t="str">
        <f t="shared" si="47"/>
        <v/>
      </c>
      <c r="P2901" s="5" t="str">
        <f>IF(M2901="","",$C$2*(1-L2901)*907.2/0.621371*N2901*[1]Transportation!$M$40)</f>
        <v/>
      </c>
      <c r="Q2901" s="5" t="str">
        <f>IF(L2901="","",IF([1]Inputs_Outputs!$B$5="Herbaceous",(LCA!$E$29*'[1]LOCH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1" s="5" t="str">
        <f>IF(M2901="","",$E$2*1000*'[1]LOCH Calc COE Calc'!$C$44)</f>
        <v/>
      </c>
      <c r="S2901" s="6" t="str">
        <f>IF(N2901="","",SUM(O2901:R2901)/('[1]LOCH Calc COE Calc'!$C$28))</f>
        <v/>
      </c>
      <c r="T2901" t="str">
        <f>IF(L2901="","",O2901/'[1]LOCH Calc COE Calc'!$C$28)</f>
        <v/>
      </c>
      <c r="U2901" t="str">
        <f>IF(L2901="","",P2901/'[1]LOCH Calc COE Calc'!$C$28)</f>
        <v/>
      </c>
      <c r="V2901" t="str">
        <f>IF(L2901="","",Q2901/'[1]LOCH Calc COE Calc'!$C$28)</f>
        <v/>
      </c>
      <c r="W2901" t="str">
        <f>IF(L2901="","",R2901/'[1]LOCH Calc COE Calc'!$C$28)</f>
        <v/>
      </c>
    </row>
    <row r="2902" spans="12:23" x14ac:dyDescent="0.25">
      <c r="L2902" s="4" t="str">
        <f>IF('[1]All Data '!BE2907="","",'[1]All Data '!BE2907)</f>
        <v/>
      </c>
      <c r="M2902" t="str">
        <f>IF('[1]All Data '!BF2907="","",'[1]All Data '!BF2907)</f>
        <v/>
      </c>
      <c r="N2902" s="5" t="str">
        <f>IF('[1]All Data '!BB2907="","",'[1]All Data '!BC2907/'[1]All Data '!BH2907)</f>
        <v/>
      </c>
      <c r="O2902" s="5" t="str">
        <f t="shared" si="47"/>
        <v/>
      </c>
      <c r="P2902" s="5" t="str">
        <f>IF(M2902="","",$C$2*(1-L2902)*907.2/0.621371*N2902*[1]Transportation!$M$40)</f>
        <v/>
      </c>
      <c r="Q2902" s="5" t="str">
        <f>IF(L2902="","",IF([1]Inputs_Outputs!$B$5="Herbaceous",(LCA!$E$29*'[1]LOCH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2" s="5" t="str">
        <f>IF(M2902="","",$E$2*1000*'[1]LOCH Calc COE Calc'!$C$44)</f>
        <v/>
      </c>
      <c r="S2902" s="6" t="str">
        <f>IF(N2902="","",SUM(O2902:R2902)/('[1]LOCH Calc COE Calc'!$C$28))</f>
        <v/>
      </c>
      <c r="T2902" t="str">
        <f>IF(L2902="","",O2902/'[1]LOCH Calc COE Calc'!$C$28)</f>
        <v/>
      </c>
      <c r="U2902" t="str">
        <f>IF(L2902="","",P2902/'[1]LOCH Calc COE Calc'!$C$28)</f>
        <v/>
      </c>
      <c r="V2902" t="str">
        <f>IF(L2902="","",Q2902/'[1]LOCH Calc COE Calc'!$C$28)</f>
        <v/>
      </c>
      <c r="W2902" t="str">
        <f>IF(L2902="","",R2902/'[1]LOCH Calc COE Calc'!$C$28)</f>
        <v/>
      </c>
    </row>
    <row r="2903" spans="12:23" x14ac:dyDescent="0.25">
      <c r="L2903" s="4" t="str">
        <f>IF('[1]All Data '!BE2908="","",'[1]All Data '!BE2908)</f>
        <v/>
      </c>
      <c r="M2903" t="str">
        <f>IF('[1]All Data '!BF2908="","",'[1]All Data '!BF2908)</f>
        <v/>
      </c>
      <c r="N2903" s="5" t="str">
        <f>IF('[1]All Data '!BB2908="","",'[1]All Data '!BC2908/'[1]All Data '!BH2908)</f>
        <v/>
      </c>
      <c r="O2903" s="5" t="str">
        <f t="shared" si="47"/>
        <v/>
      </c>
      <c r="P2903" s="5" t="str">
        <f>IF(M2903="","",$C$2*(1-L2903)*907.2/0.621371*N2903*[1]Transportation!$M$40)</f>
        <v/>
      </c>
      <c r="Q2903" s="5" t="str">
        <f>IF(L2903="","",IF([1]Inputs_Outputs!$B$5="Herbaceous",(LCA!$E$29*'[1]LOCH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3" s="5" t="str">
        <f>IF(M2903="","",$E$2*1000*'[1]LOCH Calc COE Calc'!$C$44)</f>
        <v/>
      </c>
      <c r="S2903" s="6" t="str">
        <f>IF(N2903="","",SUM(O2903:R2903)/('[1]LOCH Calc COE Calc'!$C$28))</f>
        <v/>
      </c>
      <c r="T2903" t="str">
        <f>IF(L2903="","",O2903/'[1]LOCH Calc COE Calc'!$C$28)</f>
        <v/>
      </c>
      <c r="U2903" t="str">
        <f>IF(L2903="","",P2903/'[1]LOCH Calc COE Calc'!$C$28)</f>
        <v/>
      </c>
      <c r="V2903" t="str">
        <f>IF(L2903="","",Q2903/'[1]LOCH Calc COE Calc'!$C$28)</f>
        <v/>
      </c>
      <c r="W2903" t="str">
        <f>IF(L2903="","",R2903/'[1]LOCH Calc COE Calc'!$C$28)</f>
        <v/>
      </c>
    </row>
    <row r="2904" spans="12:23" x14ac:dyDescent="0.25">
      <c r="L2904" s="4" t="str">
        <f>IF('[1]All Data '!BE2909="","",'[1]All Data '!BE2909)</f>
        <v/>
      </c>
      <c r="M2904" t="str">
        <f>IF('[1]All Data '!BF2909="","",'[1]All Data '!BF2909)</f>
        <v/>
      </c>
      <c r="N2904" s="5" t="str">
        <f>IF('[1]All Data '!BB2909="","",'[1]All Data '!BC2909/'[1]All Data '!BH2909)</f>
        <v/>
      </c>
      <c r="O2904" s="5" t="str">
        <f t="shared" si="47"/>
        <v/>
      </c>
      <c r="P2904" s="5" t="str">
        <f>IF(M2904="","",$C$2*(1-L2904)*907.2/0.621371*N2904*[1]Transportation!$M$40)</f>
        <v/>
      </c>
      <c r="Q2904" s="5" t="str">
        <f>IF(L2904="","",IF([1]Inputs_Outputs!$B$5="Herbaceous",(LCA!$E$29*'[1]LOCH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4" s="5" t="str">
        <f>IF(M2904="","",$E$2*1000*'[1]LOCH Calc COE Calc'!$C$44)</f>
        <v/>
      </c>
      <c r="S2904" s="6" t="str">
        <f>IF(N2904="","",SUM(O2904:R2904)/('[1]LOCH Calc COE Calc'!$C$28))</f>
        <v/>
      </c>
      <c r="T2904" t="str">
        <f>IF(L2904="","",O2904/'[1]LOCH Calc COE Calc'!$C$28)</f>
        <v/>
      </c>
      <c r="U2904" t="str">
        <f>IF(L2904="","",P2904/'[1]LOCH Calc COE Calc'!$C$28)</f>
        <v/>
      </c>
      <c r="V2904" t="str">
        <f>IF(L2904="","",Q2904/'[1]LOCH Calc COE Calc'!$C$28)</f>
        <v/>
      </c>
      <c r="W2904" t="str">
        <f>IF(L2904="","",R2904/'[1]LOCH Calc COE Calc'!$C$28)</f>
        <v/>
      </c>
    </row>
    <row r="2905" spans="12:23" x14ac:dyDescent="0.25">
      <c r="L2905" s="4" t="str">
        <f>IF('[1]All Data '!BE2910="","",'[1]All Data '!BE2910)</f>
        <v/>
      </c>
      <c r="M2905" t="str">
        <f>IF('[1]All Data '!BF2910="","",'[1]All Data '!BF2910)</f>
        <v/>
      </c>
      <c r="N2905" s="5" t="str">
        <f>IF('[1]All Data '!BB2910="","",'[1]All Data '!BC2910/'[1]All Data '!BH2910)</f>
        <v/>
      </c>
      <c r="O2905" s="5" t="str">
        <f t="shared" si="47"/>
        <v/>
      </c>
      <c r="P2905" s="5" t="str">
        <f>IF(M2905="","",$C$2*(1-L2905)*907.2/0.621371*N2905*[1]Transportation!$M$40)</f>
        <v/>
      </c>
      <c r="Q2905" s="5" t="str">
        <f>IF(L2905="","",IF([1]Inputs_Outputs!$B$5="Herbaceous",(LCA!$E$29*'[1]LOCH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5" s="5" t="str">
        <f>IF(M2905="","",$E$2*1000*'[1]LOCH Calc COE Calc'!$C$44)</f>
        <v/>
      </c>
      <c r="S2905" s="6" t="str">
        <f>IF(N2905="","",SUM(O2905:R2905)/('[1]LOCH Calc COE Calc'!$C$28))</f>
        <v/>
      </c>
      <c r="T2905" t="str">
        <f>IF(L2905="","",O2905/'[1]LOCH Calc COE Calc'!$C$28)</f>
        <v/>
      </c>
      <c r="U2905" t="str">
        <f>IF(L2905="","",P2905/'[1]LOCH Calc COE Calc'!$C$28)</f>
        <v/>
      </c>
      <c r="V2905" t="str">
        <f>IF(L2905="","",Q2905/'[1]LOCH Calc COE Calc'!$C$28)</f>
        <v/>
      </c>
      <c r="W2905" t="str">
        <f>IF(L2905="","",R2905/'[1]LOCH Calc COE Calc'!$C$28)</f>
        <v/>
      </c>
    </row>
    <row r="2906" spans="12:23" x14ac:dyDescent="0.25">
      <c r="L2906" s="4" t="str">
        <f>IF('[1]All Data '!BE2911="","",'[1]All Data '!BE2911)</f>
        <v/>
      </c>
      <c r="M2906" t="str">
        <f>IF('[1]All Data '!BF2911="","",'[1]All Data '!BF2911)</f>
        <v/>
      </c>
      <c r="N2906" s="5" t="str">
        <f>IF('[1]All Data '!BB2911="","",'[1]All Data '!BC2911/'[1]All Data '!BH2911)</f>
        <v/>
      </c>
      <c r="O2906" s="5" t="str">
        <f t="shared" si="47"/>
        <v/>
      </c>
      <c r="P2906" s="5" t="str">
        <f>IF(M2906="","",$C$2*(1-L2906)*907.2/0.621371*N2906*[1]Transportation!$M$40)</f>
        <v/>
      </c>
      <c r="Q2906" s="5" t="str">
        <f>IF(L2906="","",IF([1]Inputs_Outputs!$B$5="Herbaceous",(LCA!$E$29*'[1]LOCH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6" s="5" t="str">
        <f>IF(M2906="","",$E$2*1000*'[1]LOCH Calc COE Calc'!$C$44)</f>
        <v/>
      </c>
      <c r="S2906" s="6" t="str">
        <f>IF(N2906="","",SUM(O2906:R2906)/('[1]LOCH Calc COE Calc'!$C$28))</f>
        <v/>
      </c>
      <c r="T2906" t="str">
        <f>IF(L2906="","",O2906/'[1]LOCH Calc COE Calc'!$C$28)</f>
        <v/>
      </c>
      <c r="U2906" t="str">
        <f>IF(L2906="","",P2906/'[1]LOCH Calc COE Calc'!$C$28)</f>
        <v/>
      </c>
      <c r="V2906" t="str">
        <f>IF(L2906="","",Q2906/'[1]LOCH Calc COE Calc'!$C$28)</f>
        <v/>
      </c>
      <c r="W2906" t="str">
        <f>IF(L2906="","",R2906/'[1]LOCH Calc COE Calc'!$C$28)</f>
        <v/>
      </c>
    </row>
    <row r="2907" spans="12:23" x14ac:dyDescent="0.25">
      <c r="L2907" s="4" t="str">
        <f>IF('[1]All Data '!BE2912="","",'[1]All Data '!BE2912)</f>
        <v/>
      </c>
      <c r="M2907" t="str">
        <f>IF('[1]All Data '!BF2912="","",'[1]All Data '!BF2912)</f>
        <v/>
      </c>
      <c r="N2907" s="5" t="str">
        <f>IF('[1]All Data '!BB2912="","",'[1]All Data '!BC2912/'[1]All Data '!BH2912)</f>
        <v/>
      </c>
      <c r="O2907" s="5" t="str">
        <f t="shared" si="47"/>
        <v/>
      </c>
      <c r="P2907" s="5" t="str">
        <f>IF(M2907="","",$C$2*(1-L2907)*907.2/0.621371*N2907*[1]Transportation!$M$40)</f>
        <v/>
      </c>
      <c r="Q2907" s="5" t="str">
        <f>IF(L2907="","",IF([1]Inputs_Outputs!$B$5="Herbaceous",(LCA!$E$29*'[1]LOCH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7" s="5" t="str">
        <f>IF(M2907="","",$E$2*1000*'[1]LOCH Calc COE Calc'!$C$44)</f>
        <v/>
      </c>
      <c r="S2907" s="6" t="str">
        <f>IF(N2907="","",SUM(O2907:R2907)/('[1]LOCH Calc COE Calc'!$C$28))</f>
        <v/>
      </c>
      <c r="T2907" t="str">
        <f>IF(L2907="","",O2907/'[1]LOCH Calc COE Calc'!$C$28)</f>
        <v/>
      </c>
      <c r="U2907" t="str">
        <f>IF(L2907="","",P2907/'[1]LOCH Calc COE Calc'!$C$28)</f>
        <v/>
      </c>
      <c r="V2907" t="str">
        <f>IF(L2907="","",Q2907/'[1]LOCH Calc COE Calc'!$C$28)</f>
        <v/>
      </c>
      <c r="W2907" t="str">
        <f>IF(L2907="","",R2907/'[1]LOCH Calc COE Calc'!$C$28)</f>
        <v/>
      </c>
    </row>
    <row r="2908" spans="12:23" x14ac:dyDescent="0.25">
      <c r="L2908" s="4" t="str">
        <f>IF('[1]All Data '!BE2913="","",'[1]All Data '!BE2913)</f>
        <v/>
      </c>
      <c r="M2908" t="str">
        <f>IF('[1]All Data '!BF2913="","",'[1]All Data '!BF2913)</f>
        <v/>
      </c>
      <c r="N2908" s="5" t="str">
        <f>IF('[1]All Data '!BB2913="","",'[1]All Data '!BC2913/'[1]All Data '!BH2913)</f>
        <v/>
      </c>
      <c r="O2908" s="5" t="str">
        <f t="shared" si="47"/>
        <v/>
      </c>
      <c r="P2908" s="5" t="str">
        <f>IF(M2908="","",$C$2*(1-L2908)*907.2/0.621371*N2908*[1]Transportation!$M$40)</f>
        <v/>
      </c>
      <c r="Q2908" s="5" t="str">
        <f>IF(L2908="","",IF([1]Inputs_Outputs!$B$5="Herbaceous",(LCA!$E$29*'[1]LOCH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8" s="5" t="str">
        <f>IF(M2908="","",$E$2*1000*'[1]LOCH Calc COE Calc'!$C$44)</f>
        <v/>
      </c>
      <c r="S2908" s="6" t="str">
        <f>IF(N2908="","",SUM(O2908:R2908)/('[1]LOCH Calc COE Calc'!$C$28))</f>
        <v/>
      </c>
      <c r="T2908" t="str">
        <f>IF(L2908="","",O2908/'[1]LOCH Calc COE Calc'!$C$28)</f>
        <v/>
      </c>
      <c r="U2908" t="str">
        <f>IF(L2908="","",P2908/'[1]LOCH Calc COE Calc'!$C$28)</f>
        <v/>
      </c>
      <c r="V2908" t="str">
        <f>IF(L2908="","",Q2908/'[1]LOCH Calc COE Calc'!$C$28)</f>
        <v/>
      </c>
      <c r="W2908" t="str">
        <f>IF(L2908="","",R2908/'[1]LOCH Calc COE Calc'!$C$28)</f>
        <v/>
      </c>
    </row>
    <row r="2909" spans="12:23" x14ac:dyDescent="0.25">
      <c r="L2909" s="4" t="str">
        <f>IF('[1]All Data '!BE2914="","",'[1]All Data '!BE2914)</f>
        <v/>
      </c>
      <c r="M2909" t="str">
        <f>IF('[1]All Data '!BF2914="","",'[1]All Data '!BF2914)</f>
        <v/>
      </c>
      <c r="N2909" s="5" t="str">
        <f>IF('[1]All Data '!BB2914="","",'[1]All Data '!BC2914/'[1]All Data '!BH2914)</f>
        <v/>
      </c>
      <c r="O2909" s="5" t="str">
        <f t="shared" si="47"/>
        <v/>
      </c>
      <c r="P2909" s="5" t="str">
        <f>IF(M2909="","",$C$2*(1-L2909)*907.2/0.621371*N2909*[1]Transportation!$M$40)</f>
        <v/>
      </c>
      <c r="Q2909" s="5" t="str">
        <f>IF(L2909="","",IF([1]Inputs_Outputs!$B$5="Herbaceous",(LCA!$E$29*'[1]LOCH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09" s="5" t="str">
        <f>IF(M2909="","",$E$2*1000*'[1]LOCH Calc COE Calc'!$C$44)</f>
        <v/>
      </c>
      <c r="S2909" s="6" t="str">
        <f>IF(N2909="","",SUM(O2909:R2909)/('[1]LOCH Calc COE Calc'!$C$28))</f>
        <v/>
      </c>
      <c r="T2909" t="str">
        <f>IF(L2909="","",O2909/'[1]LOCH Calc COE Calc'!$C$28)</f>
        <v/>
      </c>
      <c r="U2909" t="str">
        <f>IF(L2909="","",P2909/'[1]LOCH Calc COE Calc'!$C$28)</f>
        <v/>
      </c>
      <c r="V2909" t="str">
        <f>IF(L2909="","",Q2909/'[1]LOCH Calc COE Calc'!$C$28)</f>
        <v/>
      </c>
      <c r="W2909" t="str">
        <f>IF(L2909="","",R2909/'[1]LOCH Calc COE Calc'!$C$28)</f>
        <v/>
      </c>
    </row>
    <row r="2910" spans="12:23" x14ac:dyDescent="0.25">
      <c r="L2910" s="4" t="str">
        <f>IF('[1]All Data '!BE2915="","",'[1]All Data '!BE2915)</f>
        <v/>
      </c>
      <c r="M2910" t="str">
        <f>IF('[1]All Data '!BF2915="","",'[1]All Data '!BF2915)</f>
        <v/>
      </c>
      <c r="N2910" s="5" t="str">
        <f>IF('[1]All Data '!BB2915="","",'[1]All Data '!BC2915/'[1]All Data '!BH2915)</f>
        <v/>
      </c>
      <c r="O2910" s="5" t="str">
        <f t="shared" si="47"/>
        <v/>
      </c>
      <c r="P2910" s="5" t="str">
        <f>IF(M2910="","",$C$2*(1-L2910)*907.2/0.621371*N2910*[1]Transportation!$M$40)</f>
        <v/>
      </c>
      <c r="Q2910" s="5" t="str">
        <f>IF(L2910="","",IF([1]Inputs_Outputs!$B$5="Herbaceous",(LCA!$E$29*'[1]LOCH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0" s="5" t="str">
        <f>IF(M2910="","",$E$2*1000*'[1]LOCH Calc COE Calc'!$C$44)</f>
        <v/>
      </c>
      <c r="S2910" s="6" t="str">
        <f>IF(N2910="","",SUM(O2910:R2910)/('[1]LOCH Calc COE Calc'!$C$28))</f>
        <v/>
      </c>
      <c r="T2910" t="str">
        <f>IF(L2910="","",O2910/'[1]LOCH Calc COE Calc'!$C$28)</f>
        <v/>
      </c>
      <c r="U2910" t="str">
        <f>IF(L2910="","",P2910/'[1]LOCH Calc COE Calc'!$C$28)</f>
        <v/>
      </c>
      <c r="V2910" t="str">
        <f>IF(L2910="","",Q2910/'[1]LOCH Calc COE Calc'!$C$28)</f>
        <v/>
      </c>
      <c r="W2910" t="str">
        <f>IF(L2910="","",R2910/'[1]LOCH Calc COE Calc'!$C$28)</f>
        <v/>
      </c>
    </row>
    <row r="2911" spans="12:23" x14ac:dyDescent="0.25">
      <c r="L2911" s="4" t="str">
        <f>IF('[1]All Data '!BE2916="","",'[1]All Data '!BE2916)</f>
        <v/>
      </c>
      <c r="M2911" t="str">
        <f>IF('[1]All Data '!BF2916="","",'[1]All Data '!BF2916)</f>
        <v/>
      </c>
      <c r="N2911" s="5" t="str">
        <f>IF('[1]All Data '!BB2916="","",'[1]All Data '!BC2916/'[1]All Data '!BH2916)</f>
        <v/>
      </c>
      <c r="O2911" s="5" t="str">
        <f t="shared" si="47"/>
        <v/>
      </c>
      <c r="P2911" s="5" t="str">
        <f>IF(M2911="","",$C$2*(1-L2911)*907.2/0.621371*N2911*[1]Transportation!$M$40)</f>
        <v/>
      </c>
      <c r="Q2911" s="5" t="str">
        <f>IF(L2911="","",IF([1]Inputs_Outputs!$B$5="Herbaceous",(LCA!$E$29*'[1]LOCH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1" s="5" t="str">
        <f>IF(M2911="","",$E$2*1000*'[1]LOCH Calc COE Calc'!$C$44)</f>
        <v/>
      </c>
      <c r="S2911" s="6" t="str">
        <f>IF(N2911="","",SUM(O2911:R2911)/('[1]LOCH Calc COE Calc'!$C$28))</f>
        <v/>
      </c>
      <c r="T2911" t="str">
        <f>IF(L2911="","",O2911/'[1]LOCH Calc COE Calc'!$C$28)</f>
        <v/>
      </c>
      <c r="U2911" t="str">
        <f>IF(L2911="","",P2911/'[1]LOCH Calc COE Calc'!$C$28)</f>
        <v/>
      </c>
      <c r="V2911" t="str">
        <f>IF(L2911="","",Q2911/'[1]LOCH Calc COE Calc'!$C$28)</f>
        <v/>
      </c>
      <c r="W2911" t="str">
        <f>IF(L2911="","",R2911/'[1]LOCH Calc COE Calc'!$C$28)</f>
        <v/>
      </c>
    </row>
    <row r="2912" spans="12:23" x14ac:dyDescent="0.25">
      <c r="L2912" s="4" t="str">
        <f>IF('[1]All Data '!BE2917="","",'[1]All Data '!BE2917)</f>
        <v/>
      </c>
      <c r="M2912" t="str">
        <f>IF('[1]All Data '!BF2917="","",'[1]All Data '!BF2917)</f>
        <v/>
      </c>
      <c r="N2912" s="5" t="str">
        <f>IF('[1]All Data '!BB2917="","",'[1]All Data '!BC2917/'[1]All Data '!BH2917)</f>
        <v/>
      </c>
      <c r="O2912" s="5" t="str">
        <f t="shared" si="47"/>
        <v/>
      </c>
      <c r="P2912" s="5" t="str">
        <f>IF(M2912="","",$C$2*(1-L2912)*907.2/0.621371*N2912*[1]Transportation!$M$40)</f>
        <v/>
      </c>
      <c r="Q2912" s="5" t="str">
        <f>IF(L2912="","",IF([1]Inputs_Outputs!$B$5="Herbaceous",(LCA!$E$29*'[1]LOCH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2" s="5" t="str">
        <f>IF(M2912="","",$E$2*1000*'[1]LOCH Calc COE Calc'!$C$44)</f>
        <v/>
      </c>
      <c r="S2912" s="6" t="str">
        <f>IF(N2912="","",SUM(O2912:R2912)/('[1]LOCH Calc COE Calc'!$C$28))</f>
        <v/>
      </c>
      <c r="T2912" t="str">
        <f>IF(L2912="","",O2912/'[1]LOCH Calc COE Calc'!$C$28)</f>
        <v/>
      </c>
      <c r="U2912" t="str">
        <f>IF(L2912="","",P2912/'[1]LOCH Calc COE Calc'!$C$28)</f>
        <v/>
      </c>
      <c r="V2912" t="str">
        <f>IF(L2912="","",Q2912/'[1]LOCH Calc COE Calc'!$C$28)</f>
        <v/>
      </c>
      <c r="W2912" t="str">
        <f>IF(L2912="","",R2912/'[1]LOCH Calc COE Calc'!$C$28)</f>
        <v/>
      </c>
    </row>
    <row r="2913" spans="12:23" x14ac:dyDescent="0.25">
      <c r="L2913" s="4" t="str">
        <f>IF('[1]All Data '!BE2918="","",'[1]All Data '!BE2918)</f>
        <v/>
      </c>
      <c r="M2913" t="str">
        <f>IF('[1]All Data '!BF2918="","",'[1]All Data '!BF2918)</f>
        <v/>
      </c>
      <c r="N2913" s="5" t="str">
        <f>IF('[1]All Data '!BB2918="","",'[1]All Data '!BC2918/'[1]All Data '!BH2918)</f>
        <v/>
      </c>
      <c r="O2913" s="5" t="str">
        <f t="shared" si="47"/>
        <v/>
      </c>
      <c r="P2913" s="5" t="str">
        <f>IF(M2913="","",$C$2*(1-L2913)*907.2/0.621371*N2913*[1]Transportation!$M$40)</f>
        <v/>
      </c>
      <c r="Q2913" s="5" t="str">
        <f>IF(L2913="","",IF([1]Inputs_Outputs!$B$5="Herbaceous",(LCA!$E$29*'[1]LOCH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3" s="5" t="str">
        <f>IF(M2913="","",$E$2*1000*'[1]LOCH Calc COE Calc'!$C$44)</f>
        <v/>
      </c>
      <c r="S2913" s="6" t="str">
        <f>IF(N2913="","",SUM(O2913:R2913)/('[1]LOCH Calc COE Calc'!$C$28))</f>
        <v/>
      </c>
      <c r="T2913" t="str">
        <f>IF(L2913="","",O2913/'[1]LOCH Calc COE Calc'!$C$28)</f>
        <v/>
      </c>
      <c r="U2913" t="str">
        <f>IF(L2913="","",P2913/'[1]LOCH Calc COE Calc'!$C$28)</f>
        <v/>
      </c>
      <c r="V2913" t="str">
        <f>IF(L2913="","",Q2913/'[1]LOCH Calc COE Calc'!$C$28)</f>
        <v/>
      </c>
      <c r="W2913" t="str">
        <f>IF(L2913="","",R2913/'[1]LOCH Calc COE Calc'!$C$28)</f>
        <v/>
      </c>
    </row>
    <row r="2914" spans="12:23" x14ac:dyDescent="0.25">
      <c r="L2914" s="4" t="str">
        <f>IF('[1]All Data '!BE2919="","",'[1]All Data '!BE2919)</f>
        <v/>
      </c>
      <c r="M2914" t="str">
        <f>IF('[1]All Data '!BF2919="","",'[1]All Data '!BF2919)</f>
        <v/>
      </c>
      <c r="N2914" s="5" t="str">
        <f>IF('[1]All Data '!BB2919="","",'[1]All Data '!BC2919/'[1]All Data '!BH2919)</f>
        <v/>
      </c>
      <c r="O2914" s="5" t="str">
        <f t="shared" si="47"/>
        <v/>
      </c>
      <c r="P2914" s="5" t="str">
        <f>IF(M2914="","",$C$2*(1-L2914)*907.2/0.621371*N2914*[1]Transportation!$M$40)</f>
        <v/>
      </c>
      <c r="Q2914" s="5" t="str">
        <f>IF(L2914="","",IF([1]Inputs_Outputs!$B$5="Herbaceous",(LCA!$E$29*'[1]LOCH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4" s="5" t="str">
        <f>IF(M2914="","",$E$2*1000*'[1]LOCH Calc COE Calc'!$C$44)</f>
        <v/>
      </c>
      <c r="S2914" s="6" t="str">
        <f>IF(N2914="","",SUM(O2914:R2914)/('[1]LOCH Calc COE Calc'!$C$28))</f>
        <v/>
      </c>
      <c r="T2914" t="str">
        <f>IF(L2914="","",O2914/'[1]LOCH Calc COE Calc'!$C$28)</f>
        <v/>
      </c>
      <c r="U2914" t="str">
        <f>IF(L2914="","",P2914/'[1]LOCH Calc COE Calc'!$C$28)</f>
        <v/>
      </c>
      <c r="V2914" t="str">
        <f>IF(L2914="","",Q2914/'[1]LOCH Calc COE Calc'!$C$28)</f>
        <v/>
      </c>
      <c r="W2914" t="str">
        <f>IF(L2914="","",R2914/'[1]LOCH Calc COE Calc'!$C$28)</f>
        <v/>
      </c>
    </row>
    <row r="2915" spans="12:23" x14ac:dyDescent="0.25">
      <c r="L2915" s="4" t="str">
        <f>IF('[1]All Data '!BE2920="","",'[1]All Data '!BE2920)</f>
        <v/>
      </c>
      <c r="M2915" t="str">
        <f>IF('[1]All Data '!BF2920="","",'[1]All Data '!BF2920)</f>
        <v/>
      </c>
      <c r="N2915" s="5" t="str">
        <f>IF('[1]All Data '!BB2920="","",'[1]All Data '!BC2920/'[1]All Data '!BH2920)</f>
        <v/>
      </c>
      <c r="O2915" s="5" t="str">
        <f t="shared" ref="O2915:O2978" si="48">IF(N2915="","",M2915*N2915)</f>
        <v/>
      </c>
      <c r="P2915" s="5" t="str">
        <f>IF(M2915="","",$C$2*(1-L2915)*907.2/0.621371*N2915*[1]Transportation!$M$40)</f>
        <v/>
      </c>
      <c r="Q2915" s="5" t="str">
        <f>IF(L2915="","",IF([1]Inputs_Outputs!$B$5="Herbaceous",(LCA!$E$29*'[1]LOCH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5" s="5" t="str">
        <f>IF(M2915="","",$E$2*1000*'[1]LOCH Calc COE Calc'!$C$44)</f>
        <v/>
      </c>
      <c r="S2915" s="6" t="str">
        <f>IF(N2915="","",SUM(O2915:R2915)/('[1]LOCH Calc COE Calc'!$C$28))</f>
        <v/>
      </c>
      <c r="T2915" t="str">
        <f>IF(L2915="","",O2915/'[1]LOCH Calc COE Calc'!$C$28)</f>
        <v/>
      </c>
      <c r="U2915" t="str">
        <f>IF(L2915="","",P2915/'[1]LOCH Calc COE Calc'!$C$28)</f>
        <v/>
      </c>
      <c r="V2915" t="str">
        <f>IF(L2915="","",Q2915/'[1]LOCH Calc COE Calc'!$C$28)</f>
        <v/>
      </c>
      <c r="W2915" t="str">
        <f>IF(L2915="","",R2915/'[1]LOCH Calc COE Calc'!$C$28)</f>
        <v/>
      </c>
    </row>
    <row r="2916" spans="12:23" x14ac:dyDescent="0.25">
      <c r="L2916" s="4" t="str">
        <f>IF('[1]All Data '!BE2921="","",'[1]All Data '!BE2921)</f>
        <v/>
      </c>
      <c r="M2916" t="str">
        <f>IF('[1]All Data '!BF2921="","",'[1]All Data '!BF2921)</f>
        <v/>
      </c>
      <c r="N2916" s="5" t="str">
        <f>IF('[1]All Data '!BB2921="","",'[1]All Data '!BC2921/'[1]All Data '!BH2921)</f>
        <v/>
      </c>
      <c r="O2916" s="5" t="str">
        <f t="shared" si="48"/>
        <v/>
      </c>
      <c r="P2916" s="5" t="str">
        <f>IF(M2916="","",$C$2*(1-L2916)*907.2/0.621371*N2916*[1]Transportation!$M$40)</f>
        <v/>
      </c>
      <c r="Q2916" s="5" t="str">
        <f>IF(L2916="","",IF([1]Inputs_Outputs!$B$5="Herbaceous",(LCA!$E$29*'[1]LOCH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6" s="5" t="str">
        <f>IF(M2916="","",$E$2*1000*'[1]LOCH Calc COE Calc'!$C$44)</f>
        <v/>
      </c>
      <c r="S2916" s="6" t="str">
        <f>IF(N2916="","",SUM(O2916:R2916)/('[1]LOCH Calc COE Calc'!$C$28))</f>
        <v/>
      </c>
      <c r="T2916" t="str">
        <f>IF(L2916="","",O2916/'[1]LOCH Calc COE Calc'!$C$28)</f>
        <v/>
      </c>
      <c r="U2916" t="str">
        <f>IF(L2916="","",P2916/'[1]LOCH Calc COE Calc'!$C$28)</f>
        <v/>
      </c>
      <c r="V2916" t="str">
        <f>IF(L2916="","",Q2916/'[1]LOCH Calc COE Calc'!$C$28)</f>
        <v/>
      </c>
      <c r="W2916" t="str">
        <f>IF(L2916="","",R2916/'[1]LOCH Calc COE Calc'!$C$28)</f>
        <v/>
      </c>
    </row>
    <row r="2917" spans="12:23" x14ac:dyDescent="0.25">
      <c r="L2917" s="4" t="str">
        <f>IF('[1]All Data '!BE2922="","",'[1]All Data '!BE2922)</f>
        <v/>
      </c>
      <c r="M2917" t="str">
        <f>IF('[1]All Data '!BF2922="","",'[1]All Data '!BF2922)</f>
        <v/>
      </c>
      <c r="N2917" s="5" t="str">
        <f>IF('[1]All Data '!BB2922="","",'[1]All Data '!BC2922/'[1]All Data '!BH2922)</f>
        <v/>
      </c>
      <c r="O2917" s="5" t="str">
        <f t="shared" si="48"/>
        <v/>
      </c>
      <c r="P2917" s="5" t="str">
        <f>IF(M2917="","",$C$2*(1-L2917)*907.2/0.621371*N2917*[1]Transportation!$M$40)</f>
        <v/>
      </c>
      <c r="Q2917" s="5" t="str">
        <f>IF(L2917="","",IF([1]Inputs_Outputs!$B$5="Herbaceous",(LCA!$E$29*'[1]LOCH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7" s="5" t="str">
        <f>IF(M2917="","",$E$2*1000*'[1]LOCH Calc COE Calc'!$C$44)</f>
        <v/>
      </c>
      <c r="S2917" s="6" t="str">
        <f>IF(N2917="","",SUM(O2917:R2917)/('[1]LOCH Calc COE Calc'!$C$28))</f>
        <v/>
      </c>
      <c r="T2917" t="str">
        <f>IF(L2917="","",O2917/'[1]LOCH Calc COE Calc'!$C$28)</f>
        <v/>
      </c>
      <c r="U2917" t="str">
        <f>IF(L2917="","",P2917/'[1]LOCH Calc COE Calc'!$C$28)</f>
        <v/>
      </c>
      <c r="V2917" t="str">
        <f>IF(L2917="","",Q2917/'[1]LOCH Calc COE Calc'!$C$28)</f>
        <v/>
      </c>
      <c r="W2917" t="str">
        <f>IF(L2917="","",R2917/'[1]LOCH Calc COE Calc'!$C$28)</f>
        <v/>
      </c>
    </row>
    <row r="2918" spans="12:23" x14ac:dyDescent="0.25">
      <c r="L2918" s="4" t="str">
        <f>IF('[1]All Data '!BE2923="","",'[1]All Data '!BE2923)</f>
        <v/>
      </c>
      <c r="M2918" t="str">
        <f>IF('[1]All Data '!BF2923="","",'[1]All Data '!BF2923)</f>
        <v/>
      </c>
      <c r="N2918" s="5" t="str">
        <f>IF('[1]All Data '!BB2923="","",'[1]All Data '!BC2923/'[1]All Data '!BH2923)</f>
        <v/>
      </c>
      <c r="O2918" s="5" t="str">
        <f t="shared" si="48"/>
        <v/>
      </c>
      <c r="P2918" s="5" t="str">
        <f>IF(M2918="","",$C$2*(1-L2918)*907.2/0.621371*N2918*[1]Transportation!$M$40)</f>
        <v/>
      </c>
      <c r="Q2918" s="5" t="str">
        <f>IF(L2918="","",IF([1]Inputs_Outputs!$B$5="Herbaceous",(LCA!$E$29*'[1]LOCH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8" s="5" t="str">
        <f>IF(M2918="","",$E$2*1000*'[1]LOCH Calc COE Calc'!$C$44)</f>
        <v/>
      </c>
      <c r="S2918" s="6" t="str">
        <f>IF(N2918="","",SUM(O2918:R2918)/('[1]LOCH Calc COE Calc'!$C$28))</f>
        <v/>
      </c>
      <c r="T2918" t="str">
        <f>IF(L2918="","",O2918/'[1]LOCH Calc COE Calc'!$C$28)</f>
        <v/>
      </c>
      <c r="U2918" t="str">
        <f>IF(L2918="","",P2918/'[1]LOCH Calc COE Calc'!$C$28)</f>
        <v/>
      </c>
      <c r="V2918" t="str">
        <f>IF(L2918="","",Q2918/'[1]LOCH Calc COE Calc'!$C$28)</f>
        <v/>
      </c>
      <c r="W2918" t="str">
        <f>IF(L2918="","",R2918/'[1]LOCH Calc COE Calc'!$C$28)</f>
        <v/>
      </c>
    </row>
    <row r="2919" spans="12:23" x14ac:dyDescent="0.25">
      <c r="L2919" s="4" t="str">
        <f>IF('[1]All Data '!BE2924="","",'[1]All Data '!BE2924)</f>
        <v/>
      </c>
      <c r="M2919" t="str">
        <f>IF('[1]All Data '!BF2924="","",'[1]All Data '!BF2924)</f>
        <v/>
      </c>
      <c r="N2919" s="5" t="str">
        <f>IF('[1]All Data '!BB2924="","",'[1]All Data '!BC2924/'[1]All Data '!BH2924)</f>
        <v/>
      </c>
      <c r="O2919" s="5" t="str">
        <f t="shared" si="48"/>
        <v/>
      </c>
      <c r="P2919" s="5" t="str">
        <f>IF(M2919="","",$C$2*(1-L2919)*907.2/0.621371*N2919*[1]Transportation!$M$40)</f>
        <v/>
      </c>
      <c r="Q2919" s="5" t="str">
        <f>IF(L2919="","",IF([1]Inputs_Outputs!$B$5="Herbaceous",(LCA!$E$29*'[1]LOCH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19" s="5" t="str">
        <f>IF(M2919="","",$E$2*1000*'[1]LOCH Calc COE Calc'!$C$44)</f>
        <v/>
      </c>
      <c r="S2919" s="6" t="str">
        <f>IF(N2919="","",SUM(O2919:R2919)/('[1]LOCH Calc COE Calc'!$C$28))</f>
        <v/>
      </c>
      <c r="T2919" t="str">
        <f>IF(L2919="","",O2919/'[1]LOCH Calc COE Calc'!$C$28)</f>
        <v/>
      </c>
      <c r="U2919" t="str">
        <f>IF(L2919="","",P2919/'[1]LOCH Calc COE Calc'!$C$28)</f>
        <v/>
      </c>
      <c r="V2919" t="str">
        <f>IF(L2919="","",Q2919/'[1]LOCH Calc COE Calc'!$C$28)</f>
        <v/>
      </c>
      <c r="W2919" t="str">
        <f>IF(L2919="","",R2919/'[1]LOCH Calc COE Calc'!$C$28)</f>
        <v/>
      </c>
    </row>
    <row r="2920" spans="12:23" x14ac:dyDescent="0.25">
      <c r="L2920" s="4" t="str">
        <f>IF('[1]All Data '!BE2925="","",'[1]All Data '!BE2925)</f>
        <v/>
      </c>
      <c r="M2920" t="str">
        <f>IF('[1]All Data '!BF2925="","",'[1]All Data '!BF2925)</f>
        <v/>
      </c>
      <c r="N2920" s="5" t="str">
        <f>IF('[1]All Data '!BB2925="","",'[1]All Data '!BC2925/'[1]All Data '!BH2925)</f>
        <v/>
      </c>
      <c r="O2920" s="5" t="str">
        <f t="shared" si="48"/>
        <v/>
      </c>
      <c r="P2920" s="5" t="str">
        <f>IF(M2920="","",$C$2*(1-L2920)*907.2/0.621371*N2920*[1]Transportation!$M$40)</f>
        <v/>
      </c>
      <c r="Q2920" s="5" t="str">
        <f>IF(L2920="","",IF([1]Inputs_Outputs!$B$5="Herbaceous",(LCA!$E$29*'[1]LOCH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0" s="5" t="str">
        <f>IF(M2920="","",$E$2*1000*'[1]LOCH Calc COE Calc'!$C$44)</f>
        <v/>
      </c>
      <c r="S2920" s="6" t="str">
        <f>IF(N2920="","",SUM(O2920:R2920)/('[1]LOCH Calc COE Calc'!$C$28))</f>
        <v/>
      </c>
      <c r="T2920" t="str">
        <f>IF(L2920="","",O2920/'[1]LOCH Calc COE Calc'!$C$28)</f>
        <v/>
      </c>
      <c r="U2920" t="str">
        <f>IF(L2920="","",P2920/'[1]LOCH Calc COE Calc'!$C$28)</f>
        <v/>
      </c>
      <c r="V2920" t="str">
        <f>IF(L2920="","",Q2920/'[1]LOCH Calc COE Calc'!$C$28)</f>
        <v/>
      </c>
      <c r="W2920" t="str">
        <f>IF(L2920="","",R2920/'[1]LOCH Calc COE Calc'!$C$28)</f>
        <v/>
      </c>
    </row>
    <row r="2921" spans="12:23" x14ac:dyDescent="0.25">
      <c r="L2921" s="4" t="str">
        <f>IF('[1]All Data '!BE2926="","",'[1]All Data '!BE2926)</f>
        <v/>
      </c>
      <c r="M2921" t="str">
        <f>IF('[1]All Data '!BF2926="","",'[1]All Data '!BF2926)</f>
        <v/>
      </c>
      <c r="N2921" s="5" t="str">
        <f>IF('[1]All Data '!BB2926="","",'[1]All Data '!BC2926/'[1]All Data '!BH2926)</f>
        <v/>
      </c>
      <c r="O2921" s="5" t="str">
        <f t="shared" si="48"/>
        <v/>
      </c>
      <c r="P2921" s="5" t="str">
        <f>IF(M2921="","",$C$2*(1-L2921)*907.2/0.621371*N2921*[1]Transportation!$M$40)</f>
        <v/>
      </c>
      <c r="Q2921" s="5" t="str">
        <f>IF(L2921="","",IF([1]Inputs_Outputs!$B$5="Herbaceous",(LCA!$E$29*'[1]LOCH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1" s="5" t="str">
        <f>IF(M2921="","",$E$2*1000*'[1]LOCH Calc COE Calc'!$C$44)</f>
        <v/>
      </c>
      <c r="S2921" s="6" t="str">
        <f>IF(N2921="","",SUM(O2921:R2921)/('[1]LOCH Calc COE Calc'!$C$28))</f>
        <v/>
      </c>
      <c r="T2921" t="str">
        <f>IF(L2921="","",O2921/'[1]LOCH Calc COE Calc'!$C$28)</f>
        <v/>
      </c>
      <c r="U2921" t="str">
        <f>IF(L2921="","",P2921/'[1]LOCH Calc COE Calc'!$C$28)</f>
        <v/>
      </c>
      <c r="V2921" t="str">
        <f>IF(L2921="","",Q2921/'[1]LOCH Calc COE Calc'!$C$28)</f>
        <v/>
      </c>
      <c r="W2921" t="str">
        <f>IF(L2921="","",R2921/'[1]LOCH Calc COE Calc'!$C$28)</f>
        <v/>
      </c>
    </row>
    <row r="2922" spans="12:23" x14ac:dyDescent="0.25">
      <c r="L2922" s="4" t="str">
        <f>IF('[1]All Data '!BE2927="","",'[1]All Data '!BE2927)</f>
        <v/>
      </c>
      <c r="M2922" t="str">
        <f>IF('[1]All Data '!BF2927="","",'[1]All Data '!BF2927)</f>
        <v/>
      </c>
      <c r="N2922" s="5" t="str">
        <f>IF('[1]All Data '!BB2927="","",'[1]All Data '!BC2927/'[1]All Data '!BH2927)</f>
        <v/>
      </c>
      <c r="O2922" s="5" t="str">
        <f t="shared" si="48"/>
        <v/>
      </c>
      <c r="P2922" s="5" t="str">
        <f>IF(M2922="","",$C$2*(1-L2922)*907.2/0.621371*N2922*[1]Transportation!$M$40)</f>
        <v/>
      </c>
      <c r="Q2922" s="5" t="str">
        <f>IF(L2922="","",IF([1]Inputs_Outputs!$B$5="Herbaceous",(LCA!$E$29*'[1]LOCH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2" s="5" t="str">
        <f>IF(M2922="","",$E$2*1000*'[1]LOCH Calc COE Calc'!$C$44)</f>
        <v/>
      </c>
      <c r="S2922" s="6" t="str">
        <f>IF(N2922="","",SUM(O2922:R2922)/('[1]LOCH Calc COE Calc'!$C$28))</f>
        <v/>
      </c>
      <c r="T2922" t="str">
        <f>IF(L2922="","",O2922/'[1]LOCH Calc COE Calc'!$C$28)</f>
        <v/>
      </c>
      <c r="U2922" t="str">
        <f>IF(L2922="","",P2922/'[1]LOCH Calc COE Calc'!$C$28)</f>
        <v/>
      </c>
      <c r="V2922" t="str">
        <f>IF(L2922="","",Q2922/'[1]LOCH Calc COE Calc'!$C$28)</f>
        <v/>
      </c>
      <c r="W2922" t="str">
        <f>IF(L2922="","",R2922/'[1]LOCH Calc COE Calc'!$C$28)</f>
        <v/>
      </c>
    </row>
    <row r="2923" spans="12:23" x14ac:dyDescent="0.25">
      <c r="L2923" s="4" t="str">
        <f>IF('[1]All Data '!BE2928="","",'[1]All Data '!BE2928)</f>
        <v/>
      </c>
      <c r="M2923" t="str">
        <f>IF('[1]All Data '!BF2928="","",'[1]All Data '!BF2928)</f>
        <v/>
      </c>
      <c r="N2923" s="5" t="str">
        <f>IF('[1]All Data '!BB2928="","",'[1]All Data '!BC2928/'[1]All Data '!BH2928)</f>
        <v/>
      </c>
      <c r="O2923" s="5" t="str">
        <f t="shared" si="48"/>
        <v/>
      </c>
      <c r="P2923" s="5" t="str">
        <f>IF(M2923="","",$C$2*(1-L2923)*907.2/0.621371*N2923*[1]Transportation!$M$40)</f>
        <v/>
      </c>
      <c r="Q2923" s="5" t="str">
        <f>IF(L2923="","",IF([1]Inputs_Outputs!$B$5="Herbaceous",(LCA!$E$29*'[1]LOCH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3" s="5" t="str">
        <f>IF(M2923="","",$E$2*1000*'[1]LOCH Calc COE Calc'!$C$44)</f>
        <v/>
      </c>
      <c r="S2923" s="6" t="str">
        <f>IF(N2923="","",SUM(O2923:R2923)/('[1]LOCH Calc COE Calc'!$C$28))</f>
        <v/>
      </c>
      <c r="T2923" t="str">
        <f>IF(L2923="","",O2923/'[1]LOCH Calc COE Calc'!$C$28)</f>
        <v/>
      </c>
      <c r="U2923" t="str">
        <f>IF(L2923="","",P2923/'[1]LOCH Calc COE Calc'!$C$28)</f>
        <v/>
      </c>
      <c r="V2923" t="str">
        <f>IF(L2923="","",Q2923/'[1]LOCH Calc COE Calc'!$C$28)</f>
        <v/>
      </c>
      <c r="W2923" t="str">
        <f>IF(L2923="","",R2923/'[1]LOCH Calc COE Calc'!$C$28)</f>
        <v/>
      </c>
    </row>
    <row r="2924" spans="12:23" x14ac:dyDescent="0.25">
      <c r="L2924" s="4" t="str">
        <f>IF('[1]All Data '!BE2929="","",'[1]All Data '!BE2929)</f>
        <v/>
      </c>
      <c r="M2924" t="str">
        <f>IF('[1]All Data '!BF2929="","",'[1]All Data '!BF2929)</f>
        <v/>
      </c>
      <c r="N2924" s="5" t="str">
        <f>IF('[1]All Data '!BB2929="","",'[1]All Data '!BC2929/'[1]All Data '!BH2929)</f>
        <v/>
      </c>
      <c r="O2924" s="5" t="str">
        <f t="shared" si="48"/>
        <v/>
      </c>
      <c r="P2924" s="5" t="str">
        <f>IF(M2924="","",$C$2*(1-L2924)*907.2/0.621371*N2924*[1]Transportation!$M$40)</f>
        <v/>
      </c>
      <c r="Q2924" s="5" t="str">
        <f>IF(L2924="","",IF([1]Inputs_Outputs!$B$5="Herbaceous",(LCA!$E$29*'[1]LOCH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4" s="5" t="str">
        <f>IF(M2924="","",$E$2*1000*'[1]LOCH Calc COE Calc'!$C$44)</f>
        <v/>
      </c>
      <c r="S2924" s="6" t="str">
        <f>IF(N2924="","",SUM(O2924:R2924)/('[1]LOCH Calc COE Calc'!$C$28))</f>
        <v/>
      </c>
      <c r="T2924" t="str">
        <f>IF(L2924="","",O2924/'[1]LOCH Calc COE Calc'!$C$28)</f>
        <v/>
      </c>
      <c r="U2924" t="str">
        <f>IF(L2924="","",P2924/'[1]LOCH Calc COE Calc'!$C$28)</f>
        <v/>
      </c>
      <c r="V2924" t="str">
        <f>IF(L2924="","",Q2924/'[1]LOCH Calc COE Calc'!$C$28)</f>
        <v/>
      </c>
      <c r="W2924" t="str">
        <f>IF(L2924="","",R2924/'[1]LOCH Calc COE Calc'!$C$28)</f>
        <v/>
      </c>
    </row>
    <row r="2925" spans="12:23" x14ac:dyDescent="0.25">
      <c r="L2925" s="4" t="str">
        <f>IF('[1]All Data '!BE2930="","",'[1]All Data '!BE2930)</f>
        <v/>
      </c>
      <c r="M2925" t="str">
        <f>IF('[1]All Data '!BF2930="","",'[1]All Data '!BF2930)</f>
        <v/>
      </c>
      <c r="N2925" s="5" t="str">
        <f>IF('[1]All Data '!BB2930="","",'[1]All Data '!BC2930/'[1]All Data '!BH2930)</f>
        <v/>
      </c>
      <c r="O2925" s="5" t="str">
        <f t="shared" si="48"/>
        <v/>
      </c>
      <c r="P2925" s="5" t="str">
        <f>IF(M2925="","",$C$2*(1-L2925)*907.2/0.621371*N2925*[1]Transportation!$M$40)</f>
        <v/>
      </c>
      <c r="Q2925" s="5" t="str">
        <f>IF(L2925="","",IF([1]Inputs_Outputs!$B$5="Herbaceous",(LCA!$E$29*'[1]LOCH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5" s="5" t="str">
        <f>IF(M2925="","",$E$2*1000*'[1]LOCH Calc COE Calc'!$C$44)</f>
        <v/>
      </c>
      <c r="S2925" s="6" t="str">
        <f>IF(N2925="","",SUM(O2925:R2925)/('[1]LOCH Calc COE Calc'!$C$28))</f>
        <v/>
      </c>
      <c r="T2925" t="str">
        <f>IF(L2925="","",O2925/'[1]LOCH Calc COE Calc'!$C$28)</f>
        <v/>
      </c>
      <c r="U2925" t="str">
        <f>IF(L2925="","",P2925/'[1]LOCH Calc COE Calc'!$C$28)</f>
        <v/>
      </c>
      <c r="V2925" t="str">
        <f>IF(L2925="","",Q2925/'[1]LOCH Calc COE Calc'!$C$28)</f>
        <v/>
      </c>
      <c r="W2925" t="str">
        <f>IF(L2925="","",R2925/'[1]LOCH Calc COE Calc'!$C$28)</f>
        <v/>
      </c>
    </row>
    <row r="2926" spans="12:23" x14ac:dyDescent="0.25">
      <c r="L2926" s="4" t="str">
        <f>IF('[1]All Data '!BE2931="","",'[1]All Data '!BE2931)</f>
        <v/>
      </c>
      <c r="M2926" t="str">
        <f>IF('[1]All Data '!BF2931="","",'[1]All Data '!BF2931)</f>
        <v/>
      </c>
      <c r="N2926" s="5" t="str">
        <f>IF('[1]All Data '!BB2931="","",'[1]All Data '!BC2931/'[1]All Data '!BH2931)</f>
        <v/>
      </c>
      <c r="O2926" s="5" t="str">
        <f t="shared" si="48"/>
        <v/>
      </c>
      <c r="P2926" s="5" t="str">
        <f>IF(M2926="","",$C$2*(1-L2926)*907.2/0.621371*N2926*[1]Transportation!$M$40)</f>
        <v/>
      </c>
      <c r="Q2926" s="5" t="str">
        <f>IF(L2926="","",IF([1]Inputs_Outputs!$B$5="Herbaceous",(LCA!$E$29*'[1]LOCH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6" s="5" t="str">
        <f>IF(M2926="","",$E$2*1000*'[1]LOCH Calc COE Calc'!$C$44)</f>
        <v/>
      </c>
      <c r="S2926" s="6" t="str">
        <f>IF(N2926="","",SUM(O2926:R2926)/('[1]LOCH Calc COE Calc'!$C$28))</f>
        <v/>
      </c>
      <c r="T2926" t="str">
        <f>IF(L2926="","",O2926/'[1]LOCH Calc COE Calc'!$C$28)</f>
        <v/>
      </c>
      <c r="U2926" t="str">
        <f>IF(L2926="","",P2926/'[1]LOCH Calc COE Calc'!$C$28)</f>
        <v/>
      </c>
      <c r="V2926" t="str">
        <f>IF(L2926="","",Q2926/'[1]LOCH Calc COE Calc'!$C$28)</f>
        <v/>
      </c>
      <c r="W2926" t="str">
        <f>IF(L2926="","",R2926/'[1]LOCH Calc COE Calc'!$C$28)</f>
        <v/>
      </c>
    </row>
    <row r="2927" spans="12:23" x14ac:dyDescent="0.25">
      <c r="L2927" s="4" t="str">
        <f>IF('[1]All Data '!BE2932="","",'[1]All Data '!BE2932)</f>
        <v/>
      </c>
      <c r="M2927" t="str">
        <f>IF('[1]All Data '!BF2932="","",'[1]All Data '!BF2932)</f>
        <v/>
      </c>
      <c r="N2927" s="5" t="str">
        <f>IF('[1]All Data '!BB2932="","",'[1]All Data '!BC2932/'[1]All Data '!BH2932)</f>
        <v/>
      </c>
      <c r="O2927" s="5" t="str">
        <f t="shared" si="48"/>
        <v/>
      </c>
      <c r="P2927" s="5" t="str">
        <f>IF(M2927="","",$C$2*(1-L2927)*907.2/0.621371*N2927*[1]Transportation!$M$40)</f>
        <v/>
      </c>
      <c r="Q2927" s="5" t="str">
        <f>IF(L2927="","",IF([1]Inputs_Outputs!$B$5="Herbaceous",(LCA!$E$29*'[1]LOCH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7" s="5" t="str">
        <f>IF(M2927="","",$E$2*1000*'[1]LOCH Calc COE Calc'!$C$44)</f>
        <v/>
      </c>
      <c r="S2927" s="6" t="str">
        <f>IF(N2927="","",SUM(O2927:R2927)/('[1]LOCH Calc COE Calc'!$C$28))</f>
        <v/>
      </c>
      <c r="T2927" t="str">
        <f>IF(L2927="","",O2927/'[1]LOCH Calc COE Calc'!$C$28)</f>
        <v/>
      </c>
      <c r="U2927" t="str">
        <f>IF(L2927="","",P2927/'[1]LOCH Calc COE Calc'!$C$28)</f>
        <v/>
      </c>
      <c r="V2927" t="str">
        <f>IF(L2927="","",Q2927/'[1]LOCH Calc COE Calc'!$C$28)</f>
        <v/>
      </c>
      <c r="W2927" t="str">
        <f>IF(L2927="","",R2927/'[1]LOCH Calc COE Calc'!$C$28)</f>
        <v/>
      </c>
    </row>
    <row r="2928" spans="12:23" x14ac:dyDescent="0.25">
      <c r="L2928" s="4" t="str">
        <f>IF('[1]All Data '!BE2933="","",'[1]All Data '!BE2933)</f>
        <v/>
      </c>
      <c r="M2928" t="str">
        <f>IF('[1]All Data '!BF2933="","",'[1]All Data '!BF2933)</f>
        <v/>
      </c>
      <c r="N2928" s="5" t="str">
        <f>IF('[1]All Data '!BB2933="","",'[1]All Data '!BC2933/'[1]All Data '!BH2933)</f>
        <v/>
      </c>
      <c r="O2928" s="5" t="str">
        <f t="shared" si="48"/>
        <v/>
      </c>
      <c r="P2928" s="5" t="str">
        <f>IF(M2928="","",$C$2*(1-L2928)*907.2/0.621371*N2928*[1]Transportation!$M$40)</f>
        <v/>
      </c>
      <c r="Q2928" s="5" t="str">
        <f>IF(L2928="","",IF([1]Inputs_Outputs!$B$5="Herbaceous",(LCA!$E$29*'[1]LOCH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8" s="5" t="str">
        <f>IF(M2928="","",$E$2*1000*'[1]LOCH Calc COE Calc'!$C$44)</f>
        <v/>
      </c>
      <c r="S2928" s="6" t="str">
        <f>IF(N2928="","",SUM(O2928:R2928)/('[1]LOCH Calc COE Calc'!$C$28))</f>
        <v/>
      </c>
      <c r="T2928" t="str">
        <f>IF(L2928="","",O2928/'[1]LOCH Calc COE Calc'!$C$28)</f>
        <v/>
      </c>
      <c r="U2928" t="str">
        <f>IF(L2928="","",P2928/'[1]LOCH Calc COE Calc'!$C$28)</f>
        <v/>
      </c>
      <c r="V2928" t="str">
        <f>IF(L2928="","",Q2928/'[1]LOCH Calc COE Calc'!$C$28)</f>
        <v/>
      </c>
      <c r="W2928" t="str">
        <f>IF(L2928="","",R2928/'[1]LOCH Calc COE Calc'!$C$28)</f>
        <v/>
      </c>
    </row>
    <row r="2929" spans="12:23" x14ac:dyDescent="0.25">
      <c r="L2929" s="4" t="str">
        <f>IF('[1]All Data '!BE2934="","",'[1]All Data '!BE2934)</f>
        <v/>
      </c>
      <c r="M2929" t="str">
        <f>IF('[1]All Data '!BF2934="","",'[1]All Data '!BF2934)</f>
        <v/>
      </c>
      <c r="N2929" s="5" t="str">
        <f>IF('[1]All Data '!BB2934="","",'[1]All Data '!BC2934/'[1]All Data '!BH2934)</f>
        <v/>
      </c>
      <c r="O2929" s="5" t="str">
        <f t="shared" si="48"/>
        <v/>
      </c>
      <c r="P2929" s="5" t="str">
        <f>IF(M2929="","",$C$2*(1-L2929)*907.2/0.621371*N2929*[1]Transportation!$M$40)</f>
        <v/>
      </c>
      <c r="Q2929" s="5" t="str">
        <f>IF(L2929="","",IF([1]Inputs_Outputs!$B$5="Herbaceous",(LCA!$E$29*'[1]LOCH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29" s="5" t="str">
        <f>IF(M2929="","",$E$2*1000*'[1]LOCH Calc COE Calc'!$C$44)</f>
        <v/>
      </c>
      <c r="S2929" s="6" t="str">
        <f>IF(N2929="","",SUM(O2929:R2929)/('[1]LOCH Calc COE Calc'!$C$28))</f>
        <v/>
      </c>
      <c r="T2929" t="str">
        <f>IF(L2929="","",O2929/'[1]LOCH Calc COE Calc'!$C$28)</f>
        <v/>
      </c>
      <c r="U2929" t="str">
        <f>IF(L2929="","",P2929/'[1]LOCH Calc COE Calc'!$C$28)</f>
        <v/>
      </c>
      <c r="V2929" t="str">
        <f>IF(L2929="","",Q2929/'[1]LOCH Calc COE Calc'!$C$28)</f>
        <v/>
      </c>
      <c r="W2929" t="str">
        <f>IF(L2929="","",R2929/'[1]LOCH Calc COE Calc'!$C$28)</f>
        <v/>
      </c>
    </row>
    <row r="2930" spans="12:23" x14ac:dyDescent="0.25">
      <c r="L2930" s="4" t="str">
        <f>IF('[1]All Data '!BE2935="","",'[1]All Data '!BE2935)</f>
        <v/>
      </c>
      <c r="M2930" t="str">
        <f>IF('[1]All Data '!BF2935="","",'[1]All Data '!BF2935)</f>
        <v/>
      </c>
      <c r="N2930" s="5" t="str">
        <f>IF('[1]All Data '!BB2935="","",'[1]All Data '!BC2935/'[1]All Data '!BH2935)</f>
        <v/>
      </c>
      <c r="O2930" s="5" t="str">
        <f t="shared" si="48"/>
        <v/>
      </c>
      <c r="P2930" s="5" t="str">
        <f>IF(M2930="","",$C$2*(1-L2930)*907.2/0.621371*N2930*[1]Transportation!$M$40)</f>
        <v/>
      </c>
      <c r="Q2930" s="5" t="str">
        <f>IF(L2930="","",IF([1]Inputs_Outputs!$B$5="Herbaceous",(LCA!$E$29*'[1]LOCH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0" s="5" t="str">
        <f>IF(M2930="","",$E$2*1000*'[1]LOCH Calc COE Calc'!$C$44)</f>
        <v/>
      </c>
      <c r="S2930" s="6" t="str">
        <f>IF(N2930="","",SUM(O2930:R2930)/('[1]LOCH Calc COE Calc'!$C$28))</f>
        <v/>
      </c>
      <c r="T2930" t="str">
        <f>IF(L2930="","",O2930/'[1]LOCH Calc COE Calc'!$C$28)</f>
        <v/>
      </c>
      <c r="U2930" t="str">
        <f>IF(L2930="","",P2930/'[1]LOCH Calc COE Calc'!$C$28)</f>
        <v/>
      </c>
      <c r="V2930" t="str">
        <f>IF(L2930="","",Q2930/'[1]LOCH Calc COE Calc'!$C$28)</f>
        <v/>
      </c>
      <c r="W2930" t="str">
        <f>IF(L2930="","",R2930/'[1]LOCH Calc COE Calc'!$C$28)</f>
        <v/>
      </c>
    </row>
    <row r="2931" spans="12:23" x14ac:dyDescent="0.25">
      <c r="L2931" s="4" t="str">
        <f>IF('[1]All Data '!BE2936="","",'[1]All Data '!BE2936)</f>
        <v/>
      </c>
      <c r="M2931" t="str">
        <f>IF('[1]All Data '!BF2936="","",'[1]All Data '!BF2936)</f>
        <v/>
      </c>
      <c r="N2931" s="5" t="str">
        <f>IF('[1]All Data '!BB2936="","",'[1]All Data '!BC2936/'[1]All Data '!BH2936)</f>
        <v/>
      </c>
      <c r="O2931" s="5" t="str">
        <f t="shared" si="48"/>
        <v/>
      </c>
      <c r="P2931" s="5" t="str">
        <f>IF(M2931="","",$C$2*(1-L2931)*907.2/0.621371*N2931*[1]Transportation!$M$40)</f>
        <v/>
      </c>
      <c r="Q2931" s="5" t="str">
        <f>IF(L2931="","",IF([1]Inputs_Outputs!$B$5="Herbaceous",(LCA!$E$29*'[1]LOCH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1" s="5" t="str">
        <f>IF(M2931="","",$E$2*1000*'[1]LOCH Calc COE Calc'!$C$44)</f>
        <v/>
      </c>
      <c r="S2931" s="6" t="str">
        <f>IF(N2931="","",SUM(O2931:R2931)/('[1]LOCH Calc COE Calc'!$C$28))</f>
        <v/>
      </c>
      <c r="T2931" t="str">
        <f>IF(L2931="","",O2931/'[1]LOCH Calc COE Calc'!$C$28)</f>
        <v/>
      </c>
      <c r="U2931" t="str">
        <f>IF(L2931="","",P2931/'[1]LOCH Calc COE Calc'!$C$28)</f>
        <v/>
      </c>
      <c r="V2931" t="str">
        <f>IF(L2931="","",Q2931/'[1]LOCH Calc COE Calc'!$C$28)</f>
        <v/>
      </c>
      <c r="W2931" t="str">
        <f>IF(L2931="","",R2931/'[1]LOCH Calc COE Calc'!$C$28)</f>
        <v/>
      </c>
    </row>
    <row r="2932" spans="12:23" x14ac:dyDescent="0.25">
      <c r="L2932" s="4" t="str">
        <f>IF('[1]All Data '!BE2937="","",'[1]All Data '!BE2937)</f>
        <v/>
      </c>
      <c r="M2932" t="str">
        <f>IF('[1]All Data '!BF2937="","",'[1]All Data '!BF2937)</f>
        <v/>
      </c>
      <c r="N2932" s="5" t="str">
        <f>IF('[1]All Data '!BB2937="","",'[1]All Data '!BC2937/'[1]All Data '!BH2937)</f>
        <v/>
      </c>
      <c r="O2932" s="5" t="str">
        <f t="shared" si="48"/>
        <v/>
      </c>
      <c r="P2932" s="5" t="str">
        <f>IF(M2932="","",$C$2*(1-L2932)*907.2/0.621371*N2932*[1]Transportation!$M$40)</f>
        <v/>
      </c>
      <c r="Q2932" s="5" t="str">
        <f>IF(L2932="","",IF([1]Inputs_Outputs!$B$5="Herbaceous",(LCA!$E$29*'[1]LOCH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2" s="5" t="str">
        <f>IF(M2932="","",$E$2*1000*'[1]LOCH Calc COE Calc'!$C$44)</f>
        <v/>
      </c>
      <c r="S2932" s="6" t="str">
        <f>IF(N2932="","",SUM(O2932:R2932)/('[1]LOCH Calc COE Calc'!$C$28))</f>
        <v/>
      </c>
      <c r="T2932" t="str">
        <f>IF(L2932="","",O2932/'[1]LOCH Calc COE Calc'!$C$28)</f>
        <v/>
      </c>
      <c r="U2932" t="str">
        <f>IF(L2932="","",P2932/'[1]LOCH Calc COE Calc'!$C$28)</f>
        <v/>
      </c>
      <c r="V2932" t="str">
        <f>IF(L2932="","",Q2932/'[1]LOCH Calc COE Calc'!$C$28)</f>
        <v/>
      </c>
      <c r="W2932" t="str">
        <f>IF(L2932="","",R2932/'[1]LOCH Calc COE Calc'!$C$28)</f>
        <v/>
      </c>
    </row>
    <row r="2933" spans="12:23" x14ac:dyDescent="0.25">
      <c r="L2933" s="4" t="str">
        <f>IF('[1]All Data '!BE2938="","",'[1]All Data '!BE2938)</f>
        <v/>
      </c>
      <c r="M2933" t="str">
        <f>IF('[1]All Data '!BF2938="","",'[1]All Data '!BF2938)</f>
        <v/>
      </c>
      <c r="N2933" s="5" t="str">
        <f>IF('[1]All Data '!BB2938="","",'[1]All Data '!BC2938/'[1]All Data '!BH2938)</f>
        <v/>
      </c>
      <c r="O2933" s="5" t="str">
        <f t="shared" si="48"/>
        <v/>
      </c>
      <c r="P2933" s="5" t="str">
        <f>IF(M2933="","",$C$2*(1-L2933)*907.2/0.621371*N2933*[1]Transportation!$M$40)</f>
        <v/>
      </c>
      <c r="Q2933" s="5" t="str">
        <f>IF(L2933="","",IF([1]Inputs_Outputs!$B$5="Herbaceous",(LCA!$E$29*'[1]LOCH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3" s="5" t="str">
        <f>IF(M2933="","",$E$2*1000*'[1]LOCH Calc COE Calc'!$C$44)</f>
        <v/>
      </c>
      <c r="S2933" s="6" t="str">
        <f>IF(N2933="","",SUM(O2933:R2933)/('[1]LOCH Calc COE Calc'!$C$28))</f>
        <v/>
      </c>
      <c r="T2933" t="str">
        <f>IF(L2933="","",O2933/'[1]LOCH Calc COE Calc'!$C$28)</f>
        <v/>
      </c>
      <c r="U2933" t="str">
        <f>IF(L2933="","",P2933/'[1]LOCH Calc COE Calc'!$C$28)</f>
        <v/>
      </c>
      <c r="V2933" t="str">
        <f>IF(L2933="","",Q2933/'[1]LOCH Calc COE Calc'!$C$28)</f>
        <v/>
      </c>
      <c r="W2933" t="str">
        <f>IF(L2933="","",R2933/'[1]LOCH Calc COE Calc'!$C$28)</f>
        <v/>
      </c>
    </row>
    <row r="2934" spans="12:23" x14ac:dyDescent="0.25">
      <c r="L2934" s="4" t="str">
        <f>IF('[1]All Data '!BE2939="","",'[1]All Data '!BE2939)</f>
        <v/>
      </c>
      <c r="M2934" t="str">
        <f>IF('[1]All Data '!BF2939="","",'[1]All Data '!BF2939)</f>
        <v/>
      </c>
      <c r="N2934" s="5" t="str">
        <f>IF('[1]All Data '!BB2939="","",'[1]All Data '!BC2939/'[1]All Data '!BH2939)</f>
        <v/>
      </c>
      <c r="O2934" s="5" t="str">
        <f t="shared" si="48"/>
        <v/>
      </c>
      <c r="P2934" s="5" t="str">
        <f>IF(M2934="","",$C$2*(1-L2934)*907.2/0.621371*N2934*[1]Transportation!$M$40)</f>
        <v/>
      </c>
      <c r="Q2934" s="5" t="str">
        <f>IF(L2934="","",IF([1]Inputs_Outputs!$B$5="Herbaceous",(LCA!$E$29*'[1]LOCH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4" s="5" t="str">
        <f>IF(M2934="","",$E$2*1000*'[1]LOCH Calc COE Calc'!$C$44)</f>
        <v/>
      </c>
      <c r="S2934" s="6" t="str">
        <f>IF(N2934="","",SUM(O2934:R2934)/('[1]LOCH Calc COE Calc'!$C$28))</f>
        <v/>
      </c>
      <c r="T2934" t="str">
        <f>IF(L2934="","",O2934/'[1]LOCH Calc COE Calc'!$C$28)</f>
        <v/>
      </c>
      <c r="U2934" t="str">
        <f>IF(L2934="","",P2934/'[1]LOCH Calc COE Calc'!$C$28)</f>
        <v/>
      </c>
      <c r="V2934" t="str">
        <f>IF(L2934="","",Q2934/'[1]LOCH Calc COE Calc'!$C$28)</f>
        <v/>
      </c>
      <c r="W2934" t="str">
        <f>IF(L2934="","",R2934/'[1]LOCH Calc COE Calc'!$C$28)</f>
        <v/>
      </c>
    </row>
    <row r="2935" spans="12:23" x14ac:dyDescent="0.25">
      <c r="L2935" s="4" t="str">
        <f>IF('[1]All Data '!BE2940="","",'[1]All Data '!BE2940)</f>
        <v/>
      </c>
      <c r="M2935" t="str">
        <f>IF('[1]All Data '!BF2940="","",'[1]All Data '!BF2940)</f>
        <v/>
      </c>
      <c r="N2935" s="5" t="str">
        <f>IF('[1]All Data '!BB2940="","",'[1]All Data '!BC2940/'[1]All Data '!BH2940)</f>
        <v/>
      </c>
      <c r="O2935" s="5" t="str">
        <f t="shared" si="48"/>
        <v/>
      </c>
      <c r="P2935" s="5" t="str">
        <f>IF(M2935="","",$C$2*(1-L2935)*907.2/0.621371*N2935*[1]Transportation!$M$40)</f>
        <v/>
      </c>
      <c r="Q2935" s="5" t="str">
        <f>IF(L2935="","",IF([1]Inputs_Outputs!$B$5="Herbaceous",(LCA!$E$29*'[1]LOCH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5" s="5" t="str">
        <f>IF(M2935="","",$E$2*1000*'[1]LOCH Calc COE Calc'!$C$44)</f>
        <v/>
      </c>
      <c r="S2935" s="6" t="str">
        <f>IF(N2935="","",SUM(O2935:R2935)/('[1]LOCH Calc COE Calc'!$C$28))</f>
        <v/>
      </c>
      <c r="T2935" t="str">
        <f>IF(L2935="","",O2935/'[1]LOCH Calc COE Calc'!$C$28)</f>
        <v/>
      </c>
      <c r="U2935" t="str">
        <f>IF(L2935="","",P2935/'[1]LOCH Calc COE Calc'!$C$28)</f>
        <v/>
      </c>
      <c r="V2935" t="str">
        <f>IF(L2935="","",Q2935/'[1]LOCH Calc COE Calc'!$C$28)</f>
        <v/>
      </c>
      <c r="W2935" t="str">
        <f>IF(L2935="","",R2935/'[1]LOCH Calc COE Calc'!$C$28)</f>
        <v/>
      </c>
    </row>
    <row r="2936" spans="12:23" x14ac:dyDescent="0.25">
      <c r="L2936" s="4" t="str">
        <f>IF('[1]All Data '!BE2941="","",'[1]All Data '!BE2941)</f>
        <v/>
      </c>
      <c r="M2936" t="str">
        <f>IF('[1]All Data '!BF2941="","",'[1]All Data '!BF2941)</f>
        <v/>
      </c>
      <c r="N2936" s="5" t="str">
        <f>IF('[1]All Data '!BB2941="","",'[1]All Data '!BC2941/'[1]All Data '!BH2941)</f>
        <v/>
      </c>
      <c r="O2936" s="5" t="str">
        <f t="shared" si="48"/>
        <v/>
      </c>
      <c r="P2936" s="5" t="str">
        <f>IF(M2936="","",$C$2*(1-L2936)*907.2/0.621371*N2936*[1]Transportation!$M$40)</f>
        <v/>
      </c>
      <c r="Q2936" s="5" t="str">
        <f>IF(L2936="","",IF([1]Inputs_Outputs!$B$5="Herbaceous",(LCA!$E$29*'[1]LOCH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6" s="5" t="str">
        <f>IF(M2936="","",$E$2*1000*'[1]LOCH Calc COE Calc'!$C$44)</f>
        <v/>
      </c>
      <c r="S2936" s="6" t="str">
        <f>IF(N2936="","",SUM(O2936:R2936)/('[1]LOCH Calc COE Calc'!$C$28))</f>
        <v/>
      </c>
      <c r="T2936" t="str">
        <f>IF(L2936="","",O2936/'[1]LOCH Calc COE Calc'!$C$28)</f>
        <v/>
      </c>
      <c r="U2936" t="str">
        <f>IF(L2936="","",P2936/'[1]LOCH Calc COE Calc'!$C$28)</f>
        <v/>
      </c>
      <c r="V2936" t="str">
        <f>IF(L2936="","",Q2936/'[1]LOCH Calc COE Calc'!$C$28)</f>
        <v/>
      </c>
      <c r="W2936" t="str">
        <f>IF(L2936="","",R2936/'[1]LOCH Calc COE Calc'!$C$28)</f>
        <v/>
      </c>
    </row>
    <row r="2937" spans="12:23" x14ac:dyDescent="0.25">
      <c r="L2937" s="4" t="str">
        <f>IF('[1]All Data '!BE2942="","",'[1]All Data '!BE2942)</f>
        <v/>
      </c>
      <c r="M2937" t="str">
        <f>IF('[1]All Data '!BF2942="","",'[1]All Data '!BF2942)</f>
        <v/>
      </c>
      <c r="N2937" s="5" t="str">
        <f>IF('[1]All Data '!BB2942="","",'[1]All Data '!BC2942/'[1]All Data '!BH2942)</f>
        <v/>
      </c>
      <c r="O2937" s="5" t="str">
        <f t="shared" si="48"/>
        <v/>
      </c>
      <c r="P2937" s="5" t="str">
        <f>IF(M2937="","",$C$2*(1-L2937)*907.2/0.621371*N2937*[1]Transportation!$M$40)</f>
        <v/>
      </c>
      <c r="Q2937" s="5" t="str">
        <f>IF(L2937="","",IF([1]Inputs_Outputs!$B$5="Herbaceous",(LCA!$E$29*'[1]LOCH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7" s="5" t="str">
        <f>IF(M2937="","",$E$2*1000*'[1]LOCH Calc COE Calc'!$C$44)</f>
        <v/>
      </c>
      <c r="S2937" s="6" t="str">
        <f>IF(N2937="","",SUM(O2937:R2937)/('[1]LOCH Calc COE Calc'!$C$28))</f>
        <v/>
      </c>
      <c r="T2937" t="str">
        <f>IF(L2937="","",O2937/'[1]LOCH Calc COE Calc'!$C$28)</f>
        <v/>
      </c>
      <c r="U2937" t="str">
        <f>IF(L2937="","",P2937/'[1]LOCH Calc COE Calc'!$C$28)</f>
        <v/>
      </c>
      <c r="V2937" t="str">
        <f>IF(L2937="","",Q2937/'[1]LOCH Calc COE Calc'!$C$28)</f>
        <v/>
      </c>
      <c r="W2937" t="str">
        <f>IF(L2937="","",R2937/'[1]LOCH Calc COE Calc'!$C$28)</f>
        <v/>
      </c>
    </row>
    <row r="2938" spans="12:23" x14ac:dyDescent="0.25">
      <c r="L2938" s="4" t="str">
        <f>IF('[1]All Data '!BE2943="","",'[1]All Data '!BE2943)</f>
        <v/>
      </c>
      <c r="M2938" t="str">
        <f>IF('[1]All Data '!BF2943="","",'[1]All Data '!BF2943)</f>
        <v/>
      </c>
      <c r="N2938" s="5" t="str">
        <f>IF('[1]All Data '!BB2943="","",'[1]All Data '!BC2943/'[1]All Data '!BH2943)</f>
        <v/>
      </c>
      <c r="O2938" s="5" t="str">
        <f t="shared" si="48"/>
        <v/>
      </c>
      <c r="P2938" s="5" t="str">
        <f>IF(M2938="","",$C$2*(1-L2938)*907.2/0.621371*N2938*[1]Transportation!$M$40)</f>
        <v/>
      </c>
      <c r="Q2938" s="5" t="str">
        <f>IF(L2938="","",IF([1]Inputs_Outputs!$B$5="Herbaceous",(LCA!$E$29*'[1]LOCH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8" s="5" t="str">
        <f>IF(M2938="","",$E$2*1000*'[1]LOCH Calc COE Calc'!$C$44)</f>
        <v/>
      </c>
      <c r="S2938" s="6" t="str">
        <f>IF(N2938="","",SUM(O2938:R2938)/('[1]LOCH Calc COE Calc'!$C$28))</f>
        <v/>
      </c>
      <c r="T2938" t="str">
        <f>IF(L2938="","",O2938/'[1]LOCH Calc COE Calc'!$C$28)</f>
        <v/>
      </c>
      <c r="U2938" t="str">
        <f>IF(L2938="","",P2938/'[1]LOCH Calc COE Calc'!$C$28)</f>
        <v/>
      </c>
      <c r="V2938" t="str">
        <f>IF(L2938="","",Q2938/'[1]LOCH Calc COE Calc'!$C$28)</f>
        <v/>
      </c>
      <c r="W2938" t="str">
        <f>IF(L2938="","",R2938/'[1]LOCH Calc COE Calc'!$C$28)</f>
        <v/>
      </c>
    </row>
    <row r="2939" spans="12:23" x14ac:dyDescent="0.25">
      <c r="L2939" s="4" t="str">
        <f>IF('[1]All Data '!BE2944="","",'[1]All Data '!BE2944)</f>
        <v/>
      </c>
      <c r="M2939" t="str">
        <f>IF('[1]All Data '!BF2944="","",'[1]All Data '!BF2944)</f>
        <v/>
      </c>
      <c r="N2939" s="5" t="str">
        <f>IF('[1]All Data '!BB2944="","",'[1]All Data '!BC2944/'[1]All Data '!BH2944)</f>
        <v/>
      </c>
      <c r="O2939" s="5" t="str">
        <f t="shared" si="48"/>
        <v/>
      </c>
      <c r="P2939" s="5" t="str">
        <f>IF(M2939="","",$C$2*(1-L2939)*907.2/0.621371*N2939*[1]Transportation!$M$40)</f>
        <v/>
      </c>
      <c r="Q2939" s="5" t="str">
        <f>IF(L2939="","",IF([1]Inputs_Outputs!$B$5="Herbaceous",(LCA!$E$29*'[1]LOCH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39" s="5" t="str">
        <f>IF(M2939="","",$E$2*1000*'[1]LOCH Calc COE Calc'!$C$44)</f>
        <v/>
      </c>
      <c r="S2939" s="6" t="str">
        <f>IF(N2939="","",SUM(O2939:R2939)/('[1]LOCH Calc COE Calc'!$C$28))</f>
        <v/>
      </c>
      <c r="T2939" t="str">
        <f>IF(L2939="","",O2939/'[1]LOCH Calc COE Calc'!$C$28)</f>
        <v/>
      </c>
      <c r="U2939" t="str">
        <f>IF(L2939="","",P2939/'[1]LOCH Calc COE Calc'!$C$28)</f>
        <v/>
      </c>
      <c r="V2939" t="str">
        <f>IF(L2939="","",Q2939/'[1]LOCH Calc COE Calc'!$C$28)</f>
        <v/>
      </c>
      <c r="W2939" t="str">
        <f>IF(L2939="","",R2939/'[1]LOCH Calc COE Calc'!$C$28)</f>
        <v/>
      </c>
    </row>
    <row r="2940" spans="12:23" x14ac:dyDescent="0.25">
      <c r="L2940" s="4" t="str">
        <f>IF('[1]All Data '!BE2945="","",'[1]All Data '!BE2945)</f>
        <v/>
      </c>
      <c r="M2940" t="str">
        <f>IF('[1]All Data '!BF2945="","",'[1]All Data '!BF2945)</f>
        <v/>
      </c>
      <c r="N2940" s="5" t="str">
        <f>IF('[1]All Data '!BB2945="","",'[1]All Data '!BC2945/'[1]All Data '!BH2945)</f>
        <v/>
      </c>
      <c r="O2940" s="5" t="str">
        <f t="shared" si="48"/>
        <v/>
      </c>
      <c r="P2940" s="5" t="str">
        <f>IF(M2940="","",$C$2*(1-L2940)*907.2/0.621371*N2940*[1]Transportation!$M$40)</f>
        <v/>
      </c>
      <c r="Q2940" s="5" t="str">
        <f>IF(L2940="","",IF([1]Inputs_Outputs!$B$5="Herbaceous",(LCA!$E$29*'[1]LOCH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0" s="5" t="str">
        <f>IF(M2940="","",$E$2*1000*'[1]LOCH Calc COE Calc'!$C$44)</f>
        <v/>
      </c>
      <c r="S2940" s="6" t="str">
        <f>IF(N2940="","",SUM(O2940:R2940)/('[1]LOCH Calc COE Calc'!$C$28))</f>
        <v/>
      </c>
      <c r="T2940" t="str">
        <f>IF(L2940="","",O2940/'[1]LOCH Calc COE Calc'!$C$28)</f>
        <v/>
      </c>
      <c r="U2940" t="str">
        <f>IF(L2940="","",P2940/'[1]LOCH Calc COE Calc'!$C$28)</f>
        <v/>
      </c>
      <c r="V2940" t="str">
        <f>IF(L2940="","",Q2940/'[1]LOCH Calc COE Calc'!$C$28)</f>
        <v/>
      </c>
      <c r="W2940" t="str">
        <f>IF(L2940="","",R2940/'[1]LOCH Calc COE Calc'!$C$28)</f>
        <v/>
      </c>
    </row>
    <row r="2941" spans="12:23" x14ac:dyDescent="0.25">
      <c r="L2941" s="4" t="str">
        <f>IF('[1]All Data '!BE2946="","",'[1]All Data '!BE2946)</f>
        <v/>
      </c>
      <c r="M2941" t="str">
        <f>IF('[1]All Data '!BF2946="","",'[1]All Data '!BF2946)</f>
        <v/>
      </c>
      <c r="N2941" s="5" t="str">
        <f>IF('[1]All Data '!BB2946="","",'[1]All Data '!BC2946/'[1]All Data '!BH2946)</f>
        <v/>
      </c>
      <c r="O2941" s="5" t="str">
        <f t="shared" si="48"/>
        <v/>
      </c>
      <c r="P2941" s="5" t="str">
        <f>IF(M2941="","",$C$2*(1-L2941)*907.2/0.621371*N2941*[1]Transportation!$M$40)</f>
        <v/>
      </c>
      <c r="Q2941" s="5" t="str">
        <f>IF(L2941="","",IF([1]Inputs_Outputs!$B$5="Herbaceous",(LCA!$E$29*'[1]LOCH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1" s="5" t="str">
        <f>IF(M2941="","",$E$2*1000*'[1]LOCH Calc COE Calc'!$C$44)</f>
        <v/>
      </c>
      <c r="S2941" s="6" t="str">
        <f>IF(N2941="","",SUM(O2941:R2941)/('[1]LOCH Calc COE Calc'!$C$28))</f>
        <v/>
      </c>
      <c r="T2941" t="str">
        <f>IF(L2941="","",O2941/'[1]LOCH Calc COE Calc'!$C$28)</f>
        <v/>
      </c>
      <c r="U2941" t="str">
        <f>IF(L2941="","",P2941/'[1]LOCH Calc COE Calc'!$C$28)</f>
        <v/>
      </c>
      <c r="V2941" t="str">
        <f>IF(L2941="","",Q2941/'[1]LOCH Calc COE Calc'!$C$28)</f>
        <v/>
      </c>
      <c r="W2941" t="str">
        <f>IF(L2941="","",R2941/'[1]LOCH Calc COE Calc'!$C$28)</f>
        <v/>
      </c>
    </row>
    <row r="2942" spans="12:23" x14ac:dyDescent="0.25">
      <c r="L2942" s="4" t="str">
        <f>IF('[1]All Data '!BE2947="","",'[1]All Data '!BE2947)</f>
        <v/>
      </c>
      <c r="M2942" t="str">
        <f>IF('[1]All Data '!BF2947="","",'[1]All Data '!BF2947)</f>
        <v/>
      </c>
      <c r="N2942" s="5" t="str">
        <f>IF('[1]All Data '!BB2947="","",'[1]All Data '!BC2947/'[1]All Data '!BH2947)</f>
        <v/>
      </c>
      <c r="O2942" s="5" t="str">
        <f t="shared" si="48"/>
        <v/>
      </c>
      <c r="P2942" s="5" t="str">
        <f>IF(M2942="","",$C$2*(1-L2942)*907.2/0.621371*N2942*[1]Transportation!$M$40)</f>
        <v/>
      </c>
      <c r="Q2942" s="5" t="str">
        <f>IF(L2942="","",IF([1]Inputs_Outputs!$B$5="Herbaceous",(LCA!$E$29*'[1]LOCH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2" s="5" t="str">
        <f>IF(M2942="","",$E$2*1000*'[1]LOCH Calc COE Calc'!$C$44)</f>
        <v/>
      </c>
      <c r="S2942" s="6" t="str">
        <f>IF(N2942="","",SUM(O2942:R2942)/('[1]LOCH Calc COE Calc'!$C$28))</f>
        <v/>
      </c>
      <c r="T2942" t="str">
        <f>IF(L2942="","",O2942/'[1]LOCH Calc COE Calc'!$C$28)</f>
        <v/>
      </c>
      <c r="U2942" t="str">
        <f>IF(L2942="","",P2942/'[1]LOCH Calc COE Calc'!$C$28)</f>
        <v/>
      </c>
      <c r="V2942" t="str">
        <f>IF(L2942="","",Q2942/'[1]LOCH Calc COE Calc'!$C$28)</f>
        <v/>
      </c>
      <c r="W2942" t="str">
        <f>IF(L2942="","",R2942/'[1]LOCH Calc COE Calc'!$C$28)</f>
        <v/>
      </c>
    </row>
    <row r="2943" spans="12:23" x14ac:dyDescent="0.25">
      <c r="L2943" s="4" t="str">
        <f>IF('[1]All Data '!BE2948="","",'[1]All Data '!BE2948)</f>
        <v/>
      </c>
      <c r="M2943" t="str">
        <f>IF('[1]All Data '!BF2948="","",'[1]All Data '!BF2948)</f>
        <v/>
      </c>
      <c r="N2943" s="5" t="str">
        <f>IF('[1]All Data '!BB2948="","",'[1]All Data '!BC2948/'[1]All Data '!BH2948)</f>
        <v/>
      </c>
      <c r="O2943" s="5" t="str">
        <f t="shared" si="48"/>
        <v/>
      </c>
      <c r="P2943" s="5" t="str">
        <f>IF(M2943="","",$C$2*(1-L2943)*907.2/0.621371*N2943*[1]Transportation!$M$40)</f>
        <v/>
      </c>
      <c r="Q2943" s="5" t="str">
        <f>IF(L2943="","",IF([1]Inputs_Outputs!$B$5="Herbaceous",(LCA!$E$29*'[1]LOCH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3" s="5" t="str">
        <f>IF(M2943="","",$E$2*1000*'[1]LOCH Calc COE Calc'!$C$44)</f>
        <v/>
      </c>
      <c r="S2943" s="6" t="str">
        <f>IF(N2943="","",SUM(O2943:R2943)/('[1]LOCH Calc COE Calc'!$C$28))</f>
        <v/>
      </c>
      <c r="T2943" t="str">
        <f>IF(L2943="","",O2943/'[1]LOCH Calc COE Calc'!$C$28)</f>
        <v/>
      </c>
      <c r="U2943" t="str">
        <f>IF(L2943="","",P2943/'[1]LOCH Calc COE Calc'!$C$28)</f>
        <v/>
      </c>
      <c r="V2943" t="str">
        <f>IF(L2943="","",Q2943/'[1]LOCH Calc COE Calc'!$C$28)</f>
        <v/>
      </c>
      <c r="W2943" t="str">
        <f>IF(L2943="","",R2943/'[1]LOCH Calc COE Calc'!$C$28)</f>
        <v/>
      </c>
    </row>
    <row r="2944" spans="12:23" x14ac:dyDescent="0.25">
      <c r="L2944" s="4" t="str">
        <f>IF('[1]All Data '!BE2949="","",'[1]All Data '!BE2949)</f>
        <v/>
      </c>
      <c r="M2944" t="str">
        <f>IF('[1]All Data '!BF2949="","",'[1]All Data '!BF2949)</f>
        <v/>
      </c>
      <c r="N2944" s="5" t="str">
        <f>IF('[1]All Data '!BB2949="","",'[1]All Data '!BC2949/'[1]All Data '!BH2949)</f>
        <v/>
      </c>
      <c r="O2944" s="5" t="str">
        <f t="shared" si="48"/>
        <v/>
      </c>
      <c r="P2944" s="5" t="str">
        <f>IF(M2944="","",$C$2*(1-L2944)*907.2/0.621371*N2944*[1]Transportation!$M$40)</f>
        <v/>
      </c>
      <c r="Q2944" s="5" t="str">
        <f>IF(L2944="","",IF([1]Inputs_Outputs!$B$5="Herbaceous",(LCA!$E$29*'[1]LOCH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4" s="5" t="str">
        <f>IF(M2944="","",$E$2*1000*'[1]LOCH Calc COE Calc'!$C$44)</f>
        <v/>
      </c>
      <c r="S2944" s="6" t="str">
        <f>IF(N2944="","",SUM(O2944:R2944)/('[1]LOCH Calc COE Calc'!$C$28))</f>
        <v/>
      </c>
      <c r="T2944" t="str">
        <f>IF(L2944="","",O2944/'[1]LOCH Calc COE Calc'!$C$28)</f>
        <v/>
      </c>
      <c r="U2944" t="str">
        <f>IF(L2944="","",P2944/'[1]LOCH Calc COE Calc'!$C$28)</f>
        <v/>
      </c>
      <c r="V2944" t="str">
        <f>IF(L2944="","",Q2944/'[1]LOCH Calc COE Calc'!$C$28)</f>
        <v/>
      </c>
      <c r="W2944" t="str">
        <f>IF(L2944="","",R2944/'[1]LOCH Calc COE Calc'!$C$28)</f>
        <v/>
      </c>
    </row>
    <row r="2945" spans="12:23" x14ac:dyDescent="0.25">
      <c r="L2945" s="4" t="str">
        <f>IF('[1]All Data '!BE2950="","",'[1]All Data '!BE2950)</f>
        <v/>
      </c>
      <c r="M2945" t="str">
        <f>IF('[1]All Data '!BF2950="","",'[1]All Data '!BF2950)</f>
        <v/>
      </c>
      <c r="N2945" s="5" t="str">
        <f>IF('[1]All Data '!BB2950="","",'[1]All Data '!BC2950/'[1]All Data '!BH2950)</f>
        <v/>
      </c>
      <c r="O2945" s="5" t="str">
        <f t="shared" si="48"/>
        <v/>
      </c>
      <c r="P2945" s="5" t="str">
        <f>IF(M2945="","",$C$2*(1-L2945)*907.2/0.621371*N2945*[1]Transportation!$M$40)</f>
        <v/>
      </c>
      <c r="Q2945" s="5" t="str">
        <f>IF(L2945="","",IF([1]Inputs_Outputs!$B$5="Herbaceous",(LCA!$E$29*'[1]LOCH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5" s="5" t="str">
        <f>IF(M2945="","",$E$2*1000*'[1]LOCH Calc COE Calc'!$C$44)</f>
        <v/>
      </c>
      <c r="S2945" s="6" t="str">
        <f>IF(N2945="","",SUM(O2945:R2945)/('[1]LOCH Calc COE Calc'!$C$28))</f>
        <v/>
      </c>
      <c r="T2945" t="str">
        <f>IF(L2945="","",O2945/'[1]LOCH Calc COE Calc'!$C$28)</f>
        <v/>
      </c>
      <c r="U2945" t="str">
        <f>IF(L2945="","",P2945/'[1]LOCH Calc COE Calc'!$C$28)</f>
        <v/>
      </c>
      <c r="V2945" t="str">
        <f>IF(L2945="","",Q2945/'[1]LOCH Calc COE Calc'!$C$28)</f>
        <v/>
      </c>
      <c r="W2945" t="str">
        <f>IF(L2945="","",R2945/'[1]LOCH Calc COE Calc'!$C$28)</f>
        <v/>
      </c>
    </row>
    <row r="2946" spans="12:23" x14ac:dyDescent="0.25">
      <c r="L2946" s="4" t="str">
        <f>IF('[1]All Data '!BE2951="","",'[1]All Data '!BE2951)</f>
        <v/>
      </c>
      <c r="M2946" t="str">
        <f>IF('[1]All Data '!BF2951="","",'[1]All Data '!BF2951)</f>
        <v/>
      </c>
      <c r="N2946" s="5" t="str">
        <f>IF('[1]All Data '!BB2951="","",'[1]All Data '!BC2951/'[1]All Data '!BH2951)</f>
        <v/>
      </c>
      <c r="O2946" s="5" t="str">
        <f t="shared" si="48"/>
        <v/>
      </c>
      <c r="P2946" s="5" t="str">
        <f>IF(M2946="","",$C$2*(1-L2946)*907.2/0.621371*N2946*[1]Transportation!$M$40)</f>
        <v/>
      </c>
      <c r="Q2946" s="5" t="str">
        <f>IF(L2946="","",IF([1]Inputs_Outputs!$B$5="Herbaceous",(LCA!$E$29*'[1]LOCH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6" s="5" t="str">
        <f>IF(M2946="","",$E$2*1000*'[1]LOCH Calc COE Calc'!$C$44)</f>
        <v/>
      </c>
      <c r="S2946" s="6" t="str">
        <f>IF(N2946="","",SUM(O2946:R2946)/('[1]LOCH Calc COE Calc'!$C$28))</f>
        <v/>
      </c>
      <c r="T2946" t="str">
        <f>IF(L2946="","",O2946/'[1]LOCH Calc COE Calc'!$C$28)</f>
        <v/>
      </c>
      <c r="U2946" t="str">
        <f>IF(L2946="","",P2946/'[1]LOCH Calc COE Calc'!$C$28)</f>
        <v/>
      </c>
      <c r="V2946" t="str">
        <f>IF(L2946="","",Q2946/'[1]LOCH Calc COE Calc'!$C$28)</f>
        <v/>
      </c>
      <c r="W2946" t="str">
        <f>IF(L2946="","",R2946/'[1]LOCH Calc COE Calc'!$C$28)</f>
        <v/>
      </c>
    </row>
    <row r="2947" spans="12:23" x14ac:dyDescent="0.25">
      <c r="L2947" s="4" t="str">
        <f>IF('[1]All Data '!BE2952="","",'[1]All Data '!BE2952)</f>
        <v/>
      </c>
      <c r="M2947" t="str">
        <f>IF('[1]All Data '!BF2952="","",'[1]All Data '!BF2952)</f>
        <v/>
      </c>
      <c r="N2947" s="5" t="str">
        <f>IF('[1]All Data '!BB2952="","",'[1]All Data '!BC2952/'[1]All Data '!BH2952)</f>
        <v/>
      </c>
      <c r="O2947" s="5" t="str">
        <f t="shared" si="48"/>
        <v/>
      </c>
      <c r="P2947" s="5" t="str">
        <f>IF(M2947="","",$C$2*(1-L2947)*907.2/0.621371*N2947*[1]Transportation!$M$40)</f>
        <v/>
      </c>
      <c r="Q2947" s="5" t="str">
        <f>IF(L2947="","",IF([1]Inputs_Outputs!$B$5="Herbaceous",(LCA!$E$29*'[1]LOCH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7" s="5" t="str">
        <f>IF(M2947="","",$E$2*1000*'[1]LOCH Calc COE Calc'!$C$44)</f>
        <v/>
      </c>
      <c r="S2947" s="6" t="str">
        <f>IF(N2947="","",SUM(O2947:R2947)/('[1]LOCH Calc COE Calc'!$C$28))</f>
        <v/>
      </c>
      <c r="T2947" t="str">
        <f>IF(L2947="","",O2947/'[1]LOCH Calc COE Calc'!$C$28)</f>
        <v/>
      </c>
      <c r="U2947" t="str">
        <f>IF(L2947="","",P2947/'[1]LOCH Calc COE Calc'!$C$28)</f>
        <v/>
      </c>
      <c r="V2947" t="str">
        <f>IF(L2947="","",Q2947/'[1]LOCH Calc COE Calc'!$C$28)</f>
        <v/>
      </c>
      <c r="W2947" t="str">
        <f>IF(L2947="","",R2947/'[1]LOCH Calc COE Calc'!$C$28)</f>
        <v/>
      </c>
    </row>
    <row r="2948" spans="12:23" x14ac:dyDescent="0.25">
      <c r="L2948" s="4" t="str">
        <f>IF('[1]All Data '!BE2953="","",'[1]All Data '!BE2953)</f>
        <v/>
      </c>
      <c r="M2948" t="str">
        <f>IF('[1]All Data '!BF2953="","",'[1]All Data '!BF2953)</f>
        <v/>
      </c>
      <c r="N2948" s="5" t="str">
        <f>IF('[1]All Data '!BB2953="","",'[1]All Data '!BC2953/'[1]All Data '!BH2953)</f>
        <v/>
      </c>
      <c r="O2948" s="5" t="str">
        <f t="shared" si="48"/>
        <v/>
      </c>
      <c r="P2948" s="5" t="str">
        <f>IF(M2948="","",$C$2*(1-L2948)*907.2/0.621371*N2948*[1]Transportation!$M$40)</f>
        <v/>
      </c>
      <c r="Q2948" s="5" t="str">
        <f>IF(L2948="","",IF([1]Inputs_Outputs!$B$5="Herbaceous",(LCA!$E$29*'[1]LOCH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8" s="5" t="str">
        <f>IF(M2948="","",$E$2*1000*'[1]LOCH Calc COE Calc'!$C$44)</f>
        <v/>
      </c>
      <c r="S2948" s="6" t="str">
        <f>IF(N2948="","",SUM(O2948:R2948)/('[1]LOCH Calc COE Calc'!$C$28))</f>
        <v/>
      </c>
      <c r="T2948" t="str">
        <f>IF(L2948="","",O2948/'[1]LOCH Calc COE Calc'!$C$28)</f>
        <v/>
      </c>
      <c r="U2948" t="str">
        <f>IF(L2948="","",P2948/'[1]LOCH Calc COE Calc'!$C$28)</f>
        <v/>
      </c>
      <c r="V2948" t="str">
        <f>IF(L2948="","",Q2948/'[1]LOCH Calc COE Calc'!$C$28)</f>
        <v/>
      </c>
      <c r="W2948" t="str">
        <f>IF(L2948="","",R2948/'[1]LOCH Calc COE Calc'!$C$28)</f>
        <v/>
      </c>
    </row>
    <row r="2949" spans="12:23" x14ac:dyDescent="0.25">
      <c r="L2949" s="4" t="str">
        <f>IF('[1]All Data '!BE2954="","",'[1]All Data '!BE2954)</f>
        <v/>
      </c>
      <c r="M2949" t="str">
        <f>IF('[1]All Data '!BF2954="","",'[1]All Data '!BF2954)</f>
        <v/>
      </c>
      <c r="N2949" s="5" t="str">
        <f>IF('[1]All Data '!BB2954="","",'[1]All Data '!BC2954/'[1]All Data '!BH2954)</f>
        <v/>
      </c>
      <c r="O2949" s="5" t="str">
        <f t="shared" si="48"/>
        <v/>
      </c>
      <c r="P2949" s="5" t="str">
        <f>IF(M2949="","",$C$2*(1-L2949)*907.2/0.621371*N2949*[1]Transportation!$M$40)</f>
        <v/>
      </c>
      <c r="Q2949" s="5" t="str">
        <f>IF(L2949="","",IF([1]Inputs_Outputs!$B$5="Herbaceous",(LCA!$E$29*'[1]LOCH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49" s="5" t="str">
        <f>IF(M2949="","",$E$2*1000*'[1]LOCH Calc COE Calc'!$C$44)</f>
        <v/>
      </c>
      <c r="S2949" s="6" t="str">
        <f>IF(N2949="","",SUM(O2949:R2949)/('[1]LOCH Calc COE Calc'!$C$28))</f>
        <v/>
      </c>
      <c r="T2949" t="str">
        <f>IF(L2949="","",O2949/'[1]LOCH Calc COE Calc'!$C$28)</f>
        <v/>
      </c>
      <c r="U2949" t="str">
        <f>IF(L2949="","",P2949/'[1]LOCH Calc COE Calc'!$C$28)</f>
        <v/>
      </c>
      <c r="V2949" t="str">
        <f>IF(L2949="","",Q2949/'[1]LOCH Calc COE Calc'!$C$28)</f>
        <v/>
      </c>
      <c r="W2949" t="str">
        <f>IF(L2949="","",R2949/'[1]LOCH Calc COE Calc'!$C$28)</f>
        <v/>
      </c>
    </row>
    <row r="2950" spans="12:23" x14ac:dyDescent="0.25">
      <c r="L2950" s="4" t="str">
        <f>IF('[1]All Data '!BE2955="","",'[1]All Data '!BE2955)</f>
        <v/>
      </c>
      <c r="M2950" t="str">
        <f>IF('[1]All Data '!BF2955="","",'[1]All Data '!BF2955)</f>
        <v/>
      </c>
      <c r="N2950" s="5" t="str">
        <f>IF('[1]All Data '!BB2955="","",'[1]All Data '!BC2955/'[1]All Data '!BH2955)</f>
        <v/>
      </c>
      <c r="O2950" s="5" t="str">
        <f t="shared" si="48"/>
        <v/>
      </c>
      <c r="P2950" s="5" t="str">
        <f>IF(M2950="","",$C$2*(1-L2950)*907.2/0.621371*N2950*[1]Transportation!$M$40)</f>
        <v/>
      </c>
      <c r="Q2950" s="5" t="str">
        <f>IF(L2950="","",IF([1]Inputs_Outputs!$B$5="Herbaceous",(LCA!$E$29*'[1]LOCH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0" s="5" t="str">
        <f>IF(M2950="","",$E$2*1000*'[1]LOCH Calc COE Calc'!$C$44)</f>
        <v/>
      </c>
      <c r="S2950" s="6" t="str">
        <f>IF(N2950="","",SUM(O2950:R2950)/('[1]LOCH Calc COE Calc'!$C$28))</f>
        <v/>
      </c>
      <c r="T2950" t="str">
        <f>IF(L2950="","",O2950/'[1]LOCH Calc COE Calc'!$C$28)</f>
        <v/>
      </c>
      <c r="U2950" t="str">
        <f>IF(L2950="","",P2950/'[1]LOCH Calc COE Calc'!$C$28)</f>
        <v/>
      </c>
      <c r="V2950" t="str">
        <f>IF(L2950="","",Q2950/'[1]LOCH Calc COE Calc'!$C$28)</f>
        <v/>
      </c>
      <c r="W2950" t="str">
        <f>IF(L2950="","",R2950/'[1]LOCH Calc COE Calc'!$C$28)</f>
        <v/>
      </c>
    </row>
    <row r="2951" spans="12:23" x14ac:dyDescent="0.25">
      <c r="L2951" s="4" t="str">
        <f>IF('[1]All Data '!BE2956="","",'[1]All Data '!BE2956)</f>
        <v/>
      </c>
      <c r="M2951" t="str">
        <f>IF('[1]All Data '!BF2956="","",'[1]All Data '!BF2956)</f>
        <v/>
      </c>
      <c r="N2951" s="5" t="str">
        <f>IF('[1]All Data '!BB2956="","",'[1]All Data '!BC2956/'[1]All Data '!BH2956)</f>
        <v/>
      </c>
      <c r="O2951" s="5" t="str">
        <f t="shared" si="48"/>
        <v/>
      </c>
      <c r="P2951" s="5" t="str">
        <f>IF(M2951="","",$C$2*(1-L2951)*907.2/0.621371*N2951*[1]Transportation!$M$40)</f>
        <v/>
      </c>
      <c r="Q2951" s="5" t="str">
        <f>IF(L2951="","",IF([1]Inputs_Outputs!$B$5="Herbaceous",(LCA!$E$29*'[1]LOCH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1" s="5" t="str">
        <f>IF(M2951="","",$E$2*1000*'[1]LOCH Calc COE Calc'!$C$44)</f>
        <v/>
      </c>
      <c r="S2951" s="6" t="str">
        <f>IF(N2951="","",SUM(O2951:R2951)/('[1]LOCH Calc COE Calc'!$C$28))</f>
        <v/>
      </c>
      <c r="T2951" t="str">
        <f>IF(L2951="","",O2951/'[1]LOCH Calc COE Calc'!$C$28)</f>
        <v/>
      </c>
      <c r="U2951" t="str">
        <f>IF(L2951="","",P2951/'[1]LOCH Calc COE Calc'!$C$28)</f>
        <v/>
      </c>
      <c r="V2951" t="str">
        <f>IF(L2951="","",Q2951/'[1]LOCH Calc COE Calc'!$C$28)</f>
        <v/>
      </c>
      <c r="W2951" t="str">
        <f>IF(L2951="","",R2951/'[1]LOCH Calc COE Calc'!$C$28)</f>
        <v/>
      </c>
    </row>
    <row r="2952" spans="12:23" x14ac:dyDescent="0.25">
      <c r="L2952" s="4" t="str">
        <f>IF('[1]All Data '!BE2957="","",'[1]All Data '!BE2957)</f>
        <v/>
      </c>
      <c r="M2952" t="str">
        <f>IF('[1]All Data '!BF2957="","",'[1]All Data '!BF2957)</f>
        <v/>
      </c>
      <c r="N2952" s="5" t="str">
        <f>IF('[1]All Data '!BB2957="","",'[1]All Data '!BC2957/'[1]All Data '!BH2957)</f>
        <v/>
      </c>
      <c r="O2952" s="5" t="str">
        <f t="shared" si="48"/>
        <v/>
      </c>
      <c r="P2952" s="5" t="str">
        <f>IF(M2952="","",$C$2*(1-L2952)*907.2/0.621371*N2952*[1]Transportation!$M$40)</f>
        <v/>
      </c>
      <c r="Q2952" s="5" t="str">
        <f>IF(L2952="","",IF([1]Inputs_Outputs!$B$5="Herbaceous",(LCA!$E$29*'[1]LOCH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2" s="5" t="str">
        <f>IF(M2952="","",$E$2*1000*'[1]LOCH Calc COE Calc'!$C$44)</f>
        <v/>
      </c>
      <c r="S2952" s="6" t="str">
        <f>IF(N2952="","",SUM(O2952:R2952)/('[1]LOCH Calc COE Calc'!$C$28))</f>
        <v/>
      </c>
      <c r="T2952" t="str">
        <f>IF(L2952="","",O2952/'[1]LOCH Calc COE Calc'!$C$28)</f>
        <v/>
      </c>
      <c r="U2952" t="str">
        <f>IF(L2952="","",P2952/'[1]LOCH Calc COE Calc'!$C$28)</f>
        <v/>
      </c>
      <c r="V2952" t="str">
        <f>IF(L2952="","",Q2952/'[1]LOCH Calc COE Calc'!$C$28)</f>
        <v/>
      </c>
      <c r="W2952" t="str">
        <f>IF(L2952="","",R2952/'[1]LOCH Calc COE Calc'!$C$28)</f>
        <v/>
      </c>
    </row>
    <row r="2953" spans="12:23" x14ac:dyDescent="0.25">
      <c r="L2953" s="4" t="str">
        <f>IF('[1]All Data '!BE2958="","",'[1]All Data '!BE2958)</f>
        <v/>
      </c>
      <c r="M2953" t="str">
        <f>IF('[1]All Data '!BF2958="","",'[1]All Data '!BF2958)</f>
        <v/>
      </c>
      <c r="N2953" s="5" t="str">
        <f>IF('[1]All Data '!BB2958="","",'[1]All Data '!BC2958/'[1]All Data '!BH2958)</f>
        <v/>
      </c>
      <c r="O2953" s="5" t="str">
        <f t="shared" si="48"/>
        <v/>
      </c>
      <c r="P2953" s="5" t="str">
        <f>IF(M2953="","",$C$2*(1-L2953)*907.2/0.621371*N2953*[1]Transportation!$M$40)</f>
        <v/>
      </c>
      <c r="Q2953" s="5" t="str">
        <f>IF(L2953="","",IF([1]Inputs_Outputs!$B$5="Herbaceous",(LCA!$E$29*'[1]LOCH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3" s="5" t="str">
        <f>IF(M2953="","",$E$2*1000*'[1]LOCH Calc COE Calc'!$C$44)</f>
        <v/>
      </c>
      <c r="S2953" s="6" t="str">
        <f>IF(N2953="","",SUM(O2953:R2953)/('[1]LOCH Calc COE Calc'!$C$28))</f>
        <v/>
      </c>
      <c r="T2953" t="str">
        <f>IF(L2953="","",O2953/'[1]LOCH Calc COE Calc'!$C$28)</f>
        <v/>
      </c>
      <c r="U2953" t="str">
        <f>IF(L2953="","",P2953/'[1]LOCH Calc COE Calc'!$C$28)</f>
        <v/>
      </c>
      <c r="V2953" t="str">
        <f>IF(L2953="","",Q2953/'[1]LOCH Calc COE Calc'!$C$28)</f>
        <v/>
      </c>
      <c r="W2953" t="str">
        <f>IF(L2953="","",R2953/'[1]LOCH Calc COE Calc'!$C$28)</f>
        <v/>
      </c>
    </row>
    <row r="2954" spans="12:23" x14ac:dyDescent="0.25">
      <c r="L2954" s="4" t="str">
        <f>IF('[1]All Data '!BE2959="","",'[1]All Data '!BE2959)</f>
        <v/>
      </c>
      <c r="M2954" t="str">
        <f>IF('[1]All Data '!BF2959="","",'[1]All Data '!BF2959)</f>
        <v/>
      </c>
      <c r="N2954" s="5" t="str">
        <f>IF('[1]All Data '!BB2959="","",'[1]All Data '!BC2959/'[1]All Data '!BH2959)</f>
        <v/>
      </c>
      <c r="O2954" s="5" t="str">
        <f t="shared" si="48"/>
        <v/>
      </c>
      <c r="P2954" s="5" t="str">
        <f>IF(M2954="","",$C$2*(1-L2954)*907.2/0.621371*N2954*[1]Transportation!$M$40)</f>
        <v/>
      </c>
      <c r="Q2954" s="5" t="str">
        <f>IF(L2954="","",IF([1]Inputs_Outputs!$B$5="Herbaceous",(LCA!$E$29*'[1]LOCH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4" s="5" t="str">
        <f>IF(M2954="","",$E$2*1000*'[1]LOCH Calc COE Calc'!$C$44)</f>
        <v/>
      </c>
      <c r="S2954" s="6" t="str">
        <f>IF(N2954="","",SUM(O2954:R2954)/('[1]LOCH Calc COE Calc'!$C$28))</f>
        <v/>
      </c>
      <c r="T2954" t="str">
        <f>IF(L2954="","",O2954/'[1]LOCH Calc COE Calc'!$C$28)</f>
        <v/>
      </c>
      <c r="U2954" t="str">
        <f>IF(L2954="","",P2954/'[1]LOCH Calc COE Calc'!$C$28)</f>
        <v/>
      </c>
      <c r="V2954" t="str">
        <f>IF(L2954="","",Q2954/'[1]LOCH Calc COE Calc'!$C$28)</f>
        <v/>
      </c>
      <c r="W2954" t="str">
        <f>IF(L2954="","",R2954/'[1]LOCH Calc COE Calc'!$C$28)</f>
        <v/>
      </c>
    </row>
    <row r="2955" spans="12:23" x14ac:dyDescent="0.25">
      <c r="L2955" s="4" t="str">
        <f>IF('[1]All Data '!BE2960="","",'[1]All Data '!BE2960)</f>
        <v/>
      </c>
      <c r="M2955" t="str">
        <f>IF('[1]All Data '!BF2960="","",'[1]All Data '!BF2960)</f>
        <v/>
      </c>
      <c r="N2955" s="5" t="str">
        <f>IF('[1]All Data '!BB2960="","",'[1]All Data '!BC2960/'[1]All Data '!BH2960)</f>
        <v/>
      </c>
      <c r="O2955" s="5" t="str">
        <f t="shared" si="48"/>
        <v/>
      </c>
      <c r="P2955" s="5" t="str">
        <f>IF(M2955="","",$C$2*(1-L2955)*907.2/0.621371*N2955*[1]Transportation!$M$40)</f>
        <v/>
      </c>
      <c r="Q2955" s="5" t="str">
        <f>IF(L2955="","",IF([1]Inputs_Outputs!$B$5="Herbaceous",(LCA!$E$29*'[1]LOCH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5" s="5" t="str">
        <f>IF(M2955="","",$E$2*1000*'[1]LOCH Calc COE Calc'!$C$44)</f>
        <v/>
      </c>
      <c r="S2955" s="6" t="str">
        <f>IF(N2955="","",SUM(O2955:R2955)/('[1]LOCH Calc COE Calc'!$C$28))</f>
        <v/>
      </c>
      <c r="T2955" t="str">
        <f>IF(L2955="","",O2955/'[1]LOCH Calc COE Calc'!$C$28)</f>
        <v/>
      </c>
      <c r="U2955" t="str">
        <f>IF(L2955="","",P2955/'[1]LOCH Calc COE Calc'!$C$28)</f>
        <v/>
      </c>
      <c r="V2955" t="str">
        <f>IF(L2955="","",Q2955/'[1]LOCH Calc COE Calc'!$C$28)</f>
        <v/>
      </c>
      <c r="W2955" t="str">
        <f>IF(L2955="","",R2955/'[1]LOCH Calc COE Calc'!$C$28)</f>
        <v/>
      </c>
    </row>
    <row r="2956" spans="12:23" x14ac:dyDescent="0.25">
      <c r="L2956" s="4" t="str">
        <f>IF('[1]All Data '!BE2961="","",'[1]All Data '!BE2961)</f>
        <v/>
      </c>
      <c r="M2956" t="str">
        <f>IF('[1]All Data '!BF2961="","",'[1]All Data '!BF2961)</f>
        <v/>
      </c>
      <c r="N2956" s="5" t="str">
        <f>IF('[1]All Data '!BB2961="","",'[1]All Data '!BC2961/'[1]All Data '!BH2961)</f>
        <v/>
      </c>
      <c r="O2956" s="5" t="str">
        <f t="shared" si="48"/>
        <v/>
      </c>
      <c r="P2956" s="5" t="str">
        <f>IF(M2956="","",$C$2*(1-L2956)*907.2/0.621371*N2956*[1]Transportation!$M$40)</f>
        <v/>
      </c>
      <c r="Q2956" s="5" t="str">
        <f>IF(L2956="","",IF([1]Inputs_Outputs!$B$5="Herbaceous",(LCA!$E$29*'[1]LOCH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6" s="5" t="str">
        <f>IF(M2956="","",$E$2*1000*'[1]LOCH Calc COE Calc'!$C$44)</f>
        <v/>
      </c>
      <c r="S2956" s="6" t="str">
        <f>IF(N2956="","",SUM(O2956:R2956)/('[1]LOCH Calc COE Calc'!$C$28))</f>
        <v/>
      </c>
      <c r="T2956" t="str">
        <f>IF(L2956="","",O2956/'[1]LOCH Calc COE Calc'!$C$28)</f>
        <v/>
      </c>
      <c r="U2956" t="str">
        <f>IF(L2956="","",P2956/'[1]LOCH Calc COE Calc'!$C$28)</f>
        <v/>
      </c>
      <c r="V2956" t="str">
        <f>IF(L2956="","",Q2956/'[1]LOCH Calc COE Calc'!$C$28)</f>
        <v/>
      </c>
      <c r="W2956" t="str">
        <f>IF(L2956="","",R2956/'[1]LOCH Calc COE Calc'!$C$28)</f>
        <v/>
      </c>
    </row>
    <row r="2957" spans="12:23" x14ac:dyDescent="0.25">
      <c r="L2957" s="4" t="str">
        <f>IF('[1]All Data '!BE2962="","",'[1]All Data '!BE2962)</f>
        <v/>
      </c>
      <c r="M2957" t="str">
        <f>IF('[1]All Data '!BF2962="","",'[1]All Data '!BF2962)</f>
        <v/>
      </c>
      <c r="N2957" s="5" t="str">
        <f>IF('[1]All Data '!BB2962="","",'[1]All Data '!BC2962/'[1]All Data '!BH2962)</f>
        <v/>
      </c>
      <c r="O2957" s="5" t="str">
        <f t="shared" si="48"/>
        <v/>
      </c>
      <c r="P2957" s="5" t="str">
        <f>IF(M2957="","",$C$2*(1-L2957)*907.2/0.621371*N2957*[1]Transportation!$M$40)</f>
        <v/>
      </c>
      <c r="Q2957" s="5" t="str">
        <f>IF(L2957="","",IF([1]Inputs_Outputs!$B$5="Herbaceous",(LCA!$E$29*'[1]LOCH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7" s="5" t="str">
        <f>IF(M2957="","",$E$2*1000*'[1]LOCH Calc COE Calc'!$C$44)</f>
        <v/>
      </c>
      <c r="S2957" s="6" t="str">
        <f>IF(N2957="","",SUM(O2957:R2957)/('[1]LOCH Calc COE Calc'!$C$28))</f>
        <v/>
      </c>
      <c r="T2957" t="str">
        <f>IF(L2957="","",O2957/'[1]LOCH Calc COE Calc'!$C$28)</f>
        <v/>
      </c>
      <c r="U2957" t="str">
        <f>IF(L2957="","",P2957/'[1]LOCH Calc COE Calc'!$C$28)</f>
        <v/>
      </c>
      <c r="V2957" t="str">
        <f>IF(L2957="","",Q2957/'[1]LOCH Calc COE Calc'!$C$28)</f>
        <v/>
      </c>
      <c r="W2957" t="str">
        <f>IF(L2957="","",R2957/'[1]LOCH Calc COE Calc'!$C$28)</f>
        <v/>
      </c>
    </row>
    <row r="2958" spans="12:23" x14ac:dyDescent="0.25">
      <c r="L2958" s="4" t="str">
        <f>IF('[1]All Data '!BE2963="","",'[1]All Data '!BE2963)</f>
        <v/>
      </c>
      <c r="M2958" t="str">
        <f>IF('[1]All Data '!BF2963="","",'[1]All Data '!BF2963)</f>
        <v/>
      </c>
      <c r="N2958" s="5" t="str">
        <f>IF('[1]All Data '!BB2963="","",'[1]All Data '!BC2963/'[1]All Data '!BH2963)</f>
        <v/>
      </c>
      <c r="O2958" s="5" t="str">
        <f t="shared" si="48"/>
        <v/>
      </c>
      <c r="P2958" s="5" t="str">
        <f>IF(M2958="","",$C$2*(1-L2958)*907.2/0.621371*N2958*[1]Transportation!$M$40)</f>
        <v/>
      </c>
      <c r="Q2958" s="5" t="str">
        <f>IF(L2958="","",IF([1]Inputs_Outputs!$B$5="Herbaceous",(LCA!$E$29*'[1]LOCH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8" s="5" t="str">
        <f>IF(M2958="","",$E$2*1000*'[1]LOCH Calc COE Calc'!$C$44)</f>
        <v/>
      </c>
      <c r="S2958" s="6" t="str">
        <f>IF(N2958="","",SUM(O2958:R2958)/('[1]LOCH Calc COE Calc'!$C$28))</f>
        <v/>
      </c>
      <c r="T2958" t="str">
        <f>IF(L2958="","",O2958/'[1]LOCH Calc COE Calc'!$C$28)</f>
        <v/>
      </c>
      <c r="U2958" t="str">
        <f>IF(L2958="","",P2958/'[1]LOCH Calc COE Calc'!$C$28)</f>
        <v/>
      </c>
      <c r="V2958" t="str">
        <f>IF(L2958="","",Q2958/'[1]LOCH Calc COE Calc'!$C$28)</f>
        <v/>
      </c>
      <c r="W2958" t="str">
        <f>IF(L2958="","",R2958/'[1]LOCH Calc COE Calc'!$C$28)</f>
        <v/>
      </c>
    </row>
    <row r="2959" spans="12:23" x14ac:dyDescent="0.25">
      <c r="L2959" s="4" t="str">
        <f>IF('[1]All Data '!BE2964="","",'[1]All Data '!BE2964)</f>
        <v/>
      </c>
      <c r="M2959" t="str">
        <f>IF('[1]All Data '!BF2964="","",'[1]All Data '!BF2964)</f>
        <v/>
      </c>
      <c r="N2959" s="5" t="str">
        <f>IF('[1]All Data '!BB2964="","",'[1]All Data '!BC2964/'[1]All Data '!BH2964)</f>
        <v/>
      </c>
      <c r="O2959" s="5" t="str">
        <f t="shared" si="48"/>
        <v/>
      </c>
      <c r="P2959" s="5" t="str">
        <f>IF(M2959="","",$C$2*(1-L2959)*907.2/0.621371*N2959*[1]Transportation!$M$40)</f>
        <v/>
      </c>
      <c r="Q2959" s="5" t="str">
        <f>IF(L2959="","",IF([1]Inputs_Outputs!$B$5="Herbaceous",(LCA!$E$29*'[1]LOCH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59" s="5" t="str">
        <f>IF(M2959="","",$E$2*1000*'[1]LOCH Calc COE Calc'!$C$44)</f>
        <v/>
      </c>
      <c r="S2959" s="6" t="str">
        <f>IF(N2959="","",SUM(O2959:R2959)/('[1]LOCH Calc COE Calc'!$C$28))</f>
        <v/>
      </c>
      <c r="T2959" t="str">
        <f>IF(L2959="","",O2959/'[1]LOCH Calc COE Calc'!$C$28)</f>
        <v/>
      </c>
      <c r="U2959" t="str">
        <f>IF(L2959="","",P2959/'[1]LOCH Calc COE Calc'!$C$28)</f>
        <v/>
      </c>
      <c r="V2959" t="str">
        <f>IF(L2959="","",Q2959/'[1]LOCH Calc COE Calc'!$C$28)</f>
        <v/>
      </c>
      <c r="W2959" t="str">
        <f>IF(L2959="","",R2959/'[1]LOCH Calc COE Calc'!$C$28)</f>
        <v/>
      </c>
    </row>
    <row r="2960" spans="12:23" x14ac:dyDescent="0.25">
      <c r="L2960" s="4" t="str">
        <f>IF('[1]All Data '!BE2965="","",'[1]All Data '!BE2965)</f>
        <v/>
      </c>
      <c r="M2960" t="str">
        <f>IF('[1]All Data '!BF2965="","",'[1]All Data '!BF2965)</f>
        <v/>
      </c>
      <c r="N2960" s="5" t="str">
        <f>IF('[1]All Data '!BB2965="","",'[1]All Data '!BC2965/'[1]All Data '!BH2965)</f>
        <v/>
      </c>
      <c r="O2960" s="5" t="str">
        <f t="shared" si="48"/>
        <v/>
      </c>
      <c r="P2960" s="5" t="str">
        <f>IF(M2960="","",$C$2*(1-L2960)*907.2/0.621371*N2960*[1]Transportation!$M$40)</f>
        <v/>
      </c>
      <c r="Q2960" s="5" t="str">
        <f>IF(L2960="","",IF([1]Inputs_Outputs!$B$5="Herbaceous",(LCA!$E$29*'[1]LOCH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0" s="5" t="str">
        <f>IF(M2960="","",$E$2*1000*'[1]LOCH Calc COE Calc'!$C$44)</f>
        <v/>
      </c>
      <c r="S2960" s="6" t="str">
        <f>IF(N2960="","",SUM(O2960:R2960)/('[1]LOCH Calc COE Calc'!$C$28))</f>
        <v/>
      </c>
      <c r="T2960" t="str">
        <f>IF(L2960="","",O2960/'[1]LOCH Calc COE Calc'!$C$28)</f>
        <v/>
      </c>
      <c r="U2960" t="str">
        <f>IF(L2960="","",P2960/'[1]LOCH Calc COE Calc'!$C$28)</f>
        <v/>
      </c>
      <c r="V2960" t="str">
        <f>IF(L2960="","",Q2960/'[1]LOCH Calc COE Calc'!$C$28)</f>
        <v/>
      </c>
      <c r="W2960" t="str">
        <f>IF(L2960="","",R2960/'[1]LOCH Calc COE Calc'!$C$28)</f>
        <v/>
      </c>
    </row>
    <row r="2961" spans="12:23" x14ac:dyDescent="0.25">
      <c r="L2961" s="4" t="str">
        <f>IF('[1]All Data '!BE2966="","",'[1]All Data '!BE2966)</f>
        <v/>
      </c>
      <c r="M2961" t="str">
        <f>IF('[1]All Data '!BF2966="","",'[1]All Data '!BF2966)</f>
        <v/>
      </c>
      <c r="N2961" s="5" t="str">
        <f>IF('[1]All Data '!BB2966="","",'[1]All Data '!BC2966/'[1]All Data '!BH2966)</f>
        <v/>
      </c>
      <c r="O2961" s="5" t="str">
        <f t="shared" si="48"/>
        <v/>
      </c>
      <c r="P2961" s="5" t="str">
        <f>IF(M2961="","",$C$2*(1-L2961)*907.2/0.621371*N2961*[1]Transportation!$M$40)</f>
        <v/>
      </c>
      <c r="Q2961" s="5" t="str">
        <f>IF(L2961="","",IF([1]Inputs_Outputs!$B$5="Herbaceous",(LCA!$E$29*'[1]LOCH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1" s="5" t="str">
        <f>IF(M2961="","",$E$2*1000*'[1]LOCH Calc COE Calc'!$C$44)</f>
        <v/>
      </c>
      <c r="S2961" s="6" t="str">
        <f>IF(N2961="","",SUM(O2961:R2961)/('[1]LOCH Calc COE Calc'!$C$28))</f>
        <v/>
      </c>
      <c r="T2961" t="str">
        <f>IF(L2961="","",O2961/'[1]LOCH Calc COE Calc'!$C$28)</f>
        <v/>
      </c>
      <c r="U2961" t="str">
        <f>IF(L2961="","",P2961/'[1]LOCH Calc COE Calc'!$C$28)</f>
        <v/>
      </c>
      <c r="V2961" t="str">
        <f>IF(L2961="","",Q2961/'[1]LOCH Calc COE Calc'!$C$28)</f>
        <v/>
      </c>
      <c r="W2961" t="str">
        <f>IF(L2961="","",R2961/'[1]LOCH Calc COE Calc'!$C$28)</f>
        <v/>
      </c>
    </row>
    <row r="2962" spans="12:23" x14ac:dyDescent="0.25">
      <c r="L2962" s="4" t="str">
        <f>IF('[1]All Data '!BE2967="","",'[1]All Data '!BE2967)</f>
        <v/>
      </c>
      <c r="M2962" t="str">
        <f>IF('[1]All Data '!BF2967="","",'[1]All Data '!BF2967)</f>
        <v/>
      </c>
      <c r="N2962" s="5" t="str">
        <f>IF('[1]All Data '!BB2967="","",'[1]All Data '!BC2967/'[1]All Data '!BH2967)</f>
        <v/>
      </c>
      <c r="O2962" s="5" t="str">
        <f t="shared" si="48"/>
        <v/>
      </c>
      <c r="P2962" s="5" t="str">
        <f>IF(M2962="","",$C$2*(1-L2962)*907.2/0.621371*N2962*[1]Transportation!$M$40)</f>
        <v/>
      </c>
      <c r="Q2962" s="5" t="str">
        <f>IF(L2962="","",IF([1]Inputs_Outputs!$B$5="Herbaceous",(LCA!$E$29*'[1]LOCH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2" s="5" t="str">
        <f>IF(M2962="","",$E$2*1000*'[1]LOCH Calc COE Calc'!$C$44)</f>
        <v/>
      </c>
      <c r="S2962" s="6" t="str">
        <f>IF(N2962="","",SUM(O2962:R2962)/('[1]LOCH Calc COE Calc'!$C$28))</f>
        <v/>
      </c>
      <c r="T2962" t="str">
        <f>IF(L2962="","",O2962/'[1]LOCH Calc COE Calc'!$C$28)</f>
        <v/>
      </c>
      <c r="U2962" t="str">
        <f>IF(L2962="","",P2962/'[1]LOCH Calc COE Calc'!$C$28)</f>
        <v/>
      </c>
      <c r="V2962" t="str">
        <f>IF(L2962="","",Q2962/'[1]LOCH Calc COE Calc'!$C$28)</f>
        <v/>
      </c>
      <c r="W2962" t="str">
        <f>IF(L2962="","",R2962/'[1]LOCH Calc COE Calc'!$C$28)</f>
        <v/>
      </c>
    </row>
    <row r="2963" spans="12:23" x14ac:dyDescent="0.25">
      <c r="L2963" s="4" t="str">
        <f>IF('[1]All Data '!BE2968="","",'[1]All Data '!BE2968)</f>
        <v/>
      </c>
      <c r="M2963" t="str">
        <f>IF('[1]All Data '!BF2968="","",'[1]All Data '!BF2968)</f>
        <v/>
      </c>
      <c r="N2963" s="5" t="str">
        <f>IF('[1]All Data '!BB2968="","",'[1]All Data '!BC2968/'[1]All Data '!BH2968)</f>
        <v/>
      </c>
      <c r="O2963" s="5" t="str">
        <f t="shared" si="48"/>
        <v/>
      </c>
      <c r="P2963" s="5" t="str">
        <f>IF(M2963="","",$C$2*(1-L2963)*907.2/0.621371*N2963*[1]Transportation!$M$40)</f>
        <v/>
      </c>
      <c r="Q2963" s="5" t="str">
        <f>IF(L2963="","",IF([1]Inputs_Outputs!$B$5="Herbaceous",(LCA!$E$29*'[1]LOCH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3" s="5" t="str">
        <f>IF(M2963="","",$E$2*1000*'[1]LOCH Calc COE Calc'!$C$44)</f>
        <v/>
      </c>
      <c r="S2963" s="6" t="str">
        <f>IF(N2963="","",SUM(O2963:R2963)/('[1]LOCH Calc COE Calc'!$C$28))</f>
        <v/>
      </c>
      <c r="T2963" t="str">
        <f>IF(L2963="","",O2963/'[1]LOCH Calc COE Calc'!$C$28)</f>
        <v/>
      </c>
      <c r="U2963" t="str">
        <f>IF(L2963="","",P2963/'[1]LOCH Calc COE Calc'!$C$28)</f>
        <v/>
      </c>
      <c r="V2963" t="str">
        <f>IF(L2963="","",Q2963/'[1]LOCH Calc COE Calc'!$C$28)</f>
        <v/>
      </c>
      <c r="W2963" t="str">
        <f>IF(L2963="","",R2963/'[1]LOCH Calc COE Calc'!$C$28)</f>
        <v/>
      </c>
    </row>
    <row r="2964" spans="12:23" x14ac:dyDescent="0.25">
      <c r="L2964" s="4" t="str">
        <f>IF('[1]All Data '!BE2969="","",'[1]All Data '!BE2969)</f>
        <v/>
      </c>
      <c r="M2964" t="str">
        <f>IF('[1]All Data '!BF2969="","",'[1]All Data '!BF2969)</f>
        <v/>
      </c>
      <c r="N2964" s="5" t="str">
        <f>IF('[1]All Data '!BB2969="","",'[1]All Data '!BC2969/'[1]All Data '!BH2969)</f>
        <v/>
      </c>
      <c r="O2964" s="5" t="str">
        <f t="shared" si="48"/>
        <v/>
      </c>
      <c r="P2964" s="5" t="str">
        <f>IF(M2964="","",$C$2*(1-L2964)*907.2/0.621371*N2964*[1]Transportation!$M$40)</f>
        <v/>
      </c>
      <c r="Q2964" s="5" t="str">
        <f>IF(L2964="","",IF([1]Inputs_Outputs!$B$5="Herbaceous",(LCA!$E$29*'[1]LOCH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4" s="5" t="str">
        <f>IF(M2964="","",$E$2*1000*'[1]LOCH Calc COE Calc'!$C$44)</f>
        <v/>
      </c>
      <c r="S2964" s="6" t="str">
        <f>IF(N2964="","",SUM(O2964:R2964)/('[1]LOCH Calc COE Calc'!$C$28))</f>
        <v/>
      </c>
      <c r="T2964" t="str">
        <f>IF(L2964="","",O2964/'[1]LOCH Calc COE Calc'!$C$28)</f>
        <v/>
      </c>
      <c r="U2964" t="str">
        <f>IF(L2964="","",P2964/'[1]LOCH Calc COE Calc'!$C$28)</f>
        <v/>
      </c>
      <c r="V2964" t="str">
        <f>IF(L2964="","",Q2964/'[1]LOCH Calc COE Calc'!$C$28)</f>
        <v/>
      </c>
      <c r="W2964" t="str">
        <f>IF(L2964="","",R2964/'[1]LOCH Calc COE Calc'!$C$28)</f>
        <v/>
      </c>
    </row>
    <row r="2965" spans="12:23" x14ac:dyDescent="0.25">
      <c r="L2965" s="4" t="str">
        <f>IF('[1]All Data '!BE2970="","",'[1]All Data '!BE2970)</f>
        <v/>
      </c>
      <c r="M2965" t="str">
        <f>IF('[1]All Data '!BF2970="","",'[1]All Data '!BF2970)</f>
        <v/>
      </c>
      <c r="N2965" s="5" t="str">
        <f>IF('[1]All Data '!BB2970="","",'[1]All Data '!BC2970/'[1]All Data '!BH2970)</f>
        <v/>
      </c>
      <c r="O2965" s="5" t="str">
        <f t="shared" si="48"/>
        <v/>
      </c>
      <c r="P2965" s="5" t="str">
        <f>IF(M2965="","",$C$2*(1-L2965)*907.2/0.621371*N2965*[1]Transportation!$M$40)</f>
        <v/>
      </c>
      <c r="Q2965" s="5" t="str">
        <f>IF(L2965="","",IF([1]Inputs_Outputs!$B$5="Herbaceous",(LCA!$E$29*'[1]LOCH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5" s="5" t="str">
        <f>IF(M2965="","",$E$2*1000*'[1]LOCH Calc COE Calc'!$C$44)</f>
        <v/>
      </c>
      <c r="S2965" s="6" t="str">
        <f>IF(N2965="","",SUM(O2965:R2965)/('[1]LOCH Calc COE Calc'!$C$28))</f>
        <v/>
      </c>
      <c r="T2965" t="str">
        <f>IF(L2965="","",O2965/'[1]LOCH Calc COE Calc'!$C$28)</f>
        <v/>
      </c>
      <c r="U2965" t="str">
        <f>IF(L2965="","",P2965/'[1]LOCH Calc COE Calc'!$C$28)</f>
        <v/>
      </c>
      <c r="V2965" t="str">
        <f>IF(L2965="","",Q2965/'[1]LOCH Calc COE Calc'!$C$28)</f>
        <v/>
      </c>
      <c r="W2965" t="str">
        <f>IF(L2965="","",R2965/'[1]LOCH Calc COE Calc'!$C$28)</f>
        <v/>
      </c>
    </row>
    <row r="2966" spans="12:23" x14ac:dyDescent="0.25">
      <c r="L2966" s="4" t="str">
        <f>IF('[1]All Data '!BE2971="","",'[1]All Data '!BE2971)</f>
        <v/>
      </c>
      <c r="M2966" t="str">
        <f>IF('[1]All Data '!BF2971="","",'[1]All Data '!BF2971)</f>
        <v/>
      </c>
      <c r="N2966" s="5" t="str">
        <f>IF('[1]All Data '!BB2971="","",'[1]All Data '!BC2971/'[1]All Data '!BH2971)</f>
        <v/>
      </c>
      <c r="O2966" s="5" t="str">
        <f t="shared" si="48"/>
        <v/>
      </c>
      <c r="P2966" s="5" t="str">
        <f>IF(M2966="","",$C$2*(1-L2966)*907.2/0.621371*N2966*[1]Transportation!$M$40)</f>
        <v/>
      </c>
      <c r="Q2966" s="5" t="str">
        <f>IF(L2966="","",IF([1]Inputs_Outputs!$B$5="Herbaceous",(LCA!$E$29*'[1]LOCH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6" s="5" t="str">
        <f>IF(M2966="","",$E$2*1000*'[1]LOCH Calc COE Calc'!$C$44)</f>
        <v/>
      </c>
      <c r="S2966" s="6" t="str">
        <f>IF(N2966="","",SUM(O2966:R2966)/('[1]LOCH Calc COE Calc'!$C$28))</f>
        <v/>
      </c>
      <c r="T2966" t="str">
        <f>IF(L2966="","",O2966/'[1]LOCH Calc COE Calc'!$C$28)</f>
        <v/>
      </c>
      <c r="U2966" t="str">
        <f>IF(L2966="","",P2966/'[1]LOCH Calc COE Calc'!$C$28)</f>
        <v/>
      </c>
      <c r="V2966" t="str">
        <f>IF(L2966="","",Q2966/'[1]LOCH Calc COE Calc'!$C$28)</f>
        <v/>
      </c>
      <c r="W2966" t="str">
        <f>IF(L2966="","",R2966/'[1]LOCH Calc COE Calc'!$C$28)</f>
        <v/>
      </c>
    </row>
    <row r="2967" spans="12:23" x14ac:dyDescent="0.25">
      <c r="L2967" s="4" t="str">
        <f>IF('[1]All Data '!BE2972="","",'[1]All Data '!BE2972)</f>
        <v/>
      </c>
      <c r="M2967" t="str">
        <f>IF('[1]All Data '!BF2972="","",'[1]All Data '!BF2972)</f>
        <v/>
      </c>
      <c r="N2967" s="5" t="str">
        <f>IF('[1]All Data '!BB2972="","",'[1]All Data '!BC2972/'[1]All Data '!BH2972)</f>
        <v/>
      </c>
      <c r="O2967" s="5" t="str">
        <f t="shared" si="48"/>
        <v/>
      </c>
      <c r="P2967" s="5" t="str">
        <f>IF(M2967="","",$C$2*(1-L2967)*907.2/0.621371*N2967*[1]Transportation!$M$40)</f>
        <v/>
      </c>
      <c r="Q2967" s="5" t="str">
        <f>IF(L2967="","",IF([1]Inputs_Outputs!$B$5="Herbaceous",(LCA!$E$29*'[1]LOCH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7" s="5" t="str">
        <f>IF(M2967="","",$E$2*1000*'[1]LOCH Calc COE Calc'!$C$44)</f>
        <v/>
      </c>
      <c r="S2967" s="6" t="str">
        <f>IF(N2967="","",SUM(O2967:R2967)/('[1]LOCH Calc COE Calc'!$C$28))</f>
        <v/>
      </c>
      <c r="T2967" t="str">
        <f>IF(L2967="","",O2967/'[1]LOCH Calc COE Calc'!$C$28)</f>
        <v/>
      </c>
      <c r="U2967" t="str">
        <f>IF(L2967="","",P2967/'[1]LOCH Calc COE Calc'!$C$28)</f>
        <v/>
      </c>
      <c r="V2967" t="str">
        <f>IF(L2967="","",Q2967/'[1]LOCH Calc COE Calc'!$C$28)</f>
        <v/>
      </c>
      <c r="W2967" t="str">
        <f>IF(L2967="","",R2967/'[1]LOCH Calc COE Calc'!$C$28)</f>
        <v/>
      </c>
    </row>
    <row r="2968" spans="12:23" x14ac:dyDescent="0.25">
      <c r="L2968" s="4" t="str">
        <f>IF('[1]All Data '!BE2973="","",'[1]All Data '!BE2973)</f>
        <v/>
      </c>
      <c r="M2968" t="str">
        <f>IF('[1]All Data '!BF2973="","",'[1]All Data '!BF2973)</f>
        <v/>
      </c>
      <c r="N2968" s="5" t="str">
        <f>IF('[1]All Data '!BB2973="","",'[1]All Data '!BC2973/'[1]All Data '!BH2973)</f>
        <v/>
      </c>
      <c r="O2968" s="5" t="str">
        <f t="shared" si="48"/>
        <v/>
      </c>
      <c r="P2968" s="5" t="str">
        <f>IF(M2968="","",$C$2*(1-L2968)*907.2/0.621371*N2968*[1]Transportation!$M$40)</f>
        <v/>
      </c>
      <c r="Q2968" s="5" t="str">
        <f>IF(L2968="","",IF([1]Inputs_Outputs!$B$5="Herbaceous",(LCA!$E$29*'[1]LOCH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8" s="5" t="str">
        <f>IF(M2968="","",$E$2*1000*'[1]LOCH Calc COE Calc'!$C$44)</f>
        <v/>
      </c>
      <c r="S2968" s="6" t="str">
        <f>IF(N2968="","",SUM(O2968:R2968)/('[1]LOCH Calc COE Calc'!$C$28))</f>
        <v/>
      </c>
      <c r="T2968" t="str">
        <f>IF(L2968="","",O2968/'[1]LOCH Calc COE Calc'!$C$28)</f>
        <v/>
      </c>
      <c r="U2968" t="str">
        <f>IF(L2968="","",P2968/'[1]LOCH Calc COE Calc'!$C$28)</f>
        <v/>
      </c>
      <c r="V2968" t="str">
        <f>IF(L2968="","",Q2968/'[1]LOCH Calc COE Calc'!$C$28)</f>
        <v/>
      </c>
      <c r="W2968" t="str">
        <f>IF(L2968="","",R2968/'[1]LOCH Calc COE Calc'!$C$28)</f>
        <v/>
      </c>
    </row>
    <row r="2969" spans="12:23" x14ac:dyDescent="0.25">
      <c r="L2969" s="4" t="str">
        <f>IF('[1]All Data '!BE2974="","",'[1]All Data '!BE2974)</f>
        <v/>
      </c>
      <c r="M2969" t="str">
        <f>IF('[1]All Data '!BF2974="","",'[1]All Data '!BF2974)</f>
        <v/>
      </c>
      <c r="N2969" s="5" t="str">
        <f>IF('[1]All Data '!BB2974="","",'[1]All Data '!BC2974/'[1]All Data '!BH2974)</f>
        <v/>
      </c>
      <c r="O2969" s="5" t="str">
        <f t="shared" si="48"/>
        <v/>
      </c>
      <c r="P2969" s="5" t="str">
        <f>IF(M2969="","",$C$2*(1-L2969)*907.2/0.621371*N2969*[1]Transportation!$M$40)</f>
        <v/>
      </c>
      <c r="Q2969" s="5" t="str">
        <f>IF(L2969="","",IF([1]Inputs_Outputs!$B$5="Herbaceous",(LCA!$E$29*'[1]LOCH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69" s="5" t="str">
        <f>IF(M2969="","",$E$2*1000*'[1]LOCH Calc COE Calc'!$C$44)</f>
        <v/>
      </c>
      <c r="S2969" s="6" t="str">
        <f>IF(N2969="","",SUM(O2969:R2969)/('[1]LOCH Calc COE Calc'!$C$28))</f>
        <v/>
      </c>
      <c r="T2969" t="str">
        <f>IF(L2969="","",O2969/'[1]LOCH Calc COE Calc'!$C$28)</f>
        <v/>
      </c>
      <c r="U2969" t="str">
        <f>IF(L2969="","",P2969/'[1]LOCH Calc COE Calc'!$C$28)</f>
        <v/>
      </c>
      <c r="V2969" t="str">
        <f>IF(L2969="","",Q2969/'[1]LOCH Calc COE Calc'!$C$28)</f>
        <v/>
      </c>
      <c r="W2969" t="str">
        <f>IF(L2969="","",R2969/'[1]LOCH Calc COE Calc'!$C$28)</f>
        <v/>
      </c>
    </row>
    <row r="2970" spans="12:23" x14ac:dyDescent="0.25">
      <c r="L2970" s="4" t="str">
        <f>IF('[1]All Data '!BE2975="","",'[1]All Data '!BE2975)</f>
        <v/>
      </c>
      <c r="M2970" t="str">
        <f>IF('[1]All Data '!BF2975="","",'[1]All Data '!BF2975)</f>
        <v/>
      </c>
      <c r="N2970" s="5" t="str">
        <f>IF('[1]All Data '!BB2975="","",'[1]All Data '!BC2975/'[1]All Data '!BH2975)</f>
        <v/>
      </c>
      <c r="O2970" s="5" t="str">
        <f t="shared" si="48"/>
        <v/>
      </c>
      <c r="P2970" s="5" t="str">
        <f>IF(M2970="","",$C$2*(1-L2970)*907.2/0.621371*N2970*[1]Transportation!$M$40)</f>
        <v/>
      </c>
      <c r="Q2970" s="5" t="str">
        <f>IF(L2970="","",IF([1]Inputs_Outputs!$B$5="Herbaceous",(LCA!$E$29*'[1]LOCH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0" s="5" t="str">
        <f>IF(M2970="","",$E$2*1000*'[1]LOCH Calc COE Calc'!$C$44)</f>
        <v/>
      </c>
      <c r="S2970" s="6" t="str">
        <f>IF(N2970="","",SUM(O2970:R2970)/('[1]LOCH Calc COE Calc'!$C$28))</f>
        <v/>
      </c>
      <c r="T2970" t="str">
        <f>IF(L2970="","",O2970/'[1]LOCH Calc COE Calc'!$C$28)</f>
        <v/>
      </c>
      <c r="U2970" t="str">
        <f>IF(L2970="","",P2970/'[1]LOCH Calc COE Calc'!$C$28)</f>
        <v/>
      </c>
      <c r="V2970" t="str">
        <f>IF(L2970="","",Q2970/'[1]LOCH Calc COE Calc'!$C$28)</f>
        <v/>
      </c>
      <c r="W2970" t="str">
        <f>IF(L2970="","",R2970/'[1]LOCH Calc COE Calc'!$C$28)</f>
        <v/>
      </c>
    </row>
    <row r="2971" spans="12:23" x14ac:dyDescent="0.25">
      <c r="L2971" s="4" t="str">
        <f>IF('[1]All Data '!BE2976="","",'[1]All Data '!BE2976)</f>
        <v/>
      </c>
      <c r="M2971" t="str">
        <f>IF('[1]All Data '!BF2976="","",'[1]All Data '!BF2976)</f>
        <v/>
      </c>
      <c r="N2971" s="5" t="str">
        <f>IF('[1]All Data '!BB2976="","",'[1]All Data '!BC2976/'[1]All Data '!BH2976)</f>
        <v/>
      </c>
      <c r="O2971" s="5" t="str">
        <f t="shared" si="48"/>
        <v/>
      </c>
      <c r="P2971" s="5" t="str">
        <f>IF(M2971="","",$C$2*(1-L2971)*907.2/0.621371*N2971*[1]Transportation!$M$40)</f>
        <v/>
      </c>
      <c r="Q2971" s="5" t="str">
        <f>IF(L2971="","",IF([1]Inputs_Outputs!$B$5="Herbaceous",(LCA!$E$29*'[1]LOCH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1" s="5" t="str">
        <f>IF(M2971="","",$E$2*1000*'[1]LOCH Calc COE Calc'!$C$44)</f>
        <v/>
      </c>
      <c r="S2971" s="6" t="str">
        <f>IF(N2971="","",SUM(O2971:R2971)/('[1]LOCH Calc COE Calc'!$C$28))</f>
        <v/>
      </c>
      <c r="T2971" t="str">
        <f>IF(L2971="","",O2971/'[1]LOCH Calc COE Calc'!$C$28)</f>
        <v/>
      </c>
      <c r="U2971" t="str">
        <f>IF(L2971="","",P2971/'[1]LOCH Calc COE Calc'!$C$28)</f>
        <v/>
      </c>
      <c r="V2971" t="str">
        <f>IF(L2971="","",Q2971/'[1]LOCH Calc COE Calc'!$C$28)</f>
        <v/>
      </c>
      <c r="W2971" t="str">
        <f>IF(L2971="","",R2971/'[1]LOCH Calc COE Calc'!$C$28)</f>
        <v/>
      </c>
    </row>
    <row r="2972" spans="12:23" x14ac:dyDescent="0.25">
      <c r="L2972" s="4" t="str">
        <f>IF('[1]All Data '!BE2977="","",'[1]All Data '!BE2977)</f>
        <v/>
      </c>
      <c r="M2972" t="str">
        <f>IF('[1]All Data '!BF2977="","",'[1]All Data '!BF2977)</f>
        <v/>
      </c>
      <c r="N2972" s="5" t="str">
        <f>IF('[1]All Data '!BB2977="","",'[1]All Data '!BC2977/'[1]All Data '!BH2977)</f>
        <v/>
      </c>
      <c r="O2972" s="5" t="str">
        <f t="shared" si="48"/>
        <v/>
      </c>
      <c r="P2972" s="5" t="str">
        <f>IF(M2972="","",$C$2*(1-L2972)*907.2/0.621371*N2972*[1]Transportation!$M$40)</f>
        <v/>
      </c>
      <c r="Q2972" s="5" t="str">
        <f>IF(L2972="","",IF([1]Inputs_Outputs!$B$5="Herbaceous",(LCA!$E$29*'[1]LOCH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2" s="5" t="str">
        <f>IF(M2972="","",$E$2*1000*'[1]LOCH Calc COE Calc'!$C$44)</f>
        <v/>
      </c>
      <c r="S2972" s="6" t="str">
        <f>IF(N2972="","",SUM(O2972:R2972)/('[1]LOCH Calc COE Calc'!$C$28))</f>
        <v/>
      </c>
      <c r="T2972" t="str">
        <f>IF(L2972="","",O2972/'[1]LOCH Calc COE Calc'!$C$28)</f>
        <v/>
      </c>
      <c r="U2972" t="str">
        <f>IF(L2972="","",P2972/'[1]LOCH Calc COE Calc'!$C$28)</f>
        <v/>
      </c>
      <c r="V2972" t="str">
        <f>IF(L2972="","",Q2972/'[1]LOCH Calc COE Calc'!$C$28)</f>
        <v/>
      </c>
      <c r="W2972" t="str">
        <f>IF(L2972="","",R2972/'[1]LOCH Calc COE Calc'!$C$28)</f>
        <v/>
      </c>
    </row>
    <row r="2973" spans="12:23" x14ac:dyDescent="0.25">
      <c r="L2973" s="4" t="str">
        <f>IF('[1]All Data '!BE2978="","",'[1]All Data '!BE2978)</f>
        <v/>
      </c>
      <c r="M2973" t="str">
        <f>IF('[1]All Data '!BF2978="","",'[1]All Data '!BF2978)</f>
        <v/>
      </c>
      <c r="N2973" s="5" t="str">
        <f>IF('[1]All Data '!BB2978="","",'[1]All Data '!BC2978/'[1]All Data '!BH2978)</f>
        <v/>
      </c>
      <c r="O2973" s="5" t="str">
        <f t="shared" si="48"/>
        <v/>
      </c>
      <c r="P2973" s="5" t="str">
        <f>IF(M2973="","",$C$2*(1-L2973)*907.2/0.621371*N2973*[1]Transportation!$M$40)</f>
        <v/>
      </c>
      <c r="Q2973" s="5" t="str">
        <f>IF(L2973="","",IF([1]Inputs_Outputs!$B$5="Herbaceous",(LCA!$E$29*'[1]LOCH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3" s="5" t="str">
        <f>IF(M2973="","",$E$2*1000*'[1]LOCH Calc COE Calc'!$C$44)</f>
        <v/>
      </c>
      <c r="S2973" s="6" t="str">
        <f>IF(N2973="","",SUM(O2973:R2973)/('[1]LOCH Calc COE Calc'!$C$28))</f>
        <v/>
      </c>
      <c r="T2973" t="str">
        <f>IF(L2973="","",O2973/'[1]LOCH Calc COE Calc'!$C$28)</f>
        <v/>
      </c>
      <c r="U2973" t="str">
        <f>IF(L2973="","",P2973/'[1]LOCH Calc COE Calc'!$C$28)</f>
        <v/>
      </c>
      <c r="V2973" t="str">
        <f>IF(L2973="","",Q2973/'[1]LOCH Calc COE Calc'!$C$28)</f>
        <v/>
      </c>
      <c r="W2973" t="str">
        <f>IF(L2973="","",R2973/'[1]LOCH Calc COE Calc'!$C$28)</f>
        <v/>
      </c>
    </row>
    <row r="2974" spans="12:23" x14ac:dyDescent="0.25">
      <c r="L2974" s="4" t="str">
        <f>IF('[1]All Data '!BE2979="","",'[1]All Data '!BE2979)</f>
        <v/>
      </c>
      <c r="M2974" t="str">
        <f>IF('[1]All Data '!BF2979="","",'[1]All Data '!BF2979)</f>
        <v/>
      </c>
      <c r="N2974" s="5" t="str">
        <f>IF('[1]All Data '!BB2979="","",'[1]All Data '!BC2979/'[1]All Data '!BH2979)</f>
        <v/>
      </c>
      <c r="O2974" s="5" t="str">
        <f t="shared" si="48"/>
        <v/>
      </c>
      <c r="P2974" s="5" t="str">
        <f>IF(M2974="","",$C$2*(1-L2974)*907.2/0.621371*N2974*[1]Transportation!$M$40)</f>
        <v/>
      </c>
      <c r="Q2974" s="5" t="str">
        <f>IF(L2974="","",IF([1]Inputs_Outputs!$B$5="Herbaceous",(LCA!$E$29*'[1]LOCH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4" s="5" t="str">
        <f>IF(M2974="","",$E$2*1000*'[1]LOCH Calc COE Calc'!$C$44)</f>
        <v/>
      </c>
      <c r="S2974" s="6" t="str">
        <f>IF(N2974="","",SUM(O2974:R2974)/('[1]LOCH Calc COE Calc'!$C$28))</f>
        <v/>
      </c>
      <c r="T2974" t="str">
        <f>IF(L2974="","",O2974/'[1]LOCH Calc COE Calc'!$C$28)</f>
        <v/>
      </c>
      <c r="U2974" t="str">
        <f>IF(L2974="","",P2974/'[1]LOCH Calc COE Calc'!$C$28)</f>
        <v/>
      </c>
      <c r="V2974" t="str">
        <f>IF(L2974="","",Q2974/'[1]LOCH Calc COE Calc'!$C$28)</f>
        <v/>
      </c>
      <c r="W2974" t="str">
        <f>IF(L2974="","",R2974/'[1]LOCH Calc COE Calc'!$C$28)</f>
        <v/>
      </c>
    </row>
    <row r="2975" spans="12:23" x14ac:dyDescent="0.25">
      <c r="L2975" s="4" t="str">
        <f>IF('[1]All Data '!BE2980="","",'[1]All Data '!BE2980)</f>
        <v/>
      </c>
      <c r="M2975" t="str">
        <f>IF('[1]All Data '!BF2980="","",'[1]All Data '!BF2980)</f>
        <v/>
      </c>
      <c r="N2975" s="5" t="str">
        <f>IF('[1]All Data '!BB2980="","",'[1]All Data '!BC2980/'[1]All Data '!BH2980)</f>
        <v/>
      </c>
      <c r="O2975" s="5" t="str">
        <f t="shared" si="48"/>
        <v/>
      </c>
      <c r="P2975" s="5" t="str">
        <f>IF(M2975="","",$C$2*(1-L2975)*907.2/0.621371*N2975*[1]Transportation!$M$40)</f>
        <v/>
      </c>
      <c r="Q2975" s="5" t="str">
        <f>IF(L2975="","",IF([1]Inputs_Outputs!$B$5="Herbaceous",(LCA!$E$29*'[1]LOCH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5" s="5" t="str">
        <f>IF(M2975="","",$E$2*1000*'[1]LOCH Calc COE Calc'!$C$44)</f>
        <v/>
      </c>
      <c r="S2975" s="6" t="str">
        <f>IF(N2975="","",SUM(O2975:R2975)/('[1]LOCH Calc COE Calc'!$C$28))</f>
        <v/>
      </c>
      <c r="T2975" t="str">
        <f>IF(L2975="","",O2975/'[1]LOCH Calc COE Calc'!$C$28)</f>
        <v/>
      </c>
      <c r="U2975" t="str">
        <f>IF(L2975="","",P2975/'[1]LOCH Calc COE Calc'!$C$28)</f>
        <v/>
      </c>
      <c r="V2975" t="str">
        <f>IF(L2975="","",Q2975/'[1]LOCH Calc COE Calc'!$C$28)</f>
        <v/>
      </c>
      <c r="W2975" t="str">
        <f>IF(L2975="","",R2975/'[1]LOCH Calc COE Calc'!$C$28)</f>
        <v/>
      </c>
    </row>
    <row r="2976" spans="12:23" x14ac:dyDescent="0.25">
      <c r="L2976" s="4" t="str">
        <f>IF('[1]All Data '!BE2981="","",'[1]All Data '!BE2981)</f>
        <v/>
      </c>
      <c r="M2976" t="str">
        <f>IF('[1]All Data '!BF2981="","",'[1]All Data '!BF2981)</f>
        <v/>
      </c>
      <c r="N2976" s="5" t="str">
        <f>IF('[1]All Data '!BB2981="","",'[1]All Data '!BC2981/'[1]All Data '!BH2981)</f>
        <v/>
      </c>
      <c r="O2976" s="5" t="str">
        <f t="shared" si="48"/>
        <v/>
      </c>
      <c r="P2976" s="5" t="str">
        <f>IF(M2976="","",$C$2*(1-L2976)*907.2/0.621371*N2976*[1]Transportation!$M$40)</f>
        <v/>
      </c>
      <c r="Q2976" s="5" t="str">
        <f>IF(L2976="","",IF([1]Inputs_Outputs!$B$5="Herbaceous",(LCA!$E$29*'[1]LOCH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6" s="5" t="str">
        <f>IF(M2976="","",$E$2*1000*'[1]LOCH Calc COE Calc'!$C$44)</f>
        <v/>
      </c>
      <c r="S2976" s="6" t="str">
        <f>IF(N2976="","",SUM(O2976:R2976)/('[1]LOCH Calc COE Calc'!$C$28))</f>
        <v/>
      </c>
      <c r="T2976" t="str">
        <f>IF(L2976="","",O2976/'[1]LOCH Calc COE Calc'!$C$28)</f>
        <v/>
      </c>
      <c r="U2976" t="str">
        <f>IF(L2976="","",P2976/'[1]LOCH Calc COE Calc'!$C$28)</f>
        <v/>
      </c>
      <c r="V2976" t="str">
        <f>IF(L2976="","",Q2976/'[1]LOCH Calc COE Calc'!$C$28)</f>
        <v/>
      </c>
      <c r="W2976" t="str">
        <f>IF(L2976="","",R2976/'[1]LOCH Calc COE Calc'!$C$28)</f>
        <v/>
      </c>
    </row>
    <row r="2977" spans="12:23" x14ac:dyDescent="0.25">
      <c r="L2977" s="4" t="str">
        <f>IF('[1]All Data '!BE2982="","",'[1]All Data '!BE2982)</f>
        <v/>
      </c>
      <c r="M2977" t="str">
        <f>IF('[1]All Data '!BF2982="","",'[1]All Data '!BF2982)</f>
        <v/>
      </c>
      <c r="N2977" s="5" t="str">
        <f>IF('[1]All Data '!BB2982="","",'[1]All Data '!BC2982/'[1]All Data '!BH2982)</f>
        <v/>
      </c>
      <c r="O2977" s="5" t="str">
        <f t="shared" si="48"/>
        <v/>
      </c>
      <c r="P2977" s="5" t="str">
        <f>IF(M2977="","",$C$2*(1-L2977)*907.2/0.621371*N2977*[1]Transportation!$M$40)</f>
        <v/>
      </c>
      <c r="Q2977" s="5" t="str">
        <f>IF(L2977="","",IF([1]Inputs_Outputs!$B$5="Herbaceous",(LCA!$E$29*'[1]LOCH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7" s="5" t="str">
        <f>IF(M2977="","",$E$2*1000*'[1]LOCH Calc COE Calc'!$C$44)</f>
        <v/>
      </c>
      <c r="S2977" s="6" t="str">
        <f>IF(N2977="","",SUM(O2977:R2977)/('[1]LOCH Calc COE Calc'!$C$28))</f>
        <v/>
      </c>
      <c r="T2977" t="str">
        <f>IF(L2977="","",O2977/'[1]LOCH Calc COE Calc'!$C$28)</f>
        <v/>
      </c>
      <c r="U2977" t="str">
        <f>IF(L2977="","",P2977/'[1]LOCH Calc COE Calc'!$C$28)</f>
        <v/>
      </c>
      <c r="V2977" t="str">
        <f>IF(L2977="","",Q2977/'[1]LOCH Calc COE Calc'!$C$28)</f>
        <v/>
      </c>
      <c r="W2977" t="str">
        <f>IF(L2977="","",R2977/'[1]LOCH Calc COE Calc'!$C$28)</f>
        <v/>
      </c>
    </row>
    <row r="2978" spans="12:23" x14ac:dyDescent="0.25">
      <c r="L2978" s="4" t="str">
        <f>IF('[1]All Data '!BE2983="","",'[1]All Data '!BE2983)</f>
        <v/>
      </c>
      <c r="M2978" t="str">
        <f>IF('[1]All Data '!BF2983="","",'[1]All Data '!BF2983)</f>
        <v/>
      </c>
      <c r="N2978" s="5" t="str">
        <f>IF('[1]All Data '!BB2983="","",'[1]All Data '!BC2983/'[1]All Data '!BH2983)</f>
        <v/>
      </c>
      <c r="O2978" s="5" t="str">
        <f t="shared" si="48"/>
        <v/>
      </c>
      <c r="P2978" s="5" t="str">
        <f>IF(M2978="","",$C$2*(1-L2978)*907.2/0.621371*N2978*[1]Transportation!$M$40)</f>
        <v/>
      </c>
      <c r="Q2978" s="5" t="str">
        <f>IF(L2978="","",IF([1]Inputs_Outputs!$B$5="Herbaceous",(LCA!$E$29*'[1]LOCH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8" s="5" t="str">
        <f>IF(M2978="","",$E$2*1000*'[1]LOCH Calc COE Calc'!$C$44)</f>
        <v/>
      </c>
      <c r="S2978" s="6" t="str">
        <f>IF(N2978="","",SUM(O2978:R2978)/('[1]LOCH Calc COE Calc'!$C$28))</f>
        <v/>
      </c>
      <c r="T2978" t="str">
        <f>IF(L2978="","",O2978/'[1]LOCH Calc COE Calc'!$C$28)</f>
        <v/>
      </c>
      <c r="U2978" t="str">
        <f>IF(L2978="","",P2978/'[1]LOCH Calc COE Calc'!$C$28)</f>
        <v/>
      </c>
      <c r="V2978" t="str">
        <f>IF(L2978="","",Q2978/'[1]LOCH Calc COE Calc'!$C$28)</f>
        <v/>
      </c>
      <c r="W2978" t="str">
        <f>IF(L2978="","",R2978/'[1]LOCH Calc COE Calc'!$C$28)</f>
        <v/>
      </c>
    </row>
    <row r="2979" spans="12:23" x14ac:dyDescent="0.25">
      <c r="L2979" s="4" t="str">
        <f>IF('[1]All Data '!BE2984="","",'[1]All Data '!BE2984)</f>
        <v/>
      </c>
      <c r="M2979" t="str">
        <f>IF('[1]All Data '!BF2984="","",'[1]All Data '!BF2984)</f>
        <v/>
      </c>
      <c r="N2979" s="5" t="str">
        <f>IF('[1]All Data '!BB2984="","",'[1]All Data '!BC2984/'[1]All Data '!BH2984)</f>
        <v/>
      </c>
      <c r="O2979" s="5" t="str">
        <f t="shared" ref="O2979:O3042" si="49">IF(N2979="","",M2979*N2979)</f>
        <v/>
      </c>
      <c r="P2979" s="5" t="str">
        <f>IF(M2979="","",$C$2*(1-L2979)*907.2/0.621371*N2979*[1]Transportation!$M$40)</f>
        <v/>
      </c>
      <c r="Q2979" s="5" t="str">
        <f>IF(L2979="","",IF([1]Inputs_Outputs!$B$5="Herbaceous",(LCA!$E$29*'[1]LOCH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79" s="5" t="str">
        <f>IF(M2979="","",$E$2*1000*'[1]LOCH Calc COE Calc'!$C$44)</f>
        <v/>
      </c>
      <c r="S2979" s="6" t="str">
        <f>IF(N2979="","",SUM(O2979:R2979)/('[1]LOCH Calc COE Calc'!$C$28))</f>
        <v/>
      </c>
      <c r="T2979" t="str">
        <f>IF(L2979="","",O2979/'[1]LOCH Calc COE Calc'!$C$28)</f>
        <v/>
      </c>
      <c r="U2979" t="str">
        <f>IF(L2979="","",P2979/'[1]LOCH Calc COE Calc'!$C$28)</f>
        <v/>
      </c>
      <c r="V2979" t="str">
        <f>IF(L2979="","",Q2979/'[1]LOCH Calc COE Calc'!$C$28)</f>
        <v/>
      </c>
      <c r="W2979" t="str">
        <f>IF(L2979="","",R2979/'[1]LOCH Calc COE Calc'!$C$28)</f>
        <v/>
      </c>
    </row>
    <row r="2980" spans="12:23" x14ac:dyDescent="0.25">
      <c r="L2980" s="4" t="str">
        <f>IF('[1]All Data '!BE2985="","",'[1]All Data '!BE2985)</f>
        <v/>
      </c>
      <c r="M2980" t="str">
        <f>IF('[1]All Data '!BF2985="","",'[1]All Data '!BF2985)</f>
        <v/>
      </c>
      <c r="N2980" s="5" t="str">
        <f>IF('[1]All Data '!BB2985="","",'[1]All Data '!BC2985/'[1]All Data '!BH2985)</f>
        <v/>
      </c>
      <c r="O2980" s="5" t="str">
        <f t="shared" si="49"/>
        <v/>
      </c>
      <c r="P2980" s="5" t="str">
        <f>IF(M2980="","",$C$2*(1-L2980)*907.2/0.621371*N2980*[1]Transportation!$M$40)</f>
        <v/>
      </c>
      <c r="Q2980" s="5" t="str">
        <f>IF(L2980="","",IF([1]Inputs_Outputs!$B$5="Herbaceous",(LCA!$E$29*'[1]LOCH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0" s="5" t="str">
        <f>IF(M2980="","",$E$2*1000*'[1]LOCH Calc COE Calc'!$C$44)</f>
        <v/>
      </c>
      <c r="S2980" s="6" t="str">
        <f>IF(N2980="","",SUM(O2980:R2980)/('[1]LOCH Calc COE Calc'!$C$28))</f>
        <v/>
      </c>
      <c r="T2980" t="str">
        <f>IF(L2980="","",O2980/'[1]LOCH Calc COE Calc'!$C$28)</f>
        <v/>
      </c>
      <c r="U2980" t="str">
        <f>IF(L2980="","",P2980/'[1]LOCH Calc COE Calc'!$C$28)</f>
        <v/>
      </c>
      <c r="V2980" t="str">
        <f>IF(L2980="","",Q2980/'[1]LOCH Calc COE Calc'!$C$28)</f>
        <v/>
      </c>
      <c r="W2980" t="str">
        <f>IF(L2980="","",R2980/'[1]LOCH Calc COE Calc'!$C$28)</f>
        <v/>
      </c>
    </row>
    <row r="2981" spans="12:23" x14ac:dyDescent="0.25">
      <c r="L2981" s="4" t="str">
        <f>IF('[1]All Data '!BE2986="","",'[1]All Data '!BE2986)</f>
        <v/>
      </c>
      <c r="M2981" t="str">
        <f>IF('[1]All Data '!BF2986="","",'[1]All Data '!BF2986)</f>
        <v/>
      </c>
      <c r="N2981" s="5" t="str">
        <f>IF('[1]All Data '!BB2986="","",'[1]All Data '!BC2986/'[1]All Data '!BH2986)</f>
        <v/>
      </c>
      <c r="O2981" s="5" t="str">
        <f t="shared" si="49"/>
        <v/>
      </c>
      <c r="P2981" s="5" t="str">
        <f>IF(M2981="","",$C$2*(1-L2981)*907.2/0.621371*N2981*[1]Transportation!$M$40)</f>
        <v/>
      </c>
      <c r="Q2981" s="5" t="str">
        <f>IF(L2981="","",IF([1]Inputs_Outputs!$B$5="Herbaceous",(LCA!$E$29*'[1]LOCH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1" s="5" t="str">
        <f>IF(M2981="","",$E$2*1000*'[1]LOCH Calc COE Calc'!$C$44)</f>
        <v/>
      </c>
      <c r="S2981" s="6" t="str">
        <f>IF(N2981="","",SUM(O2981:R2981)/('[1]LOCH Calc COE Calc'!$C$28))</f>
        <v/>
      </c>
      <c r="T2981" t="str">
        <f>IF(L2981="","",O2981/'[1]LOCH Calc COE Calc'!$C$28)</f>
        <v/>
      </c>
      <c r="U2981" t="str">
        <f>IF(L2981="","",P2981/'[1]LOCH Calc COE Calc'!$C$28)</f>
        <v/>
      </c>
      <c r="V2981" t="str">
        <f>IF(L2981="","",Q2981/'[1]LOCH Calc COE Calc'!$C$28)</f>
        <v/>
      </c>
      <c r="W2981" t="str">
        <f>IF(L2981="","",R2981/'[1]LOCH Calc COE Calc'!$C$28)</f>
        <v/>
      </c>
    </row>
    <row r="2982" spans="12:23" x14ac:dyDescent="0.25">
      <c r="L2982" s="4" t="str">
        <f>IF('[1]All Data '!BE2987="","",'[1]All Data '!BE2987)</f>
        <v/>
      </c>
      <c r="M2982" t="str">
        <f>IF('[1]All Data '!BF2987="","",'[1]All Data '!BF2987)</f>
        <v/>
      </c>
      <c r="N2982" s="5" t="str">
        <f>IF('[1]All Data '!BB2987="","",'[1]All Data '!BC2987/'[1]All Data '!BH2987)</f>
        <v/>
      </c>
      <c r="O2982" s="5" t="str">
        <f t="shared" si="49"/>
        <v/>
      </c>
      <c r="P2982" s="5" t="str">
        <f>IF(M2982="","",$C$2*(1-L2982)*907.2/0.621371*N2982*[1]Transportation!$M$40)</f>
        <v/>
      </c>
      <c r="Q2982" s="5" t="str">
        <f>IF(L2982="","",IF([1]Inputs_Outputs!$B$5="Herbaceous",(LCA!$E$29*'[1]LOCH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2" s="5" t="str">
        <f>IF(M2982="","",$E$2*1000*'[1]LOCH Calc COE Calc'!$C$44)</f>
        <v/>
      </c>
      <c r="S2982" s="6" t="str">
        <f>IF(N2982="","",SUM(O2982:R2982)/('[1]LOCH Calc COE Calc'!$C$28))</f>
        <v/>
      </c>
      <c r="T2982" t="str">
        <f>IF(L2982="","",O2982/'[1]LOCH Calc COE Calc'!$C$28)</f>
        <v/>
      </c>
      <c r="U2982" t="str">
        <f>IF(L2982="","",P2982/'[1]LOCH Calc COE Calc'!$C$28)</f>
        <v/>
      </c>
      <c r="V2982" t="str">
        <f>IF(L2982="","",Q2982/'[1]LOCH Calc COE Calc'!$C$28)</f>
        <v/>
      </c>
      <c r="W2982" t="str">
        <f>IF(L2982="","",R2982/'[1]LOCH Calc COE Calc'!$C$28)</f>
        <v/>
      </c>
    </row>
    <row r="2983" spans="12:23" x14ac:dyDescent="0.25">
      <c r="L2983" s="4" t="str">
        <f>IF('[1]All Data '!BE2988="","",'[1]All Data '!BE2988)</f>
        <v/>
      </c>
      <c r="M2983" t="str">
        <f>IF('[1]All Data '!BF2988="","",'[1]All Data '!BF2988)</f>
        <v/>
      </c>
      <c r="N2983" s="5" t="str">
        <f>IF('[1]All Data '!BB2988="","",'[1]All Data '!BC2988/'[1]All Data '!BH2988)</f>
        <v/>
      </c>
      <c r="O2983" s="5" t="str">
        <f t="shared" si="49"/>
        <v/>
      </c>
      <c r="P2983" s="5" t="str">
        <f>IF(M2983="","",$C$2*(1-L2983)*907.2/0.621371*N2983*[1]Transportation!$M$40)</f>
        <v/>
      </c>
      <c r="Q2983" s="5" t="str">
        <f>IF(L2983="","",IF([1]Inputs_Outputs!$B$5="Herbaceous",(LCA!$E$29*'[1]LOCH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3" s="5" t="str">
        <f>IF(M2983="","",$E$2*1000*'[1]LOCH Calc COE Calc'!$C$44)</f>
        <v/>
      </c>
      <c r="S2983" s="6" t="str">
        <f>IF(N2983="","",SUM(O2983:R2983)/('[1]LOCH Calc COE Calc'!$C$28))</f>
        <v/>
      </c>
      <c r="T2983" t="str">
        <f>IF(L2983="","",O2983/'[1]LOCH Calc COE Calc'!$C$28)</f>
        <v/>
      </c>
      <c r="U2983" t="str">
        <f>IF(L2983="","",P2983/'[1]LOCH Calc COE Calc'!$C$28)</f>
        <v/>
      </c>
      <c r="V2983" t="str">
        <f>IF(L2983="","",Q2983/'[1]LOCH Calc COE Calc'!$C$28)</f>
        <v/>
      </c>
      <c r="W2983" t="str">
        <f>IF(L2983="","",R2983/'[1]LOCH Calc COE Calc'!$C$28)</f>
        <v/>
      </c>
    </row>
    <row r="2984" spans="12:23" x14ac:dyDescent="0.25">
      <c r="L2984" s="4" t="str">
        <f>IF('[1]All Data '!BE2989="","",'[1]All Data '!BE2989)</f>
        <v/>
      </c>
      <c r="M2984" t="str">
        <f>IF('[1]All Data '!BF2989="","",'[1]All Data '!BF2989)</f>
        <v/>
      </c>
      <c r="N2984" s="5" t="str">
        <f>IF('[1]All Data '!BB2989="","",'[1]All Data '!BC2989/'[1]All Data '!BH2989)</f>
        <v/>
      </c>
      <c r="O2984" s="5" t="str">
        <f t="shared" si="49"/>
        <v/>
      </c>
      <c r="P2984" s="5" t="str">
        <f>IF(M2984="","",$C$2*(1-L2984)*907.2/0.621371*N2984*[1]Transportation!$M$40)</f>
        <v/>
      </c>
      <c r="Q2984" s="5" t="str">
        <f>IF(L2984="","",IF([1]Inputs_Outputs!$B$5="Herbaceous",(LCA!$E$29*'[1]LOCH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4" s="5" t="str">
        <f>IF(M2984="","",$E$2*1000*'[1]LOCH Calc COE Calc'!$C$44)</f>
        <v/>
      </c>
      <c r="S2984" s="6" t="str">
        <f>IF(N2984="","",SUM(O2984:R2984)/('[1]LOCH Calc COE Calc'!$C$28))</f>
        <v/>
      </c>
      <c r="T2984" t="str">
        <f>IF(L2984="","",O2984/'[1]LOCH Calc COE Calc'!$C$28)</f>
        <v/>
      </c>
      <c r="U2984" t="str">
        <f>IF(L2984="","",P2984/'[1]LOCH Calc COE Calc'!$C$28)</f>
        <v/>
      </c>
      <c r="V2984" t="str">
        <f>IF(L2984="","",Q2984/'[1]LOCH Calc COE Calc'!$C$28)</f>
        <v/>
      </c>
      <c r="W2984" t="str">
        <f>IF(L2984="","",R2984/'[1]LOCH Calc COE Calc'!$C$28)</f>
        <v/>
      </c>
    </row>
    <row r="2985" spans="12:23" x14ac:dyDescent="0.25">
      <c r="L2985" s="4" t="str">
        <f>IF('[1]All Data '!BE2990="","",'[1]All Data '!BE2990)</f>
        <v/>
      </c>
      <c r="M2985" t="str">
        <f>IF('[1]All Data '!BF2990="","",'[1]All Data '!BF2990)</f>
        <v/>
      </c>
      <c r="N2985" s="5" t="str">
        <f>IF('[1]All Data '!BB2990="","",'[1]All Data '!BC2990/'[1]All Data '!BH2990)</f>
        <v/>
      </c>
      <c r="O2985" s="5" t="str">
        <f t="shared" si="49"/>
        <v/>
      </c>
      <c r="P2985" s="5" t="str">
        <f>IF(M2985="","",$C$2*(1-L2985)*907.2/0.621371*N2985*[1]Transportation!$M$40)</f>
        <v/>
      </c>
      <c r="Q2985" s="5" t="str">
        <f>IF(L2985="","",IF([1]Inputs_Outputs!$B$5="Herbaceous",(LCA!$E$29*'[1]LOCH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5" s="5" t="str">
        <f>IF(M2985="","",$E$2*1000*'[1]LOCH Calc COE Calc'!$C$44)</f>
        <v/>
      </c>
      <c r="S2985" s="6" t="str">
        <f>IF(N2985="","",SUM(O2985:R2985)/('[1]LOCH Calc COE Calc'!$C$28))</f>
        <v/>
      </c>
      <c r="T2985" t="str">
        <f>IF(L2985="","",O2985/'[1]LOCH Calc COE Calc'!$C$28)</f>
        <v/>
      </c>
      <c r="U2985" t="str">
        <f>IF(L2985="","",P2985/'[1]LOCH Calc COE Calc'!$C$28)</f>
        <v/>
      </c>
      <c r="V2985" t="str">
        <f>IF(L2985="","",Q2985/'[1]LOCH Calc COE Calc'!$C$28)</f>
        <v/>
      </c>
      <c r="W2985" t="str">
        <f>IF(L2985="","",R2985/'[1]LOCH Calc COE Calc'!$C$28)</f>
        <v/>
      </c>
    </row>
    <row r="2986" spans="12:23" x14ac:dyDescent="0.25">
      <c r="L2986" s="4" t="str">
        <f>IF('[1]All Data '!BE2991="","",'[1]All Data '!BE2991)</f>
        <v/>
      </c>
      <c r="M2986" t="str">
        <f>IF('[1]All Data '!BF2991="","",'[1]All Data '!BF2991)</f>
        <v/>
      </c>
      <c r="N2986" s="5" t="str">
        <f>IF('[1]All Data '!BB2991="","",'[1]All Data '!BC2991/'[1]All Data '!BH2991)</f>
        <v/>
      </c>
      <c r="O2986" s="5" t="str">
        <f t="shared" si="49"/>
        <v/>
      </c>
      <c r="P2986" s="5" t="str">
        <f>IF(M2986="","",$C$2*(1-L2986)*907.2/0.621371*N2986*[1]Transportation!$M$40)</f>
        <v/>
      </c>
      <c r="Q2986" s="5" t="str">
        <f>IF(L2986="","",IF([1]Inputs_Outputs!$B$5="Herbaceous",(LCA!$E$29*'[1]LOCH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6" s="5" t="str">
        <f>IF(M2986="","",$E$2*1000*'[1]LOCH Calc COE Calc'!$C$44)</f>
        <v/>
      </c>
      <c r="S2986" s="6" t="str">
        <f>IF(N2986="","",SUM(O2986:R2986)/('[1]LOCH Calc COE Calc'!$C$28))</f>
        <v/>
      </c>
      <c r="T2986" t="str">
        <f>IF(L2986="","",O2986/'[1]LOCH Calc COE Calc'!$C$28)</f>
        <v/>
      </c>
      <c r="U2986" t="str">
        <f>IF(L2986="","",P2986/'[1]LOCH Calc COE Calc'!$C$28)</f>
        <v/>
      </c>
      <c r="V2986" t="str">
        <f>IF(L2986="","",Q2986/'[1]LOCH Calc COE Calc'!$C$28)</f>
        <v/>
      </c>
      <c r="W2986" t="str">
        <f>IF(L2986="","",R2986/'[1]LOCH Calc COE Calc'!$C$28)</f>
        <v/>
      </c>
    </row>
    <row r="2987" spans="12:23" x14ac:dyDescent="0.25">
      <c r="L2987" s="4" t="str">
        <f>IF('[1]All Data '!BE2992="","",'[1]All Data '!BE2992)</f>
        <v/>
      </c>
      <c r="M2987" t="str">
        <f>IF('[1]All Data '!BF2992="","",'[1]All Data '!BF2992)</f>
        <v/>
      </c>
      <c r="N2987" s="5" t="str">
        <f>IF('[1]All Data '!BB2992="","",'[1]All Data '!BC2992/'[1]All Data '!BH2992)</f>
        <v/>
      </c>
      <c r="O2987" s="5" t="str">
        <f t="shared" si="49"/>
        <v/>
      </c>
      <c r="P2987" s="5" t="str">
        <f>IF(M2987="","",$C$2*(1-L2987)*907.2/0.621371*N2987*[1]Transportation!$M$40)</f>
        <v/>
      </c>
      <c r="Q2987" s="5" t="str">
        <f>IF(L2987="","",IF([1]Inputs_Outputs!$B$5="Herbaceous",(LCA!$E$29*'[1]LOCH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7" s="5" t="str">
        <f>IF(M2987="","",$E$2*1000*'[1]LOCH Calc COE Calc'!$C$44)</f>
        <v/>
      </c>
      <c r="S2987" s="6" t="str">
        <f>IF(N2987="","",SUM(O2987:R2987)/('[1]LOCH Calc COE Calc'!$C$28))</f>
        <v/>
      </c>
      <c r="T2987" t="str">
        <f>IF(L2987="","",O2987/'[1]LOCH Calc COE Calc'!$C$28)</f>
        <v/>
      </c>
      <c r="U2987" t="str">
        <f>IF(L2987="","",P2987/'[1]LOCH Calc COE Calc'!$C$28)</f>
        <v/>
      </c>
      <c r="V2987" t="str">
        <f>IF(L2987="","",Q2987/'[1]LOCH Calc COE Calc'!$C$28)</f>
        <v/>
      </c>
      <c r="W2987" t="str">
        <f>IF(L2987="","",R2987/'[1]LOCH Calc COE Calc'!$C$28)</f>
        <v/>
      </c>
    </row>
    <row r="2988" spans="12:23" x14ac:dyDescent="0.25">
      <c r="L2988" s="4" t="str">
        <f>IF('[1]All Data '!BE2993="","",'[1]All Data '!BE2993)</f>
        <v/>
      </c>
      <c r="M2988" t="str">
        <f>IF('[1]All Data '!BF2993="","",'[1]All Data '!BF2993)</f>
        <v/>
      </c>
      <c r="N2988" s="5" t="str">
        <f>IF('[1]All Data '!BB2993="","",'[1]All Data '!BC2993/'[1]All Data '!BH2993)</f>
        <v/>
      </c>
      <c r="O2988" s="5" t="str">
        <f t="shared" si="49"/>
        <v/>
      </c>
      <c r="P2988" s="5" t="str">
        <f>IF(M2988="","",$C$2*(1-L2988)*907.2/0.621371*N2988*[1]Transportation!$M$40)</f>
        <v/>
      </c>
      <c r="Q2988" s="5" t="str">
        <f>IF(L2988="","",IF([1]Inputs_Outputs!$B$5="Herbaceous",(LCA!$E$29*'[1]LOCH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8" s="5" t="str">
        <f>IF(M2988="","",$E$2*1000*'[1]LOCH Calc COE Calc'!$C$44)</f>
        <v/>
      </c>
      <c r="S2988" s="6" t="str">
        <f>IF(N2988="","",SUM(O2988:R2988)/('[1]LOCH Calc COE Calc'!$C$28))</f>
        <v/>
      </c>
      <c r="T2988" t="str">
        <f>IF(L2988="","",O2988/'[1]LOCH Calc COE Calc'!$C$28)</f>
        <v/>
      </c>
      <c r="U2988" t="str">
        <f>IF(L2988="","",P2988/'[1]LOCH Calc COE Calc'!$C$28)</f>
        <v/>
      </c>
      <c r="V2988" t="str">
        <f>IF(L2988="","",Q2988/'[1]LOCH Calc COE Calc'!$C$28)</f>
        <v/>
      </c>
      <c r="W2988" t="str">
        <f>IF(L2988="","",R2988/'[1]LOCH Calc COE Calc'!$C$28)</f>
        <v/>
      </c>
    </row>
    <row r="2989" spans="12:23" x14ac:dyDescent="0.25">
      <c r="L2989" s="4" t="str">
        <f>IF('[1]All Data '!BE2994="","",'[1]All Data '!BE2994)</f>
        <v/>
      </c>
      <c r="M2989" t="str">
        <f>IF('[1]All Data '!BF2994="","",'[1]All Data '!BF2994)</f>
        <v/>
      </c>
      <c r="N2989" s="5" t="str">
        <f>IF('[1]All Data '!BB2994="","",'[1]All Data '!BC2994/'[1]All Data '!BH2994)</f>
        <v/>
      </c>
      <c r="O2989" s="5" t="str">
        <f t="shared" si="49"/>
        <v/>
      </c>
      <c r="P2989" s="5" t="str">
        <f>IF(M2989="","",$C$2*(1-L2989)*907.2/0.621371*N2989*[1]Transportation!$M$40)</f>
        <v/>
      </c>
      <c r="Q2989" s="5" t="str">
        <f>IF(L2989="","",IF([1]Inputs_Outputs!$B$5="Herbaceous",(LCA!$E$29*'[1]LOCH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89" s="5" t="str">
        <f>IF(M2989="","",$E$2*1000*'[1]LOCH Calc COE Calc'!$C$44)</f>
        <v/>
      </c>
      <c r="S2989" s="6" t="str">
        <f>IF(N2989="","",SUM(O2989:R2989)/('[1]LOCH Calc COE Calc'!$C$28))</f>
        <v/>
      </c>
      <c r="T2989" t="str">
        <f>IF(L2989="","",O2989/'[1]LOCH Calc COE Calc'!$C$28)</f>
        <v/>
      </c>
      <c r="U2989" t="str">
        <f>IF(L2989="","",P2989/'[1]LOCH Calc COE Calc'!$C$28)</f>
        <v/>
      </c>
      <c r="V2989" t="str">
        <f>IF(L2989="","",Q2989/'[1]LOCH Calc COE Calc'!$C$28)</f>
        <v/>
      </c>
      <c r="W2989" t="str">
        <f>IF(L2989="","",R2989/'[1]LOCH Calc COE Calc'!$C$28)</f>
        <v/>
      </c>
    </row>
    <row r="2990" spans="12:23" x14ac:dyDescent="0.25">
      <c r="L2990" s="4" t="str">
        <f>IF('[1]All Data '!BE2995="","",'[1]All Data '!BE2995)</f>
        <v/>
      </c>
      <c r="M2990" t="str">
        <f>IF('[1]All Data '!BF2995="","",'[1]All Data '!BF2995)</f>
        <v/>
      </c>
      <c r="N2990" s="5" t="str">
        <f>IF('[1]All Data '!BB2995="","",'[1]All Data '!BC2995/'[1]All Data '!BH2995)</f>
        <v/>
      </c>
      <c r="O2990" s="5" t="str">
        <f t="shared" si="49"/>
        <v/>
      </c>
      <c r="P2990" s="5" t="str">
        <f>IF(M2990="","",$C$2*(1-L2990)*907.2/0.621371*N2990*[1]Transportation!$M$40)</f>
        <v/>
      </c>
      <c r="Q2990" s="5" t="str">
        <f>IF(L2990="","",IF([1]Inputs_Outputs!$B$5="Herbaceous",(LCA!$E$29*'[1]LOCH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0" s="5" t="str">
        <f>IF(M2990="","",$E$2*1000*'[1]LOCH Calc COE Calc'!$C$44)</f>
        <v/>
      </c>
      <c r="S2990" s="6" t="str">
        <f>IF(N2990="","",SUM(O2990:R2990)/('[1]LOCH Calc COE Calc'!$C$28))</f>
        <v/>
      </c>
      <c r="T2990" t="str">
        <f>IF(L2990="","",O2990/'[1]LOCH Calc COE Calc'!$C$28)</f>
        <v/>
      </c>
      <c r="U2990" t="str">
        <f>IF(L2990="","",P2990/'[1]LOCH Calc COE Calc'!$C$28)</f>
        <v/>
      </c>
      <c r="V2990" t="str">
        <f>IF(L2990="","",Q2990/'[1]LOCH Calc COE Calc'!$C$28)</f>
        <v/>
      </c>
      <c r="W2990" t="str">
        <f>IF(L2990="","",R2990/'[1]LOCH Calc COE Calc'!$C$28)</f>
        <v/>
      </c>
    </row>
    <row r="2991" spans="12:23" x14ac:dyDescent="0.25">
      <c r="L2991" s="4" t="str">
        <f>IF('[1]All Data '!BE2996="","",'[1]All Data '!BE2996)</f>
        <v/>
      </c>
      <c r="M2991" t="str">
        <f>IF('[1]All Data '!BF2996="","",'[1]All Data '!BF2996)</f>
        <v/>
      </c>
      <c r="N2991" s="5" t="str">
        <f>IF('[1]All Data '!BB2996="","",'[1]All Data '!BC2996/'[1]All Data '!BH2996)</f>
        <v/>
      </c>
      <c r="O2991" s="5" t="str">
        <f t="shared" si="49"/>
        <v/>
      </c>
      <c r="P2991" s="5" t="str">
        <f>IF(M2991="","",$C$2*(1-L2991)*907.2/0.621371*N2991*[1]Transportation!$M$40)</f>
        <v/>
      </c>
      <c r="Q2991" s="5" t="str">
        <f>IF(L2991="","",IF([1]Inputs_Outputs!$B$5="Herbaceous",(LCA!$E$29*'[1]LOCH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1" s="5" t="str">
        <f>IF(M2991="","",$E$2*1000*'[1]LOCH Calc COE Calc'!$C$44)</f>
        <v/>
      </c>
      <c r="S2991" s="6" t="str">
        <f>IF(N2991="","",SUM(O2991:R2991)/('[1]LOCH Calc COE Calc'!$C$28))</f>
        <v/>
      </c>
      <c r="T2991" t="str">
        <f>IF(L2991="","",O2991/'[1]LOCH Calc COE Calc'!$C$28)</f>
        <v/>
      </c>
      <c r="U2991" t="str">
        <f>IF(L2991="","",P2991/'[1]LOCH Calc COE Calc'!$C$28)</f>
        <v/>
      </c>
      <c r="V2991" t="str">
        <f>IF(L2991="","",Q2991/'[1]LOCH Calc COE Calc'!$C$28)</f>
        <v/>
      </c>
      <c r="W2991" t="str">
        <f>IF(L2991="","",R2991/'[1]LOCH Calc COE Calc'!$C$28)</f>
        <v/>
      </c>
    </row>
    <row r="2992" spans="12:23" x14ac:dyDescent="0.25">
      <c r="L2992" s="4" t="str">
        <f>IF('[1]All Data '!BE2997="","",'[1]All Data '!BE2997)</f>
        <v/>
      </c>
      <c r="M2992" t="str">
        <f>IF('[1]All Data '!BF2997="","",'[1]All Data '!BF2997)</f>
        <v/>
      </c>
      <c r="N2992" s="5" t="str">
        <f>IF('[1]All Data '!BB2997="","",'[1]All Data '!BC2997/'[1]All Data '!BH2997)</f>
        <v/>
      </c>
      <c r="O2992" s="5" t="str">
        <f t="shared" si="49"/>
        <v/>
      </c>
      <c r="P2992" s="5" t="str">
        <f>IF(M2992="","",$C$2*(1-L2992)*907.2/0.621371*N2992*[1]Transportation!$M$40)</f>
        <v/>
      </c>
      <c r="Q2992" s="5" t="str">
        <f>IF(L2992="","",IF([1]Inputs_Outputs!$B$5="Herbaceous",(LCA!$E$29*'[1]LOCH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2" s="5" t="str">
        <f>IF(M2992="","",$E$2*1000*'[1]LOCH Calc COE Calc'!$C$44)</f>
        <v/>
      </c>
      <c r="S2992" s="6" t="str">
        <f>IF(N2992="","",SUM(O2992:R2992)/('[1]LOCH Calc COE Calc'!$C$28))</f>
        <v/>
      </c>
      <c r="T2992" t="str">
        <f>IF(L2992="","",O2992/'[1]LOCH Calc COE Calc'!$C$28)</f>
        <v/>
      </c>
      <c r="U2992" t="str">
        <f>IF(L2992="","",P2992/'[1]LOCH Calc COE Calc'!$C$28)</f>
        <v/>
      </c>
      <c r="V2992" t="str">
        <f>IF(L2992="","",Q2992/'[1]LOCH Calc COE Calc'!$C$28)</f>
        <v/>
      </c>
      <c r="W2992" t="str">
        <f>IF(L2992="","",R2992/'[1]LOCH Calc COE Calc'!$C$28)</f>
        <v/>
      </c>
    </row>
    <row r="2993" spans="12:23" x14ac:dyDescent="0.25">
      <c r="L2993" s="4" t="str">
        <f>IF('[1]All Data '!BE2998="","",'[1]All Data '!BE2998)</f>
        <v/>
      </c>
      <c r="M2993" t="str">
        <f>IF('[1]All Data '!BF2998="","",'[1]All Data '!BF2998)</f>
        <v/>
      </c>
      <c r="N2993" s="5" t="str">
        <f>IF('[1]All Data '!BB2998="","",'[1]All Data '!BC2998/'[1]All Data '!BH2998)</f>
        <v/>
      </c>
      <c r="O2993" s="5" t="str">
        <f t="shared" si="49"/>
        <v/>
      </c>
      <c r="P2993" s="5" t="str">
        <f>IF(M2993="","",$C$2*(1-L2993)*907.2/0.621371*N2993*[1]Transportation!$M$40)</f>
        <v/>
      </c>
      <c r="Q2993" s="5" t="str">
        <f>IF(L2993="","",IF([1]Inputs_Outputs!$B$5="Herbaceous",(LCA!$E$29*'[1]LOCH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3" s="5" t="str">
        <f>IF(M2993="","",$E$2*1000*'[1]LOCH Calc COE Calc'!$C$44)</f>
        <v/>
      </c>
      <c r="S2993" s="6" t="str">
        <f>IF(N2993="","",SUM(O2993:R2993)/('[1]LOCH Calc COE Calc'!$C$28))</f>
        <v/>
      </c>
      <c r="T2993" t="str">
        <f>IF(L2993="","",O2993/'[1]LOCH Calc COE Calc'!$C$28)</f>
        <v/>
      </c>
      <c r="U2993" t="str">
        <f>IF(L2993="","",P2993/'[1]LOCH Calc COE Calc'!$C$28)</f>
        <v/>
      </c>
      <c r="V2993" t="str">
        <f>IF(L2993="","",Q2993/'[1]LOCH Calc COE Calc'!$C$28)</f>
        <v/>
      </c>
      <c r="W2993" t="str">
        <f>IF(L2993="","",R2993/'[1]LOCH Calc COE Calc'!$C$28)</f>
        <v/>
      </c>
    </row>
    <row r="2994" spans="12:23" x14ac:dyDescent="0.25">
      <c r="L2994" s="4" t="str">
        <f>IF('[1]All Data '!BE2999="","",'[1]All Data '!BE2999)</f>
        <v/>
      </c>
      <c r="M2994" t="str">
        <f>IF('[1]All Data '!BF2999="","",'[1]All Data '!BF2999)</f>
        <v/>
      </c>
      <c r="N2994" s="5" t="str">
        <f>IF('[1]All Data '!BB2999="","",'[1]All Data '!BC2999/'[1]All Data '!BH2999)</f>
        <v/>
      </c>
      <c r="O2994" s="5" t="str">
        <f t="shared" si="49"/>
        <v/>
      </c>
      <c r="P2994" s="5" t="str">
        <f>IF(M2994="","",$C$2*(1-L2994)*907.2/0.621371*N2994*[1]Transportation!$M$40)</f>
        <v/>
      </c>
      <c r="Q2994" s="5" t="str">
        <f>IF(L2994="","",IF([1]Inputs_Outputs!$B$5="Herbaceous",(LCA!$E$29*'[1]LOCH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4" s="5" t="str">
        <f>IF(M2994="","",$E$2*1000*'[1]LOCH Calc COE Calc'!$C$44)</f>
        <v/>
      </c>
      <c r="S2994" s="6" t="str">
        <f>IF(N2994="","",SUM(O2994:R2994)/('[1]LOCH Calc COE Calc'!$C$28))</f>
        <v/>
      </c>
      <c r="T2994" t="str">
        <f>IF(L2994="","",O2994/'[1]LOCH Calc COE Calc'!$C$28)</f>
        <v/>
      </c>
      <c r="U2994" t="str">
        <f>IF(L2994="","",P2994/'[1]LOCH Calc COE Calc'!$C$28)</f>
        <v/>
      </c>
      <c r="V2994" t="str">
        <f>IF(L2994="","",Q2994/'[1]LOCH Calc COE Calc'!$C$28)</f>
        <v/>
      </c>
      <c r="W2994" t="str">
        <f>IF(L2994="","",R2994/'[1]LOCH Calc COE Calc'!$C$28)</f>
        <v/>
      </c>
    </row>
    <row r="2995" spans="12:23" x14ac:dyDescent="0.25">
      <c r="L2995" s="4" t="str">
        <f>IF('[1]All Data '!BE3000="","",'[1]All Data '!BE3000)</f>
        <v/>
      </c>
      <c r="M2995" t="str">
        <f>IF('[1]All Data '!BF3000="","",'[1]All Data '!BF3000)</f>
        <v/>
      </c>
      <c r="N2995" s="5" t="str">
        <f>IF('[1]All Data '!BB3000="","",'[1]All Data '!BC3000/'[1]All Data '!BH3000)</f>
        <v/>
      </c>
      <c r="O2995" s="5" t="str">
        <f t="shared" si="49"/>
        <v/>
      </c>
      <c r="P2995" s="5" t="str">
        <f>IF(M2995="","",$C$2*(1-L2995)*907.2/0.621371*N2995*[1]Transportation!$M$40)</f>
        <v/>
      </c>
      <c r="Q2995" s="5" t="str">
        <f>IF(L2995="","",IF([1]Inputs_Outputs!$B$5="Herbaceous",(LCA!$E$29*'[1]LOCH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5" s="5" t="str">
        <f>IF(M2995="","",$E$2*1000*'[1]LOCH Calc COE Calc'!$C$44)</f>
        <v/>
      </c>
      <c r="S2995" s="6" t="str">
        <f>IF(N2995="","",SUM(O2995:R2995)/('[1]LOCH Calc COE Calc'!$C$28))</f>
        <v/>
      </c>
      <c r="T2995" t="str">
        <f>IF(L2995="","",O2995/'[1]LOCH Calc COE Calc'!$C$28)</f>
        <v/>
      </c>
      <c r="U2995" t="str">
        <f>IF(L2995="","",P2995/'[1]LOCH Calc COE Calc'!$C$28)</f>
        <v/>
      </c>
      <c r="V2995" t="str">
        <f>IF(L2995="","",Q2995/'[1]LOCH Calc COE Calc'!$C$28)</f>
        <v/>
      </c>
      <c r="W2995" t="str">
        <f>IF(L2995="","",R2995/'[1]LOCH Calc COE Calc'!$C$28)</f>
        <v/>
      </c>
    </row>
    <row r="2996" spans="12:23" x14ac:dyDescent="0.25">
      <c r="L2996" s="4" t="str">
        <f>IF('[1]All Data '!BE3001="","",'[1]All Data '!BE3001)</f>
        <v/>
      </c>
      <c r="M2996" t="str">
        <f>IF('[1]All Data '!BF3001="","",'[1]All Data '!BF3001)</f>
        <v/>
      </c>
      <c r="N2996" s="5" t="str">
        <f>IF('[1]All Data '!BB3001="","",'[1]All Data '!BC3001/'[1]All Data '!BH3001)</f>
        <v/>
      </c>
      <c r="O2996" s="5" t="str">
        <f t="shared" si="49"/>
        <v/>
      </c>
      <c r="P2996" s="5" t="str">
        <f>IF(M2996="","",$C$2*(1-L2996)*907.2/0.621371*N2996*[1]Transportation!$M$40)</f>
        <v/>
      </c>
      <c r="Q2996" s="5" t="str">
        <f>IF(L2996="","",IF([1]Inputs_Outputs!$B$5="Herbaceous",(LCA!$E$29*'[1]LOCH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6" s="5" t="str">
        <f>IF(M2996="","",$E$2*1000*'[1]LOCH Calc COE Calc'!$C$44)</f>
        <v/>
      </c>
      <c r="S2996" s="6" t="str">
        <f>IF(N2996="","",SUM(O2996:R2996)/('[1]LOCH Calc COE Calc'!$C$28))</f>
        <v/>
      </c>
      <c r="T2996" t="str">
        <f>IF(L2996="","",O2996/'[1]LOCH Calc COE Calc'!$C$28)</f>
        <v/>
      </c>
      <c r="U2996" t="str">
        <f>IF(L2996="","",P2996/'[1]LOCH Calc COE Calc'!$C$28)</f>
        <v/>
      </c>
      <c r="V2996" t="str">
        <f>IF(L2996="","",Q2996/'[1]LOCH Calc COE Calc'!$C$28)</f>
        <v/>
      </c>
      <c r="W2996" t="str">
        <f>IF(L2996="","",R2996/'[1]LOCH Calc COE Calc'!$C$28)</f>
        <v/>
      </c>
    </row>
    <row r="2997" spans="12:23" x14ac:dyDescent="0.25">
      <c r="L2997" s="4" t="str">
        <f>IF('[1]All Data '!BE3002="","",'[1]All Data '!BE3002)</f>
        <v/>
      </c>
      <c r="M2997" t="str">
        <f>IF('[1]All Data '!BF3002="","",'[1]All Data '!BF3002)</f>
        <v/>
      </c>
      <c r="N2997" s="5" t="str">
        <f>IF('[1]All Data '!BB3002="","",'[1]All Data '!BC3002/'[1]All Data '!BH3002)</f>
        <v/>
      </c>
      <c r="O2997" s="5" t="str">
        <f t="shared" si="49"/>
        <v/>
      </c>
      <c r="P2997" s="5" t="str">
        <f>IF(M2997="","",$C$2*(1-L2997)*907.2/0.621371*N2997*[1]Transportation!$M$40)</f>
        <v/>
      </c>
      <c r="Q2997" s="5" t="str">
        <f>IF(L2997="","",IF([1]Inputs_Outputs!$B$5="Herbaceous",(LCA!$E$29*'[1]LOCH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7" s="5" t="str">
        <f>IF(M2997="","",$E$2*1000*'[1]LOCH Calc COE Calc'!$C$44)</f>
        <v/>
      </c>
      <c r="S2997" s="6" t="str">
        <f>IF(N2997="","",SUM(O2997:R2997)/('[1]LOCH Calc COE Calc'!$C$28))</f>
        <v/>
      </c>
      <c r="T2997" t="str">
        <f>IF(L2997="","",O2997/'[1]LOCH Calc COE Calc'!$C$28)</f>
        <v/>
      </c>
      <c r="U2997" t="str">
        <f>IF(L2997="","",P2997/'[1]LOCH Calc COE Calc'!$C$28)</f>
        <v/>
      </c>
      <c r="V2997" t="str">
        <f>IF(L2997="","",Q2997/'[1]LOCH Calc COE Calc'!$C$28)</f>
        <v/>
      </c>
      <c r="W2997" t="str">
        <f>IF(L2997="","",R2997/'[1]LOCH Calc COE Calc'!$C$28)</f>
        <v/>
      </c>
    </row>
    <row r="2998" spans="12:23" x14ac:dyDescent="0.25">
      <c r="L2998" s="4" t="str">
        <f>IF('[1]All Data '!BE3003="","",'[1]All Data '!BE3003)</f>
        <v/>
      </c>
      <c r="M2998" t="str">
        <f>IF('[1]All Data '!BF3003="","",'[1]All Data '!BF3003)</f>
        <v/>
      </c>
      <c r="N2998" s="5" t="str">
        <f>IF('[1]All Data '!BB3003="","",'[1]All Data '!BC3003/'[1]All Data '!BH3003)</f>
        <v/>
      </c>
      <c r="O2998" s="5" t="str">
        <f t="shared" si="49"/>
        <v/>
      </c>
      <c r="P2998" s="5" t="str">
        <f>IF(M2998="","",$C$2*(1-L2998)*907.2/0.621371*N2998*[1]Transportation!$M$40)</f>
        <v/>
      </c>
      <c r="Q2998" s="5" t="str">
        <f>IF(L2998="","",IF([1]Inputs_Outputs!$B$5="Herbaceous",(LCA!$E$29*'[1]LOCH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8" s="5" t="str">
        <f>IF(M2998="","",$E$2*1000*'[1]LOCH Calc COE Calc'!$C$44)</f>
        <v/>
      </c>
      <c r="S2998" s="6" t="str">
        <f>IF(N2998="","",SUM(O2998:R2998)/('[1]LOCH Calc COE Calc'!$C$28))</f>
        <v/>
      </c>
      <c r="T2998" t="str">
        <f>IF(L2998="","",O2998/'[1]LOCH Calc COE Calc'!$C$28)</f>
        <v/>
      </c>
      <c r="U2998" t="str">
        <f>IF(L2998="","",P2998/'[1]LOCH Calc COE Calc'!$C$28)</f>
        <v/>
      </c>
      <c r="V2998" t="str">
        <f>IF(L2998="","",Q2998/'[1]LOCH Calc COE Calc'!$C$28)</f>
        <v/>
      </c>
      <c r="W2998" t="str">
        <f>IF(L2998="","",R2998/'[1]LOCH Calc COE Calc'!$C$28)</f>
        <v/>
      </c>
    </row>
    <row r="2999" spans="12:23" x14ac:dyDescent="0.25">
      <c r="L2999" s="4" t="str">
        <f>IF('[1]All Data '!BE3004="","",'[1]All Data '!BE3004)</f>
        <v/>
      </c>
      <c r="M2999" t="str">
        <f>IF('[1]All Data '!BF3004="","",'[1]All Data '!BF3004)</f>
        <v/>
      </c>
      <c r="N2999" s="5" t="str">
        <f>IF('[1]All Data '!BB3004="","",'[1]All Data '!BC3004/'[1]All Data '!BH3004)</f>
        <v/>
      </c>
      <c r="O2999" s="5" t="str">
        <f t="shared" si="49"/>
        <v/>
      </c>
      <c r="P2999" s="5" t="str">
        <f>IF(M2999="","",$C$2*(1-L2999)*907.2/0.621371*N2999*[1]Transportation!$M$40)</f>
        <v/>
      </c>
      <c r="Q2999" s="5" t="str">
        <f>IF(L2999="","",IF([1]Inputs_Outputs!$B$5="Herbaceous",(LCA!$E$29*'[1]LOCH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2999" s="5" t="str">
        <f>IF(M2999="","",$E$2*1000*'[1]LOCH Calc COE Calc'!$C$44)</f>
        <v/>
      </c>
      <c r="S2999" s="6" t="str">
        <f>IF(N2999="","",SUM(O2999:R2999)/('[1]LOCH Calc COE Calc'!$C$28))</f>
        <v/>
      </c>
      <c r="T2999" t="str">
        <f>IF(L2999="","",O2999/'[1]LOCH Calc COE Calc'!$C$28)</f>
        <v/>
      </c>
      <c r="U2999" t="str">
        <f>IF(L2999="","",P2999/'[1]LOCH Calc COE Calc'!$C$28)</f>
        <v/>
      </c>
      <c r="V2999" t="str">
        <f>IF(L2999="","",Q2999/'[1]LOCH Calc COE Calc'!$C$28)</f>
        <v/>
      </c>
      <c r="W2999" t="str">
        <f>IF(L2999="","",R2999/'[1]LOCH Calc COE Calc'!$C$28)</f>
        <v/>
      </c>
    </row>
    <row r="3000" spans="12:23" x14ac:dyDescent="0.25">
      <c r="L3000" s="4" t="str">
        <f>IF('[1]All Data '!BE3005="","",'[1]All Data '!BE3005)</f>
        <v/>
      </c>
      <c r="M3000" t="str">
        <f>IF('[1]All Data '!BF3005="","",'[1]All Data '!BF3005)</f>
        <v/>
      </c>
      <c r="N3000" s="5" t="str">
        <f>IF('[1]All Data '!BB3005="","",'[1]All Data '!BC3005/'[1]All Data '!BH3005)</f>
        <v/>
      </c>
      <c r="O3000" s="5" t="str">
        <f t="shared" si="49"/>
        <v/>
      </c>
      <c r="P3000" s="5" t="str">
        <f>IF(M3000="","",$C$2*(1-L3000)*907.2/0.621371*N3000*[1]Transportation!$M$40)</f>
        <v/>
      </c>
      <c r="Q3000" s="5" t="str">
        <f>IF(L3000="","",IF([1]Inputs_Outputs!$B$5="Herbaceous",(LCA!$E$29*'[1]LOCH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0" s="5" t="str">
        <f>IF(M3000="","",$E$2*1000*'[1]LOCH Calc COE Calc'!$C$44)</f>
        <v/>
      </c>
      <c r="S3000" s="6" t="str">
        <f>IF(N3000="","",SUM(O3000:R3000)/('[1]LOCH Calc COE Calc'!$C$28))</f>
        <v/>
      </c>
      <c r="T3000" t="str">
        <f>IF(L3000="","",O3000/'[1]LOCH Calc COE Calc'!$C$28)</f>
        <v/>
      </c>
      <c r="U3000" t="str">
        <f>IF(L3000="","",P3000/'[1]LOCH Calc COE Calc'!$C$28)</f>
        <v/>
      </c>
      <c r="V3000" t="str">
        <f>IF(L3000="","",Q3000/'[1]LOCH Calc COE Calc'!$C$28)</f>
        <v/>
      </c>
      <c r="W3000" t="str">
        <f>IF(L3000="","",R3000/'[1]LOCH Calc COE Calc'!$C$28)</f>
        <v/>
      </c>
    </row>
    <row r="3001" spans="12:23" x14ac:dyDescent="0.25">
      <c r="L3001" s="4" t="str">
        <f>IF('[1]All Data '!BE3006="","",'[1]All Data '!BE3006)</f>
        <v/>
      </c>
      <c r="M3001" t="str">
        <f>IF('[1]All Data '!BF3006="","",'[1]All Data '!BF3006)</f>
        <v/>
      </c>
      <c r="N3001" s="5" t="str">
        <f>IF('[1]All Data '!BB3006="","",'[1]All Data '!BC3006/'[1]All Data '!BH3006)</f>
        <v/>
      </c>
      <c r="O3001" s="5" t="str">
        <f t="shared" si="49"/>
        <v/>
      </c>
      <c r="P3001" s="5" t="str">
        <f>IF(M3001="","",$C$2*(1-L3001)*907.2/0.621371*N3001*[1]Transportation!$M$40)</f>
        <v/>
      </c>
      <c r="Q3001" s="5" t="str">
        <f>IF(L3001="","",IF([1]Inputs_Outputs!$B$5="Herbaceous",(LCA!$E$29*'[1]LOCH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1" s="5" t="str">
        <f>IF(M3001="","",$E$2*1000*'[1]LOCH Calc COE Calc'!$C$44)</f>
        <v/>
      </c>
      <c r="S3001" s="6" t="str">
        <f>IF(N3001="","",SUM(O3001:R3001)/('[1]LOCH Calc COE Calc'!$C$28))</f>
        <v/>
      </c>
      <c r="T3001" t="str">
        <f>IF(L3001="","",O3001/'[1]LOCH Calc COE Calc'!$C$28)</f>
        <v/>
      </c>
      <c r="U3001" t="str">
        <f>IF(L3001="","",P3001/'[1]LOCH Calc COE Calc'!$C$28)</f>
        <v/>
      </c>
      <c r="V3001" t="str">
        <f>IF(L3001="","",Q3001/'[1]LOCH Calc COE Calc'!$C$28)</f>
        <v/>
      </c>
      <c r="W3001" t="str">
        <f>IF(L3001="","",R3001/'[1]LOCH Calc COE Calc'!$C$28)</f>
        <v/>
      </c>
    </row>
    <row r="3002" spans="12:23" x14ac:dyDescent="0.25">
      <c r="L3002" s="4" t="str">
        <f>IF('[1]All Data '!BE3007="","",'[1]All Data '!BE3007)</f>
        <v/>
      </c>
      <c r="M3002" t="str">
        <f>IF('[1]All Data '!BF3007="","",'[1]All Data '!BF3007)</f>
        <v/>
      </c>
      <c r="N3002" s="5" t="str">
        <f>IF('[1]All Data '!BB3007="","",'[1]All Data '!BC3007/'[1]All Data '!BH3007)</f>
        <v/>
      </c>
      <c r="O3002" s="5" t="str">
        <f t="shared" si="49"/>
        <v/>
      </c>
      <c r="P3002" s="5" t="str">
        <f>IF(M3002="","",$C$2*(1-L3002)*907.2/0.621371*N3002*[1]Transportation!$M$40)</f>
        <v/>
      </c>
      <c r="Q3002" s="5" t="str">
        <f>IF(L3002="","",IF([1]Inputs_Outputs!$B$5="Herbaceous",(LCA!$E$29*'[1]LOCH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2" s="5" t="str">
        <f>IF(M3002="","",$E$2*1000*'[1]LOCH Calc COE Calc'!$C$44)</f>
        <v/>
      </c>
      <c r="S3002" s="6" t="str">
        <f>IF(N3002="","",SUM(O3002:R3002)/('[1]LOCH Calc COE Calc'!$C$28))</f>
        <v/>
      </c>
      <c r="T3002" t="str">
        <f>IF(L3002="","",O3002/'[1]LOCH Calc COE Calc'!$C$28)</f>
        <v/>
      </c>
      <c r="U3002" t="str">
        <f>IF(L3002="","",P3002/'[1]LOCH Calc COE Calc'!$C$28)</f>
        <v/>
      </c>
      <c r="V3002" t="str">
        <f>IF(L3002="","",Q3002/'[1]LOCH Calc COE Calc'!$C$28)</f>
        <v/>
      </c>
      <c r="W3002" t="str">
        <f>IF(L3002="","",R3002/'[1]LOCH Calc COE Calc'!$C$28)</f>
        <v/>
      </c>
    </row>
    <row r="3003" spans="12:23" x14ac:dyDescent="0.25">
      <c r="L3003" s="4" t="str">
        <f>IF('[1]All Data '!BE3008="","",'[1]All Data '!BE3008)</f>
        <v/>
      </c>
      <c r="M3003" t="str">
        <f>IF('[1]All Data '!BF3008="","",'[1]All Data '!BF3008)</f>
        <v/>
      </c>
      <c r="N3003" s="5" t="str">
        <f>IF('[1]All Data '!BB3008="","",'[1]All Data '!BC3008/'[1]All Data '!BH3008)</f>
        <v/>
      </c>
      <c r="O3003" s="5" t="str">
        <f t="shared" si="49"/>
        <v/>
      </c>
      <c r="P3003" s="5" t="str">
        <f>IF(M3003="","",$C$2*(1-L3003)*907.2/0.621371*N3003*[1]Transportation!$M$40)</f>
        <v/>
      </c>
      <c r="Q3003" s="5" t="str">
        <f>IF(L3003="","",IF([1]Inputs_Outputs!$B$5="Herbaceous",(LCA!$E$29*'[1]LOCH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3" s="5" t="str">
        <f>IF(M3003="","",$E$2*1000*'[1]LOCH Calc COE Calc'!$C$44)</f>
        <v/>
      </c>
      <c r="S3003" s="6" t="str">
        <f>IF(N3003="","",SUM(O3003:R3003)/('[1]LOCH Calc COE Calc'!$C$28))</f>
        <v/>
      </c>
      <c r="T3003" t="str">
        <f>IF(L3003="","",O3003/'[1]LOCH Calc COE Calc'!$C$28)</f>
        <v/>
      </c>
      <c r="U3003" t="str">
        <f>IF(L3003="","",P3003/'[1]LOCH Calc COE Calc'!$C$28)</f>
        <v/>
      </c>
      <c r="V3003" t="str">
        <f>IF(L3003="","",Q3003/'[1]LOCH Calc COE Calc'!$C$28)</f>
        <v/>
      </c>
      <c r="W3003" t="str">
        <f>IF(L3003="","",R3003/'[1]LOCH Calc COE Calc'!$C$28)</f>
        <v/>
      </c>
    </row>
    <row r="3004" spans="12:23" x14ac:dyDescent="0.25">
      <c r="L3004" s="4" t="str">
        <f>IF('[1]All Data '!BE3009="","",'[1]All Data '!BE3009)</f>
        <v/>
      </c>
      <c r="M3004" t="str">
        <f>IF('[1]All Data '!BF3009="","",'[1]All Data '!BF3009)</f>
        <v/>
      </c>
      <c r="N3004" s="5" t="str">
        <f>IF('[1]All Data '!BB3009="","",'[1]All Data '!BC3009/'[1]All Data '!BH3009)</f>
        <v/>
      </c>
      <c r="O3004" s="5" t="str">
        <f t="shared" si="49"/>
        <v/>
      </c>
      <c r="P3004" s="5" t="str">
        <f>IF(M3004="","",$C$2*(1-L3004)*907.2/0.621371*N3004*[1]Transportation!$M$40)</f>
        <v/>
      </c>
      <c r="Q3004" s="5" t="str">
        <f>IF(L3004="","",IF([1]Inputs_Outputs!$B$5="Herbaceous",(LCA!$E$29*'[1]LOCH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4" s="5" t="str">
        <f>IF(M3004="","",$E$2*1000*'[1]LOCH Calc COE Calc'!$C$44)</f>
        <v/>
      </c>
      <c r="S3004" s="6" t="str">
        <f>IF(N3004="","",SUM(O3004:R3004)/('[1]LOCH Calc COE Calc'!$C$28))</f>
        <v/>
      </c>
      <c r="T3004" t="str">
        <f>IF(L3004="","",O3004/'[1]LOCH Calc COE Calc'!$C$28)</f>
        <v/>
      </c>
      <c r="U3004" t="str">
        <f>IF(L3004="","",P3004/'[1]LOCH Calc COE Calc'!$C$28)</f>
        <v/>
      </c>
      <c r="V3004" t="str">
        <f>IF(L3004="","",Q3004/'[1]LOCH Calc COE Calc'!$C$28)</f>
        <v/>
      </c>
      <c r="W3004" t="str">
        <f>IF(L3004="","",R3004/'[1]LOCH Calc COE Calc'!$C$28)</f>
        <v/>
      </c>
    </row>
    <row r="3005" spans="12:23" x14ac:dyDescent="0.25">
      <c r="L3005" s="4" t="str">
        <f>IF('[1]All Data '!BE3010="","",'[1]All Data '!BE3010)</f>
        <v/>
      </c>
      <c r="M3005" t="str">
        <f>IF('[1]All Data '!BF3010="","",'[1]All Data '!BF3010)</f>
        <v/>
      </c>
      <c r="N3005" s="5" t="str">
        <f>IF('[1]All Data '!BB3010="","",'[1]All Data '!BC3010/'[1]All Data '!BH3010)</f>
        <v/>
      </c>
      <c r="O3005" s="5" t="str">
        <f t="shared" si="49"/>
        <v/>
      </c>
      <c r="P3005" s="5" t="str">
        <f>IF(M3005="","",$C$2*(1-L3005)*907.2/0.621371*N3005*[1]Transportation!$M$40)</f>
        <v/>
      </c>
      <c r="Q3005" s="5" t="str">
        <f>IF(L3005="","",IF([1]Inputs_Outputs!$B$5="Herbaceous",(LCA!$E$29*'[1]LOCH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5" s="5" t="str">
        <f>IF(M3005="","",$E$2*1000*'[1]LOCH Calc COE Calc'!$C$44)</f>
        <v/>
      </c>
      <c r="S3005" s="6" t="str">
        <f>IF(N3005="","",SUM(O3005:R3005)/('[1]LOCH Calc COE Calc'!$C$28))</f>
        <v/>
      </c>
      <c r="T3005" t="str">
        <f>IF(L3005="","",O3005/'[1]LOCH Calc COE Calc'!$C$28)</f>
        <v/>
      </c>
      <c r="U3005" t="str">
        <f>IF(L3005="","",P3005/'[1]LOCH Calc COE Calc'!$C$28)</f>
        <v/>
      </c>
      <c r="V3005" t="str">
        <f>IF(L3005="","",Q3005/'[1]LOCH Calc COE Calc'!$C$28)</f>
        <v/>
      </c>
      <c r="W3005" t="str">
        <f>IF(L3005="","",R3005/'[1]LOCH Calc COE Calc'!$C$28)</f>
        <v/>
      </c>
    </row>
    <row r="3006" spans="12:23" x14ac:dyDescent="0.25">
      <c r="L3006" s="4" t="str">
        <f>IF('[1]All Data '!BE3011="","",'[1]All Data '!BE3011)</f>
        <v/>
      </c>
      <c r="M3006" t="str">
        <f>IF('[1]All Data '!BF3011="","",'[1]All Data '!BF3011)</f>
        <v/>
      </c>
      <c r="N3006" s="5" t="str">
        <f>IF('[1]All Data '!BB3011="","",'[1]All Data '!BC3011/'[1]All Data '!BH3011)</f>
        <v/>
      </c>
      <c r="O3006" s="5" t="str">
        <f t="shared" si="49"/>
        <v/>
      </c>
      <c r="P3006" s="5" t="str">
        <f>IF(M3006="","",$C$2*(1-L3006)*907.2/0.621371*N3006*[1]Transportation!$M$40)</f>
        <v/>
      </c>
      <c r="Q3006" s="5" t="str">
        <f>IF(L3006="","",IF([1]Inputs_Outputs!$B$5="Herbaceous",(LCA!$E$29*'[1]LOCH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6" s="5" t="str">
        <f>IF(M3006="","",$E$2*1000*'[1]LOCH Calc COE Calc'!$C$44)</f>
        <v/>
      </c>
      <c r="S3006" s="6" t="str">
        <f>IF(N3006="","",SUM(O3006:R3006)/('[1]LOCH Calc COE Calc'!$C$28))</f>
        <v/>
      </c>
      <c r="T3006" t="str">
        <f>IF(L3006="","",O3006/'[1]LOCH Calc COE Calc'!$C$28)</f>
        <v/>
      </c>
      <c r="U3006" t="str">
        <f>IF(L3006="","",P3006/'[1]LOCH Calc COE Calc'!$C$28)</f>
        <v/>
      </c>
      <c r="V3006" t="str">
        <f>IF(L3006="","",Q3006/'[1]LOCH Calc COE Calc'!$C$28)</f>
        <v/>
      </c>
      <c r="W3006" t="str">
        <f>IF(L3006="","",R3006/'[1]LOCH Calc COE Calc'!$C$28)</f>
        <v/>
      </c>
    </row>
    <row r="3007" spans="12:23" x14ac:dyDescent="0.25">
      <c r="L3007" s="4" t="str">
        <f>IF('[1]All Data '!BE3012="","",'[1]All Data '!BE3012)</f>
        <v/>
      </c>
      <c r="M3007" t="str">
        <f>IF('[1]All Data '!BF3012="","",'[1]All Data '!BF3012)</f>
        <v/>
      </c>
      <c r="N3007" s="5" t="str">
        <f>IF('[1]All Data '!BB3012="","",'[1]All Data '!BC3012/'[1]All Data '!BH3012)</f>
        <v/>
      </c>
      <c r="O3007" s="5" t="str">
        <f t="shared" si="49"/>
        <v/>
      </c>
      <c r="P3007" s="5" t="str">
        <f>IF(M3007="","",$C$2*(1-L3007)*907.2/0.621371*N3007*[1]Transportation!$M$40)</f>
        <v/>
      </c>
      <c r="Q3007" s="5" t="str">
        <f>IF(L3007="","",IF([1]Inputs_Outputs!$B$5="Herbaceous",(LCA!$E$29*'[1]LOCH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7" s="5" t="str">
        <f>IF(M3007="","",$E$2*1000*'[1]LOCH Calc COE Calc'!$C$44)</f>
        <v/>
      </c>
      <c r="S3007" s="6" t="str">
        <f>IF(N3007="","",SUM(O3007:R3007)/('[1]LOCH Calc COE Calc'!$C$28))</f>
        <v/>
      </c>
      <c r="T3007" t="str">
        <f>IF(L3007="","",O3007/'[1]LOCH Calc COE Calc'!$C$28)</f>
        <v/>
      </c>
      <c r="U3007" t="str">
        <f>IF(L3007="","",P3007/'[1]LOCH Calc COE Calc'!$C$28)</f>
        <v/>
      </c>
      <c r="V3007" t="str">
        <f>IF(L3007="","",Q3007/'[1]LOCH Calc COE Calc'!$C$28)</f>
        <v/>
      </c>
      <c r="W3007" t="str">
        <f>IF(L3007="","",R3007/'[1]LOCH Calc COE Calc'!$C$28)</f>
        <v/>
      </c>
    </row>
    <row r="3008" spans="12:23" x14ac:dyDescent="0.25">
      <c r="L3008" s="4" t="str">
        <f>IF('[1]All Data '!BE3013="","",'[1]All Data '!BE3013)</f>
        <v/>
      </c>
      <c r="M3008" t="str">
        <f>IF('[1]All Data '!BF3013="","",'[1]All Data '!BF3013)</f>
        <v/>
      </c>
      <c r="N3008" s="5" t="str">
        <f>IF('[1]All Data '!BB3013="","",'[1]All Data '!BC3013/'[1]All Data '!BH3013)</f>
        <v/>
      </c>
      <c r="O3008" s="5" t="str">
        <f t="shared" si="49"/>
        <v/>
      </c>
      <c r="P3008" s="5" t="str">
        <f>IF(M3008="","",$C$2*(1-L3008)*907.2/0.621371*N3008*[1]Transportation!$M$40)</f>
        <v/>
      </c>
      <c r="Q3008" s="5" t="str">
        <f>IF(L3008="","",IF([1]Inputs_Outputs!$B$5="Herbaceous",(LCA!$E$29*'[1]LOCH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8" s="5" t="str">
        <f>IF(M3008="","",$E$2*1000*'[1]LOCH Calc COE Calc'!$C$44)</f>
        <v/>
      </c>
      <c r="S3008" s="6" t="str">
        <f>IF(N3008="","",SUM(O3008:R3008)/('[1]LOCH Calc COE Calc'!$C$28))</f>
        <v/>
      </c>
      <c r="T3008" t="str">
        <f>IF(L3008="","",O3008/'[1]LOCH Calc COE Calc'!$C$28)</f>
        <v/>
      </c>
      <c r="U3008" t="str">
        <f>IF(L3008="","",P3008/'[1]LOCH Calc COE Calc'!$C$28)</f>
        <v/>
      </c>
      <c r="V3008" t="str">
        <f>IF(L3008="","",Q3008/'[1]LOCH Calc COE Calc'!$C$28)</f>
        <v/>
      </c>
      <c r="W3008" t="str">
        <f>IF(L3008="","",R3008/'[1]LOCH Calc COE Calc'!$C$28)</f>
        <v/>
      </c>
    </row>
    <row r="3009" spans="12:23" x14ac:dyDescent="0.25">
      <c r="L3009" s="4" t="str">
        <f>IF('[1]All Data '!BE3014="","",'[1]All Data '!BE3014)</f>
        <v/>
      </c>
      <c r="M3009" t="str">
        <f>IF('[1]All Data '!BF3014="","",'[1]All Data '!BF3014)</f>
        <v/>
      </c>
      <c r="N3009" s="5" t="str">
        <f>IF('[1]All Data '!BB3014="","",'[1]All Data '!BC3014/'[1]All Data '!BH3014)</f>
        <v/>
      </c>
      <c r="O3009" s="5" t="str">
        <f t="shared" si="49"/>
        <v/>
      </c>
      <c r="P3009" s="5" t="str">
        <f>IF(M3009="","",$C$2*(1-L3009)*907.2/0.621371*N3009*[1]Transportation!$M$40)</f>
        <v/>
      </c>
      <c r="Q3009" s="5" t="str">
        <f>IF(L3009="","",IF([1]Inputs_Outputs!$B$5="Herbaceous",(LCA!$E$29*'[1]LOCH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09" s="5" t="str">
        <f>IF(M3009="","",$E$2*1000*'[1]LOCH Calc COE Calc'!$C$44)</f>
        <v/>
      </c>
      <c r="S3009" s="6" t="str">
        <f>IF(N3009="","",SUM(O3009:R3009)/('[1]LOCH Calc COE Calc'!$C$28))</f>
        <v/>
      </c>
      <c r="T3009" t="str">
        <f>IF(L3009="","",O3009/'[1]LOCH Calc COE Calc'!$C$28)</f>
        <v/>
      </c>
      <c r="U3009" t="str">
        <f>IF(L3009="","",P3009/'[1]LOCH Calc COE Calc'!$C$28)</f>
        <v/>
      </c>
      <c r="V3009" t="str">
        <f>IF(L3009="","",Q3009/'[1]LOCH Calc COE Calc'!$C$28)</f>
        <v/>
      </c>
      <c r="W3009" t="str">
        <f>IF(L3009="","",R3009/'[1]LOCH Calc COE Calc'!$C$28)</f>
        <v/>
      </c>
    </row>
    <row r="3010" spans="12:23" x14ac:dyDescent="0.25">
      <c r="L3010" s="4" t="str">
        <f>IF('[1]All Data '!BE3015="","",'[1]All Data '!BE3015)</f>
        <v/>
      </c>
      <c r="M3010" t="str">
        <f>IF('[1]All Data '!BF3015="","",'[1]All Data '!BF3015)</f>
        <v/>
      </c>
      <c r="N3010" s="5" t="str">
        <f>IF('[1]All Data '!BB3015="","",'[1]All Data '!BC3015/'[1]All Data '!BH3015)</f>
        <v/>
      </c>
      <c r="O3010" s="5" t="str">
        <f t="shared" si="49"/>
        <v/>
      </c>
      <c r="P3010" s="5" t="str">
        <f>IF(M3010="","",$C$2*(1-L3010)*907.2/0.621371*N3010*[1]Transportation!$M$40)</f>
        <v/>
      </c>
      <c r="Q3010" s="5" t="str">
        <f>IF(L3010="","",IF([1]Inputs_Outputs!$B$5="Herbaceous",(LCA!$E$29*'[1]LOCH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0" s="5" t="str">
        <f>IF(M3010="","",$E$2*1000*'[1]LOCH Calc COE Calc'!$C$44)</f>
        <v/>
      </c>
      <c r="S3010" s="6" t="str">
        <f>IF(N3010="","",SUM(O3010:R3010)/('[1]LOCH Calc COE Calc'!$C$28))</f>
        <v/>
      </c>
      <c r="T3010" t="str">
        <f>IF(L3010="","",O3010/'[1]LOCH Calc COE Calc'!$C$28)</f>
        <v/>
      </c>
      <c r="U3010" t="str">
        <f>IF(L3010="","",P3010/'[1]LOCH Calc COE Calc'!$C$28)</f>
        <v/>
      </c>
      <c r="V3010" t="str">
        <f>IF(L3010="","",Q3010/'[1]LOCH Calc COE Calc'!$C$28)</f>
        <v/>
      </c>
      <c r="W3010" t="str">
        <f>IF(L3010="","",R3010/'[1]LOCH Calc COE Calc'!$C$28)</f>
        <v/>
      </c>
    </row>
    <row r="3011" spans="12:23" x14ac:dyDescent="0.25">
      <c r="L3011" s="4" t="str">
        <f>IF('[1]All Data '!BE3016="","",'[1]All Data '!BE3016)</f>
        <v/>
      </c>
      <c r="M3011" t="str">
        <f>IF('[1]All Data '!BF3016="","",'[1]All Data '!BF3016)</f>
        <v/>
      </c>
      <c r="N3011" s="5" t="str">
        <f>IF('[1]All Data '!BB3016="","",'[1]All Data '!BC3016/'[1]All Data '!BH3016)</f>
        <v/>
      </c>
      <c r="O3011" s="5" t="str">
        <f t="shared" si="49"/>
        <v/>
      </c>
      <c r="P3011" s="5" t="str">
        <f>IF(M3011="","",$C$2*(1-L3011)*907.2/0.621371*N3011*[1]Transportation!$M$40)</f>
        <v/>
      </c>
      <c r="Q3011" s="5" t="str">
        <f>IF(L3011="","",IF([1]Inputs_Outputs!$B$5="Herbaceous",(LCA!$E$29*'[1]LOCH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1" s="5" t="str">
        <f>IF(M3011="","",$E$2*1000*'[1]LOCH Calc COE Calc'!$C$44)</f>
        <v/>
      </c>
      <c r="S3011" s="6" t="str">
        <f>IF(N3011="","",SUM(O3011:R3011)/('[1]LOCH Calc COE Calc'!$C$28))</f>
        <v/>
      </c>
      <c r="T3011" t="str">
        <f>IF(L3011="","",O3011/'[1]LOCH Calc COE Calc'!$C$28)</f>
        <v/>
      </c>
      <c r="U3011" t="str">
        <f>IF(L3011="","",P3011/'[1]LOCH Calc COE Calc'!$C$28)</f>
        <v/>
      </c>
      <c r="V3011" t="str">
        <f>IF(L3011="","",Q3011/'[1]LOCH Calc COE Calc'!$C$28)</f>
        <v/>
      </c>
      <c r="W3011" t="str">
        <f>IF(L3011="","",R3011/'[1]LOCH Calc COE Calc'!$C$28)</f>
        <v/>
      </c>
    </row>
    <row r="3012" spans="12:23" x14ac:dyDescent="0.25">
      <c r="L3012" s="4" t="str">
        <f>IF('[1]All Data '!BE3017="","",'[1]All Data '!BE3017)</f>
        <v/>
      </c>
      <c r="M3012" t="str">
        <f>IF('[1]All Data '!BF3017="","",'[1]All Data '!BF3017)</f>
        <v/>
      </c>
      <c r="N3012" s="5" t="str">
        <f>IF('[1]All Data '!BB3017="","",'[1]All Data '!BC3017/'[1]All Data '!BH3017)</f>
        <v/>
      </c>
      <c r="O3012" s="5" t="str">
        <f t="shared" si="49"/>
        <v/>
      </c>
      <c r="P3012" s="5" t="str">
        <f>IF(M3012="","",$C$2*(1-L3012)*907.2/0.621371*N3012*[1]Transportation!$M$40)</f>
        <v/>
      </c>
      <c r="Q3012" s="5" t="str">
        <f>IF(L3012="","",IF([1]Inputs_Outputs!$B$5="Herbaceous",(LCA!$E$29*'[1]LOCH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2" s="5" t="str">
        <f>IF(M3012="","",$E$2*1000*'[1]LOCH Calc COE Calc'!$C$44)</f>
        <v/>
      </c>
      <c r="S3012" s="6" t="str">
        <f>IF(N3012="","",SUM(O3012:R3012)/('[1]LOCH Calc COE Calc'!$C$28))</f>
        <v/>
      </c>
      <c r="T3012" t="str">
        <f>IF(L3012="","",O3012/'[1]LOCH Calc COE Calc'!$C$28)</f>
        <v/>
      </c>
      <c r="U3012" t="str">
        <f>IF(L3012="","",P3012/'[1]LOCH Calc COE Calc'!$C$28)</f>
        <v/>
      </c>
      <c r="V3012" t="str">
        <f>IF(L3012="","",Q3012/'[1]LOCH Calc COE Calc'!$C$28)</f>
        <v/>
      </c>
      <c r="W3012" t="str">
        <f>IF(L3012="","",R3012/'[1]LOCH Calc COE Calc'!$C$28)</f>
        <v/>
      </c>
    </row>
    <row r="3013" spans="12:23" x14ac:dyDescent="0.25">
      <c r="L3013" s="4" t="str">
        <f>IF('[1]All Data '!BE3018="","",'[1]All Data '!BE3018)</f>
        <v/>
      </c>
      <c r="M3013" t="str">
        <f>IF('[1]All Data '!BF3018="","",'[1]All Data '!BF3018)</f>
        <v/>
      </c>
      <c r="N3013" s="5" t="str">
        <f>IF('[1]All Data '!BB3018="","",'[1]All Data '!BC3018/'[1]All Data '!BH3018)</f>
        <v/>
      </c>
      <c r="O3013" s="5" t="str">
        <f t="shared" si="49"/>
        <v/>
      </c>
      <c r="P3013" s="5" t="str">
        <f>IF(M3013="","",$C$2*(1-L3013)*907.2/0.621371*N3013*[1]Transportation!$M$40)</f>
        <v/>
      </c>
      <c r="Q3013" s="5" t="str">
        <f>IF(L3013="","",IF([1]Inputs_Outputs!$B$5="Herbaceous",(LCA!$E$29*'[1]LOCH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3" s="5" t="str">
        <f>IF(M3013="","",$E$2*1000*'[1]LOCH Calc COE Calc'!$C$44)</f>
        <v/>
      </c>
      <c r="S3013" s="6" t="str">
        <f>IF(N3013="","",SUM(O3013:R3013)/('[1]LOCH Calc COE Calc'!$C$28))</f>
        <v/>
      </c>
      <c r="T3013" t="str">
        <f>IF(L3013="","",O3013/'[1]LOCH Calc COE Calc'!$C$28)</f>
        <v/>
      </c>
      <c r="U3013" t="str">
        <f>IF(L3013="","",P3013/'[1]LOCH Calc COE Calc'!$C$28)</f>
        <v/>
      </c>
      <c r="V3013" t="str">
        <f>IF(L3013="","",Q3013/'[1]LOCH Calc COE Calc'!$C$28)</f>
        <v/>
      </c>
      <c r="W3013" t="str">
        <f>IF(L3013="","",R3013/'[1]LOCH Calc COE Calc'!$C$28)</f>
        <v/>
      </c>
    </row>
    <row r="3014" spans="12:23" x14ac:dyDescent="0.25">
      <c r="L3014" s="4" t="str">
        <f>IF('[1]All Data '!BE3019="","",'[1]All Data '!BE3019)</f>
        <v/>
      </c>
      <c r="M3014" t="str">
        <f>IF('[1]All Data '!BF3019="","",'[1]All Data '!BF3019)</f>
        <v/>
      </c>
      <c r="N3014" s="5" t="str">
        <f>IF('[1]All Data '!BB3019="","",'[1]All Data '!BC3019/'[1]All Data '!BH3019)</f>
        <v/>
      </c>
      <c r="O3014" s="5" t="str">
        <f t="shared" si="49"/>
        <v/>
      </c>
      <c r="P3014" s="5" t="str">
        <f>IF(M3014="","",$C$2*(1-L3014)*907.2/0.621371*N3014*[1]Transportation!$M$40)</f>
        <v/>
      </c>
      <c r="Q3014" s="5" t="str">
        <f>IF(L3014="","",IF([1]Inputs_Outputs!$B$5="Herbaceous",(LCA!$E$29*'[1]LOCH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4" s="5" t="str">
        <f>IF(M3014="","",$E$2*1000*'[1]LOCH Calc COE Calc'!$C$44)</f>
        <v/>
      </c>
      <c r="S3014" s="6" t="str">
        <f>IF(N3014="","",SUM(O3014:R3014)/('[1]LOCH Calc COE Calc'!$C$28))</f>
        <v/>
      </c>
      <c r="T3014" t="str">
        <f>IF(L3014="","",O3014/'[1]LOCH Calc COE Calc'!$C$28)</f>
        <v/>
      </c>
      <c r="U3014" t="str">
        <f>IF(L3014="","",P3014/'[1]LOCH Calc COE Calc'!$C$28)</f>
        <v/>
      </c>
      <c r="V3014" t="str">
        <f>IF(L3014="","",Q3014/'[1]LOCH Calc COE Calc'!$C$28)</f>
        <v/>
      </c>
      <c r="W3014" t="str">
        <f>IF(L3014="","",R3014/'[1]LOCH Calc COE Calc'!$C$28)</f>
        <v/>
      </c>
    </row>
    <row r="3015" spans="12:23" x14ac:dyDescent="0.25">
      <c r="L3015" s="4" t="str">
        <f>IF('[1]All Data '!BE3020="","",'[1]All Data '!BE3020)</f>
        <v/>
      </c>
      <c r="M3015" t="str">
        <f>IF('[1]All Data '!BF3020="","",'[1]All Data '!BF3020)</f>
        <v/>
      </c>
      <c r="N3015" s="5" t="str">
        <f>IF('[1]All Data '!BB3020="","",'[1]All Data '!BC3020/'[1]All Data '!BH3020)</f>
        <v/>
      </c>
      <c r="O3015" s="5" t="str">
        <f t="shared" si="49"/>
        <v/>
      </c>
      <c r="P3015" s="5" t="str">
        <f>IF(M3015="","",$C$2*(1-L3015)*907.2/0.621371*N3015*[1]Transportation!$M$40)</f>
        <v/>
      </c>
      <c r="Q3015" s="5" t="str">
        <f>IF(L3015="","",IF([1]Inputs_Outputs!$B$5="Herbaceous",(LCA!$E$29*'[1]LOCH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5" s="5" t="str">
        <f>IF(M3015="","",$E$2*1000*'[1]LOCH Calc COE Calc'!$C$44)</f>
        <v/>
      </c>
      <c r="S3015" s="6" t="str">
        <f>IF(N3015="","",SUM(O3015:R3015)/('[1]LOCH Calc COE Calc'!$C$28))</f>
        <v/>
      </c>
      <c r="T3015" t="str">
        <f>IF(L3015="","",O3015/'[1]LOCH Calc COE Calc'!$C$28)</f>
        <v/>
      </c>
      <c r="U3015" t="str">
        <f>IF(L3015="","",P3015/'[1]LOCH Calc COE Calc'!$C$28)</f>
        <v/>
      </c>
      <c r="V3015" t="str">
        <f>IF(L3015="","",Q3015/'[1]LOCH Calc COE Calc'!$C$28)</f>
        <v/>
      </c>
      <c r="W3015" t="str">
        <f>IF(L3015="","",R3015/'[1]LOCH Calc COE Calc'!$C$28)</f>
        <v/>
      </c>
    </row>
    <row r="3016" spans="12:23" x14ac:dyDescent="0.25">
      <c r="L3016" s="4" t="str">
        <f>IF('[1]All Data '!BE3021="","",'[1]All Data '!BE3021)</f>
        <v/>
      </c>
      <c r="M3016" t="str">
        <f>IF('[1]All Data '!BF3021="","",'[1]All Data '!BF3021)</f>
        <v/>
      </c>
      <c r="N3016" s="5" t="str">
        <f>IF('[1]All Data '!BB3021="","",'[1]All Data '!BC3021/'[1]All Data '!BH3021)</f>
        <v/>
      </c>
      <c r="O3016" s="5" t="str">
        <f t="shared" si="49"/>
        <v/>
      </c>
      <c r="P3016" s="5" t="str">
        <f>IF(M3016="","",$C$2*(1-L3016)*907.2/0.621371*N3016*[1]Transportation!$M$40)</f>
        <v/>
      </c>
      <c r="Q3016" s="5" t="str">
        <f>IF(L3016="","",IF([1]Inputs_Outputs!$B$5="Herbaceous",(LCA!$E$29*'[1]LOCH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6" s="5" t="str">
        <f>IF(M3016="","",$E$2*1000*'[1]LOCH Calc COE Calc'!$C$44)</f>
        <v/>
      </c>
      <c r="S3016" s="6" t="str">
        <f>IF(N3016="","",SUM(O3016:R3016)/('[1]LOCH Calc COE Calc'!$C$28))</f>
        <v/>
      </c>
      <c r="T3016" t="str">
        <f>IF(L3016="","",O3016/'[1]LOCH Calc COE Calc'!$C$28)</f>
        <v/>
      </c>
      <c r="U3016" t="str">
        <f>IF(L3016="","",P3016/'[1]LOCH Calc COE Calc'!$C$28)</f>
        <v/>
      </c>
      <c r="V3016" t="str">
        <f>IF(L3016="","",Q3016/'[1]LOCH Calc COE Calc'!$C$28)</f>
        <v/>
      </c>
      <c r="W3016" t="str">
        <f>IF(L3016="","",R3016/'[1]LOCH Calc COE Calc'!$C$28)</f>
        <v/>
      </c>
    </row>
    <row r="3017" spans="12:23" x14ac:dyDescent="0.25">
      <c r="L3017" s="4" t="str">
        <f>IF('[1]All Data '!BE3022="","",'[1]All Data '!BE3022)</f>
        <v/>
      </c>
      <c r="M3017" t="str">
        <f>IF('[1]All Data '!BF3022="","",'[1]All Data '!BF3022)</f>
        <v/>
      </c>
      <c r="N3017" s="5" t="str">
        <f>IF('[1]All Data '!BB3022="","",'[1]All Data '!BC3022/'[1]All Data '!BH3022)</f>
        <v/>
      </c>
      <c r="O3017" s="5" t="str">
        <f t="shared" si="49"/>
        <v/>
      </c>
      <c r="P3017" s="5" t="str">
        <f>IF(M3017="","",$C$2*(1-L3017)*907.2/0.621371*N3017*[1]Transportation!$M$40)</f>
        <v/>
      </c>
      <c r="Q3017" s="5" t="str">
        <f>IF(L3017="","",IF([1]Inputs_Outputs!$B$5="Herbaceous",(LCA!$E$29*'[1]LOCH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7" s="5" t="str">
        <f>IF(M3017="","",$E$2*1000*'[1]LOCH Calc COE Calc'!$C$44)</f>
        <v/>
      </c>
      <c r="S3017" s="6" t="str">
        <f>IF(N3017="","",SUM(O3017:R3017)/('[1]LOCH Calc COE Calc'!$C$28))</f>
        <v/>
      </c>
      <c r="T3017" t="str">
        <f>IF(L3017="","",O3017/'[1]LOCH Calc COE Calc'!$C$28)</f>
        <v/>
      </c>
      <c r="U3017" t="str">
        <f>IF(L3017="","",P3017/'[1]LOCH Calc COE Calc'!$C$28)</f>
        <v/>
      </c>
      <c r="V3017" t="str">
        <f>IF(L3017="","",Q3017/'[1]LOCH Calc COE Calc'!$C$28)</f>
        <v/>
      </c>
      <c r="W3017" t="str">
        <f>IF(L3017="","",R3017/'[1]LOCH Calc COE Calc'!$C$28)</f>
        <v/>
      </c>
    </row>
    <row r="3018" spans="12:23" x14ac:dyDescent="0.25">
      <c r="L3018" s="4" t="str">
        <f>IF('[1]All Data '!BE3023="","",'[1]All Data '!BE3023)</f>
        <v/>
      </c>
      <c r="M3018" t="str">
        <f>IF('[1]All Data '!BF3023="","",'[1]All Data '!BF3023)</f>
        <v/>
      </c>
      <c r="N3018" s="5" t="str">
        <f>IF('[1]All Data '!BB3023="","",'[1]All Data '!BC3023/'[1]All Data '!BH3023)</f>
        <v/>
      </c>
      <c r="O3018" s="5" t="str">
        <f t="shared" si="49"/>
        <v/>
      </c>
      <c r="P3018" s="5" t="str">
        <f>IF(M3018="","",$C$2*(1-L3018)*907.2/0.621371*N3018*[1]Transportation!$M$40)</f>
        <v/>
      </c>
      <c r="Q3018" s="5" t="str">
        <f>IF(L3018="","",IF([1]Inputs_Outputs!$B$5="Herbaceous",(LCA!$E$29*'[1]LOCH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8" s="5" t="str">
        <f>IF(M3018="","",$E$2*1000*'[1]LOCH Calc COE Calc'!$C$44)</f>
        <v/>
      </c>
      <c r="S3018" s="6" t="str">
        <f>IF(N3018="","",SUM(O3018:R3018)/('[1]LOCH Calc COE Calc'!$C$28))</f>
        <v/>
      </c>
      <c r="T3018" t="str">
        <f>IF(L3018="","",O3018/'[1]LOCH Calc COE Calc'!$C$28)</f>
        <v/>
      </c>
      <c r="U3018" t="str">
        <f>IF(L3018="","",P3018/'[1]LOCH Calc COE Calc'!$C$28)</f>
        <v/>
      </c>
      <c r="V3018" t="str">
        <f>IF(L3018="","",Q3018/'[1]LOCH Calc COE Calc'!$C$28)</f>
        <v/>
      </c>
      <c r="W3018" t="str">
        <f>IF(L3018="","",R3018/'[1]LOCH Calc COE Calc'!$C$28)</f>
        <v/>
      </c>
    </row>
    <row r="3019" spans="12:23" x14ac:dyDescent="0.25">
      <c r="L3019" s="4" t="str">
        <f>IF('[1]All Data '!BE3024="","",'[1]All Data '!BE3024)</f>
        <v/>
      </c>
      <c r="M3019" t="str">
        <f>IF('[1]All Data '!BF3024="","",'[1]All Data '!BF3024)</f>
        <v/>
      </c>
      <c r="N3019" s="5" t="str">
        <f>IF('[1]All Data '!BB3024="","",'[1]All Data '!BC3024/'[1]All Data '!BH3024)</f>
        <v/>
      </c>
      <c r="O3019" s="5" t="str">
        <f t="shared" si="49"/>
        <v/>
      </c>
      <c r="P3019" s="5" t="str">
        <f>IF(M3019="","",$C$2*(1-L3019)*907.2/0.621371*N3019*[1]Transportation!$M$40)</f>
        <v/>
      </c>
      <c r="Q3019" s="5" t="str">
        <f>IF(L3019="","",IF([1]Inputs_Outputs!$B$5="Herbaceous",(LCA!$E$29*'[1]LOCH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19" s="5" t="str">
        <f>IF(M3019="","",$E$2*1000*'[1]LOCH Calc COE Calc'!$C$44)</f>
        <v/>
      </c>
      <c r="S3019" s="6" t="str">
        <f>IF(N3019="","",SUM(O3019:R3019)/('[1]LOCH Calc COE Calc'!$C$28))</f>
        <v/>
      </c>
      <c r="T3019" t="str">
        <f>IF(L3019="","",O3019/'[1]LOCH Calc COE Calc'!$C$28)</f>
        <v/>
      </c>
      <c r="U3019" t="str">
        <f>IF(L3019="","",P3019/'[1]LOCH Calc COE Calc'!$C$28)</f>
        <v/>
      </c>
      <c r="V3019" t="str">
        <f>IF(L3019="","",Q3019/'[1]LOCH Calc COE Calc'!$C$28)</f>
        <v/>
      </c>
      <c r="W3019" t="str">
        <f>IF(L3019="","",R3019/'[1]LOCH Calc COE Calc'!$C$28)</f>
        <v/>
      </c>
    </row>
    <row r="3020" spans="12:23" x14ac:dyDescent="0.25">
      <c r="L3020" s="4" t="str">
        <f>IF('[1]All Data '!BE3025="","",'[1]All Data '!BE3025)</f>
        <v/>
      </c>
      <c r="M3020" t="str">
        <f>IF('[1]All Data '!BF3025="","",'[1]All Data '!BF3025)</f>
        <v/>
      </c>
      <c r="N3020" s="5" t="str">
        <f>IF('[1]All Data '!BB3025="","",'[1]All Data '!BC3025/'[1]All Data '!BH3025)</f>
        <v/>
      </c>
      <c r="O3020" s="5" t="str">
        <f t="shared" si="49"/>
        <v/>
      </c>
      <c r="P3020" s="5" t="str">
        <f>IF(M3020="","",$C$2*(1-L3020)*907.2/0.621371*N3020*[1]Transportation!$M$40)</f>
        <v/>
      </c>
      <c r="Q3020" s="5" t="str">
        <f>IF(L3020="","",IF([1]Inputs_Outputs!$B$5="Herbaceous",(LCA!$E$29*'[1]LOCH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0" s="5" t="str">
        <f>IF(M3020="","",$E$2*1000*'[1]LOCH Calc COE Calc'!$C$44)</f>
        <v/>
      </c>
      <c r="S3020" s="6" t="str">
        <f>IF(N3020="","",SUM(O3020:R3020)/('[1]LOCH Calc COE Calc'!$C$28))</f>
        <v/>
      </c>
      <c r="T3020" t="str">
        <f>IF(L3020="","",O3020/'[1]LOCH Calc COE Calc'!$C$28)</f>
        <v/>
      </c>
      <c r="U3020" t="str">
        <f>IF(L3020="","",P3020/'[1]LOCH Calc COE Calc'!$C$28)</f>
        <v/>
      </c>
      <c r="V3020" t="str">
        <f>IF(L3020="","",Q3020/'[1]LOCH Calc COE Calc'!$C$28)</f>
        <v/>
      </c>
      <c r="W3020" t="str">
        <f>IF(L3020="","",R3020/'[1]LOCH Calc COE Calc'!$C$28)</f>
        <v/>
      </c>
    </row>
    <row r="3021" spans="12:23" x14ac:dyDescent="0.25">
      <c r="L3021" s="4" t="str">
        <f>IF('[1]All Data '!BE3026="","",'[1]All Data '!BE3026)</f>
        <v/>
      </c>
      <c r="M3021" t="str">
        <f>IF('[1]All Data '!BF3026="","",'[1]All Data '!BF3026)</f>
        <v/>
      </c>
      <c r="N3021" s="5" t="str">
        <f>IF('[1]All Data '!BB3026="","",'[1]All Data '!BC3026/'[1]All Data '!BH3026)</f>
        <v/>
      </c>
      <c r="O3021" s="5" t="str">
        <f t="shared" si="49"/>
        <v/>
      </c>
      <c r="P3021" s="5" t="str">
        <f>IF(M3021="","",$C$2*(1-L3021)*907.2/0.621371*N3021*[1]Transportation!$M$40)</f>
        <v/>
      </c>
      <c r="Q3021" s="5" t="str">
        <f>IF(L3021="","",IF([1]Inputs_Outputs!$B$5="Herbaceous",(LCA!$E$29*'[1]LOCH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1" s="5" t="str">
        <f>IF(M3021="","",$E$2*1000*'[1]LOCH Calc COE Calc'!$C$44)</f>
        <v/>
      </c>
      <c r="S3021" s="6" t="str">
        <f>IF(N3021="","",SUM(O3021:R3021)/('[1]LOCH Calc COE Calc'!$C$28))</f>
        <v/>
      </c>
      <c r="T3021" t="str">
        <f>IF(L3021="","",O3021/'[1]LOCH Calc COE Calc'!$C$28)</f>
        <v/>
      </c>
      <c r="U3021" t="str">
        <f>IF(L3021="","",P3021/'[1]LOCH Calc COE Calc'!$C$28)</f>
        <v/>
      </c>
      <c r="V3021" t="str">
        <f>IF(L3021="","",Q3021/'[1]LOCH Calc COE Calc'!$C$28)</f>
        <v/>
      </c>
      <c r="W3021" t="str">
        <f>IF(L3021="","",R3021/'[1]LOCH Calc COE Calc'!$C$28)</f>
        <v/>
      </c>
    </row>
    <row r="3022" spans="12:23" x14ac:dyDescent="0.25">
      <c r="L3022" s="4" t="str">
        <f>IF('[1]All Data '!BE3027="","",'[1]All Data '!BE3027)</f>
        <v/>
      </c>
      <c r="M3022" t="str">
        <f>IF('[1]All Data '!BF3027="","",'[1]All Data '!BF3027)</f>
        <v/>
      </c>
      <c r="N3022" s="5" t="str">
        <f>IF('[1]All Data '!BB3027="","",'[1]All Data '!BC3027/'[1]All Data '!BH3027)</f>
        <v/>
      </c>
      <c r="O3022" s="5" t="str">
        <f t="shared" si="49"/>
        <v/>
      </c>
      <c r="P3022" s="5" t="str">
        <f>IF(M3022="","",$C$2*(1-L3022)*907.2/0.621371*N3022*[1]Transportation!$M$40)</f>
        <v/>
      </c>
      <c r="Q3022" s="5" t="str">
        <f>IF(L3022="","",IF([1]Inputs_Outputs!$B$5="Herbaceous",(LCA!$E$29*'[1]LOCH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2" s="5" t="str">
        <f>IF(M3022="","",$E$2*1000*'[1]LOCH Calc COE Calc'!$C$44)</f>
        <v/>
      </c>
      <c r="S3022" s="6" t="str">
        <f>IF(N3022="","",SUM(O3022:R3022)/('[1]LOCH Calc COE Calc'!$C$28))</f>
        <v/>
      </c>
      <c r="T3022" t="str">
        <f>IF(L3022="","",O3022/'[1]LOCH Calc COE Calc'!$C$28)</f>
        <v/>
      </c>
      <c r="U3022" t="str">
        <f>IF(L3022="","",P3022/'[1]LOCH Calc COE Calc'!$C$28)</f>
        <v/>
      </c>
      <c r="V3022" t="str">
        <f>IF(L3022="","",Q3022/'[1]LOCH Calc COE Calc'!$C$28)</f>
        <v/>
      </c>
      <c r="W3022" t="str">
        <f>IF(L3022="","",R3022/'[1]LOCH Calc COE Calc'!$C$28)</f>
        <v/>
      </c>
    </row>
    <row r="3023" spans="12:23" x14ac:dyDescent="0.25">
      <c r="L3023" s="4" t="str">
        <f>IF('[1]All Data '!BE3028="","",'[1]All Data '!BE3028)</f>
        <v/>
      </c>
      <c r="M3023" t="str">
        <f>IF('[1]All Data '!BF3028="","",'[1]All Data '!BF3028)</f>
        <v/>
      </c>
      <c r="N3023" s="5" t="str">
        <f>IF('[1]All Data '!BB3028="","",'[1]All Data '!BC3028/'[1]All Data '!BH3028)</f>
        <v/>
      </c>
      <c r="O3023" s="5" t="str">
        <f t="shared" si="49"/>
        <v/>
      </c>
      <c r="P3023" s="5" t="str">
        <f>IF(M3023="","",$C$2*(1-L3023)*907.2/0.621371*N3023*[1]Transportation!$M$40)</f>
        <v/>
      </c>
      <c r="Q3023" s="5" t="str">
        <f>IF(L3023="","",IF([1]Inputs_Outputs!$B$5="Herbaceous",(LCA!$E$29*'[1]LOCH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3" s="5" t="str">
        <f>IF(M3023="","",$E$2*1000*'[1]LOCH Calc COE Calc'!$C$44)</f>
        <v/>
      </c>
      <c r="S3023" s="6" t="str">
        <f>IF(N3023="","",SUM(O3023:R3023)/('[1]LOCH Calc COE Calc'!$C$28))</f>
        <v/>
      </c>
      <c r="T3023" t="str">
        <f>IF(L3023="","",O3023/'[1]LOCH Calc COE Calc'!$C$28)</f>
        <v/>
      </c>
      <c r="U3023" t="str">
        <f>IF(L3023="","",P3023/'[1]LOCH Calc COE Calc'!$C$28)</f>
        <v/>
      </c>
      <c r="V3023" t="str">
        <f>IF(L3023="","",Q3023/'[1]LOCH Calc COE Calc'!$C$28)</f>
        <v/>
      </c>
      <c r="W3023" t="str">
        <f>IF(L3023="","",R3023/'[1]LOCH Calc COE Calc'!$C$28)</f>
        <v/>
      </c>
    </row>
    <row r="3024" spans="12:23" x14ac:dyDescent="0.25">
      <c r="L3024" s="4" t="str">
        <f>IF('[1]All Data '!BE3029="","",'[1]All Data '!BE3029)</f>
        <v/>
      </c>
      <c r="M3024" t="str">
        <f>IF('[1]All Data '!BF3029="","",'[1]All Data '!BF3029)</f>
        <v/>
      </c>
      <c r="N3024" s="5" t="str">
        <f>IF('[1]All Data '!BB3029="","",'[1]All Data '!BC3029/'[1]All Data '!BH3029)</f>
        <v/>
      </c>
      <c r="O3024" s="5" t="str">
        <f t="shared" si="49"/>
        <v/>
      </c>
      <c r="P3024" s="5" t="str">
        <f>IF(M3024="","",$C$2*(1-L3024)*907.2/0.621371*N3024*[1]Transportation!$M$40)</f>
        <v/>
      </c>
      <c r="Q3024" s="5" t="str">
        <f>IF(L3024="","",IF([1]Inputs_Outputs!$B$5="Herbaceous",(LCA!$E$29*'[1]LOCH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4" s="5" t="str">
        <f>IF(M3024="","",$E$2*1000*'[1]LOCH Calc COE Calc'!$C$44)</f>
        <v/>
      </c>
      <c r="S3024" s="6" t="str">
        <f>IF(N3024="","",SUM(O3024:R3024)/('[1]LOCH Calc COE Calc'!$C$28))</f>
        <v/>
      </c>
      <c r="T3024" t="str">
        <f>IF(L3024="","",O3024/'[1]LOCH Calc COE Calc'!$C$28)</f>
        <v/>
      </c>
      <c r="U3024" t="str">
        <f>IF(L3024="","",P3024/'[1]LOCH Calc COE Calc'!$C$28)</f>
        <v/>
      </c>
      <c r="V3024" t="str">
        <f>IF(L3024="","",Q3024/'[1]LOCH Calc COE Calc'!$C$28)</f>
        <v/>
      </c>
      <c r="W3024" t="str">
        <f>IF(L3024="","",R3024/'[1]LOCH Calc COE Calc'!$C$28)</f>
        <v/>
      </c>
    </row>
    <row r="3025" spans="12:23" x14ac:dyDescent="0.25">
      <c r="L3025" s="4" t="str">
        <f>IF('[1]All Data '!BE3030="","",'[1]All Data '!BE3030)</f>
        <v/>
      </c>
      <c r="M3025" t="str">
        <f>IF('[1]All Data '!BF3030="","",'[1]All Data '!BF3030)</f>
        <v/>
      </c>
      <c r="N3025" s="5" t="str">
        <f>IF('[1]All Data '!BB3030="","",'[1]All Data '!BC3030/'[1]All Data '!BH3030)</f>
        <v/>
      </c>
      <c r="O3025" s="5" t="str">
        <f t="shared" si="49"/>
        <v/>
      </c>
      <c r="P3025" s="5" t="str">
        <f>IF(M3025="","",$C$2*(1-L3025)*907.2/0.621371*N3025*[1]Transportation!$M$40)</f>
        <v/>
      </c>
      <c r="Q3025" s="5" t="str">
        <f>IF(L3025="","",IF([1]Inputs_Outputs!$B$5="Herbaceous",(LCA!$E$29*'[1]LOCH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5" s="5" t="str">
        <f>IF(M3025="","",$E$2*1000*'[1]LOCH Calc COE Calc'!$C$44)</f>
        <v/>
      </c>
      <c r="S3025" s="6" t="str">
        <f>IF(N3025="","",SUM(O3025:R3025)/('[1]LOCH Calc COE Calc'!$C$28))</f>
        <v/>
      </c>
      <c r="T3025" t="str">
        <f>IF(L3025="","",O3025/'[1]LOCH Calc COE Calc'!$C$28)</f>
        <v/>
      </c>
      <c r="U3025" t="str">
        <f>IF(L3025="","",P3025/'[1]LOCH Calc COE Calc'!$C$28)</f>
        <v/>
      </c>
      <c r="V3025" t="str">
        <f>IF(L3025="","",Q3025/'[1]LOCH Calc COE Calc'!$C$28)</f>
        <v/>
      </c>
      <c r="W3025" t="str">
        <f>IF(L3025="","",R3025/'[1]LOCH Calc COE Calc'!$C$28)</f>
        <v/>
      </c>
    </row>
    <row r="3026" spans="12:23" x14ac:dyDescent="0.25">
      <c r="L3026" s="4" t="str">
        <f>IF('[1]All Data '!BE3031="","",'[1]All Data '!BE3031)</f>
        <v/>
      </c>
      <c r="M3026" t="str">
        <f>IF('[1]All Data '!BF3031="","",'[1]All Data '!BF3031)</f>
        <v/>
      </c>
      <c r="N3026" s="5" t="str">
        <f>IF('[1]All Data '!BB3031="","",'[1]All Data '!BC3031/'[1]All Data '!BH3031)</f>
        <v/>
      </c>
      <c r="O3026" s="5" t="str">
        <f t="shared" si="49"/>
        <v/>
      </c>
      <c r="P3026" s="5" t="str">
        <f>IF(M3026="","",$C$2*(1-L3026)*907.2/0.621371*N3026*[1]Transportation!$M$40)</f>
        <v/>
      </c>
      <c r="Q3026" s="5" t="str">
        <f>IF(L3026="","",IF([1]Inputs_Outputs!$B$5="Herbaceous",(LCA!$E$29*'[1]LOCH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6" s="5" t="str">
        <f>IF(M3026="","",$E$2*1000*'[1]LOCH Calc COE Calc'!$C$44)</f>
        <v/>
      </c>
      <c r="S3026" s="6" t="str">
        <f>IF(N3026="","",SUM(O3026:R3026)/('[1]LOCH Calc COE Calc'!$C$28))</f>
        <v/>
      </c>
      <c r="T3026" t="str">
        <f>IF(L3026="","",O3026/'[1]LOCH Calc COE Calc'!$C$28)</f>
        <v/>
      </c>
      <c r="U3026" t="str">
        <f>IF(L3026="","",P3026/'[1]LOCH Calc COE Calc'!$C$28)</f>
        <v/>
      </c>
      <c r="V3026" t="str">
        <f>IF(L3026="","",Q3026/'[1]LOCH Calc COE Calc'!$C$28)</f>
        <v/>
      </c>
      <c r="W3026" t="str">
        <f>IF(L3026="","",R3026/'[1]LOCH Calc COE Calc'!$C$28)</f>
        <v/>
      </c>
    </row>
    <row r="3027" spans="12:23" x14ac:dyDescent="0.25">
      <c r="L3027" s="4" t="str">
        <f>IF('[1]All Data '!BE3032="","",'[1]All Data '!BE3032)</f>
        <v/>
      </c>
      <c r="M3027" t="str">
        <f>IF('[1]All Data '!BF3032="","",'[1]All Data '!BF3032)</f>
        <v/>
      </c>
      <c r="N3027" s="5" t="str">
        <f>IF('[1]All Data '!BB3032="","",'[1]All Data '!BC3032/'[1]All Data '!BH3032)</f>
        <v/>
      </c>
      <c r="O3027" s="5" t="str">
        <f t="shared" si="49"/>
        <v/>
      </c>
      <c r="P3027" s="5" t="str">
        <f>IF(M3027="","",$C$2*(1-L3027)*907.2/0.621371*N3027*[1]Transportation!$M$40)</f>
        <v/>
      </c>
      <c r="Q3027" s="5" t="str">
        <f>IF(L3027="","",IF([1]Inputs_Outputs!$B$5="Herbaceous",(LCA!$E$29*'[1]LOCH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7" s="5" t="str">
        <f>IF(M3027="","",$E$2*1000*'[1]LOCH Calc COE Calc'!$C$44)</f>
        <v/>
      </c>
      <c r="S3027" s="6" t="str">
        <f>IF(N3027="","",SUM(O3027:R3027)/('[1]LOCH Calc COE Calc'!$C$28))</f>
        <v/>
      </c>
      <c r="T3027" t="str">
        <f>IF(L3027="","",O3027/'[1]LOCH Calc COE Calc'!$C$28)</f>
        <v/>
      </c>
      <c r="U3027" t="str">
        <f>IF(L3027="","",P3027/'[1]LOCH Calc COE Calc'!$C$28)</f>
        <v/>
      </c>
      <c r="V3027" t="str">
        <f>IF(L3027="","",Q3027/'[1]LOCH Calc COE Calc'!$C$28)</f>
        <v/>
      </c>
      <c r="W3027" t="str">
        <f>IF(L3027="","",R3027/'[1]LOCH Calc COE Calc'!$C$28)</f>
        <v/>
      </c>
    </row>
    <row r="3028" spans="12:23" x14ac:dyDescent="0.25">
      <c r="L3028" s="4" t="str">
        <f>IF('[1]All Data '!BE3033="","",'[1]All Data '!BE3033)</f>
        <v/>
      </c>
      <c r="M3028" t="str">
        <f>IF('[1]All Data '!BF3033="","",'[1]All Data '!BF3033)</f>
        <v/>
      </c>
      <c r="N3028" s="5" t="str">
        <f>IF('[1]All Data '!BB3033="","",'[1]All Data '!BC3033/'[1]All Data '!BH3033)</f>
        <v/>
      </c>
      <c r="O3028" s="5" t="str">
        <f t="shared" si="49"/>
        <v/>
      </c>
      <c r="P3028" s="5" t="str">
        <f>IF(M3028="","",$C$2*(1-L3028)*907.2/0.621371*N3028*[1]Transportation!$M$40)</f>
        <v/>
      </c>
      <c r="Q3028" s="5" t="str">
        <f>IF(L3028="","",IF([1]Inputs_Outputs!$B$5="Herbaceous",(LCA!$E$29*'[1]LOCH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8" s="5" t="str">
        <f>IF(M3028="","",$E$2*1000*'[1]LOCH Calc COE Calc'!$C$44)</f>
        <v/>
      </c>
      <c r="S3028" s="6" t="str">
        <f>IF(N3028="","",SUM(O3028:R3028)/('[1]LOCH Calc COE Calc'!$C$28))</f>
        <v/>
      </c>
      <c r="T3028" t="str">
        <f>IF(L3028="","",O3028/'[1]LOCH Calc COE Calc'!$C$28)</f>
        <v/>
      </c>
      <c r="U3028" t="str">
        <f>IF(L3028="","",P3028/'[1]LOCH Calc COE Calc'!$C$28)</f>
        <v/>
      </c>
      <c r="V3028" t="str">
        <f>IF(L3028="","",Q3028/'[1]LOCH Calc COE Calc'!$C$28)</f>
        <v/>
      </c>
      <c r="W3028" t="str">
        <f>IF(L3028="","",R3028/'[1]LOCH Calc COE Calc'!$C$28)</f>
        <v/>
      </c>
    </row>
    <row r="3029" spans="12:23" x14ac:dyDescent="0.25">
      <c r="L3029" s="4" t="str">
        <f>IF('[1]All Data '!BE3034="","",'[1]All Data '!BE3034)</f>
        <v/>
      </c>
      <c r="M3029" t="str">
        <f>IF('[1]All Data '!BF3034="","",'[1]All Data '!BF3034)</f>
        <v/>
      </c>
      <c r="N3029" s="5" t="str">
        <f>IF('[1]All Data '!BB3034="","",'[1]All Data '!BC3034/'[1]All Data '!BH3034)</f>
        <v/>
      </c>
      <c r="O3029" s="5" t="str">
        <f t="shared" si="49"/>
        <v/>
      </c>
      <c r="P3029" s="5" t="str">
        <f>IF(M3029="","",$C$2*(1-L3029)*907.2/0.621371*N3029*[1]Transportation!$M$40)</f>
        <v/>
      </c>
      <c r="Q3029" s="5" t="str">
        <f>IF(L3029="","",IF([1]Inputs_Outputs!$B$5="Herbaceous",(LCA!$E$29*'[1]LOCH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29" s="5" t="str">
        <f>IF(M3029="","",$E$2*1000*'[1]LOCH Calc COE Calc'!$C$44)</f>
        <v/>
      </c>
      <c r="S3029" s="6" t="str">
        <f>IF(N3029="","",SUM(O3029:R3029)/('[1]LOCH Calc COE Calc'!$C$28))</f>
        <v/>
      </c>
      <c r="T3029" t="str">
        <f>IF(L3029="","",O3029/'[1]LOCH Calc COE Calc'!$C$28)</f>
        <v/>
      </c>
      <c r="U3029" t="str">
        <f>IF(L3029="","",P3029/'[1]LOCH Calc COE Calc'!$C$28)</f>
        <v/>
      </c>
      <c r="V3029" t="str">
        <f>IF(L3029="","",Q3029/'[1]LOCH Calc COE Calc'!$C$28)</f>
        <v/>
      </c>
      <c r="W3029" t="str">
        <f>IF(L3029="","",R3029/'[1]LOCH Calc COE Calc'!$C$28)</f>
        <v/>
      </c>
    </row>
    <row r="3030" spans="12:23" x14ac:dyDescent="0.25">
      <c r="L3030" s="4" t="str">
        <f>IF('[1]All Data '!BE3035="","",'[1]All Data '!BE3035)</f>
        <v/>
      </c>
      <c r="M3030" t="str">
        <f>IF('[1]All Data '!BF3035="","",'[1]All Data '!BF3035)</f>
        <v/>
      </c>
      <c r="N3030" s="5" t="str">
        <f>IF('[1]All Data '!BB3035="","",'[1]All Data '!BC3035/'[1]All Data '!BH3035)</f>
        <v/>
      </c>
      <c r="O3030" s="5" t="str">
        <f t="shared" si="49"/>
        <v/>
      </c>
      <c r="P3030" s="5" t="str">
        <f>IF(M3030="","",$C$2*(1-L3030)*907.2/0.621371*N3030*[1]Transportation!$M$40)</f>
        <v/>
      </c>
      <c r="Q3030" s="5" t="str">
        <f>IF(L3030="","",IF([1]Inputs_Outputs!$B$5="Herbaceous",(LCA!$E$29*'[1]LOCH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0" s="5" t="str">
        <f>IF(M3030="","",$E$2*1000*'[1]LOCH Calc COE Calc'!$C$44)</f>
        <v/>
      </c>
      <c r="S3030" s="6" t="str">
        <f>IF(N3030="","",SUM(O3030:R3030)/('[1]LOCH Calc COE Calc'!$C$28))</f>
        <v/>
      </c>
      <c r="T3030" t="str">
        <f>IF(L3030="","",O3030/'[1]LOCH Calc COE Calc'!$C$28)</f>
        <v/>
      </c>
      <c r="U3030" t="str">
        <f>IF(L3030="","",P3030/'[1]LOCH Calc COE Calc'!$C$28)</f>
        <v/>
      </c>
      <c r="V3030" t="str">
        <f>IF(L3030="","",Q3030/'[1]LOCH Calc COE Calc'!$C$28)</f>
        <v/>
      </c>
      <c r="W3030" t="str">
        <f>IF(L3030="","",R3030/'[1]LOCH Calc COE Calc'!$C$28)</f>
        <v/>
      </c>
    </row>
    <row r="3031" spans="12:23" x14ac:dyDescent="0.25">
      <c r="L3031" s="4" t="str">
        <f>IF('[1]All Data '!BE3036="","",'[1]All Data '!BE3036)</f>
        <v/>
      </c>
      <c r="M3031" t="str">
        <f>IF('[1]All Data '!BF3036="","",'[1]All Data '!BF3036)</f>
        <v/>
      </c>
      <c r="N3031" s="5" t="str">
        <f>IF('[1]All Data '!BB3036="","",'[1]All Data '!BC3036/'[1]All Data '!BH3036)</f>
        <v/>
      </c>
      <c r="O3031" s="5" t="str">
        <f t="shared" si="49"/>
        <v/>
      </c>
      <c r="P3031" s="5" t="str">
        <f>IF(M3031="","",$C$2*(1-L3031)*907.2/0.621371*N3031*[1]Transportation!$M$40)</f>
        <v/>
      </c>
      <c r="Q3031" s="5" t="str">
        <f>IF(L3031="","",IF([1]Inputs_Outputs!$B$5="Herbaceous",(LCA!$E$29*'[1]LOCH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1" s="5" t="str">
        <f>IF(M3031="","",$E$2*1000*'[1]LOCH Calc COE Calc'!$C$44)</f>
        <v/>
      </c>
      <c r="S3031" s="6" t="str">
        <f>IF(N3031="","",SUM(O3031:R3031)/('[1]LOCH Calc COE Calc'!$C$28))</f>
        <v/>
      </c>
      <c r="T3031" t="str">
        <f>IF(L3031="","",O3031/'[1]LOCH Calc COE Calc'!$C$28)</f>
        <v/>
      </c>
      <c r="U3031" t="str">
        <f>IF(L3031="","",P3031/'[1]LOCH Calc COE Calc'!$C$28)</f>
        <v/>
      </c>
      <c r="V3031" t="str">
        <f>IF(L3031="","",Q3031/'[1]LOCH Calc COE Calc'!$C$28)</f>
        <v/>
      </c>
      <c r="W3031" t="str">
        <f>IF(L3031="","",R3031/'[1]LOCH Calc COE Calc'!$C$28)</f>
        <v/>
      </c>
    </row>
    <row r="3032" spans="12:23" x14ac:dyDescent="0.25">
      <c r="L3032" s="4" t="str">
        <f>IF('[1]All Data '!BE3037="","",'[1]All Data '!BE3037)</f>
        <v/>
      </c>
      <c r="M3032" t="str">
        <f>IF('[1]All Data '!BF3037="","",'[1]All Data '!BF3037)</f>
        <v/>
      </c>
      <c r="N3032" s="5" t="str">
        <f>IF('[1]All Data '!BB3037="","",'[1]All Data '!BC3037/'[1]All Data '!BH3037)</f>
        <v/>
      </c>
      <c r="O3032" s="5" t="str">
        <f t="shared" si="49"/>
        <v/>
      </c>
      <c r="P3032" s="5" t="str">
        <f>IF(M3032="","",$C$2*(1-L3032)*907.2/0.621371*N3032*[1]Transportation!$M$40)</f>
        <v/>
      </c>
      <c r="Q3032" s="5" t="str">
        <f>IF(L3032="","",IF([1]Inputs_Outputs!$B$5="Herbaceous",(LCA!$E$29*'[1]LOCH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2" s="5" t="str">
        <f>IF(M3032="","",$E$2*1000*'[1]LOCH Calc COE Calc'!$C$44)</f>
        <v/>
      </c>
      <c r="S3032" s="6" t="str">
        <f>IF(N3032="","",SUM(O3032:R3032)/('[1]LOCH Calc COE Calc'!$C$28))</f>
        <v/>
      </c>
      <c r="T3032" t="str">
        <f>IF(L3032="","",O3032/'[1]LOCH Calc COE Calc'!$C$28)</f>
        <v/>
      </c>
      <c r="U3032" t="str">
        <f>IF(L3032="","",P3032/'[1]LOCH Calc COE Calc'!$C$28)</f>
        <v/>
      </c>
      <c r="V3032" t="str">
        <f>IF(L3032="","",Q3032/'[1]LOCH Calc COE Calc'!$C$28)</f>
        <v/>
      </c>
      <c r="W3032" t="str">
        <f>IF(L3032="","",R3032/'[1]LOCH Calc COE Calc'!$C$28)</f>
        <v/>
      </c>
    </row>
    <row r="3033" spans="12:23" x14ac:dyDescent="0.25">
      <c r="L3033" s="4" t="str">
        <f>IF('[1]All Data '!BE3038="","",'[1]All Data '!BE3038)</f>
        <v/>
      </c>
      <c r="M3033" t="str">
        <f>IF('[1]All Data '!BF3038="","",'[1]All Data '!BF3038)</f>
        <v/>
      </c>
      <c r="N3033" s="5" t="str">
        <f>IF('[1]All Data '!BB3038="","",'[1]All Data '!BC3038/'[1]All Data '!BH3038)</f>
        <v/>
      </c>
      <c r="O3033" s="5" t="str">
        <f t="shared" si="49"/>
        <v/>
      </c>
      <c r="P3033" s="5" t="str">
        <f>IF(M3033="","",$C$2*(1-L3033)*907.2/0.621371*N3033*[1]Transportation!$M$40)</f>
        <v/>
      </c>
      <c r="Q3033" s="5" t="str">
        <f>IF(L3033="","",IF([1]Inputs_Outputs!$B$5="Herbaceous",(LCA!$E$29*'[1]LOCH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3" s="5" t="str">
        <f>IF(M3033="","",$E$2*1000*'[1]LOCH Calc COE Calc'!$C$44)</f>
        <v/>
      </c>
      <c r="S3033" s="6" t="str">
        <f>IF(N3033="","",SUM(O3033:R3033)/('[1]LOCH Calc COE Calc'!$C$28))</f>
        <v/>
      </c>
      <c r="T3033" t="str">
        <f>IF(L3033="","",O3033/'[1]LOCH Calc COE Calc'!$C$28)</f>
        <v/>
      </c>
      <c r="U3033" t="str">
        <f>IF(L3033="","",P3033/'[1]LOCH Calc COE Calc'!$C$28)</f>
        <v/>
      </c>
      <c r="V3033" t="str">
        <f>IF(L3033="","",Q3033/'[1]LOCH Calc COE Calc'!$C$28)</f>
        <v/>
      </c>
      <c r="W3033" t="str">
        <f>IF(L3033="","",R3033/'[1]LOCH Calc COE Calc'!$C$28)</f>
        <v/>
      </c>
    </row>
    <row r="3034" spans="12:23" x14ac:dyDescent="0.25">
      <c r="L3034" s="4" t="str">
        <f>IF('[1]All Data '!BE3039="","",'[1]All Data '!BE3039)</f>
        <v/>
      </c>
      <c r="M3034" t="str">
        <f>IF('[1]All Data '!BF3039="","",'[1]All Data '!BF3039)</f>
        <v/>
      </c>
      <c r="N3034" s="5" t="str">
        <f>IF('[1]All Data '!BB3039="","",'[1]All Data '!BC3039/'[1]All Data '!BH3039)</f>
        <v/>
      </c>
      <c r="O3034" s="5" t="str">
        <f t="shared" si="49"/>
        <v/>
      </c>
      <c r="P3034" s="5" t="str">
        <f>IF(M3034="","",$C$2*(1-L3034)*907.2/0.621371*N3034*[1]Transportation!$M$40)</f>
        <v/>
      </c>
      <c r="Q3034" s="5" t="str">
        <f>IF(L3034="","",IF([1]Inputs_Outputs!$B$5="Herbaceous",(LCA!$E$29*'[1]LOCH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4" s="5" t="str">
        <f>IF(M3034="","",$E$2*1000*'[1]LOCH Calc COE Calc'!$C$44)</f>
        <v/>
      </c>
      <c r="S3034" s="6" t="str">
        <f>IF(N3034="","",SUM(O3034:R3034)/('[1]LOCH Calc COE Calc'!$C$28))</f>
        <v/>
      </c>
      <c r="T3034" t="str">
        <f>IF(L3034="","",O3034/'[1]LOCH Calc COE Calc'!$C$28)</f>
        <v/>
      </c>
      <c r="U3034" t="str">
        <f>IF(L3034="","",P3034/'[1]LOCH Calc COE Calc'!$C$28)</f>
        <v/>
      </c>
      <c r="V3034" t="str">
        <f>IF(L3034="","",Q3034/'[1]LOCH Calc COE Calc'!$C$28)</f>
        <v/>
      </c>
      <c r="W3034" t="str">
        <f>IF(L3034="","",R3034/'[1]LOCH Calc COE Calc'!$C$28)</f>
        <v/>
      </c>
    </row>
    <row r="3035" spans="12:23" x14ac:dyDescent="0.25">
      <c r="L3035" s="4" t="str">
        <f>IF('[1]All Data '!BE3040="","",'[1]All Data '!BE3040)</f>
        <v/>
      </c>
      <c r="M3035" t="str">
        <f>IF('[1]All Data '!BF3040="","",'[1]All Data '!BF3040)</f>
        <v/>
      </c>
      <c r="N3035" s="5" t="str">
        <f>IF('[1]All Data '!BB3040="","",'[1]All Data '!BC3040/'[1]All Data '!BH3040)</f>
        <v/>
      </c>
      <c r="O3035" s="5" t="str">
        <f t="shared" si="49"/>
        <v/>
      </c>
      <c r="P3035" s="5" t="str">
        <f>IF(M3035="","",$C$2*(1-L3035)*907.2/0.621371*N3035*[1]Transportation!$M$40)</f>
        <v/>
      </c>
      <c r="Q3035" s="5" t="str">
        <f>IF(L3035="","",IF([1]Inputs_Outputs!$B$5="Herbaceous",(LCA!$E$29*'[1]LOCH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5" s="5" t="str">
        <f>IF(M3035="","",$E$2*1000*'[1]LOCH Calc COE Calc'!$C$44)</f>
        <v/>
      </c>
      <c r="S3035" s="6" t="str">
        <f>IF(N3035="","",SUM(O3035:R3035)/('[1]LOCH Calc COE Calc'!$C$28))</f>
        <v/>
      </c>
      <c r="T3035" t="str">
        <f>IF(L3035="","",O3035/'[1]LOCH Calc COE Calc'!$C$28)</f>
        <v/>
      </c>
      <c r="U3035" t="str">
        <f>IF(L3035="","",P3035/'[1]LOCH Calc COE Calc'!$C$28)</f>
        <v/>
      </c>
      <c r="V3035" t="str">
        <f>IF(L3035="","",Q3035/'[1]LOCH Calc COE Calc'!$C$28)</f>
        <v/>
      </c>
      <c r="W3035" t="str">
        <f>IF(L3035="","",R3035/'[1]LOCH Calc COE Calc'!$C$28)</f>
        <v/>
      </c>
    </row>
    <row r="3036" spans="12:23" x14ac:dyDescent="0.25">
      <c r="L3036" s="4" t="str">
        <f>IF('[1]All Data '!BE3041="","",'[1]All Data '!BE3041)</f>
        <v/>
      </c>
      <c r="M3036" t="str">
        <f>IF('[1]All Data '!BF3041="","",'[1]All Data '!BF3041)</f>
        <v/>
      </c>
      <c r="N3036" s="5" t="str">
        <f>IF('[1]All Data '!BB3041="","",'[1]All Data '!BC3041/'[1]All Data '!BH3041)</f>
        <v/>
      </c>
      <c r="O3036" s="5" t="str">
        <f t="shared" si="49"/>
        <v/>
      </c>
      <c r="P3036" s="5" t="str">
        <f>IF(M3036="","",$C$2*(1-L3036)*907.2/0.621371*N3036*[1]Transportation!$M$40)</f>
        <v/>
      </c>
      <c r="Q3036" s="5" t="str">
        <f>IF(L3036="","",IF([1]Inputs_Outputs!$B$5="Herbaceous",(LCA!$E$29*'[1]LOCH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6" s="5" t="str">
        <f>IF(M3036="","",$E$2*1000*'[1]LOCH Calc COE Calc'!$C$44)</f>
        <v/>
      </c>
      <c r="S3036" s="6" t="str">
        <f>IF(N3036="","",SUM(O3036:R3036)/('[1]LOCH Calc COE Calc'!$C$28))</f>
        <v/>
      </c>
      <c r="T3036" t="str">
        <f>IF(L3036="","",O3036/'[1]LOCH Calc COE Calc'!$C$28)</f>
        <v/>
      </c>
      <c r="U3036" t="str">
        <f>IF(L3036="","",P3036/'[1]LOCH Calc COE Calc'!$C$28)</f>
        <v/>
      </c>
      <c r="V3036" t="str">
        <f>IF(L3036="","",Q3036/'[1]LOCH Calc COE Calc'!$C$28)</f>
        <v/>
      </c>
      <c r="W3036" t="str">
        <f>IF(L3036="","",R3036/'[1]LOCH Calc COE Calc'!$C$28)</f>
        <v/>
      </c>
    </row>
    <row r="3037" spans="12:23" x14ac:dyDescent="0.25">
      <c r="L3037" s="4" t="str">
        <f>IF('[1]All Data '!BE3042="","",'[1]All Data '!BE3042)</f>
        <v/>
      </c>
      <c r="M3037" t="str">
        <f>IF('[1]All Data '!BF3042="","",'[1]All Data '!BF3042)</f>
        <v/>
      </c>
      <c r="N3037" s="5" t="str">
        <f>IF('[1]All Data '!BB3042="","",'[1]All Data '!BC3042/'[1]All Data '!BH3042)</f>
        <v/>
      </c>
      <c r="O3037" s="5" t="str">
        <f t="shared" si="49"/>
        <v/>
      </c>
      <c r="P3037" s="5" t="str">
        <f>IF(M3037="","",$C$2*(1-L3037)*907.2/0.621371*N3037*[1]Transportation!$M$40)</f>
        <v/>
      </c>
      <c r="Q3037" s="5" t="str">
        <f>IF(L3037="","",IF([1]Inputs_Outputs!$B$5="Herbaceous",(LCA!$E$29*'[1]LOCH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7" s="5" t="str">
        <f>IF(M3037="","",$E$2*1000*'[1]LOCH Calc COE Calc'!$C$44)</f>
        <v/>
      </c>
      <c r="S3037" s="6" t="str">
        <f>IF(N3037="","",SUM(O3037:R3037)/('[1]LOCH Calc COE Calc'!$C$28))</f>
        <v/>
      </c>
      <c r="T3037" t="str">
        <f>IF(L3037="","",O3037/'[1]LOCH Calc COE Calc'!$C$28)</f>
        <v/>
      </c>
      <c r="U3037" t="str">
        <f>IF(L3037="","",P3037/'[1]LOCH Calc COE Calc'!$C$28)</f>
        <v/>
      </c>
      <c r="V3037" t="str">
        <f>IF(L3037="","",Q3037/'[1]LOCH Calc COE Calc'!$C$28)</f>
        <v/>
      </c>
      <c r="W3037" t="str">
        <f>IF(L3037="","",R3037/'[1]LOCH Calc COE Calc'!$C$28)</f>
        <v/>
      </c>
    </row>
    <row r="3038" spans="12:23" x14ac:dyDescent="0.25">
      <c r="L3038" s="4" t="str">
        <f>IF('[1]All Data '!BE3043="","",'[1]All Data '!BE3043)</f>
        <v/>
      </c>
      <c r="M3038" t="str">
        <f>IF('[1]All Data '!BF3043="","",'[1]All Data '!BF3043)</f>
        <v/>
      </c>
      <c r="N3038" s="5" t="str">
        <f>IF('[1]All Data '!BB3043="","",'[1]All Data '!BC3043/'[1]All Data '!BH3043)</f>
        <v/>
      </c>
      <c r="O3038" s="5" t="str">
        <f t="shared" si="49"/>
        <v/>
      </c>
      <c r="P3038" s="5" t="str">
        <f>IF(M3038="","",$C$2*(1-L3038)*907.2/0.621371*N3038*[1]Transportation!$M$40)</f>
        <v/>
      </c>
      <c r="Q3038" s="5" t="str">
        <f>IF(L3038="","",IF([1]Inputs_Outputs!$B$5="Herbaceous",(LCA!$E$29*'[1]LOCH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8" s="5" t="str">
        <f>IF(M3038="","",$E$2*1000*'[1]LOCH Calc COE Calc'!$C$44)</f>
        <v/>
      </c>
      <c r="S3038" s="6" t="str">
        <f>IF(N3038="","",SUM(O3038:R3038)/('[1]LOCH Calc COE Calc'!$C$28))</f>
        <v/>
      </c>
      <c r="T3038" t="str">
        <f>IF(L3038="","",O3038/'[1]LOCH Calc COE Calc'!$C$28)</f>
        <v/>
      </c>
      <c r="U3038" t="str">
        <f>IF(L3038="","",P3038/'[1]LOCH Calc COE Calc'!$C$28)</f>
        <v/>
      </c>
      <c r="V3038" t="str">
        <f>IF(L3038="","",Q3038/'[1]LOCH Calc COE Calc'!$C$28)</f>
        <v/>
      </c>
      <c r="W3038" t="str">
        <f>IF(L3038="","",R3038/'[1]LOCH Calc COE Calc'!$C$28)</f>
        <v/>
      </c>
    </row>
    <row r="3039" spans="12:23" x14ac:dyDescent="0.25">
      <c r="L3039" s="4" t="str">
        <f>IF('[1]All Data '!BE3044="","",'[1]All Data '!BE3044)</f>
        <v/>
      </c>
      <c r="M3039" t="str">
        <f>IF('[1]All Data '!BF3044="","",'[1]All Data '!BF3044)</f>
        <v/>
      </c>
      <c r="N3039" s="5" t="str">
        <f>IF('[1]All Data '!BB3044="","",'[1]All Data '!BC3044/'[1]All Data '!BH3044)</f>
        <v/>
      </c>
      <c r="O3039" s="5" t="str">
        <f t="shared" si="49"/>
        <v/>
      </c>
      <c r="P3039" s="5" t="str">
        <f>IF(M3039="","",$C$2*(1-L3039)*907.2/0.621371*N3039*[1]Transportation!$M$40)</f>
        <v/>
      </c>
      <c r="Q3039" s="5" t="str">
        <f>IF(L3039="","",IF([1]Inputs_Outputs!$B$5="Herbaceous",(LCA!$E$29*'[1]LOCH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39" s="5" t="str">
        <f>IF(M3039="","",$E$2*1000*'[1]LOCH Calc COE Calc'!$C$44)</f>
        <v/>
      </c>
      <c r="S3039" s="6" t="str">
        <f>IF(N3039="","",SUM(O3039:R3039)/('[1]LOCH Calc COE Calc'!$C$28))</f>
        <v/>
      </c>
      <c r="T3039" t="str">
        <f>IF(L3039="","",O3039/'[1]LOCH Calc COE Calc'!$C$28)</f>
        <v/>
      </c>
      <c r="U3039" t="str">
        <f>IF(L3039="","",P3039/'[1]LOCH Calc COE Calc'!$C$28)</f>
        <v/>
      </c>
      <c r="V3039" t="str">
        <f>IF(L3039="","",Q3039/'[1]LOCH Calc COE Calc'!$C$28)</f>
        <v/>
      </c>
      <c r="W3039" t="str">
        <f>IF(L3039="","",R3039/'[1]LOCH Calc COE Calc'!$C$28)</f>
        <v/>
      </c>
    </row>
    <row r="3040" spans="12:23" x14ac:dyDescent="0.25">
      <c r="L3040" s="4" t="str">
        <f>IF('[1]All Data '!BE3045="","",'[1]All Data '!BE3045)</f>
        <v/>
      </c>
      <c r="M3040" t="str">
        <f>IF('[1]All Data '!BF3045="","",'[1]All Data '!BF3045)</f>
        <v/>
      </c>
      <c r="N3040" s="5" t="str">
        <f>IF('[1]All Data '!BB3045="","",'[1]All Data '!BC3045/'[1]All Data '!BH3045)</f>
        <v/>
      </c>
      <c r="O3040" s="5" t="str">
        <f t="shared" si="49"/>
        <v/>
      </c>
      <c r="P3040" s="5" t="str">
        <f>IF(M3040="","",$C$2*(1-L3040)*907.2/0.621371*N3040*[1]Transportation!$M$40)</f>
        <v/>
      </c>
      <c r="Q3040" s="5" t="str">
        <f>IF(L3040="","",IF([1]Inputs_Outputs!$B$5="Herbaceous",(LCA!$E$29*'[1]LOCH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0" s="5" t="str">
        <f>IF(M3040="","",$E$2*1000*'[1]LOCH Calc COE Calc'!$C$44)</f>
        <v/>
      </c>
      <c r="S3040" s="6" t="str">
        <f>IF(N3040="","",SUM(O3040:R3040)/('[1]LOCH Calc COE Calc'!$C$28))</f>
        <v/>
      </c>
      <c r="T3040" t="str">
        <f>IF(L3040="","",O3040/'[1]LOCH Calc COE Calc'!$C$28)</f>
        <v/>
      </c>
      <c r="U3040" t="str">
        <f>IF(L3040="","",P3040/'[1]LOCH Calc COE Calc'!$C$28)</f>
        <v/>
      </c>
      <c r="V3040" t="str">
        <f>IF(L3040="","",Q3040/'[1]LOCH Calc COE Calc'!$C$28)</f>
        <v/>
      </c>
      <c r="W3040" t="str">
        <f>IF(L3040="","",R3040/'[1]LOCH Calc COE Calc'!$C$28)</f>
        <v/>
      </c>
    </row>
    <row r="3041" spans="12:23" x14ac:dyDescent="0.25">
      <c r="L3041" s="4" t="str">
        <f>IF('[1]All Data '!BE3046="","",'[1]All Data '!BE3046)</f>
        <v/>
      </c>
      <c r="M3041" t="str">
        <f>IF('[1]All Data '!BF3046="","",'[1]All Data '!BF3046)</f>
        <v/>
      </c>
      <c r="N3041" s="5" t="str">
        <f>IF('[1]All Data '!BB3046="","",'[1]All Data '!BC3046/'[1]All Data '!BH3046)</f>
        <v/>
      </c>
      <c r="O3041" s="5" t="str">
        <f t="shared" si="49"/>
        <v/>
      </c>
      <c r="P3041" s="5" t="str">
        <f>IF(M3041="","",$C$2*(1-L3041)*907.2/0.621371*N3041*[1]Transportation!$M$40)</f>
        <v/>
      </c>
      <c r="Q3041" s="5" t="str">
        <f>IF(L3041="","",IF([1]Inputs_Outputs!$B$5="Herbaceous",(LCA!$E$29*'[1]LOCH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1" s="5" t="str">
        <f>IF(M3041="","",$E$2*1000*'[1]LOCH Calc COE Calc'!$C$44)</f>
        <v/>
      </c>
      <c r="S3041" s="6" t="str">
        <f>IF(N3041="","",SUM(O3041:R3041)/('[1]LOCH Calc COE Calc'!$C$28))</f>
        <v/>
      </c>
      <c r="T3041" t="str">
        <f>IF(L3041="","",O3041/'[1]LOCH Calc COE Calc'!$C$28)</f>
        <v/>
      </c>
      <c r="U3041" t="str">
        <f>IF(L3041="","",P3041/'[1]LOCH Calc COE Calc'!$C$28)</f>
        <v/>
      </c>
      <c r="V3041" t="str">
        <f>IF(L3041="","",Q3041/'[1]LOCH Calc COE Calc'!$C$28)</f>
        <v/>
      </c>
      <c r="W3041" t="str">
        <f>IF(L3041="","",R3041/'[1]LOCH Calc COE Calc'!$C$28)</f>
        <v/>
      </c>
    </row>
    <row r="3042" spans="12:23" x14ac:dyDescent="0.25">
      <c r="L3042" s="4" t="str">
        <f>IF('[1]All Data '!BE3047="","",'[1]All Data '!BE3047)</f>
        <v/>
      </c>
      <c r="M3042" t="str">
        <f>IF('[1]All Data '!BF3047="","",'[1]All Data '!BF3047)</f>
        <v/>
      </c>
      <c r="N3042" s="5" t="str">
        <f>IF('[1]All Data '!BB3047="","",'[1]All Data '!BC3047/'[1]All Data '!BH3047)</f>
        <v/>
      </c>
      <c r="O3042" s="5" t="str">
        <f t="shared" si="49"/>
        <v/>
      </c>
      <c r="P3042" s="5" t="str">
        <f>IF(M3042="","",$C$2*(1-L3042)*907.2/0.621371*N3042*[1]Transportation!$M$40)</f>
        <v/>
      </c>
      <c r="Q3042" s="5" t="str">
        <f>IF(L3042="","",IF([1]Inputs_Outputs!$B$5="Herbaceous",(LCA!$E$29*'[1]LOCH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2" s="5" t="str">
        <f>IF(M3042="","",$E$2*1000*'[1]LOCH Calc COE Calc'!$C$44)</f>
        <v/>
      </c>
      <c r="S3042" s="6" t="str">
        <f>IF(N3042="","",SUM(O3042:R3042)/('[1]LOCH Calc COE Calc'!$C$28))</f>
        <v/>
      </c>
      <c r="T3042" t="str">
        <f>IF(L3042="","",O3042/'[1]LOCH Calc COE Calc'!$C$28)</f>
        <v/>
      </c>
      <c r="U3042" t="str">
        <f>IF(L3042="","",P3042/'[1]LOCH Calc COE Calc'!$C$28)</f>
        <v/>
      </c>
      <c r="V3042" t="str">
        <f>IF(L3042="","",Q3042/'[1]LOCH Calc COE Calc'!$C$28)</f>
        <v/>
      </c>
      <c r="W3042" t="str">
        <f>IF(L3042="","",R3042/'[1]LOCH Calc COE Calc'!$C$28)</f>
        <v/>
      </c>
    </row>
    <row r="3043" spans="12:23" x14ac:dyDescent="0.25">
      <c r="L3043" s="4" t="str">
        <f>IF('[1]All Data '!BE3048="","",'[1]All Data '!BE3048)</f>
        <v/>
      </c>
      <c r="M3043" t="str">
        <f>IF('[1]All Data '!BF3048="","",'[1]All Data '!BF3048)</f>
        <v/>
      </c>
      <c r="N3043" s="5" t="str">
        <f>IF('[1]All Data '!BB3048="","",'[1]All Data '!BC3048/'[1]All Data '!BH3048)</f>
        <v/>
      </c>
      <c r="O3043" s="5" t="str">
        <f t="shared" ref="O3043:O3106" si="50">IF(N3043="","",M3043*N3043)</f>
        <v/>
      </c>
      <c r="P3043" s="5" t="str">
        <f>IF(M3043="","",$C$2*(1-L3043)*907.2/0.621371*N3043*[1]Transportation!$M$40)</f>
        <v/>
      </c>
      <c r="Q3043" s="5" t="str">
        <f>IF(L3043="","",IF([1]Inputs_Outputs!$B$5="Herbaceous",(LCA!$E$29*'[1]LOCH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3" s="5" t="str">
        <f>IF(M3043="","",$E$2*1000*'[1]LOCH Calc COE Calc'!$C$44)</f>
        <v/>
      </c>
      <c r="S3043" s="6" t="str">
        <f>IF(N3043="","",SUM(O3043:R3043)/('[1]LOCH Calc COE Calc'!$C$28))</f>
        <v/>
      </c>
      <c r="T3043" t="str">
        <f>IF(L3043="","",O3043/'[1]LOCH Calc COE Calc'!$C$28)</f>
        <v/>
      </c>
      <c r="U3043" t="str">
        <f>IF(L3043="","",P3043/'[1]LOCH Calc COE Calc'!$C$28)</f>
        <v/>
      </c>
      <c r="V3043" t="str">
        <f>IF(L3043="","",Q3043/'[1]LOCH Calc COE Calc'!$C$28)</f>
        <v/>
      </c>
      <c r="W3043" t="str">
        <f>IF(L3043="","",R3043/'[1]LOCH Calc COE Calc'!$C$28)</f>
        <v/>
      </c>
    </row>
    <row r="3044" spans="12:23" x14ac:dyDescent="0.25">
      <c r="L3044" s="4" t="str">
        <f>IF('[1]All Data '!BE3049="","",'[1]All Data '!BE3049)</f>
        <v/>
      </c>
      <c r="M3044" t="str">
        <f>IF('[1]All Data '!BF3049="","",'[1]All Data '!BF3049)</f>
        <v/>
      </c>
      <c r="N3044" s="5" t="str">
        <f>IF('[1]All Data '!BB3049="","",'[1]All Data '!BC3049/'[1]All Data '!BH3049)</f>
        <v/>
      </c>
      <c r="O3044" s="5" t="str">
        <f t="shared" si="50"/>
        <v/>
      </c>
      <c r="P3044" s="5" t="str">
        <f>IF(M3044="","",$C$2*(1-L3044)*907.2/0.621371*N3044*[1]Transportation!$M$40)</f>
        <v/>
      </c>
      <c r="Q3044" s="5" t="str">
        <f>IF(L3044="","",IF([1]Inputs_Outputs!$B$5="Herbaceous",(LCA!$E$29*'[1]LOCH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4" s="5" t="str">
        <f>IF(M3044="","",$E$2*1000*'[1]LOCH Calc COE Calc'!$C$44)</f>
        <v/>
      </c>
      <c r="S3044" s="6" t="str">
        <f>IF(N3044="","",SUM(O3044:R3044)/('[1]LOCH Calc COE Calc'!$C$28))</f>
        <v/>
      </c>
      <c r="T3044" t="str">
        <f>IF(L3044="","",O3044/'[1]LOCH Calc COE Calc'!$C$28)</f>
        <v/>
      </c>
      <c r="U3044" t="str">
        <f>IF(L3044="","",P3044/'[1]LOCH Calc COE Calc'!$C$28)</f>
        <v/>
      </c>
      <c r="V3044" t="str">
        <f>IF(L3044="","",Q3044/'[1]LOCH Calc COE Calc'!$C$28)</f>
        <v/>
      </c>
      <c r="W3044" t="str">
        <f>IF(L3044="","",R3044/'[1]LOCH Calc COE Calc'!$C$28)</f>
        <v/>
      </c>
    </row>
    <row r="3045" spans="12:23" x14ac:dyDescent="0.25">
      <c r="L3045" s="4" t="str">
        <f>IF('[1]All Data '!BE3050="","",'[1]All Data '!BE3050)</f>
        <v/>
      </c>
      <c r="M3045" t="str">
        <f>IF('[1]All Data '!BF3050="","",'[1]All Data '!BF3050)</f>
        <v/>
      </c>
      <c r="N3045" s="5" t="str">
        <f>IF('[1]All Data '!BB3050="","",'[1]All Data '!BC3050/'[1]All Data '!BH3050)</f>
        <v/>
      </c>
      <c r="O3045" s="5" t="str">
        <f t="shared" si="50"/>
        <v/>
      </c>
      <c r="P3045" s="5" t="str">
        <f>IF(M3045="","",$C$2*(1-L3045)*907.2/0.621371*N3045*[1]Transportation!$M$40)</f>
        <v/>
      </c>
      <c r="Q3045" s="5" t="str">
        <f>IF(L3045="","",IF([1]Inputs_Outputs!$B$5="Herbaceous",(LCA!$E$29*'[1]LOCH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5" s="5" t="str">
        <f>IF(M3045="","",$E$2*1000*'[1]LOCH Calc COE Calc'!$C$44)</f>
        <v/>
      </c>
      <c r="S3045" s="6" t="str">
        <f>IF(N3045="","",SUM(O3045:R3045)/('[1]LOCH Calc COE Calc'!$C$28))</f>
        <v/>
      </c>
      <c r="T3045" t="str">
        <f>IF(L3045="","",O3045/'[1]LOCH Calc COE Calc'!$C$28)</f>
        <v/>
      </c>
      <c r="U3045" t="str">
        <f>IF(L3045="","",P3045/'[1]LOCH Calc COE Calc'!$C$28)</f>
        <v/>
      </c>
      <c r="V3045" t="str">
        <f>IF(L3045="","",Q3045/'[1]LOCH Calc COE Calc'!$C$28)</f>
        <v/>
      </c>
      <c r="W3045" t="str">
        <f>IF(L3045="","",R3045/'[1]LOCH Calc COE Calc'!$C$28)</f>
        <v/>
      </c>
    </row>
    <row r="3046" spans="12:23" x14ac:dyDescent="0.25">
      <c r="L3046" s="4" t="str">
        <f>IF('[1]All Data '!BE3051="","",'[1]All Data '!BE3051)</f>
        <v/>
      </c>
      <c r="M3046" t="str">
        <f>IF('[1]All Data '!BF3051="","",'[1]All Data '!BF3051)</f>
        <v/>
      </c>
      <c r="N3046" s="5" t="str">
        <f>IF('[1]All Data '!BB3051="","",'[1]All Data '!BC3051/'[1]All Data '!BH3051)</f>
        <v/>
      </c>
      <c r="O3046" s="5" t="str">
        <f t="shared" si="50"/>
        <v/>
      </c>
      <c r="P3046" s="5" t="str">
        <f>IF(M3046="","",$C$2*(1-L3046)*907.2/0.621371*N3046*[1]Transportation!$M$40)</f>
        <v/>
      </c>
      <c r="Q3046" s="5" t="str">
        <f>IF(L3046="","",IF([1]Inputs_Outputs!$B$5="Herbaceous",(LCA!$E$29*'[1]LOCH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6" s="5" t="str">
        <f>IF(M3046="","",$E$2*1000*'[1]LOCH Calc COE Calc'!$C$44)</f>
        <v/>
      </c>
      <c r="S3046" s="6" t="str">
        <f>IF(N3046="","",SUM(O3046:R3046)/('[1]LOCH Calc COE Calc'!$C$28))</f>
        <v/>
      </c>
      <c r="T3046" t="str">
        <f>IF(L3046="","",O3046/'[1]LOCH Calc COE Calc'!$C$28)</f>
        <v/>
      </c>
      <c r="U3046" t="str">
        <f>IF(L3046="","",P3046/'[1]LOCH Calc COE Calc'!$C$28)</f>
        <v/>
      </c>
      <c r="V3046" t="str">
        <f>IF(L3046="","",Q3046/'[1]LOCH Calc COE Calc'!$C$28)</f>
        <v/>
      </c>
      <c r="W3046" t="str">
        <f>IF(L3046="","",R3046/'[1]LOCH Calc COE Calc'!$C$28)</f>
        <v/>
      </c>
    </row>
    <row r="3047" spans="12:23" x14ac:dyDescent="0.25">
      <c r="L3047" s="4" t="str">
        <f>IF('[1]All Data '!BE3052="","",'[1]All Data '!BE3052)</f>
        <v/>
      </c>
      <c r="M3047" t="str">
        <f>IF('[1]All Data '!BF3052="","",'[1]All Data '!BF3052)</f>
        <v/>
      </c>
      <c r="N3047" s="5" t="str">
        <f>IF('[1]All Data '!BB3052="","",'[1]All Data '!BC3052/'[1]All Data '!BH3052)</f>
        <v/>
      </c>
      <c r="O3047" s="5" t="str">
        <f t="shared" si="50"/>
        <v/>
      </c>
      <c r="P3047" s="5" t="str">
        <f>IF(M3047="","",$C$2*(1-L3047)*907.2/0.621371*N3047*[1]Transportation!$M$40)</f>
        <v/>
      </c>
      <c r="Q3047" s="5" t="str">
        <f>IF(L3047="","",IF([1]Inputs_Outputs!$B$5="Herbaceous",(LCA!$E$29*'[1]LOCH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7" s="5" t="str">
        <f>IF(M3047="","",$E$2*1000*'[1]LOCH Calc COE Calc'!$C$44)</f>
        <v/>
      </c>
      <c r="S3047" s="6" t="str">
        <f>IF(N3047="","",SUM(O3047:R3047)/('[1]LOCH Calc COE Calc'!$C$28))</f>
        <v/>
      </c>
      <c r="T3047" t="str">
        <f>IF(L3047="","",O3047/'[1]LOCH Calc COE Calc'!$C$28)</f>
        <v/>
      </c>
      <c r="U3047" t="str">
        <f>IF(L3047="","",P3047/'[1]LOCH Calc COE Calc'!$C$28)</f>
        <v/>
      </c>
      <c r="V3047" t="str">
        <f>IF(L3047="","",Q3047/'[1]LOCH Calc COE Calc'!$C$28)</f>
        <v/>
      </c>
      <c r="W3047" t="str">
        <f>IF(L3047="","",R3047/'[1]LOCH Calc COE Calc'!$C$28)</f>
        <v/>
      </c>
    </row>
    <row r="3048" spans="12:23" x14ac:dyDescent="0.25">
      <c r="L3048" s="4" t="str">
        <f>IF('[1]All Data '!BE3053="","",'[1]All Data '!BE3053)</f>
        <v/>
      </c>
      <c r="M3048" t="str">
        <f>IF('[1]All Data '!BF3053="","",'[1]All Data '!BF3053)</f>
        <v/>
      </c>
      <c r="N3048" s="5" t="str">
        <f>IF('[1]All Data '!BB3053="","",'[1]All Data '!BC3053/'[1]All Data '!BH3053)</f>
        <v/>
      </c>
      <c r="O3048" s="5" t="str">
        <f t="shared" si="50"/>
        <v/>
      </c>
      <c r="P3048" s="5" t="str">
        <f>IF(M3048="","",$C$2*(1-L3048)*907.2/0.621371*N3048*[1]Transportation!$M$40)</f>
        <v/>
      </c>
      <c r="Q3048" s="5" t="str">
        <f>IF(L3048="","",IF([1]Inputs_Outputs!$B$5="Herbaceous",(LCA!$E$29*'[1]LOCH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8" s="5" t="str">
        <f>IF(M3048="","",$E$2*1000*'[1]LOCH Calc COE Calc'!$C$44)</f>
        <v/>
      </c>
      <c r="S3048" s="6" t="str">
        <f>IF(N3048="","",SUM(O3048:R3048)/('[1]LOCH Calc COE Calc'!$C$28))</f>
        <v/>
      </c>
      <c r="T3048" t="str">
        <f>IF(L3048="","",O3048/'[1]LOCH Calc COE Calc'!$C$28)</f>
        <v/>
      </c>
      <c r="U3048" t="str">
        <f>IF(L3048="","",P3048/'[1]LOCH Calc COE Calc'!$C$28)</f>
        <v/>
      </c>
      <c r="V3048" t="str">
        <f>IF(L3048="","",Q3048/'[1]LOCH Calc COE Calc'!$C$28)</f>
        <v/>
      </c>
      <c r="W3048" t="str">
        <f>IF(L3048="","",R3048/'[1]LOCH Calc COE Calc'!$C$28)</f>
        <v/>
      </c>
    </row>
    <row r="3049" spans="12:23" x14ac:dyDescent="0.25">
      <c r="L3049" s="4" t="str">
        <f>IF('[1]All Data '!BE3054="","",'[1]All Data '!BE3054)</f>
        <v/>
      </c>
      <c r="M3049" t="str">
        <f>IF('[1]All Data '!BF3054="","",'[1]All Data '!BF3054)</f>
        <v/>
      </c>
      <c r="N3049" s="5" t="str">
        <f>IF('[1]All Data '!BB3054="","",'[1]All Data '!BC3054/'[1]All Data '!BH3054)</f>
        <v/>
      </c>
      <c r="O3049" s="5" t="str">
        <f t="shared" si="50"/>
        <v/>
      </c>
      <c r="P3049" s="5" t="str">
        <f>IF(M3049="","",$C$2*(1-L3049)*907.2/0.621371*N3049*[1]Transportation!$M$40)</f>
        <v/>
      </c>
      <c r="Q3049" s="5" t="str">
        <f>IF(L3049="","",IF([1]Inputs_Outputs!$B$5="Herbaceous",(LCA!$E$29*'[1]LOCH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49" s="5" t="str">
        <f>IF(M3049="","",$E$2*1000*'[1]LOCH Calc COE Calc'!$C$44)</f>
        <v/>
      </c>
      <c r="S3049" s="6" t="str">
        <f>IF(N3049="","",SUM(O3049:R3049)/('[1]LOCH Calc COE Calc'!$C$28))</f>
        <v/>
      </c>
      <c r="T3049" t="str">
        <f>IF(L3049="","",O3049/'[1]LOCH Calc COE Calc'!$C$28)</f>
        <v/>
      </c>
      <c r="U3049" t="str">
        <f>IF(L3049="","",P3049/'[1]LOCH Calc COE Calc'!$C$28)</f>
        <v/>
      </c>
      <c r="V3049" t="str">
        <f>IF(L3049="","",Q3049/'[1]LOCH Calc COE Calc'!$C$28)</f>
        <v/>
      </c>
      <c r="W3049" t="str">
        <f>IF(L3049="","",R3049/'[1]LOCH Calc COE Calc'!$C$28)</f>
        <v/>
      </c>
    </row>
    <row r="3050" spans="12:23" x14ac:dyDescent="0.25">
      <c r="L3050" s="4" t="str">
        <f>IF('[1]All Data '!BE3055="","",'[1]All Data '!BE3055)</f>
        <v/>
      </c>
      <c r="M3050" t="str">
        <f>IF('[1]All Data '!BF3055="","",'[1]All Data '!BF3055)</f>
        <v/>
      </c>
      <c r="N3050" s="5" t="str">
        <f>IF('[1]All Data '!BB3055="","",'[1]All Data '!BC3055/'[1]All Data '!BH3055)</f>
        <v/>
      </c>
      <c r="O3050" s="5" t="str">
        <f t="shared" si="50"/>
        <v/>
      </c>
      <c r="P3050" s="5" t="str">
        <f>IF(M3050="","",$C$2*(1-L3050)*907.2/0.621371*N3050*[1]Transportation!$M$40)</f>
        <v/>
      </c>
      <c r="Q3050" s="5" t="str">
        <f>IF(L3050="","",IF([1]Inputs_Outputs!$B$5="Herbaceous",(LCA!$E$29*'[1]LOCH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0" s="5" t="str">
        <f>IF(M3050="","",$E$2*1000*'[1]LOCH Calc COE Calc'!$C$44)</f>
        <v/>
      </c>
      <c r="S3050" s="6" t="str">
        <f>IF(N3050="","",SUM(O3050:R3050)/('[1]LOCH Calc COE Calc'!$C$28))</f>
        <v/>
      </c>
      <c r="T3050" t="str">
        <f>IF(L3050="","",O3050/'[1]LOCH Calc COE Calc'!$C$28)</f>
        <v/>
      </c>
      <c r="U3050" t="str">
        <f>IF(L3050="","",P3050/'[1]LOCH Calc COE Calc'!$C$28)</f>
        <v/>
      </c>
      <c r="V3050" t="str">
        <f>IF(L3050="","",Q3050/'[1]LOCH Calc COE Calc'!$C$28)</f>
        <v/>
      </c>
      <c r="W3050" t="str">
        <f>IF(L3050="","",R3050/'[1]LOCH Calc COE Calc'!$C$28)</f>
        <v/>
      </c>
    </row>
    <row r="3051" spans="12:23" x14ac:dyDescent="0.25">
      <c r="L3051" s="4" t="str">
        <f>IF('[1]All Data '!BE3056="","",'[1]All Data '!BE3056)</f>
        <v/>
      </c>
      <c r="M3051" t="str">
        <f>IF('[1]All Data '!BF3056="","",'[1]All Data '!BF3056)</f>
        <v/>
      </c>
      <c r="N3051" s="5" t="str">
        <f>IF('[1]All Data '!BB3056="","",'[1]All Data '!BC3056/'[1]All Data '!BH3056)</f>
        <v/>
      </c>
      <c r="O3051" s="5" t="str">
        <f t="shared" si="50"/>
        <v/>
      </c>
      <c r="P3051" s="5" t="str">
        <f>IF(M3051="","",$C$2*(1-L3051)*907.2/0.621371*N3051*[1]Transportation!$M$40)</f>
        <v/>
      </c>
      <c r="Q3051" s="5" t="str">
        <f>IF(L3051="","",IF([1]Inputs_Outputs!$B$5="Herbaceous",(LCA!$E$29*'[1]LOCH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1" s="5" t="str">
        <f>IF(M3051="","",$E$2*1000*'[1]LOCH Calc COE Calc'!$C$44)</f>
        <v/>
      </c>
      <c r="S3051" s="6" t="str">
        <f>IF(N3051="","",SUM(O3051:R3051)/('[1]LOCH Calc COE Calc'!$C$28))</f>
        <v/>
      </c>
      <c r="T3051" t="str">
        <f>IF(L3051="","",O3051/'[1]LOCH Calc COE Calc'!$C$28)</f>
        <v/>
      </c>
      <c r="U3051" t="str">
        <f>IF(L3051="","",P3051/'[1]LOCH Calc COE Calc'!$C$28)</f>
        <v/>
      </c>
      <c r="V3051" t="str">
        <f>IF(L3051="","",Q3051/'[1]LOCH Calc COE Calc'!$C$28)</f>
        <v/>
      </c>
      <c r="W3051" t="str">
        <f>IF(L3051="","",R3051/'[1]LOCH Calc COE Calc'!$C$28)</f>
        <v/>
      </c>
    </row>
    <row r="3052" spans="12:23" x14ac:dyDescent="0.25">
      <c r="L3052" s="4" t="str">
        <f>IF('[1]All Data '!BE3057="","",'[1]All Data '!BE3057)</f>
        <v/>
      </c>
      <c r="M3052" t="str">
        <f>IF('[1]All Data '!BF3057="","",'[1]All Data '!BF3057)</f>
        <v/>
      </c>
      <c r="N3052" s="5" t="str">
        <f>IF('[1]All Data '!BB3057="","",'[1]All Data '!BC3057/'[1]All Data '!BH3057)</f>
        <v/>
      </c>
      <c r="O3052" s="5" t="str">
        <f t="shared" si="50"/>
        <v/>
      </c>
      <c r="P3052" s="5" t="str">
        <f>IF(M3052="","",$C$2*(1-L3052)*907.2/0.621371*N3052*[1]Transportation!$M$40)</f>
        <v/>
      </c>
      <c r="Q3052" s="5" t="str">
        <f>IF(L3052="","",IF([1]Inputs_Outputs!$B$5="Herbaceous",(LCA!$E$29*'[1]LOCH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2" s="5" t="str">
        <f>IF(M3052="","",$E$2*1000*'[1]LOCH Calc COE Calc'!$C$44)</f>
        <v/>
      </c>
      <c r="S3052" s="6" t="str">
        <f>IF(N3052="","",SUM(O3052:R3052)/('[1]LOCH Calc COE Calc'!$C$28))</f>
        <v/>
      </c>
      <c r="T3052" t="str">
        <f>IF(L3052="","",O3052/'[1]LOCH Calc COE Calc'!$C$28)</f>
        <v/>
      </c>
      <c r="U3052" t="str">
        <f>IF(L3052="","",P3052/'[1]LOCH Calc COE Calc'!$C$28)</f>
        <v/>
      </c>
      <c r="V3052" t="str">
        <f>IF(L3052="","",Q3052/'[1]LOCH Calc COE Calc'!$C$28)</f>
        <v/>
      </c>
      <c r="W3052" t="str">
        <f>IF(L3052="","",R3052/'[1]LOCH Calc COE Calc'!$C$28)</f>
        <v/>
      </c>
    </row>
    <row r="3053" spans="12:23" x14ac:dyDescent="0.25">
      <c r="L3053" s="4" t="str">
        <f>IF('[1]All Data '!BE3058="","",'[1]All Data '!BE3058)</f>
        <v/>
      </c>
      <c r="M3053" t="str">
        <f>IF('[1]All Data '!BF3058="","",'[1]All Data '!BF3058)</f>
        <v/>
      </c>
      <c r="N3053" s="5" t="str">
        <f>IF('[1]All Data '!BB3058="","",'[1]All Data '!BC3058/'[1]All Data '!BH3058)</f>
        <v/>
      </c>
      <c r="O3053" s="5" t="str">
        <f t="shared" si="50"/>
        <v/>
      </c>
      <c r="P3053" s="5" t="str">
        <f>IF(M3053="","",$C$2*(1-L3053)*907.2/0.621371*N3053*[1]Transportation!$M$40)</f>
        <v/>
      </c>
      <c r="Q3053" s="5" t="str">
        <f>IF(L3053="","",IF([1]Inputs_Outputs!$B$5="Herbaceous",(LCA!$E$29*'[1]LOCH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3" s="5" t="str">
        <f>IF(M3053="","",$E$2*1000*'[1]LOCH Calc COE Calc'!$C$44)</f>
        <v/>
      </c>
      <c r="S3053" s="6" t="str">
        <f>IF(N3053="","",SUM(O3053:R3053)/('[1]LOCH Calc COE Calc'!$C$28))</f>
        <v/>
      </c>
      <c r="T3053" t="str">
        <f>IF(L3053="","",O3053/'[1]LOCH Calc COE Calc'!$C$28)</f>
        <v/>
      </c>
      <c r="U3053" t="str">
        <f>IF(L3053="","",P3053/'[1]LOCH Calc COE Calc'!$C$28)</f>
        <v/>
      </c>
      <c r="V3053" t="str">
        <f>IF(L3053="","",Q3053/'[1]LOCH Calc COE Calc'!$C$28)</f>
        <v/>
      </c>
      <c r="W3053" t="str">
        <f>IF(L3053="","",R3053/'[1]LOCH Calc COE Calc'!$C$28)</f>
        <v/>
      </c>
    </row>
    <row r="3054" spans="12:23" x14ac:dyDescent="0.25">
      <c r="L3054" s="4" t="str">
        <f>IF('[1]All Data '!BE3059="","",'[1]All Data '!BE3059)</f>
        <v/>
      </c>
      <c r="M3054" t="str">
        <f>IF('[1]All Data '!BF3059="","",'[1]All Data '!BF3059)</f>
        <v/>
      </c>
      <c r="N3054" s="5" t="str">
        <f>IF('[1]All Data '!BB3059="","",'[1]All Data '!BC3059/'[1]All Data '!BH3059)</f>
        <v/>
      </c>
      <c r="O3054" s="5" t="str">
        <f t="shared" si="50"/>
        <v/>
      </c>
      <c r="P3054" s="5" t="str">
        <f>IF(M3054="","",$C$2*(1-L3054)*907.2/0.621371*N3054*[1]Transportation!$M$40)</f>
        <v/>
      </c>
      <c r="Q3054" s="5" t="str">
        <f>IF(L3054="","",IF([1]Inputs_Outputs!$B$5="Herbaceous",(LCA!$E$29*'[1]LOCH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4" s="5" t="str">
        <f>IF(M3054="","",$E$2*1000*'[1]LOCH Calc COE Calc'!$C$44)</f>
        <v/>
      </c>
      <c r="S3054" s="6" t="str">
        <f>IF(N3054="","",SUM(O3054:R3054)/('[1]LOCH Calc COE Calc'!$C$28))</f>
        <v/>
      </c>
      <c r="T3054" t="str">
        <f>IF(L3054="","",O3054/'[1]LOCH Calc COE Calc'!$C$28)</f>
        <v/>
      </c>
      <c r="U3054" t="str">
        <f>IF(L3054="","",P3054/'[1]LOCH Calc COE Calc'!$C$28)</f>
        <v/>
      </c>
      <c r="V3054" t="str">
        <f>IF(L3054="","",Q3054/'[1]LOCH Calc COE Calc'!$C$28)</f>
        <v/>
      </c>
      <c r="W3054" t="str">
        <f>IF(L3054="","",R3054/'[1]LOCH Calc COE Calc'!$C$28)</f>
        <v/>
      </c>
    </row>
    <row r="3055" spans="12:23" x14ac:dyDescent="0.25">
      <c r="L3055" s="4" t="str">
        <f>IF('[1]All Data '!BE3060="","",'[1]All Data '!BE3060)</f>
        <v/>
      </c>
      <c r="M3055" t="str">
        <f>IF('[1]All Data '!BF3060="","",'[1]All Data '!BF3060)</f>
        <v/>
      </c>
      <c r="N3055" s="5" t="str">
        <f>IF('[1]All Data '!BB3060="","",'[1]All Data '!BC3060/'[1]All Data '!BH3060)</f>
        <v/>
      </c>
      <c r="O3055" s="5" t="str">
        <f t="shared" si="50"/>
        <v/>
      </c>
      <c r="P3055" s="5" t="str">
        <f>IF(M3055="","",$C$2*(1-L3055)*907.2/0.621371*N3055*[1]Transportation!$M$40)</f>
        <v/>
      </c>
      <c r="Q3055" s="5" t="str">
        <f>IF(L3055="","",IF([1]Inputs_Outputs!$B$5="Herbaceous",(LCA!$E$29*'[1]LOCH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5" s="5" t="str">
        <f>IF(M3055="","",$E$2*1000*'[1]LOCH Calc COE Calc'!$C$44)</f>
        <v/>
      </c>
      <c r="S3055" s="6" t="str">
        <f>IF(N3055="","",SUM(O3055:R3055)/('[1]LOCH Calc COE Calc'!$C$28))</f>
        <v/>
      </c>
      <c r="T3055" t="str">
        <f>IF(L3055="","",O3055/'[1]LOCH Calc COE Calc'!$C$28)</f>
        <v/>
      </c>
      <c r="U3055" t="str">
        <f>IF(L3055="","",P3055/'[1]LOCH Calc COE Calc'!$C$28)</f>
        <v/>
      </c>
      <c r="V3055" t="str">
        <f>IF(L3055="","",Q3055/'[1]LOCH Calc COE Calc'!$C$28)</f>
        <v/>
      </c>
      <c r="W3055" t="str">
        <f>IF(L3055="","",R3055/'[1]LOCH Calc COE Calc'!$C$28)</f>
        <v/>
      </c>
    </row>
    <row r="3056" spans="12:23" x14ac:dyDescent="0.25">
      <c r="L3056" s="4" t="str">
        <f>IF('[1]All Data '!BE3061="","",'[1]All Data '!BE3061)</f>
        <v/>
      </c>
      <c r="M3056" t="str">
        <f>IF('[1]All Data '!BF3061="","",'[1]All Data '!BF3061)</f>
        <v/>
      </c>
      <c r="N3056" s="5" t="str">
        <f>IF('[1]All Data '!BB3061="","",'[1]All Data '!BC3061/'[1]All Data '!BH3061)</f>
        <v/>
      </c>
      <c r="O3056" s="5" t="str">
        <f t="shared" si="50"/>
        <v/>
      </c>
      <c r="P3056" s="5" t="str">
        <f>IF(M3056="","",$C$2*(1-L3056)*907.2/0.621371*N3056*[1]Transportation!$M$40)</f>
        <v/>
      </c>
      <c r="Q3056" s="5" t="str">
        <f>IF(L3056="","",IF([1]Inputs_Outputs!$B$5="Herbaceous",(LCA!$E$29*'[1]LOCH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6" s="5" t="str">
        <f>IF(M3056="","",$E$2*1000*'[1]LOCH Calc COE Calc'!$C$44)</f>
        <v/>
      </c>
      <c r="S3056" s="6" t="str">
        <f>IF(N3056="","",SUM(O3056:R3056)/('[1]LOCH Calc COE Calc'!$C$28))</f>
        <v/>
      </c>
      <c r="T3056" t="str">
        <f>IF(L3056="","",O3056/'[1]LOCH Calc COE Calc'!$C$28)</f>
        <v/>
      </c>
      <c r="U3056" t="str">
        <f>IF(L3056="","",P3056/'[1]LOCH Calc COE Calc'!$C$28)</f>
        <v/>
      </c>
      <c r="V3056" t="str">
        <f>IF(L3056="","",Q3056/'[1]LOCH Calc COE Calc'!$C$28)</f>
        <v/>
      </c>
      <c r="W3056" t="str">
        <f>IF(L3056="","",R3056/'[1]LOCH Calc COE Calc'!$C$28)</f>
        <v/>
      </c>
    </row>
    <row r="3057" spans="12:23" x14ac:dyDescent="0.25">
      <c r="L3057" s="4" t="str">
        <f>IF('[1]All Data '!BE3062="","",'[1]All Data '!BE3062)</f>
        <v/>
      </c>
      <c r="M3057" t="str">
        <f>IF('[1]All Data '!BF3062="","",'[1]All Data '!BF3062)</f>
        <v/>
      </c>
      <c r="N3057" s="5" t="str">
        <f>IF('[1]All Data '!BB3062="","",'[1]All Data '!BC3062/'[1]All Data '!BH3062)</f>
        <v/>
      </c>
      <c r="O3057" s="5" t="str">
        <f t="shared" si="50"/>
        <v/>
      </c>
      <c r="P3057" s="5" t="str">
        <f>IF(M3057="","",$C$2*(1-L3057)*907.2/0.621371*N3057*[1]Transportation!$M$40)</f>
        <v/>
      </c>
      <c r="Q3057" s="5" t="str">
        <f>IF(L3057="","",IF([1]Inputs_Outputs!$B$5="Herbaceous",(LCA!$E$29*'[1]LOCH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7" s="5" t="str">
        <f>IF(M3057="","",$E$2*1000*'[1]LOCH Calc COE Calc'!$C$44)</f>
        <v/>
      </c>
      <c r="S3057" s="6" t="str">
        <f>IF(N3057="","",SUM(O3057:R3057)/('[1]LOCH Calc COE Calc'!$C$28))</f>
        <v/>
      </c>
      <c r="T3057" t="str">
        <f>IF(L3057="","",O3057/'[1]LOCH Calc COE Calc'!$C$28)</f>
        <v/>
      </c>
      <c r="U3057" t="str">
        <f>IF(L3057="","",P3057/'[1]LOCH Calc COE Calc'!$C$28)</f>
        <v/>
      </c>
      <c r="V3057" t="str">
        <f>IF(L3057="","",Q3057/'[1]LOCH Calc COE Calc'!$C$28)</f>
        <v/>
      </c>
      <c r="W3057" t="str">
        <f>IF(L3057="","",R3057/'[1]LOCH Calc COE Calc'!$C$28)</f>
        <v/>
      </c>
    </row>
    <row r="3058" spans="12:23" x14ac:dyDescent="0.25">
      <c r="L3058" s="4" t="str">
        <f>IF('[1]All Data '!BE3063="","",'[1]All Data '!BE3063)</f>
        <v/>
      </c>
      <c r="M3058" t="str">
        <f>IF('[1]All Data '!BF3063="","",'[1]All Data '!BF3063)</f>
        <v/>
      </c>
      <c r="N3058" s="5" t="str">
        <f>IF('[1]All Data '!BB3063="","",'[1]All Data '!BC3063/'[1]All Data '!BH3063)</f>
        <v/>
      </c>
      <c r="O3058" s="5" t="str">
        <f t="shared" si="50"/>
        <v/>
      </c>
      <c r="P3058" s="5" t="str">
        <f>IF(M3058="","",$C$2*(1-L3058)*907.2/0.621371*N3058*[1]Transportation!$M$40)</f>
        <v/>
      </c>
      <c r="Q3058" s="5" t="str">
        <f>IF(L3058="","",IF([1]Inputs_Outputs!$B$5="Herbaceous",(LCA!$E$29*'[1]LOCH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8" s="5" t="str">
        <f>IF(M3058="","",$E$2*1000*'[1]LOCH Calc COE Calc'!$C$44)</f>
        <v/>
      </c>
      <c r="S3058" s="6" t="str">
        <f>IF(N3058="","",SUM(O3058:R3058)/('[1]LOCH Calc COE Calc'!$C$28))</f>
        <v/>
      </c>
      <c r="T3058" t="str">
        <f>IF(L3058="","",O3058/'[1]LOCH Calc COE Calc'!$C$28)</f>
        <v/>
      </c>
      <c r="U3058" t="str">
        <f>IF(L3058="","",P3058/'[1]LOCH Calc COE Calc'!$C$28)</f>
        <v/>
      </c>
      <c r="V3058" t="str">
        <f>IF(L3058="","",Q3058/'[1]LOCH Calc COE Calc'!$C$28)</f>
        <v/>
      </c>
      <c r="W3058" t="str">
        <f>IF(L3058="","",R3058/'[1]LOCH Calc COE Calc'!$C$28)</f>
        <v/>
      </c>
    </row>
    <row r="3059" spans="12:23" x14ac:dyDescent="0.25">
      <c r="L3059" s="4" t="str">
        <f>IF('[1]All Data '!BE3064="","",'[1]All Data '!BE3064)</f>
        <v/>
      </c>
      <c r="M3059" t="str">
        <f>IF('[1]All Data '!BF3064="","",'[1]All Data '!BF3064)</f>
        <v/>
      </c>
      <c r="N3059" s="5" t="str">
        <f>IF('[1]All Data '!BB3064="","",'[1]All Data '!BC3064/'[1]All Data '!BH3064)</f>
        <v/>
      </c>
      <c r="O3059" s="5" t="str">
        <f t="shared" si="50"/>
        <v/>
      </c>
      <c r="P3059" s="5" t="str">
        <f>IF(M3059="","",$C$2*(1-L3059)*907.2/0.621371*N3059*[1]Transportation!$M$40)</f>
        <v/>
      </c>
      <c r="Q3059" s="5" t="str">
        <f>IF(L3059="","",IF([1]Inputs_Outputs!$B$5="Herbaceous",(LCA!$E$29*'[1]LOCH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59" s="5" t="str">
        <f>IF(M3059="","",$E$2*1000*'[1]LOCH Calc COE Calc'!$C$44)</f>
        <v/>
      </c>
      <c r="S3059" s="6" t="str">
        <f>IF(N3059="","",SUM(O3059:R3059)/('[1]LOCH Calc COE Calc'!$C$28))</f>
        <v/>
      </c>
      <c r="T3059" t="str">
        <f>IF(L3059="","",O3059/'[1]LOCH Calc COE Calc'!$C$28)</f>
        <v/>
      </c>
      <c r="U3059" t="str">
        <f>IF(L3059="","",P3059/'[1]LOCH Calc COE Calc'!$C$28)</f>
        <v/>
      </c>
      <c r="V3059" t="str">
        <f>IF(L3059="","",Q3059/'[1]LOCH Calc COE Calc'!$C$28)</f>
        <v/>
      </c>
      <c r="W3059" t="str">
        <f>IF(L3059="","",R3059/'[1]LOCH Calc COE Calc'!$C$28)</f>
        <v/>
      </c>
    </row>
    <row r="3060" spans="12:23" x14ac:dyDescent="0.25">
      <c r="L3060" s="4" t="str">
        <f>IF('[1]All Data '!BE3065="","",'[1]All Data '!BE3065)</f>
        <v/>
      </c>
      <c r="M3060" t="str">
        <f>IF('[1]All Data '!BF3065="","",'[1]All Data '!BF3065)</f>
        <v/>
      </c>
      <c r="N3060" s="5" t="str">
        <f>IF('[1]All Data '!BB3065="","",'[1]All Data '!BC3065/'[1]All Data '!BH3065)</f>
        <v/>
      </c>
      <c r="O3060" s="5" t="str">
        <f t="shared" si="50"/>
        <v/>
      </c>
      <c r="P3060" s="5" t="str">
        <f>IF(M3060="","",$C$2*(1-L3060)*907.2/0.621371*N3060*[1]Transportation!$M$40)</f>
        <v/>
      </c>
      <c r="Q3060" s="5" t="str">
        <f>IF(L3060="","",IF([1]Inputs_Outputs!$B$5="Herbaceous",(LCA!$E$29*'[1]LOCH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0" s="5" t="str">
        <f>IF(M3060="","",$E$2*1000*'[1]LOCH Calc COE Calc'!$C$44)</f>
        <v/>
      </c>
      <c r="S3060" s="6" t="str">
        <f>IF(N3060="","",SUM(O3060:R3060)/('[1]LOCH Calc COE Calc'!$C$28))</f>
        <v/>
      </c>
      <c r="T3060" t="str">
        <f>IF(L3060="","",O3060/'[1]LOCH Calc COE Calc'!$C$28)</f>
        <v/>
      </c>
      <c r="U3060" t="str">
        <f>IF(L3060="","",P3060/'[1]LOCH Calc COE Calc'!$C$28)</f>
        <v/>
      </c>
      <c r="V3060" t="str">
        <f>IF(L3060="","",Q3060/'[1]LOCH Calc COE Calc'!$C$28)</f>
        <v/>
      </c>
      <c r="W3060" t="str">
        <f>IF(L3060="","",R3060/'[1]LOCH Calc COE Calc'!$C$28)</f>
        <v/>
      </c>
    </row>
    <row r="3061" spans="12:23" x14ac:dyDescent="0.25">
      <c r="L3061" s="4" t="str">
        <f>IF('[1]All Data '!BE3066="","",'[1]All Data '!BE3066)</f>
        <v/>
      </c>
      <c r="M3061" t="str">
        <f>IF('[1]All Data '!BF3066="","",'[1]All Data '!BF3066)</f>
        <v/>
      </c>
      <c r="N3061" s="5" t="str">
        <f>IF('[1]All Data '!BB3066="","",'[1]All Data '!BC3066/'[1]All Data '!BH3066)</f>
        <v/>
      </c>
      <c r="O3061" s="5" t="str">
        <f t="shared" si="50"/>
        <v/>
      </c>
      <c r="P3061" s="5" t="str">
        <f>IF(M3061="","",$C$2*(1-L3061)*907.2/0.621371*N3061*[1]Transportation!$M$40)</f>
        <v/>
      </c>
      <c r="Q3061" s="5" t="str">
        <f>IF(L3061="","",IF([1]Inputs_Outputs!$B$5="Herbaceous",(LCA!$E$29*'[1]LOCH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1" s="5" t="str">
        <f>IF(M3061="","",$E$2*1000*'[1]LOCH Calc COE Calc'!$C$44)</f>
        <v/>
      </c>
      <c r="S3061" s="6" t="str">
        <f>IF(N3061="","",SUM(O3061:R3061)/('[1]LOCH Calc COE Calc'!$C$28))</f>
        <v/>
      </c>
      <c r="T3061" t="str">
        <f>IF(L3061="","",O3061/'[1]LOCH Calc COE Calc'!$C$28)</f>
        <v/>
      </c>
      <c r="U3061" t="str">
        <f>IF(L3061="","",P3061/'[1]LOCH Calc COE Calc'!$C$28)</f>
        <v/>
      </c>
      <c r="V3061" t="str">
        <f>IF(L3061="","",Q3061/'[1]LOCH Calc COE Calc'!$C$28)</f>
        <v/>
      </c>
      <c r="W3061" t="str">
        <f>IF(L3061="","",R3061/'[1]LOCH Calc COE Calc'!$C$28)</f>
        <v/>
      </c>
    </row>
    <row r="3062" spans="12:23" x14ac:dyDescent="0.25">
      <c r="L3062" s="4" t="str">
        <f>IF('[1]All Data '!BE3067="","",'[1]All Data '!BE3067)</f>
        <v/>
      </c>
      <c r="M3062" t="str">
        <f>IF('[1]All Data '!BF3067="","",'[1]All Data '!BF3067)</f>
        <v/>
      </c>
      <c r="N3062" s="5" t="str">
        <f>IF('[1]All Data '!BB3067="","",'[1]All Data '!BC3067/'[1]All Data '!BH3067)</f>
        <v/>
      </c>
      <c r="O3062" s="5" t="str">
        <f t="shared" si="50"/>
        <v/>
      </c>
      <c r="P3062" s="5" t="str">
        <f>IF(M3062="","",$C$2*(1-L3062)*907.2/0.621371*N3062*[1]Transportation!$M$40)</f>
        <v/>
      </c>
      <c r="Q3062" s="5" t="str">
        <f>IF(L3062="","",IF([1]Inputs_Outputs!$B$5="Herbaceous",(LCA!$E$29*'[1]LOCH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2" s="5" t="str">
        <f>IF(M3062="","",$E$2*1000*'[1]LOCH Calc COE Calc'!$C$44)</f>
        <v/>
      </c>
      <c r="S3062" s="6" t="str">
        <f>IF(N3062="","",SUM(O3062:R3062)/('[1]LOCH Calc COE Calc'!$C$28))</f>
        <v/>
      </c>
      <c r="T3062" t="str">
        <f>IF(L3062="","",O3062/'[1]LOCH Calc COE Calc'!$C$28)</f>
        <v/>
      </c>
      <c r="U3062" t="str">
        <f>IF(L3062="","",P3062/'[1]LOCH Calc COE Calc'!$C$28)</f>
        <v/>
      </c>
      <c r="V3062" t="str">
        <f>IF(L3062="","",Q3062/'[1]LOCH Calc COE Calc'!$C$28)</f>
        <v/>
      </c>
      <c r="W3062" t="str">
        <f>IF(L3062="","",R3062/'[1]LOCH Calc COE Calc'!$C$28)</f>
        <v/>
      </c>
    </row>
    <row r="3063" spans="12:23" x14ac:dyDescent="0.25">
      <c r="L3063" s="4" t="str">
        <f>IF('[1]All Data '!BE3068="","",'[1]All Data '!BE3068)</f>
        <v/>
      </c>
      <c r="M3063" t="str">
        <f>IF('[1]All Data '!BF3068="","",'[1]All Data '!BF3068)</f>
        <v/>
      </c>
      <c r="N3063" s="5" t="str">
        <f>IF('[1]All Data '!BB3068="","",'[1]All Data '!BC3068/'[1]All Data '!BH3068)</f>
        <v/>
      </c>
      <c r="O3063" s="5" t="str">
        <f t="shared" si="50"/>
        <v/>
      </c>
      <c r="P3063" s="5" t="str">
        <f>IF(M3063="","",$C$2*(1-L3063)*907.2/0.621371*N3063*[1]Transportation!$M$40)</f>
        <v/>
      </c>
      <c r="Q3063" s="5" t="str">
        <f>IF(L3063="","",IF([1]Inputs_Outputs!$B$5="Herbaceous",(LCA!$E$29*'[1]LOCH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3" s="5" t="str">
        <f>IF(M3063="","",$E$2*1000*'[1]LOCH Calc COE Calc'!$C$44)</f>
        <v/>
      </c>
      <c r="S3063" s="6" t="str">
        <f>IF(N3063="","",SUM(O3063:R3063)/('[1]LOCH Calc COE Calc'!$C$28))</f>
        <v/>
      </c>
      <c r="T3063" t="str">
        <f>IF(L3063="","",O3063/'[1]LOCH Calc COE Calc'!$C$28)</f>
        <v/>
      </c>
      <c r="U3063" t="str">
        <f>IF(L3063="","",P3063/'[1]LOCH Calc COE Calc'!$C$28)</f>
        <v/>
      </c>
      <c r="V3063" t="str">
        <f>IF(L3063="","",Q3063/'[1]LOCH Calc COE Calc'!$C$28)</f>
        <v/>
      </c>
      <c r="W3063" t="str">
        <f>IF(L3063="","",R3063/'[1]LOCH Calc COE Calc'!$C$28)</f>
        <v/>
      </c>
    </row>
    <row r="3064" spans="12:23" x14ac:dyDescent="0.25">
      <c r="L3064" s="4" t="str">
        <f>IF('[1]All Data '!BE3069="","",'[1]All Data '!BE3069)</f>
        <v/>
      </c>
      <c r="M3064" t="str">
        <f>IF('[1]All Data '!BF3069="","",'[1]All Data '!BF3069)</f>
        <v/>
      </c>
      <c r="N3064" s="5" t="str">
        <f>IF('[1]All Data '!BB3069="","",'[1]All Data '!BC3069/'[1]All Data '!BH3069)</f>
        <v/>
      </c>
      <c r="O3064" s="5" t="str">
        <f t="shared" si="50"/>
        <v/>
      </c>
      <c r="P3064" s="5" t="str">
        <f>IF(M3064="","",$C$2*(1-L3064)*907.2/0.621371*N3064*[1]Transportation!$M$40)</f>
        <v/>
      </c>
      <c r="Q3064" s="5" t="str">
        <f>IF(L3064="","",IF([1]Inputs_Outputs!$B$5="Herbaceous",(LCA!$E$29*'[1]LOCH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4" s="5" t="str">
        <f>IF(M3064="","",$E$2*1000*'[1]LOCH Calc COE Calc'!$C$44)</f>
        <v/>
      </c>
      <c r="S3064" s="6" t="str">
        <f>IF(N3064="","",SUM(O3064:R3064)/('[1]LOCH Calc COE Calc'!$C$28))</f>
        <v/>
      </c>
      <c r="T3064" t="str">
        <f>IF(L3064="","",O3064/'[1]LOCH Calc COE Calc'!$C$28)</f>
        <v/>
      </c>
      <c r="U3064" t="str">
        <f>IF(L3064="","",P3064/'[1]LOCH Calc COE Calc'!$C$28)</f>
        <v/>
      </c>
      <c r="V3064" t="str">
        <f>IF(L3064="","",Q3064/'[1]LOCH Calc COE Calc'!$C$28)</f>
        <v/>
      </c>
      <c r="W3064" t="str">
        <f>IF(L3064="","",R3064/'[1]LOCH Calc COE Calc'!$C$28)</f>
        <v/>
      </c>
    </row>
    <row r="3065" spans="12:23" x14ac:dyDescent="0.25">
      <c r="L3065" s="4" t="str">
        <f>IF('[1]All Data '!BE3070="","",'[1]All Data '!BE3070)</f>
        <v/>
      </c>
      <c r="M3065" t="str">
        <f>IF('[1]All Data '!BF3070="","",'[1]All Data '!BF3070)</f>
        <v/>
      </c>
      <c r="N3065" s="5" t="str">
        <f>IF('[1]All Data '!BB3070="","",'[1]All Data '!BC3070/'[1]All Data '!BH3070)</f>
        <v/>
      </c>
      <c r="O3065" s="5" t="str">
        <f t="shared" si="50"/>
        <v/>
      </c>
      <c r="P3065" s="5" t="str">
        <f>IF(M3065="","",$C$2*(1-L3065)*907.2/0.621371*N3065*[1]Transportation!$M$40)</f>
        <v/>
      </c>
      <c r="Q3065" s="5" t="str">
        <f>IF(L3065="","",IF([1]Inputs_Outputs!$B$5="Herbaceous",(LCA!$E$29*'[1]LOCH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5" s="5" t="str">
        <f>IF(M3065="","",$E$2*1000*'[1]LOCH Calc COE Calc'!$C$44)</f>
        <v/>
      </c>
      <c r="S3065" s="6" t="str">
        <f>IF(N3065="","",SUM(O3065:R3065)/('[1]LOCH Calc COE Calc'!$C$28))</f>
        <v/>
      </c>
      <c r="T3065" t="str">
        <f>IF(L3065="","",O3065/'[1]LOCH Calc COE Calc'!$C$28)</f>
        <v/>
      </c>
      <c r="U3065" t="str">
        <f>IF(L3065="","",P3065/'[1]LOCH Calc COE Calc'!$C$28)</f>
        <v/>
      </c>
      <c r="V3065" t="str">
        <f>IF(L3065="","",Q3065/'[1]LOCH Calc COE Calc'!$C$28)</f>
        <v/>
      </c>
      <c r="W3065" t="str">
        <f>IF(L3065="","",R3065/'[1]LOCH Calc COE Calc'!$C$28)</f>
        <v/>
      </c>
    </row>
    <row r="3066" spans="12:23" x14ac:dyDescent="0.25">
      <c r="L3066" s="4" t="str">
        <f>IF('[1]All Data '!BE3071="","",'[1]All Data '!BE3071)</f>
        <v/>
      </c>
      <c r="M3066" t="str">
        <f>IF('[1]All Data '!BF3071="","",'[1]All Data '!BF3071)</f>
        <v/>
      </c>
      <c r="N3066" s="5" t="str">
        <f>IF('[1]All Data '!BB3071="","",'[1]All Data '!BC3071/'[1]All Data '!BH3071)</f>
        <v/>
      </c>
      <c r="O3066" s="5" t="str">
        <f t="shared" si="50"/>
        <v/>
      </c>
      <c r="P3066" s="5" t="str">
        <f>IF(M3066="","",$C$2*(1-L3066)*907.2/0.621371*N3066*[1]Transportation!$M$40)</f>
        <v/>
      </c>
      <c r="Q3066" s="5" t="str">
        <f>IF(L3066="","",IF([1]Inputs_Outputs!$B$5="Herbaceous",(LCA!$E$29*'[1]LOCH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6" s="5" t="str">
        <f>IF(M3066="","",$E$2*1000*'[1]LOCH Calc COE Calc'!$C$44)</f>
        <v/>
      </c>
      <c r="S3066" s="6" t="str">
        <f>IF(N3066="","",SUM(O3066:R3066)/('[1]LOCH Calc COE Calc'!$C$28))</f>
        <v/>
      </c>
      <c r="T3066" t="str">
        <f>IF(L3066="","",O3066/'[1]LOCH Calc COE Calc'!$C$28)</f>
        <v/>
      </c>
      <c r="U3066" t="str">
        <f>IF(L3066="","",P3066/'[1]LOCH Calc COE Calc'!$C$28)</f>
        <v/>
      </c>
      <c r="V3066" t="str">
        <f>IF(L3066="","",Q3066/'[1]LOCH Calc COE Calc'!$C$28)</f>
        <v/>
      </c>
      <c r="W3066" t="str">
        <f>IF(L3066="","",R3066/'[1]LOCH Calc COE Calc'!$C$28)</f>
        <v/>
      </c>
    </row>
    <row r="3067" spans="12:23" x14ac:dyDescent="0.25">
      <c r="L3067" s="4" t="str">
        <f>IF('[1]All Data '!BE3072="","",'[1]All Data '!BE3072)</f>
        <v/>
      </c>
      <c r="M3067" t="str">
        <f>IF('[1]All Data '!BF3072="","",'[1]All Data '!BF3072)</f>
        <v/>
      </c>
      <c r="N3067" s="5" t="str">
        <f>IF('[1]All Data '!BB3072="","",'[1]All Data '!BC3072/'[1]All Data '!BH3072)</f>
        <v/>
      </c>
      <c r="O3067" s="5" t="str">
        <f t="shared" si="50"/>
        <v/>
      </c>
      <c r="P3067" s="5" t="str">
        <f>IF(M3067="","",$C$2*(1-L3067)*907.2/0.621371*N3067*[1]Transportation!$M$40)</f>
        <v/>
      </c>
      <c r="Q3067" s="5" t="str">
        <f>IF(L3067="","",IF([1]Inputs_Outputs!$B$5="Herbaceous",(LCA!$E$29*'[1]LOCH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7" s="5" t="str">
        <f>IF(M3067="","",$E$2*1000*'[1]LOCH Calc COE Calc'!$C$44)</f>
        <v/>
      </c>
      <c r="S3067" s="6" t="str">
        <f>IF(N3067="","",SUM(O3067:R3067)/('[1]LOCH Calc COE Calc'!$C$28))</f>
        <v/>
      </c>
      <c r="T3067" t="str">
        <f>IF(L3067="","",O3067/'[1]LOCH Calc COE Calc'!$C$28)</f>
        <v/>
      </c>
      <c r="U3067" t="str">
        <f>IF(L3067="","",P3067/'[1]LOCH Calc COE Calc'!$C$28)</f>
        <v/>
      </c>
      <c r="V3067" t="str">
        <f>IF(L3067="","",Q3067/'[1]LOCH Calc COE Calc'!$C$28)</f>
        <v/>
      </c>
      <c r="W3067" t="str">
        <f>IF(L3067="","",R3067/'[1]LOCH Calc COE Calc'!$C$28)</f>
        <v/>
      </c>
    </row>
    <row r="3068" spans="12:23" x14ac:dyDescent="0.25">
      <c r="L3068" s="4" t="str">
        <f>IF('[1]All Data '!BE3073="","",'[1]All Data '!BE3073)</f>
        <v/>
      </c>
      <c r="M3068" t="str">
        <f>IF('[1]All Data '!BF3073="","",'[1]All Data '!BF3073)</f>
        <v/>
      </c>
      <c r="N3068" s="5" t="str">
        <f>IF('[1]All Data '!BB3073="","",'[1]All Data '!BC3073/'[1]All Data '!BH3073)</f>
        <v/>
      </c>
      <c r="O3068" s="5" t="str">
        <f t="shared" si="50"/>
        <v/>
      </c>
      <c r="P3068" s="5" t="str">
        <f>IF(M3068="","",$C$2*(1-L3068)*907.2/0.621371*N3068*[1]Transportation!$M$40)</f>
        <v/>
      </c>
      <c r="Q3068" s="5" t="str">
        <f>IF(L3068="","",IF([1]Inputs_Outputs!$B$5="Herbaceous",(LCA!$E$29*'[1]LOCH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8" s="5" t="str">
        <f>IF(M3068="","",$E$2*1000*'[1]LOCH Calc COE Calc'!$C$44)</f>
        <v/>
      </c>
      <c r="S3068" s="6" t="str">
        <f>IF(N3068="","",SUM(O3068:R3068)/('[1]LOCH Calc COE Calc'!$C$28))</f>
        <v/>
      </c>
      <c r="T3068" t="str">
        <f>IF(L3068="","",O3068/'[1]LOCH Calc COE Calc'!$C$28)</f>
        <v/>
      </c>
      <c r="U3068" t="str">
        <f>IF(L3068="","",P3068/'[1]LOCH Calc COE Calc'!$C$28)</f>
        <v/>
      </c>
      <c r="V3068" t="str">
        <f>IF(L3068="","",Q3068/'[1]LOCH Calc COE Calc'!$C$28)</f>
        <v/>
      </c>
      <c r="W3068" t="str">
        <f>IF(L3068="","",R3068/'[1]LOCH Calc COE Calc'!$C$28)</f>
        <v/>
      </c>
    </row>
    <row r="3069" spans="12:23" x14ac:dyDescent="0.25">
      <c r="L3069" s="4" t="str">
        <f>IF('[1]All Data '!BE3074="","",'[1]All Data '!BE3074)</f>
        <v/>
      </c>
      <c r="M3069" t="str">
        <f>IF('[1]All Data '!BF3074="","",'[1]All Data '!BF3074)</f>
        <v/>
      </c>
      <c r="N3069" s="5" t="str">
        <f>IF('[1]All Data '!BB3074="","",'[1]All Data '!BC3074/'[1]All Data '!BH3074)</f>
        <v/>
      </c>
      <c r="O3069" s="5" t="str">
        <f t="shared" si="50"/>
        <v/>
      </c>
      <c r="P3069" s="5" t="str">
        <f>IF(M3069="","",$C$2*(1-L3069)*907.2/0.621371*N3069*[1]Transportation!$M$40)</f>
        <v/>
      </c>
      <c r="Q3069" s="5" t="str">
        <f>IF(L3069="","",IF([1]Inputs_Outputs!$B$5="Herbaceous",(LCA!$E$29*'[1]LOCH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69" s="5" t="str">
        <f>IF(M3069="","",$E$2*1000*'[1]LOCH Calc COE Calc'!$C$44)</f>
        <v/>
      </c>
      <c r="S3069" s="6" t="str">
        <f>IF(N3069="","",SUM(O3069:R3069)/('[1]LOCH Calc COE Calc'!$C$28))</f>
        <v/>
      </c>
      <c r="T3069" t="str">
        <f>IF(L3069="","",O3069/'[1]LOCH Calc COE Calc'!$C$28)</f>
        <v/>
      </c>
      <c r="U3069" t="str">
        <f>IF(L3069="","",P3069/'[1]LOCH Calc COE Calc'!$C$28)</f>
        <v/>
      </c>
      <c r="V3069" t="str">
        <f>IF(L3069="","",Q3069/'[1]LOCH Calc COE Calc'!$C$28)</f>
        <v/>
      </c>
      <c r="W3069" t="str">
        <f>IF(L3069="","",R3069/'[1]LOCH Calc COE Calc'!$C$28)</f>
        <v/>
      </c>
    </row>
    <row r="3070" spans="12:23" x14ac:dyDescent="0.25">
      <c r="L3070" s="4" t="str">
        <f>IF('[1]All Data '!BE3075="","",'[1]All Data '!BE3075)</f>
        <v/>
      </c>
      <c r="M3070" t="str">
        <f>IF('[1]All Data '!BF3075="","",'[1]All Data '!BF3075)</f>
        <v/>
      </c>
      <c r="N3070" s="5" t="str">
        <f>IF('[1]All Data '!BB3075="","",'[1]All Data '!BC3075/'[1]All Data '!BH3075)</f>
        <v/>
      </c>
      <c r="O3070" s="5" t="str">
        <f t="shared" si="50"/>
        <v/>
      </c>
      <c r="P3070" s="5" t="str">
        <f>IF(M3070="","",$C$2*(1-L3070)*907.2/0.621371*N3070*[1]Transportation!$M$40)</f>
        <v/>
      </c>
      <c r="Q3070" s="5" t="str">
        <f>IF(L3070="","",IF([1]Inputs_Outputs!$B$5="Herbaceous",(LCA!$E$29*'[1]LOCH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0" s="5" t="str">
        <f>IF(M3070="","",$E$2*1000*'[1]LOCH Calc COE Calc'!$C$44)</f>
        <v/>
      </c>
      <c r="S3070" s="6" t="str">
        <f>IF(N3070="","",SUM(O3070:R3070)/('[1]LOCH Calc COE Calc'!$C$28))</f>
        <v/>
      </c>
      <c r="T3070" t="str">
        <f>IF(L3070="","",O3070/'[1]LOCH Calc COE Calc'!$C$28)</f>
        <v/>
      </c>
      <c r="U3070" t="str">
        <f>IF(L3070="","",P3070/'[1]LOCH Calc COE Calc'!$C$28)</f>
        <v/>
      </c>
      <c r="V3070" t="str">
        <f>IF(L3070="","",Q3070/'[1]LOCH Calc COE Calc'!$C$28)</f>
        <v/>
      </c>
      <c r="W3070" t="str">
        <f>IF(L3070="","",R3070/'[1]LOCH Calc COE Calc'!$C$28)</f>
        <v/>
      </c>
    </row>
    <row r="3071" spans="12:23" x14ac:dyDescent="0.25">
      <c r="L3071" s="4" t="str">
        <f>IF('[1]All Data '!BE3076="","",'[1]All Data '!BE3076)</f>
        <v/>
      </c>
      <c r="M3071" t="str">
        <f>IF('[1]All Data '!BF3076="","",'[1]All Data '!BF3076)</f>
        <v/>
      </c>
      <c r="N3071" s="5" t="str">
        <f>IF('[1]All Data '!BB3076="","",'[1]All Data '!BC3076/'[1]All Data '!BH3076)</f>
        <v/>
      </c>
      <c r="O3071" s="5" t="str">
        <f t="shared" si="50"/>
        <v/>
      </c>
      <c r="P3071" s="5" t="str">
        <f>IF(M3071="","",$C$2*(1-L3071)*907.2/0.621371*N3071*[1]Transportation!$M$40)</f>
        <v/>
      </c>
      <c r="Q3071" s="5" t="str">
        <f>IF(L3071="","",IF([1]Inputs_Outputs!$B$5="Herbaceous",(LCA!$E$29*'[1]LOCH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1" s="5" t="str">
        <f>IF(M3071="","",$E$2*1000*'[1]LOCH Calc COE Calc'!$C$44)</f>
        <v/>
      </c>
      <c r="S3071" s="6" t="str">
        <f>IF(N3071="","",SUM(O3071:R3071)/('[1]LOCH Calc COE Calc'!$C$28))</f>
        <v/>
      </c>
      <c r="T3071" t="str">
        <f>IF(L3071="","",O3071/'[1]LOCH Calc COE Calc'!$C$28)</f>
        <v/>
      </c>
      <c r="U3071" t="str">
        <f>IF(L3071="","",P3071/'[1]LOCH Calc COE Calc'!$C$28)</f>
        <v/>
      </c>
      <c r="V3071" t="str">
        <f>IF(L3071="","",Q3071/'[1]LOCH Calc COE Calc'!$C$28)</f>
        <v/>
      </c>
      <c r="W3071" t="str">
        <f>IF(L3071="","",R3071/'[1]LOCH Calc COE Calc'!$C$28)</f>
        <v/>
      </c>
    </row>
    <row r="3072" spans="12:23" x14ac:dyDescent="0.25">
      <c r="L3072" s="4" t="str">
        <f>IF('[1]All Data '!BE3077="","",'[1]All Data '!BE3077)</f>
        <v/>
      </c>
      <c r="M3072" t="str">
        <f>IF('[1]All Data '!BF3077="","",'[1]All Data '!BF3077)</f>
        <v/>
      </c>
      <c r="N3072" s="5" t="str">
        <f>IF('[1]All Data '!BB3077="","",'[1]All Data '!BC3077/'[1]All Data '!BH3077)</f>
        <v/>
      </c>
      <c r="O3072" s="5" t="str">
        <f t="shared" si="50"/>
        <v/>
      </c>
      <c r="P3072" s="5" t="str">
        <f>IF(M3072="","",$C$2*(1-L3072)*907.2/0.621371*N3072*[1]Transportation!$M$40)</f>
        <v/>
      </c>
      <c r="Q3072" s="5" t="str">
        <f>IF(L3072="","",IF([1]Inputs_Outputs!$B$5="Herbaceous",(LCA!$E$29*'[1]LOCH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2" s="5" t="str">
        <f>IF(M3072="","",$E$2*1000*'[1]LOCH Calc COE Calc'!$C$44)</f>
        <v/>
      </c>
      <c r="S3072" s="6" t="str">
        <f>IF(N3072="","",SUM(O3072:R3072)/('[1]LOCH Calc COE Calc'!$C$28))</f>
        <v/>
      </c>
      <c r="T3072" t="str">
        <f>IF(L3072="","",O3072/'[1]LOCH Calc COE Calc'!$C$28)</f>
        <v/>
      </c>
      <c r="U3072" t="str">
        <f>IF(L3072="","",P3072/'[1]LOCH Calc COE Calc'!$C$28)</f>
        <v/>
      </c>
      <c r="V3072" t="str">
        <f>IF(L3072="","",Q3072/'[1]LOCH Calc COE Calc'!$C$28)</f>
        <v/>
      </c>
      <c r="W3072" t="str">
        <f>IF(L3072="","",R3072/'[1]LOCH Calc COE Calc'!$C$28)</f>
        <v/>
      </c>
    </row>
    <row r="3073" spans="12:23" x14ac:dyDescent="0.25">
      <c r="L3073" s="4" t="str">
        <f>IF('[1]All Data '!BE3078="","",'[1]All Data '!BE3078)</f>
        <v/>
      </c>
      <c r="M3073" t="str">
        <f>IF('[1]All Data '!BF3078="","",'[1]All Data '!BF3078)</f>
        <v/>
      </c>
      <c r="N3073" s="5" t="str">
        <f>IF('[1]All Data '!BB3078="","",'[1]All Data '!BC3078/'[1]All Data '!BH3078)</f>
        <v/>
      </c>
      <c r="O3073" s="5" t="str">
        <f t="shared" si="50"/>
        <v/>
      </c>
      <c r="P3073" s="5" t="str">
        <f>IF(M3073="","",$C$2*(1-L3073)*907.2/0.621371*N3073*[1]Transportation!$M$40)</f>
        <v/>
      </c>
      <c r="Q3073" s="5" t="str">
        <f>IF(L3073="","",IF([1]Inputs_Outputs!$B$5="Herbaceous",(LCA!$E$29*'[1]LOCH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3" s="5" t="str">
        <f>IF(M3073="","",$E$2*1000*'[1]LOCH Calc COE Calc'!$C$44)</f>
        <v/>
      </c>
      <c r="S3073" s="6" t="str">
        <f>IF(N3073="","",SUM(O3073:R3073)/('[1]LOCH Calc COE Calc'!$C$28))</f>
        <v/>
      </c>
      <c r="T3073" t="str">
        <f>IF(L3073="","",O3073/'[1]LOCH Calc COE Calc'!$C$28)</f>
        <v/>
      </c>
      <c r="U3073" t="str">
        <f>IF(L3073="","",P3073/'[1]LOCH Calc COE Calc'!$C$28)</f>
        <v/>
      </c>
      <c r="V3073" t="str">
        <f>IF(L3073="","",Q3073/'[1]LOCH Calc COE Calc'!$C$28)</f>
        <v/>
      </c>
      <c r="W3073" t="str">
        <f>IF(L3073="","",R3073/'[1]LOCH Calc COE Calc'!$C$28)</f>
        <v/>
      </c>
    </row>
    <row r="3074" spans="12:23" x14ac:dyDescent="0.25">
      <c r="L3074" s="4" t="str">
        <f>IF('[1]All Data '!BE3079="","",'[1]All Data '!BE3079)</f>
        <v/>
      </c>
      <c r="M3074" t="str">
        <f>IF('[1]All Data '!BF3079="","",'[1]All Data '!BF3079)</f>
        <v/>
      </c>
      <c r="N3074" s="5" t="str">
        <f>IF('[1]All Data '!BB3079="","",'[1]All Data '!BC3079/'[1]All Data '!BH3079)</f>
        <v/>
      </c>
      <c r="O3074" s="5" t="str">
        <f t="shared" si="50"/>
        <v/>
      </c>
      <c r="P3074" s="5" t="str">
        <f>IF(M3074="","",$C$2*(1-L3074)*907.2/0.621371*N3074*[1]Transportation!$M$40)</f>
        <v/>
      </c>
      <c r="Q3074" s="5" t="str">
        <f>IF(L3074="","",IF([1]Inputs_Outputs!$B$5="Herbaceous",(LCA!$E$29*'[1]LOCH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4" s="5" t="str">
        <f>IF(M3074="","",$E$2*1000*'[1]LOCH Calc COE Calc'!$C$44)</f>
        <v/>
      </c>
      <c r="S3074" s="6" t="str">
        <f>IF(N3074="","",SUM(O3074:R3074)/('[1]LOCH Calc COE Calc'!$C$28))</f>
        <v/>
      </c>
      <c r="T3074" t="str">
        <f>IF(L3074="","",O3074/'[1]LOCH Calc COE Calc'!$C$28)</f>
        <v/>
      </c>
      <c r="U3074" t="str">
        <f>IF(L3074="","",P3074/'[1]LOCH Calc COE Calc'!$C$28)</f>
        <v/>
      </c>
      <c r="V3074" t="str">
        <f>IF(L3074="","",Q3074/'[1]LOCH Calc COE Calc'!$C$28)</f>
        <v/>
      </c>
      <c r="W3074" t="str">
        <f>IF(L3074="","",R3074/'[1]LOCH Calc COE Calc'!$C$28)</f>
        <v/>
      </c>
    </row>
    <row r="3075" spans="12:23" x14ac:dyDescent="0.25">
      <c r="L3075" s="4" t="str">
        <f>IF('[1]All Data '!BE3080="","",'[1]All Data '!BE3080)</f>
        <v/>
      </c>
      <c r="M3075" t="str">
        <f>IF('[1]All Data '!BF3080="","",'[1]All Data '!BF3080)</f>
        <v/>
      </c>
      <c r="N3075" s="5" t="str">
        <f>IF('[1]All Data '!BB3080="","",'[1]All Data '!BC3080/'[1]All Data '!BH3080)</f>
        <v/>
      </c>
      <c r="O3075" s="5" t="str">
        <f t="shared" si="50"/>
        <v/>
      </c>
      <c r="P3075" s="5" t="str">
        <f>IF(M3075="","",$C$2*(1-L3075)*907.2/0.621371*N3075*[1]Transportation!$M$40)</f>
        <v/>
      </c>
      <c r="Q3075" s="5" t="str">
        <f>IF(L3075="","",IF([1]Inputs_Outputs!$B$5="Herbaceous",(LCA!$E$29*'[1]LOCH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5" s="5" t="str">
        <f>IF(M3075="","",$E$2*1000*'[1]LOCH Calc COE Calc'!$C$44)</f>
        <v/>
      </c>
      <c r="S3075" s="6" t="str">
        <f>IF(N3075="","",SUM(O3075:R3075)/('[1]LOCH Calc COE Calc'!$C$28))</f>
        <v/>
      </c>
      <c r="T3075" t="str">
        <f>IF(L3075="","",O3075/'[1]LOCH Calc COE Calc'!$C$28)</f>
        <v/>
      </c>
      <c r="U3075" t="str">
        <f>IF(L3075="","",P3075/'[1]LOCH Calc COE Calc'!$C$28)</f>
        <v/>
      </c>
      <c r="V3075" t="str">
        <f>IF(L3075="","",Q3075/'[1]LOCH Calc COE Calc'!$C$28)</f>
        <v/>
      </c>
      <c r="W3075" t="str">
        <f>IF(L3075="","",R3075/'[1]LOCH Calc COE Calc'!$C$28)</f>
        <v/>
      </c>
    </row>
    <row r="3076" spans="12:23" x14ac:dyDescent="0.25">
      <c r="L3076" s="4" t="str">
        <f>IF('[1]All Data '!BE3081="","",'[1]All Data '!BE3081)</f>
        <v/>
      </c>
      <c r="M3076" t="str">
        <f>IF('[1]All Data '!BF3081="","",'[1]All Data '!BF3081)</f>
        <v/>
      </c>
      <c r="N3076" s="5" t="str">
        <f>IF('[1]All Data '!BB3081="","",'[1]All Data '!BC3081/'[1]All Data '!BH3081)</f>
        <v/>
      </c>
      <c r="O3076" s="5" t="str">
        <f t="shared" si="50"/>
        <v/>
      </c>
      <c r="P3076" s="5" t="str">
        <f>IF(M3076="","",$C$2*(1-L3076)*907.2/0.621371*N3076*[1]Transportation!$M$40)</f>
        <v/>
      </c>
      <c r="Q3076" s="5" t="str">
        <f>IF(L3076="","",IF([1]Inputs_Outputs!$B$5="Herbaceous",(LCA!$E$29*'[1]LOCH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6" s="5" t="str">
        <f>IF(M3076="","",$E$2*1000*'[1]LOCH Calc COE Calc'!$C$44)</f>
        <v/>
      </c>
      <c r="S3076" s="6" t="str">
        <f>IF(N3076="","",SUM(O3076:R3076)/('[1]LOCH Calc COE Calc'!$C$28))</f>
        <v/>
      </c>
      <c r="T3076" t="str">
        <f>IF(L3076="","",O3076/'[1]LOCH Calc COE Calc'!$C$28)</f>
        <v/>
      </c>
      <c r="U3076" t="str">
        <f>IF(L3076="","",P3076/'[1]LOCH Calc COE Calc'!$C$28)</f>
        <v/>
      </c>
      <c r="V3076" t="str">
        <f>IF(L3076="","",Q3076/'[1]LOCH Calc COE Calc'!$C$28)</f>
        <v/>
      </c>
      <c r="W3076" t="str">
        <f>IF(L3076="","",R3076/'[1]LOCH Calc COE Calc'!$C$28)</f>
        <v/>
      </c>
    </row>
    <row r="3077" spans="12:23" x14ac:dyDescent="0.25">
      <c r="L3077" s="4" t="str">
        <f>IF('[1]All Data '!BE3082="","",'[1]All Data '!BE3082)</f>
        <v/>
      </c>
      <c r="M3077" t="str">
        <f>IF('[1]All Data '!BF3082="","",'[1]All Data '!BF3082)</f>
        <v/>
      </c>
      <c r="N3077" s="5" t="str">
        <f>IF('[1]All Data '!BB3082="","",'[1]All Data '!BC3082/'[1]All Data '!BH3082)</f>
        <v/>
      </c>
      <c r="O3077" s="5" t="str">
        <f t="shared" si="50"/>
        <v/>
      </c>
      <c r="P3077" s="5" t="str">
        <f>IF(M3077="","",$C$2*(1-L3077)*907.2/0.621371*N3077*[1]Transportation!$M$40)</f>
        <v/>
      </c>
      <c r="Q3077" s="5" t="str">
        <f>IF(L3077="","",IF([1]Inputs_Outputs!$B$5="Herbaceous",(LCA!$E$29*'[1]LOCH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7" s="5" t="str">
        <f>IF(M3077="","",$E$2*1000*'[1]LOCH Calc COE Calc'!$C$44)</f>
        <v/>
      </c>
      <c r="S3077" s="6" t="str">
        <f>IF(N3077="","",SUM(O3077:R3077)/('[1]LOCH Calc COE Calc'!$C$28))</f>
        <v/>
      </c>
      <c r="T3077" t="str">
        <f>IF(L3077="","",O3077/'[1]LOCH Calc COE Calc'!$C$28)</f>
        <v/>
      </c>
      <c r="U3077" t="str">
        <f>IF(L3077="","",P3077/'[1]LOCH Calc COE Calc'!$C$28)</f>
        <v/>
      </c>
      <c r="V3077" t="str">
        <f>IF(L3077="","",Q3077/'[1]LOCH Calc COE Calc'!$C$28)</f>
        <v/>
      </c>
      <c r="W3077" t="str">
        <f>IF(L3077="","",R3077/'[1]LOCH Calc COE Calc'!$C$28)</f>
        <v/>
      </c>
    </row>
    <row r="3078" spans="12:23" x14ac:dyDescent="0.25">
      <c r="L3078" s="4" t="str">
        <f>IF('[1]All Data '!BE3083="","",'[1]All Data '!BE3083)</f>
        <v/>
      </c>
      <c r="M3078" t="str">
        <f>IF('[1]All Data '!BF3083="","",'[1]All Data '!BF3083)</f>
        <v/>
      </c>
      <c r="N3078" s="5" t="str">
        <f>IF('[1]All Data '!BB3083="","",'[1]All Data '!BC3083/'[1]All Data '!BH3083)</f>
        <v/>
      </c>
      <c r="O3078" s="5" t="str">
        <f t="shared" si="50"/>
        <v/>
      </c>
      <c r="P3078" s="5" t="str">
        <f>IF(M3078="","",$C$2*(1-L3078)*907.2/0.621371*N3078*[1]Transportation!$M$40)</f>
        <v/>
      </c>
      <c r="Q3078" s="5" t="str">
        <f>IF(L3078="","",IF([1]Inputs_Outputs!$B$5="Herbaceous",(LCA!$E$29*'[1]LOCH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8" s="5" t="str">
        <f>IF(M3078="","",$E$2*1000*'[1]LOCH Calc COE Calc'!$C$44)</f>
        <v/>
      </c>
      <c r="S3078" s="6" t="str">
        <f>IF(N3078="","",SUM(O3078:R3078)/('[1]LOCH Calc COE Calc'!$C$28))</f>
        <v/>
      </c>
      <c r="T3078" t="str">
        <f>IF(L3078="","",O3078/'[1]LOCH Calc COE Calc'!$C$28)</f>
        <v/>
      </c>
      <c r="U3078" t="str">
        <f>IF(L3078="","",P3078/'[1]LOCH Calc COE Calc'!$C$28)</f>
        <v/>
      </c>
      <c r="V3078" t="str">
        <f>IF(L3078="","",Q3078/'[1]LOCH Calc COE Calc'!$C$28)</f>
        <v/>
      </c>
      <c r="W3078" t="str">
        <f>IF(L3078="","",R3078/'[1]LOCH Calc COE Calc'!$C$28)</f>
        <v/>
      </c>
    </row>
    <row r="3079" spans="12:23" x14ac:dyDescent="0.25">
      <c r="L3079" s="4" t="str">
        <f>IF('[1]All Data '!BE3084="","",'[1]All Data '!BE3084)</f>
        <v/>
      </c>
      <c r="M3079" t="str">
        <f>IF('[1]All Data '!BF3084="","",'[1]All Data '!BF3084)</f>
        <v/>
      </c>
      <c r="N3079" s="5" t="str">
        <f>IF('[1]All Data '!BB3084="","",'[1]All Data '!BC3084/'[1]All Data '!BH3084)</f>
        <v/>
      </c>
      <c r="O3079" s="5" t="str">
        <f t="shared" si="50"/>
        <v/>
      </c>
      <c r="P3079" s="5" t="str">
        <f>IF(M3079="","",$C$2*(1-L3079)*907.2/0.621371*N3079*[1]Transportation!$M$40)</f>
        <v/>
      </c>
      <c r="Q3079" s="5" t="str">
        <f>IF(L3079="","",IF([1]Inputs_Outputs!$B$5="Herbaceous",(LCA!$E$29*'[1]LOCH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79" s="5" t="str">
        <f>IF(M3079="","",$E$2*1000*'[1]LOCH Calc COE Calc'!$C$44)</f>
        <v/>
      </c>
      <c r="S3079" s="6" t="str">
        <f>IF(N3079="","",SUM(O3079:R3079)/('[1]LOCH Calc COE Calc'!$C$28))</f>
        <v/>
      </c>
      <c r="T3079" t="str">
        <f>IF(L3079="","",O3079/'[1]LOCH Calc COE Calc'!$C$28)</f>
        <v/>
      </c>
      <c r="U3079" t="str">
        <f>IF(L3079="","",P3079/'[1]LOCH Calc COE Calc'!$C$28)</f>
        <v/>
      </c>
      <c r="V3079" t="str">
        <f>IF(L3079="","",Q3079/'[1]LOCH Calc COE Calc'!$C$28)</f>
        <v/>
      </c>
      <c r="W3079" t="str">
        <f>IF(L3079="","",R3079/'[1]LOCH Calc COE Calc'!$C$28)</f>
        <v/>
      </c>
    </row>
    <row r="3080" spans="12:23" x14ac:dyDescent="0.25">
      <c r="L3080" s="4" t="str">
        <f>IF('[1]All Data '!BE3085="","",'[1]All Data '!BE3085)</f>
        <v/>
      </c>
      <c r="M3080" t="str">
        <f>IF('[1]All Data '!BF3085="","",'[1]All Data '!BF3085)</f>
        <v/>
      </c>
      <c r="N3080" s="5" t="str">
        <f>IF('[1]All Data '!BB3085="","",'[1]All Data '!BC3085/'[1]All Data '!BH3085)</f>
        <v/>
      </c>
      <c r="O3080" s="5" t="str">
        <f t="shared" si="50"/>
        <v/>
      </c>
      <c r="P3080" s="5" t="str">
        <f>IF(M3080="","",$C$2*(1-L3080)*907.2/0.621371*N3080*[1]Transportation!$M$40)</f>
        <v/>
      </c>
      <c r="Q3080" s="5" t="str">
        <f>IF(L3080="","",IF([1]Inputs_Outputs!$B$5="Herbaceous",(LCA!$E$29*'[1]LOCH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0" s="5" t="str">
        <f>IF(M3080="","",$E$2*1000*'[1]LOCH Calc COE Calc'!$C$44)</f>
        <v/>
      </c>
      <c r="S3080" s="6" t="str">
        <f>IF(N3080="","",SUM(O3080:R3080)/('[1]LOCH Calc COE Calc'!$C$28))</f>
        <v/>
      </c>
      <c r="T3080" t="str">
        <f>IF(L3080="","",O3080/'[1]LOCH Calc COE Calc'!$C$28)</f>
        <v/>
      </c>
      <c r="U3080" t="str">
        <f>IF(L3080="","",P3080/'[1]LOCH Calc COE Calc'!$C$28)</f>
        <v/>
      </c>
      <c r="V3080" t="str">
        <f>IF(L3080="","",Q3080/'[1]LOCH Calc COE Calc'!$C$28)</f>
        <v/>
      </c>
      <c r="W3080" t="str">
        <f>IF(L3080="","",R3080/'[1]LOCH Calc COE Calc'!$C$28)</f>
        <v/>
      </c>
    </row>
    <row r="3081" spans="12:23" x14ac:dyDescent="0.25">
      <c r="L3081" s="4" t="str">
        <f>IF('[1]All Data '!BE3086="","",'[1]All Data '!BE3086)</f>
        <v/>
      </c>
      <c r="M3081" t="str">
        <f>IF('[1]All Data '!BF3086="","",'[1]All Data '!BF3086)</f>
        <v/>
      </c>
      <c r="N3081" s="5" t="str">
        <f>IF('[1]All Data '!BB3086="","",'[1]All Data '!BC3086/'[1]All Data '!BH3086)</f>
        <v/>
      </c>
      <c r="O3081" s="5" t="str">
        <f t="shared" si="50"/>
        <v/>
      </c>
      <c r="P3081" s="5" t="str">
        <f>IF(M3081="","",$C$2*(1-L3081)*907.2/0.621371*N3081*[1]Transportation!$M$40)</f>
        <v/>
      </c>
      <c r="Q3081" s="5" t="str">
        <f>IF(L3081="","",IF([1]Inputs_Outputs!$B$5="Herbaceous",(LCA!$E$29*'[1]LOCH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1" s="5" t="str">
        <f>IF(M3081="","",$E$2*1000*'[1]LOCH Calc COE Calc'!$C$44)</f>
        <v/>
      </c>
      <c r="S3081" s="6" t="str">
        <f>IF(N3081="","",SUM(O3081:R3081)/('[1]LOCH Calc COE Calc'!$C$28))</f>
        <v/>
      </c>
      <c r="T3081" t="str">
        <f>IF(L3081="","",O3081/'[1]LOCH Calc COE Calc'!$C$28)</f>
        <v/>
      </c>
      <c r="U3081" t="str">
        <f>IF(L3081="","",P3081/'[1]LOCH Calc COE Calc'!$C$28)</f>
        <v/>
      </c>
      <c r="V3081" t="str">
        <f>IF(L3081="","",Q3081/'[1]LOCH Calc COE Calc'!$C$28)</f>
        <v/>
      </c>
      <c r="W3081" t="str">
        <f>IF(L3081="","",R3081/'[1]LOCH Calc COE Calc'!$C$28)</f>
        <v/>
      </c>
    </row>
    <row r="3082" spans="12:23" x14ac:dyDescent="0.25">
      <c r="L3082" s="4" t="str">
        <f>IF('[1]All Data '!BE3087="","",'[1]All Data '!BE3087)</f>
        <v/>
      </c>
      <c r="M3082" t="str">
        <f>IF('[1]All Data '!BF3087="","",'[1]All Data '!BF3087)</f>
        <v/>
      </c>
      <c r="N3082" s="5" t="str">
        <f>IF('[1]All Data '!BB3087="","",'[1]All Data '!BC3087/'[1]All Data '!BH3087)</f>
        <v/>
      </c>
      <c r="O3082" s="5" t="str">
        <f t="shared" si="50"/>
        <v/>
      </c>
      <c r="P3082" s="5" t="str">
        <f>IF(M3082="","",$C$2*(1-L3082)*907.2/0.621371*N3082*[1]Transportation!$M$40)</f>
        <v/>
      </c>
      <c r="Q3082" s="5" t="str">
        <f>IF(L3082="","",IF([1]Inputs_Outputs!$B$5="Herbaceous",(LCA!$E$29*'[1]LOCH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2" s="5" t="str">
        <f>IF(M3082="","",$E$2*1000*'[1]LOCH Calc COE Calc'!$C$44)</f>
        <v/>
      </c>
      <c r="S3082" s="6" t="str">
        <f>IF(N3082="","",SUM(O3082:R3082)/('[1]LOCH Calc COE Calc'!$C$28))</f>
        <v/>
      </c>
      <c r="T3082" t="str">
        <f>IF(L3082="","",O3082/'[1]LOCH Calc COE Calc'!$C$28)</f>
        <v/>
      </c>
      <c r="U3082" t="str">
        <f>IF(L3082="","",P3082/'[1]LOCH Calc COE Calc'!$C$28)</f>
        <v/>
      </c>
      <c r="V3082" t="str">
        <f>IF(L3082="","",Q3082/'[1]LOCH Calc COE Calc'!$C$28)</f>
        <v/>
      </c>
      <c r="W3082" t="str">
        <f>IF(L3082="","",R3082/'[1]LOCH Calc COE Calc'!$C$28)</f>
        <v/>
      </c>
    </row>
    <row r="3083" spans="12:23" x14ac:dyDescent="0.25">
      <c r="L3083" s="4" t="str">
        <f>IF('[1]All Data '!BE3088="","",'[1]All Data '!BE3088)</f>
        <v/>
      </c>
      <c r="M3083" t="str">
        <f>IF('[1]All Data '!BF3088="","",'[1]All Data '!BF3088)</f>
        <v/>
      </c>
      <c r="N3083" s="5" t="str">
        <f>IF('[1]All Data '!BB3088="","",'[1]All Data '!BC3088/'[1]All Data '!BH3088)</f>
        <v/>
      </c>
      <c r="O3083" s="5" t="str">
        <f t="shared" si="50"/>
        <v/>
      </c>
      <c r="P3083" s="5" t="str">
        <f>IF(M3083="","",$C$2*(1-L3083)*907.2/0.621371*N3083*[1]Transportation!$M$40)</f>
        <v/>
      </c>
      <c r="Q3083" s="5" t="str">
        <f>IF(L3083="","",IF([1]Inputs_Outputs!$B$5="Herbaceous",(LCA!$E$29*'[1]LOCH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3" s="5" t="str">
        <f>IF(M3083="","",$E$2*1000*'[1]LOCH Calc COE Calc'!$C$44)</f>
        <v/>
      </c>
      <c r="S3083" s="6" t="str">
        <f>IF(N3083="","",SUM(O3083:R3083)/('[1]LOCH Calc COE Calc'!$C$28))</f>
        <v/>
      </c>
      <c r="T3083" t="str">
        <f>IF(L3083="","",O3083/'[1]LOCH Calc COE Calc'!$C$28)</f>
        <v/>
      </c>
      <c r="U3083" t="str">
        <f>IF(L3083="","",P3083/'[1]LOCH Calc COE Calc'!$C$28)</f>
        <v/>
      </c>
      <c r="V3083" t="str">
        <f>IF(L3083="","",Q3083/'[1]LOCH Calc COE Calc'!$C$28)</f>
        <v/>
      </c>
      <c r="W3083" t="str">
        <f>IF(L3083="","",R3083/'[1]LOCH Calc COE Calc'!$C$28)</f>
        <v/>
      </c>
    </row>
    <row r="3084" spans="12:23" x14ac:dyDescent="0.25">
      <c r="L3084" s="4" t="str">
        <f>IF('[1]All Data '!BE3089="","",'[1]All Data '!BE3089)</f>
        <v/>
      </c>
      <c r="M3084" t="str">
        <f>IF('[1]All Data '!BF3089="","",'[1]All Data '!BF3089)</f>
        <v/>
      </c>
      <c r="N3084" s="5" t="str">
        <f>IF('[1]All Data '!BB3089="","",'[1]All Data '!BC3089/'[1]All Data '!BH3089)</f>
        <v/>
      </c>
      <c r="O3084" s="5" t="str">
        <f t="shared" si="50"/>
        <v/>
      </c>
      <c r="P3084" s="5" t="str">
        <f>IF(M3084="","",$C$2*(1-L3084)*907.2/0.621371*N3084*[1]Transportation!$M$40)</f>
        <v/>
      </c>
      <c r="Q3084" s="5" t="str">
        <f>IF(L3084="","",IF([1]Inputs_Outputs!$B$5="Herbaceous",(LCA!$E$29*'[1]LOCH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4" s="5" t="str">
        <f>IF(M3084="","",$E$2*1000*'[1]LOCH Calc COE Calc'!$C$44)</f>
        <v/>
      </c>
      <c r="S3084" s="6" t="str">
        <f>IF(N3084="","",SUM(O3084:R3084)/('[1]LOCH Calc COE Calc'!$C$28))</f>
        <v/>
      </c>
      <c r="T3084" t="str">
        <f>IF(L3084="","",O3084/'[1]LOCH Calc COE Calc'!$C$28)</f>
        <v/>
      </c>
      <c r="U3084" t="str">
        <f>IF(L3084="","",P3084/'[1]LOCH Calc COE Calc'!$C$28)</f>
        <v/>
      </c>
      <c r="V3084" t="str">
        <f>IF(L3084="","",Q3084/'[1]LOCH Calc COE Calc'!$C$28)</f>
        <v/>
      </c>
      <c r="W3084" t="str">
        <f>IF(L3084="","",R3084/'[1]LOCH Calc COE Calc'!$C$28)</f>
        <v/>
      </c>
    </row>
    <row r="3085" spans="12:23" x14ac:dyDescent="0.25">
      <c r="L3085" s="4" t="str">
        <f>IF('[1]All Data '!BE3090="","",'[1]All Data '!BE3090)</f>
        <v/>
      </c>
      <c r="M3085" t="str">
        <f>IF('[1]All Data '!BF3090="","",'[1]All Data '!BF3090)</f>
        <v/>
      </c>
      <c r="N3085" s="5" t="str">
        <f>IF('[1]All Data '!BB3090="","",'[1]All Data '!BC3090/'[1]All Data '!BH3090)</f>
        <v/>
      </c>
      <c r="O3085" s="5" t="str">
        <f t="shared" si="50"/>
        <v/>
      </c>
      <c r="P3085" s="5" t="str">
        <f>IF(M3085="","",$C$2*(1-L3085)*907.2/0.621371*N3085*[1]Transportation!$M$40)</f>
        <v/>
      </c>
      <c r="Q3085" s="5" t="str">
        <f>IF(L3085="","",IF([1]Inputs_Outputs!$B$5="Herbaceous",(LCA!$E$29*'[1]LOCH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5" s="5" t="str">
        <f>IF(M3085="","",$E$2*1000*'[1]LOCH Calc COE Calc'!$C$44)</f>
        <v/>
      </c>
      <c r="S3085" s="6" t="str">
        <f>IF(N3085="","",SUM(O3085:R3085)/('[1]LOCH Calc COE Calc'!$C$28))</f>
        <v/>
      </c>
      <c r="T3085" t="str">
        <f>IF(L3085="","",O3085/'[1]LOCH Calc COE Calc'!$C$28)</f>
        <v/>
      </c>
      <c r="U3085" t="str">
        <f>IF(L3085="","",P3085/'[1]LOCH Calc COE Calc'!$C$28)</f>
        <v/>
      </c>
      <c r="V3085" t="str">
        <f>IF(L3085="","",Q3085/'[1]LOCH Calc COE Calc'!$C$28)</f>
        <v/>
      </c>
      <c r="W3085" t="str">
        <f>IF(L3085="","",R3085/'[1]LOCH Calc COE Calc'!$C$28)</f>
        <v/>
      </c>
    </row>
    <row r="3086" spans="12:23" x14ac:dyDescent="0.25">
      <c r="L3086" s="4" t="str">
        <f>IF('[1]All Data '!BE3091="","",'[1]All Data '!BE3091)</f>
        <v/>
      </c>
      <c r="M3086" t="str">
        <f>IF('[1]All Data '!BF3091="","",'[1]All Data '!BF3091)</f>
        <v/>
      </c>
      <c r="N3086" s="5" t="str">
        <f>IF('[1]All Data '!BB3091="","",'[1]All Data '!BC3091/'[1]All Data '!BH3091)</f>
        <v/>
      </c>
      <c r="O3086" s="5" t="str">
        <f t="shared" si="50"/>
        <v/>
      </c>
      <c r="P3086" s="5" t="str">
        <f>IF(M3086="","",$C$2*(1-L3086)*907.2/0.621371*N3086*[1]Transportation!$M$40)</f>
        <v/>
      </c>
      <c r="Q3086" s="5" t="str">
        <f>IF(L3086="","",IF([1]Inputs_Outputs!$B$5="Herbaceous",(LCA!$E$29*'[1]LOCH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6" s="5" t="str">
        <f>IF(M3086="","",$E$2*1000*'[1]LOCH Calc COE Calc'!$C$44)</f>
        <v/>
      </c>
      <c r="S3086" s="6" t="str">
        <f>IF(N3086="","",SUM(O3086:R3086)/('[1]LOCH Calc COE Calc'!$C$28))</f>
        <v/>
      </c>
      <c r="T3086" t="str">
        <f>IF(L3086="","",O3086/'[1]LOCH Calc COE Calc'!$C$28)</f>
        <v/>
      </c>
      <c r="U3086" t="str">
        <f>IF(L3086="","",P3086/'[1]LOCH Calc COE Calc'!$C$28)</f>
        <v/>
      </c>
      <c r="V3086" t="str">
        <f>IF(L3086="","",Q3086/'[1]LOCH Calc COE Calc'!$C$28)</f>
        <v/>
      </c>
      <c r="W3086" t="str">
        <f>IF(L3086="","",R3086/'[1]LOCH Calc COE Calc'!$C$28)</f>
        <v/>
      </c>
    </row>
    <row r="3087" spans="12:23" x14ac:dyDescent="0.25">
      <c r="L3087" s="4" t="str">
        <f>IF('[1]All Data '!BE3092="","",'[1]All Data '!BE3092)</f>
        <v/>
      </c>
      <c r="M3087" t="str">
        <f>IF('[1]All Data '!BF3092="","",'[1]All Data '!BF3092)</f>
        <v/>
      </c>
      <c r="N3087" s="5" t="str">
        <f>IF('[1]All Data '!BB3092="","",'[1]All Data '!BC3092/'[1]All Data '!BH3092)</f>
        <v/>
      </c>
      <c r="O3087" s="5" t="str">
        <f t="shared" si="50"/>
        <v/>
      </c>
      <c r="P3087" s="5" t="str">
        <f>IF(M3087="","",$C$2*(1-L3087)*907.2/0.621371*N3087*[1]Transportation!$M$40)</f>
        <v/>
      </c>
      <c r="Q3087" s="5" t="str">
        <f>IF(L3087="","",IF([1]Inputs_Outputs!$B$5="Herbaceous",(LCA!$E$29*'[1]LOCH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7" s="5" t="str">
        <f>IF(M3087="","",$E$2*1000*'[1]LOCH Calc COE Calc'!$C$44)</f>
        <v/>
      </c>
      <c r="S3087" s="6" t="str">
        <f>IF(N3087="","",SUM(O3087:R3087)/('[1]LOCH Calc COE Calc'!$C$28))</f>
        <v/>
      </c>
      <c r="T3087" t="str">
        <f>IF(L3087="","",O3087/'[1]LOCH Calc COE Calc'!$C$28)</f>
        <v/>
      </c>
      <c r="U3087" t="str">
        <f>IF(L3087="","",P3087/'[1]LOCH Calc COE Calc'!$C$28)</f>
        <v/>
      </c>
      <c r="V3087" t="str">
        <f>IF(L3087="","",Q3087/'[1]LOCH Calc COE Calc'!$C$28)</f>
        <v/>
      </c>
      <c r="W3087" t="str">
        <f>IF(L3087="","",R3087/'[1]LOCH Calc COE Calc'!$C$28)</f>
        <v/>
      </c>
    </row>
    <row r="3088" spans="12:23" x14ac:dyDescent="0.25">
      <c r="L3088" s="4" t="str">
        <f>IF('[1]All Data '!BE3093="","",'[1]All Data '!BE3093)</f>
        <v/>
      </c>
      <c r="M3088" t="str">
        <f>IF('[1]All Data '!BF3093="","",'[1]All Data '!BF3093)</f>
        <v/>
      </c>
      <c r="N3088" s="5" t="str">
        <f>IF('[1]All Data '!BB3093="","",'[1]All Data '!BC3093/'[1]All Data '!BH3093)</f>
        <v/>
      </c>
      <c r="O3088" s="5" t="str">
        <f t="shared" si="50"/>
        <v/>
      </c>
      <c r="P3088" s="5" t="str">
        <f>IF(M3088="","",$C$2*(1-L3088)*907.2/0.621371*N3088*[1]Transportation!$M$40)</f>
        <v/>
      </c>
      <c r="Q3088" s="5" t="str">
        <f>IF(L3088="","",IF([1]Inputs_Outputs!$B$5="Herbaceous",(LCA!$E$29*'[1]LOCH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8" s="5" t="str">
        <f>IF(M3088="","",$E$2*1000*'[1]LOCH Calc COE Calc'!$C$44)</f>
        <v/>
      </c>
      <c r="S3088" s="6" t="str">
        <f>IF(N3088="","",SUM(O3088:R3088)/('[1]LOCH Calc COE Calc'!$C$28))</f>
        <v/>
      </c>
      <c r="T3088" t="str">
        <f>IF(L3088="","",O3088/'[1]LOCH Calc COE Calc'!$C$28)</f>
        <v/>
      </c>
      <c r="U3088" t="str">
        <f>IF(L3088="","",P3088/'[1]LOCH Calc COE Calc'!$C$28)</f>
        <v/>
      </c>
      <c r="V3088" t="str">
        <f>IF(L3088="","",Q3088/'[1]LOCH Calc COE Calc'!$C$28)</f>
        <v/>
      </c>
      <c r="W3088" t="str">
        <f>IF(L3088="","",R3088/'[1]LOCH Calc COE Calc'!$C$28)</f>
        <v/>
      </c>
    </row>
    <row r="3089" spans="12:23" x14ac:dyDescent="0.25">
      <c r="L3089" s="4" t="str">
        <f>IF('[1]All Data '!BE3094="","",'[1]All Data '!BE3094)</f>
        <v/>
      </c>
      <c r="M3089" t="str">
        <f>IF('[1]All Data '!BF3094="","",'[1]All Data '!BF3094)</f>
        <v/>
      </c>
      <c r="N3089" s="5" t="str">
        <f>IF('[1]All Data '!BB3094="","",'[1]All Data '!BC3094/'[1]All Data '!BH3094)</f>
        <v/>
      </c>
      <c r="O3089" s="5" t="str">
        <f t="shared" si="50"/>
        <v/>
      </c>
      <c r="P3089" s="5" t="str">
        <f>IF(M3089="","",$C$2*(1-L3089)*907.2/0.621371*N3089*[1]Transportation!$M$40)</f>
        <v/>
      </c>
      <c r="Q3089" s="5" t="str">
        <f>IF(L3089="","",IF([1]Inputs_Outputs!$B$5="Herbaceous",(LCA!$E$29*'[1]LOCH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89" s="5" t="str">
        <f>IF(M3089="","",$E$2*1000*'[1]LOCH Calc COE Calc'!$C$44)</f>
        <v/>
      </c>
      <c r="S3089" s="6" t="str">
        <f>IF(N3089="","",SUM(O3089:R3089)/('[1]LOCH Calc COE Calc'!$C$28))</f>
        <v/>
      </c>
      <c r="T3089" t="str">
        <f>IF(L3089="","",O3089/'[1]LOCH Calc COE Calc'!$C$28)</f>
        <v/>
      </c>
      <c r="U3089" t="str">
        <f>IF(L3089="","",P3089/'[1]LOCH Calc COE Calc'!$C$28)</f>
        <v/>
      </c>
      <c r="V3089" t="str">
        <f>IF(L3089="","",Q3089/'[1]LOCH Calc COE Calc'!$C$28)</f>
        <v/>
      </c>
      <c r="W3089" t="str">
        <f>IF(L3089="","",R3089/'[1]LOCH Calc COE Calc'!$C$28)</f>
        <v/>
      </c>
    </row>
    <row r="3090" spans="12:23" x14ac:dyDescent="0.25">
      <c r="L3090" s="4" t="str">
        <f>IF('[1]All Data '!BE3095="","",'[1]All Data '!BE3095)</f>
        <v/>
      </c>
      <c r="M3090" t="str">
        <f>IF('[1]All Data '!BF3095="","",'[1]All Data '!BF3095)</f>
        <v/>
      </c>
      <c r="N3090" s="5" t="str">
        <f>IF('[1]All Data '!BB3095="","",'[1]All Data '!BC3095/'[1]All Data '!BH3095)</f>
        <v/>
      </c>
      <c r="O3090" s="5" t="str">
        <f t="shared" si="50"/>
        <v/>
      </c>
      <c r="P3090" s="5" t="str">
        <f>IF(M3090="","",$C$2*(1-L3090)*907.2/0.621371*N3090*[1]Transportation!$M$40)</f>
        <v/>
      </c>
      <c r="Q3090" s="5" t="str">
        <f>IF(L3090="","",IF([1]Inputs_Outputs!$B$5="Herbaceous",(LCA!$E$29*'[1]LOCH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0" s="5" t="str">
        <f>IF(M3090="","",$E$2*1000*'[1]LOCH Calc COE Calc'!$C$44)</f>
        <v/>
      </c>
      <c r="S3090" s="6" t="str">
        <f>IF(N3090="","",SUM(O3090:R3090)/('[1]LOCH Calc COE Calc'!$C$28))</f>
        <v/>
      </c>
      <c r="T3090" t="str">
        <f>IF(L3090="","",O3090/'[1]LOCH Calc COE Calc'!$C$28)</f>
        <v/>
      </c>
      <c r="U3090" t="str">
        <f>IF(L3090="","",P3090/'[1]LOCH Calc COE Calc'!$C$28)</f>
        <v/>
      </c>
      <c r="V3090" t="str">
        <f>IF(L3090="","",Q3090/'[1]LOCH Calc COE Calc'!$C$28)</f>
        <v/>
      </c>
      <c r="W3090" t="str">
        <f>IF(L3090="","",R3090/'[1]LOCH Calc COE Calc'!$C$28)</f>
        <v/>
      </c>
    </row>
    <row r="3091" spans="12:23" x14ac:dyDescent="0.25">
      <c r="L3091" s="4" t="str">
        <f>IF('[1]All Data '!BE3096="","",'[1]All Data '!BE3096)</f>
        <v/>
      </c>
      <c r="M3091" t="str">
        <f>IF('[1]All Data '!BF3096="","",'[1]All Data '!BF3096)</f>
        <v/>
      </c>
      <c r="N3091" s="5" t="str">
        <f>IF('[1]All Data '!BB3096="","",'[1]All Data '!BC3096/'[1]All Data '!BH3096)</f>
        <v/>
      </c>
      <c r="O3091" s="5" t="str">
        <f t="shared" si="50"/>
        <v/>
      </c>
      <c r="P3091" s="5" t="str">
        <f>IF(M3091="","",$C$2*(1-L3091)*907.2/0.621371*N3091*[1]Transportation!$M$40)</f>
        <v/>
      </c>
      <c r="Q3091" s="5" t="str">
        <f>IF(L3091="","",IF([1]Inputs_Outputs!$B$5="Herbaceous",(LCA!$E$29*'[1]LOCH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1" s="5" t="str">
        <f>IF(M3091="","",$E$2*1000*'[1]LOCH Calc COE Calc'!$C$44)</f>
        <v/>
      </c>
      <c r="S3091" s="6" t="str">
        <f>IF(N3091="","",SUM(O3091:R3091)/('[1]LOCH Calc COE Calc'!$C$28))</f>
        <v/>
      </c>
      <c r="T3091" t="str">
        <f>IF(L3091="","",O3091/'[1]LOCH Calc COE Calc'!$C$28)</f>
        <v/>
      </c>
      <c r="U3091" t="str">
        <f>IF(L3091="","",P3091/'[1]LOCH Calc COE Calc'!$C$28)</f>
        <v/>
      </c>
      <c r="V3091" t="str">
        <f>IF(L3091="","",Q3091/'[1]LOCH Calc COE Calc'!$C$28)</f>
        <v/>
      </c>
      <c r="W3091" t="str">
        <f>IF(L3091="","",R3091/'[1]LOCH Calc COE Calc'!$C$28)</f>
        <v/>
      </c>
    </row>
    <row r="3092" spans="12:23" x14ac:dyDescent="0.25">
      <c r="L3092" s="4" t="str">
        <f>IF('[1]All Data '!BE3097="","",'[1]All Data '!BE3097)</f>
        <v/>
      </c>
      <c r="M3092" t="str">
        <f>IF('[1]All Data '!BF3097="","",'[1]All Data '!BF3097)</f>
        <v/>
      </c>
      <c r="N3092" s="5" t="str">
        <f>IF('[1]All Data '!BB3097="","",'[1]All Data '!BC3097/'[1]All Data '!BH3097)</f>
        <v/>
      </c>
      <c r="O3092" s="5" t="str">
        <f t="shared" si="50"/>
        <v/>
      </c>
      <c r="P3092" s="5" t="str">
        <f>IF(M3092="","",$C$2*(1-L3092)*907.2/0.621371*N3092*[1]Transportation!$M$40)</f>
        <v/>
      </c>
      <c r="Q3092" s="5" t="str">
        <f>IF(L3092="","",IF([1]Inputs_Outputs!$B$5="Herbaceous",(LCA!$E$29*'[1]LOCH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2" s="5" t="str">
        <f>IF(M3092="","",$E$2*1000*'[1]LOCH Calc COE Calc'!$C$44)</f>
        <v/>
      </c>
      <c r="S3092" s="6" t="str">
        <f>IF(N3092="","",SUM(O3092:R3092)/('[1]LOCH Calc COE Calc'!$C$28))</f>
        <v/>
      </c>
      <c r="T3092" t="str">
        <f>IF(L3092="","",O3092/'[1]LOCH Calc COE Calc'!$C$28)</f>
        <v/>
      </c>
      <c r="U3092" t="str">
        <f>IF(L3092="","",P3092/'[1]LOCH Calc COE Calc'!$C$28)</f>
        <v/>
      </c>
      <c r="V3092" t="str">
        <f>IF(L3092="","",Q3092/'[1]LOCH Calc COE Calc'!$C$28)</f>
        <v/>
      </c>
      <c r="W3092" t="str">
        <f>IF(L3092="","",R3092/'[1]LOCH Calc COE Calc'!$C$28)</f>
        <v/>
      </c>
    </row>
    <row r="3093" spans="12:23" x14ac:dyDescent="0.25">
      <c r="L3093" s="4" t="str">
        <f>IF('[1]All Data '!BE3098="","",'[1]All Data '!BE3098)</f>
        <v/>
      </c>
      <c r="M3093" t="str">
        <f>IF('[1]All Data '!BF3098="","",'[1]All Data '!BF3098)</f>
        <v/>
      </c>
      <c r="N3093" s="5" t="str">
        <f>IF('[1]All Data '!BB3098="","",'[1]All Data '!BC3098/'[1]All Data '!BH3098)</f>
        <v/>
      </c>
      <c r="O3093" s="5" t="str">
        <f t="shared" si="50"/>
        <v/>
      </c>
      <c r="P3093" s="5" t="str">
        <f>IF(M3093="","",$C$2*(1-L3093)*907.2/0.621371*N3093*[1]Transportation!$M$40)</f>
        <v/>
      </c>
      <c r="Q3093" s="5" t="str">
        <f>IF(L3093="","",IF([1]Inputs_Outputs!$B$5="Herbaceous",(LCA!$E$29*'[1]LOCH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3" s="5" t="str">
        <f>IF(M3093="","",$E$2*1000*'[1]LOCH Calc COE Calc'!$C$44)</f>
        <v/>
      </c>
      <c r="S3093" s="6" t="str">
        <f>IF(N3093="","",SUM(O3093:R3093)/('[1]LOCH Calc COE Calc'!$C$28))</f>
        <v/>
      </c>
      <c r="T3093" t="str">
        <f>IF(L3093="","",O3093/'[1]LOCH Calc COE Calc'!$C$28)</f>
        <v/>
      </c>
      <c r="U3093" t="str">
        <f>IF(L3093="","",P3093/'[1]LOCH Calc COE Calc'!$C$28)</f>
        <v/>
      </c>
      <c r="V3093" t="str">
        <f>IF(L3093="","",Q3093/'[1]LOCH Calc COE Calc'!$C$28)</f>
        <v/>
      </c>
      <c r="W3093" t="str">
        <f>IF(L3093="","",R3093/'[1]LOCH Calc COE Calc'!$C$28)</f>
        <v/>
      </c>
    </row>
    <row r="3094" spans="12:23" x14ac:dyDescent="0.25">
      <c r="L3094" s="4" t="str">
        <f>IF('[1]All Data '!BE3099="","",'[1]All Data '!BE3099)</f>
        <v/>
      </c>
      <c r="M3094" t="str">
        <f>IF('[1]All Data '!BF3099="","",'[1]All Data '!BF3099)</f>
        <v/>
      </c>
      <c r="N3094" s="5" t="str">
        <f>IF('[1]All Data '!BB3099="","",'[1]All Data '!BC3099/'[1]All Data '!BH3099)</f>
        <v/>
      </c>
      <c r="O3094" s="5" t="str">
        <f t="shared" si="50"/>
        <v/>
      </c>
      <c r="P3094" s="5" t="str">
        <f>IF(M3094="","",$C$2*(1-L3094)*907.2/0.621371*N3094*[1]Transportation!$M$40)</f>
        <v/>
      </c>
      <c r="Q3094" s="5" t="str">
        <f>IF(L3094="","",IF([1]Inputs_Outputs!$B$5="Herbaceous",(LCA!$E$29*'[1]LOCH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4" s="5" t="str">
        <f>IF(M3094="","",$E$2*1000*'[1]LOCH Calc COE Calc'!$C$44)</f>
        <v/>
      </c>
      <c r="S3094" s="6" t="str">
        <f>IF(N3094="","",SUM(O3094:R3094)/('[1]LOCH Calc COE Calc'!$C$28))</f>
        <v/>
      </c>
      <c r="T3094" t="str">
        <f>IF(L3094="","",O3094/'[1]LOCH Calc COE Calc'!$C$28)</f>
        <v/>
      </c>
      <c r="U3094" t="str">
        <f>IF(L3094="","",P3094/'[1]LOCH Calc COE Calc'!$C$28)</f>
        <v/>
      </c>
      <c r="V3094" t="str">
        <f>IF(L3094="","",Q3094/'[1]LOCH Calc COE Calc'!$C$28)</f>
        <v/>
      </c>
      <c r="W3094" t="str">
        <f>IF(L3094="","",R3094/'[1]LOCH Calc COE Calc'!$C$28)</f>
        <v/>
      </c>
    </row>
    <row r="3095" spans="12:23" x14ac:dyDescent="0.25">
      <c r="L3095" s="4" t="str">
        <f>IF('[1]All Data '!BE3100="","",'[1]All Data '!BE3100)</f>
        <v/>
      </c>
      <c r="M3095" t="str">
        <f>IF('[1]All Data '!BF3100="","",'[1]All Data '!BF3100)</f>
        <v/>
      </c>
      <c r="N3095" s="5" t="str">
        <f>IF('[1]All Data '!BB3100="","",'[1]All Data '!BC3100/'[1]All Data '!BH3100)</f>
        <v/>
      </c>
      <c r="O3095" s="5" t="str">
        <f t="shared" si="50"/>
        <v/>
      </c>
      <c r="P3095" s="5" t="str">
        <f>IF(M3095="","",$C$2*(1-L3095)*907.2/0.621371*N3095*[1]Transportation!$M$40)</f>
        <v/>
      </c>
      <c r="Q3095" s="5" t="str">
        <f>IF(L3095="","",IF([1]Inputs_Outputs!$B$5="Herbaceous",(LCA!$E$29*'[1]LOCH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5" s="5" t="str">
        <f>IF(M3095="","",$E$2*1000*'[1]LOCH Calc COE Calc'!$C$44)</f>
        <v/>
      </c>
      <c r="S3095" s="6" t="str">
        <f>IF(N3095="","",SUM(O3095:R3095)/('[1]LOCH Calc COE Calc'!$C$28))</f>
        <v/>
      </c>
      <c r="T3095" t="str">
        <f>IF(L3095="","",O3095/'[1]LOCH Calc COE Calc'!$C$28)</f>
        <v/>
      </c>
      <c r="U3095" t="str">
        <f>IF(L3095="","",P3095/'[1]LOCH Calc COE Calc'!$C$28)</f>
        <v/>
      </c>
      <c r="V3095" t="str">
        <f>IF(L3095="","",Q3095/'[1]LOCH Calc COE Calc'!$C$28)</f>
        <v/>
      </c>
      <c r="W3095" t="str">
        <f>IF(L3095="","",R3095/'[1]LOCH Calc COE Calc'!$C$28)</f>
        <v/>
      </c>
    </row>
    <row r="3096" spans="12:23" x14ac:dyDescent="0.25">
      <c r="L3096" s="4" t="str">
        <f>IF('[1]All Data '!BE3101="","",'[1]All Data '!BE3101)</f>
        <v/>
      </c>
      <c r="M3096" t="str">
        <f>IF('[1]All Data '!BF3101="","",'[1]All Data '!BF3101)</f>
        <v/>
      </c>
      <c r="N3096" s="5" t="str">
        <f>IF('[1]All Data '!BB3101="","",'[1]All Data '!BC3101/'[1]All Data '!BH3101)</f>
        <v/>
      </c>
      <c r="O3096" s="5" t="str">
        <f t="shared" si="50"/>
        <v/>
      </c>
      <c r="P3096" s="5" t="str">
        <f>IF(M3096="","",$C$2*(1-L3096)*907.2/0.621371*N3096*[1]Transportation!$M$40)</f>
        <v/>
      </c>
      <c r="Q3096" s="5" t="str">
        <f>IF(L3096="","",IF([1]Inputs_Outputs!$B$5="Herbaceous",(LCA!$E$29*'[1]LOCH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6" s="5" t="str">
        <f>IF(M3096="","",$E$2*1000*'[1]LOCH Calc COE Calc'!$C$44)</f>
        <v/>
      </c>
      <c r="S3096" s="6" t="str">
        <f>IF(N3096="","",SUM(O3096:R3096)/('[1]LOCH Calc COE Calc'!$C$28))</f>
        <v/>
      </c>
      <c r="T3096" t="str">
        <f>IF(L3096="","",O3096/'[1]LOCH Calc COE Calc'!$C$28)</f>
        <v/>
      </c>
      <c r="U3096" t="str">
        <f>IF(L3096="","",P3096/'[1]LOCH Calc COE Calc'!$C$28)</f>
        <v/>
      </c>
      <c r="V3096" t="str">
        <f>IF(L3096="","",Q3096/'[1]LOCH Calc COE Calc'!$C$28)</f>
        <v/>
      </c>
      <c r="W3096" t="str">
        <f>IF(L3096="","",R3096/'[1]LOCH Calc COE Calc'!$C$28)</f>
        <v/>
      </c>
    </row>
    <row r="3097" spans="12:23" x14ac:dyDescent="0.25">
      <c r="L3097" s="4" t="str">
        <f>IF('[1]All Data '!BE3102="","",'[1]All Data '!BE3102)</f>
        <v/>
      </c>
      <c r="M3097" t="str">
        <f>IF('[1]All Data '!BF3102="","",'[1]All Data '!BF3102)</f>
        <v/>
      </c>
      <c r="N3097" s="5" t="str">
        <f>IF('[1]All Data '!BB3102="","",'[1]All Data '!BC3102/'[1]All Data '!BH3102)</f>
        <v/>
      </c>
      <c r="O3097" s="5" t="str">
        <f t="shared" si="50"/>
        <v/>
      </c>
      <c r="P3097" s="5" t="str">
        <f>IF(M3097="","",$C$2*(1-L3097)*907.2/0.621371*N3097*[1]Transportation!$M$40)</f>
        <v/>
      </c>
      <c r="Q3097" s="5" t="str">
        <f>IF(L3097="","",IF([1]Inputs_Outputs!$B$5="Herbaceous",(LCA!$E$29*'[1]LOCH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7" s="5" t="str">
        <f>IF(M3097="","",$E$2*1000*'[1]LOCH Calc COE Calc'!$C$44)</f>
        <v/>
      </c>
      <c r="S3097" s="6" t="str">
        <f>IF(N3097="","",SUM(O3097:R3097)/('[1]LOCH Calc COE Calc'!$C$28))</f>
        <v/>
      </c>
      <c r="T3097" t="str">
        <f>IF(L3097="","",O3097/'[1]LOCH Calc COE Calc'!$C$28)</f>
        <v/>
      </c>
      <c r="U3097" t="str">
        <f>IF(L3097="","",P3097/'[1]LOCH Calc COE Calc'!$C$28)</f>
        <v/>
      </c>
      <c r="V3097" t="str">
        <f>IF(L3097="","",Q3097/'[1]LOCH Calc COE Calc'!$C$28)</f>
        <v/>
      </c>
      <c r="W3097" t="str">
        <f>IF(L3097="","",R3097/'[1]LOCH Calc COE Calc'!$C$28)</f>
        <v/>
      </c>
    </row>
    <row r="3098" spans="12:23" x14ac:dyDescent="0.25">
      <c r="L3098" s="4" t="str">
        <f>IF('[1]All Data '!BE3103="","",'[1]All Data '!BE3103)</f>
        <v/>
      </c>
      <c r="M3098" t="str">
        <f>IF('[1]All Data '!BF3103="","",'[1]All Data '!BF3103)</f>
        <v/>
      </c>
      <c r="N3098" s="5" t="str">
        <f>IF('[1]All Data '!BB3103="","",'[1]All Data '!BC3103/'[1]All Data '!BH3103)</f>
        <v/>
      </c>
      <c r="O3098" s="5" t="str">
        <f t="shared" si="50"/>
        <v/>
      </c>
      <c r="P3098" s="5" t="str">
        <f>IF(M3098="","",$C$2*(1-L3098)*907.2/0.621371*N3098*[1]Transportation!$M$40)</f>
        <v/>
      </c>
      <c r="Q3098" s="5" t="str">
        <f>IF(L3098="","",IF([1]Inputs_Outputs!$B$5="Herbaceous",(LCA!$E$29*'[1]LOCH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8" s="5" t="str">
        <f>IF(M3098="","",$E$2*1000*'[1]LOCH Calc COE Calc'!$C$44)</f>
        <v/>
      </c>
      <c r="S3098" s="6" t="str">
        <f>IF(N3098="","",SUM(O3098:R3098)/('[1]LOCH Calc COE Calc'!$C$28))</f>
        <v/>
      </c>
      <c r="T3098" t="str">
        <f>IF(L3098="","",O3098/'[1]LOCH Calc COE Calc'!$C$28)</f>
        <v/>
      </c>
      <c r="U3098" t="str">
        <f>IF(L3098="","",P3098/'[1]LOCH Calc COE Calc'!$C$28)</f>
        <v/>
      </c>
      <c r="V3098" t="str">
        <f>IF(L3098="","",Q3098/'[1]LOCH Calc COE Calc'!$C$28)</f>
        <v/>
      </c>
      <c r="W3098" t="str">
        <f>IF(L3098="","",R3098/'[1]LOCH Calc COE Calc'!$C$28)</f>
        <v/>
      </c>
    </row>
    <row r="3099" spans="12:23" x14ac:dyDescent="0.25">
      <c r="L3099" s="4" t="str">
        <f>IF('[1]All Data '!BE3104="","",'[1]All Data '!BE3104)</f>
        <v/>
      </c>
      <c r="M3099" t="str">
        <f>IF('[1]All Data '!BF3104="","",'[1]All Data '!BF3104)</f>
        <v/>
      </c>
      <c r="N3099" s="5" t="str">
        <f>IF('[1]All Data '!BB3104="","",'[1]All Data '!BC3104/'[1]All Data '!BH3104)</f>
        <v/>
      </c>
      <c r="O3099" s="5" t="str">
        <f t="shared" si="50"/>
        <v/>
      </c>
      <c r="P3099" s="5" t="str">
        <f>IF(M3099="","",$C$2*(1-L3099)*907.2/0.621371*N3099*[1]Transportation!$M$40)</f>
        <v/>
      </c>
      <c r="Q3099" s="5" t="str">
        <f>IF(L3099="","",IF([1]Inputs_Outputs!$B$5="Herbaceous",(LCA!$E$29*'[1]LOCH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099" s="5" t="str">
        <f>IF(M3099="","",$E$2*1000*'[1]LOCH Calc COE Calc'!$C$44)</f>
        <v/>
      </c>
      <c r="S3099" s="6" t="str">
        <f>IF(N3099="","",SUM(O3099:R3099)/('[1]LOCH Calc COE Calc'!$C$28))</f>
        <v/>
      </c>
      <c r="T3099" t="str">
        <f>IF(L3099="","",O3099/'[1]LOCH Calc COE Calc'!$C$28)</f>
        <v/>
      </c>
      <c r="U3099" t="str">
        <f>IF(L3099="","",P3099/'[1]LOCH Calc COE Calc'!$C$28)</f>
        <v/>
      </c>
      <c r="V3099" t="str">
        <f>IF(L3099="","",Q3099/'[1]LOCH Calc COE Calc'!$C$28)</f>
        <v/>
      </c>
      <c r="W3099" t="str">
        <f>IF(L3099="","",R3099/'[1]LOCH Calc COE Calc'!$C$28)</f>
        <v/>
      </c>
    </row>
    <row r="3100" spans="12:23" x14ac:dyDescent="0.25">
      <c r="L3100" s="4" t="str">
        <f>IF('[1]All Data '!BE3105="","",'[1]All Data '!BE3105)</f>
        <v/>
      </c>
      <c r="M3100" t="str">
        <f>IF('[1]All Data '!BF3105="","",'[1]All Data '!BF3105)</f>
        <v/>
      </c>
      <c r="N3100" s="5" t="str">
        <f>IF('[1]All Data '!BB3105="","",'[1]All Data '!BC3105/'[1]All Data '!BH3105)</f>
        <v/>
      </c>
      <c r="O3100" s="5" t="str">
        <f t="shared" si="50"/>
        <v/>
      </c>
      <c r="P3100" s="5" t="str">
        <f>IF(M3100="","",$C$2*(1-L3100)*907.2/0.621371*N3100*[1]Transportation!$M$40)</f>
        <v/>
      </c>
      <c r="Q3100" s="5" t="str">
        <f>IF(L3100="","",IF([1]Inputs_Outputs!$B$5="Herbaceous",(LCA!$E$29*'[1]LOCH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0" s="5" t="str">
        <f>IF(M3100="","",$E$2*1000*'[1]LOCH Calc COE Calc'!$C$44)</f>
        <v/>
      </c>
      <c r="S3100" s="6" t="str">
        <f>IF(N3100="","",SUM(O3100:R3100)/('[1]LOCH Calc COE Calc'!$C$28))</f>
        <v/>
      </c>
      <c r="T3100" t="str">
        <f>IF(L3100="","",O3100/'[1]LOCH Calc COE Calc'!$C$28)</f>
        <v/>
      </c>
      <c r="U3100" t="str">
        <f>IF(L3100="","",P3100/'[1]LOCH Calc COE Calc'!$C$28)</f>
        <v/>
      </c>
      <c r="V3100" t="str">
        <f>IF(L3100="","",Q3100/'[1]LOCH Calc COE Calc'!$C$28)</f>
        <v/>
      </c>
      <c r="W3100" t="str">
        <f>IF(L3100="","",R3100/'[1]LOCH Calc COE Calc'!$C$28)</f>
        <v/>
      </c>
    </row>
    <row r="3101" spans="12:23" x14ac:dyDescent="0.25">
      <c r="L3101" s="4" t="str">
        <f>IF('[1]All Data '!BE3106="","",'[1]All Data '!BE3106)</f>
        <v/>
      </c>
      <c r="M3101" t="str">
        <f>IF('[1]All Data '!BF3106="","",'[1]All Data '!BF3106)</f>
        <v/>
      </c>
      <c r="N3101" s="5" t="str">
        <f>IF('[1]All Data '!BB3106="","",'[1]All Data '!BC3106/'[1]All Data '!BH3106)</f>
        <v/>
      </c>
      <c r="O3101" s="5" t="str">
        <f t="shared" si="50"/>
        <v/>
      </c>
      <c r="P3101" s="5" t="str">
        <f>IF(M3101="","",$C$2*(1-L3101)*907.2/0.621371*N3101*[1]Transportation!$M$40)</f>
        <v/>
      </c>
      <c r="Q3101" s="5" t="str">
        <f>IF(L3101="","",IF([1]Inputs_Outputs!$B$5="Herbaceous",(LCA!$E$29*'[1]LOCH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1" s="5" t="str">
        <f>IF(M3101="","",$E$2*1000*'[1]LOCH Calc COE Calc'!$C$44)</f>
        <v/>
      </c>
      <c r="S3101" s="6" t="str">
        <f>IF(N3101="","",SUM(O3101:R3101)/('[1]LOCH Calc COE Calc'!$C$28))</f>
        <v/>
      </c>
      <c r="T3101" t="str">
        <f>IF(L3101="","",O3101/'[1]LOCH Calc COE Calc'!$C$28)</f>
        <v/>
      </c>
      <c r="U3101" t="str">
        <f>IF(L3101="","",P3101/'[1]LOCH Calc COE Calc'!$C$28)</f>
        <v/>
      </c>
      <c r="V3101" t="str">
        <f>IF(L3101="","",Q3101/'[1]LOCH Calc COE Calc'!$C$28)</f>
        <v/>
      </c>
      <c r="W3101" t="str">
        <f>IF(L3101="","",R3101/'[1]LOCH Calc COE Calc'!$C$28)</f>
        <v/>
      </c>
    </row>
    <row r="3102" spans="12:23" x14ac:dyDescent="0.25">
      <c r="L3102" s="4" t="str">
        <f>IF('[1]All Data '!BE3107="","",'[1]All Data '!BE3107)</f>
        <v/>
      </c>
      <c r="M3102" t="str">
        <f>IF('[1]All Data '!BF3107="","",'[1]All Data '!BF3107)</f>
        <v/>
      </c>
      <c r="N3102" s="5" t="str">
        <f>IF('[1]All Data '!BB3107="","",'[1]All Data '!BC3107/'[1]All Data '!BH3107)</f>
        <v/>
      </c>
      <c r="O3102" s="5" t="str">
        <f t="shared" si="50"/>
        <v/>
      </c>
      <c r="P3102" s="5" t="str">
        <f>IF(M3102="","",$C$2*(1-L3102)*907.2/0.621371*N3102*[1]Transportation!$M$40)</f>
        <v/>
      </c>
      <c r="Q3102" s="5" t="str">
        <f>IF(L3102="","",IF([1]Inputs_Outputs!$B$5="Herbaceous",(LCA!$E$29*'[1]LOCH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2" s="5" t="str">
        <f>IF(M3102="","",$E$2*1000*'[1]LOCH Calc COE Calc'!$C$44)</f>
        <v/>
      </c>
      <c r="S3102" s="6" t="str">
        <f>IF(N3102="","",SUM(O3102:R3102)/('[1]LOCH Calc COE Calc'!$C$28))</f>
        <v/>
      </c>
      <c r="T3102" t="str">
        <f>IF(L3102="","",O3102/'[1]LOCH Calc COE Calc'!$C$28)</f>
        <v/>
      </c>
      <c r="U3102" t="str">
        <f>IF(L3102="","",P3102/'[1]LOCH Calc COE Calc'!$C$28)</f>
        <v/>
      </c>
      <c r="V3102" t="str">
        <f>IF(L3102="","",Q3102/'[1]LOCH Calc COE Calc'!$C$28)</f>
        <v/>
      </c>
      <c r="W3102" t="str">
        <f>IF(L3102="","",R3102/'[1]LOCH Calc COE Calc'!$C$28)</f>
        <v/>
      </c>
    </row>
    <row r="3103" spans="12:23" x14ac:dyDescent="0.25">
      <c r="L3103" s="4" t="str">
        <f>IF('[1]All Data '!BE3108="","",'[1]All Data '!BE3108)</f>
        <v/>
      </c>
      <c r="M3103" t="str">
        <f>IF('[1]All Data '!BF3108="","",'[1]All Data '!BF3108)</f>
        <v/>
      </c>
      <c r="N3103" s="5" t="str">
        <f>IF('[1]All Data '!BB3108="","",'[1]All Data '!BC3108/'[1]All Data '!BH3108)</f>
        <v/>
      </c>
      <c r="O3103" s="5" t="str">
        <f t="shared" si="50"/>
        <v/>
      </c>
      <c r="P3103" s="5" t="str">
        <f>IF(M3103="","",$C$2*(1-L3103)*907.2/0.621371*N3103*[1]Transportation!$M$40)</f>
        <v/>
      </c>
      <c r="Q3103" s="5" t="str">
        <f>IF(L3103="","",IF([1]Inputs_Outputs!$B$5="Herbaceous",(LCA!$E$29*'[1]LOCH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3" s="5" t="str">
        <f>IF(M3103="","",$E$2*1000*'[1]LOCH Calc COE Calc'!$C$44)</f>
        <v/>
      </c>
      <c r="S3103" s="6" t="str">
        <f>IF(N3103="","",SUM(O3103:R3103)/('[1]LOCH Calc COE Calc'!$C$28))</f>
        <v/>
      </c>
      <c r="T3103" t="str">
        <f>IF(L3103="","",O3103/'[1]LOCH Calc COE Calc'!$C$28)</f>
        <v/>
      </c>
      <c r="U3103" t="str">
        <f>IF(L3103="","",P3103/'[1]LOCH Calc COE Calc'!$C$28)</f>
        <v/>
      </c>
      <c r="V3103" t="str">
        <f>IF(L3103="","",Q3103/'[1]LOCH Calc COE Calc'!$C$28)</f>
        <v/>
      </c>
      <c r="W3103" t="str">
        <f>IF(L3103="","",R3103/'[1]LOCH Calc COE Calc'!$C$28)</f>
        <v/>
      </c>
    </row>
    <row r="3104" spans="12:23" x14ac:dyDescent="0.25">
      <c r="L3104" s="4" t="str">
        <f>IF('[1]All Data '!BE3109="","",'[1]All Data '!BE3109)</f>
        <v/>
      </c>
      <c r="M3104" t="str">
        <f>IF('[1]All Data '!BF3109="","",'[1]All Data '!BF3109)</f>
        <v/>
      </c>
      <c r="N3104" s="5" t="str">
        <f>IF('[1]All Data '!BB3109="","",'[1]All Data '!BC3109/'[1]All Data '!BH3109)</f>
        <v/>
      </c>
      <c r="O3104" s="5" t="str">
        <f t="shared" si="50"/>
        <v/>
      </c>
      <c r="P3104" s="5" t="str">
        <f>IF(M3104="","",$C$2*(1-L3104)*907.2/0.621371*N3104*[1]Transportation!$M$40)</f>
        <v/>
      </c>
      <c r="Q3104" s="5" t="str">
        <f>IF(L3104="","",IF([1]Inputs_Outputs!$B$5="Herbaceous",(LCA!$E$29*'[1]LOCH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4" s="5" t="str">
        <f>IF(M3104="","",$E$2*1000*'[1]LOCH Calc COE Calc'!$C$44)</f>
        <v/>
      </c>
      <c r="S3104" s="6" t="str">
        <f>IF(N3104="","",SUM(O3104:R3104)/('[1]LOCH Calc COE Calc'!$C$28))</f>
        <v/>
      </c>
      <c r="T3104" t="str">
        <f>IF(L3104="","",O3104/'[1]LOCH Calc COE Calc'!$C$28)</f>
        <v/>
      </c>
      <c r="U3104" t="str">
        <f>IF(L3104="","",P3104/'[1]LOCH Calc COE Calc'!$C$28)</f>
        <v/>
      </c>
      <c r="V3104" t="str">
        <f>IF(L3104="","",Q3104/'[1]LOCH Calc COE Calc'!$C$28)</f>
        <v/>
      </c>
      <c r="W3104" t="str">
        <f>IF(L3104="","",R3104/'[1]LOCH Calc COE Calc'!$C$28)</f>
        <v/>
      </c>
    </row>
    <row r="3105" spans="12:23" x14ac:dyDescent="0.25">
      <c r="L3105" s="4" t="str">
        <f>IF('[1]All Data '!BE3110="","",'[1]All Data '!BE3110)</f>
        <v/>
      </c>
      <c r="M3105" t="str">
        <f>IF('[1]All Data '!BF3110="","",'[1]All Data '!BF3110)</f>
        <v/>
      </c>
      <c r="N3105" s="5" t="str">
        <f>IF('[1]All Data '!BB3110="","",'[1]All Data '!BC3110/'[1]All Data '!BH3110)</f>
        <v/>
      </c>
      <c r="O3105" s="5" t="str">
        <f t="shared" si="50"/>
        <v/>
      </c>
      <c r="P3105" s="5" t="str">
        <f>IF(M3105="","",$C$2*(1-L3105)*907.2/0.621371*N3105*[1]Transportation!$M$40)</f>
        <v/>
      </c>
      <c r="Q3105" s="5" t="str">
        <f>IF(L3105="","",IF([1]Inputs_Outputs!$B$5="Herbaceous",(LCA!$E$29*'[1]LOCH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5" s="5" t="str">
        <f>IF(M3105="","",$E$2*1000*'[1]LOCH Calc COE Calc'!$C$44)</f>
        <v/>
      </c>
      <c r="S3105" s="6" t="str">
        <f>IF(N3105="","",SUM(O3105:R3105)/('[1]LOCH Calc COE Calc'!$C$28))</f>
        <v/>
      </c>
      <c r="T3105" t="str">
        <f>IF(L3105="","",O3105/'[1]LOCH Calc COE Calc'!$C$28)</f>
        <v/>
      </c>
      <c r="U3105" t="str">
        <f>IF(L3105="","",P3105/'[1]LOCH Calc COE Calc'!$C$28)</f>
        <v/>
      </c>
      <c r="V3105" t="str">
        <f>IF(L3105="","",Q3105/'[1]LOCH Calc COE Calc'!$C$28)</f>
        <v/>
      </c>
      <c r="W3105" t="str">
        <f>IF(L3105="","",R3105/'[1]LOCH Calc COE Calc'!$C$28)</f>
        <v/>
      </c>
    </row>
    <row r="3106" spans="12:23" x14ac:dyDescent="0.25">
      <c r="L3106" s="4" t="str">
        <f>IF('[1]All Data '!BE3111="","",'[1]All Data '!BE3111)</f>
        <v/>
      </c>
      <c r="M3106" t="str">
        <f>IF('[1]All Data '!BF3111="","",'[1]All Data '!BF3111)</f>
        <v/>
      </c>
      <c r="N3106" s="5" t="str">
        <f>IF('[1]All Data '!BB3111="","",'[1]All Data '!BC3111/'[1]All Data '!BH3111)</f>
        <v/>
      </c>
      <c r="O3106" s="5" t="str">
        <f t="shared" si="50"/>
        <v/>
      </c>
      <c r="P3106" s="5" t="str">
        <f>IF(M3106="","",$C$2*(1-L3106)*907.2/0.621371*N3106*[1]Transportation!$M$40)</f>
        <v/>
      </c>
      <c r="Q3106" s="5" t="str">
        <f>IF(L3106="","",IF([1]Inputs_Outputs!$B$5="Herbaceous",(LCA!$E$29*'[1]LOCH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6" s="5" t="str">
        <f>IF(M3106="","",$E$2*1000*'[1]LOCH Calc COE Calc'!$C$44)</f>
        <v/>
      </c>
      <c r="S3106" s="6" t="str">
        <f>IF(N3106="","",SUM(O3106:R3106)/('[1]LOCH Calc COE Calc'!$C$28))</f>
        <v/>
      </c>
      <c r="T3106" t="str">
        <f>IF(L3106="","",O3106/'[1]LOCH Calc COE Calc'!$C$28)</f>
        <v/>
      </c>
      <c r="U3106" t="str">
        <f>IF(L3106="","",P3106/'[1]LOCH Calc COE Calc'!$C$28)</f>
        <v/>
      </c>
      <c r="V3106" t="str">
        <f>IF(L3106="","",Q3106/'[1]LOCH Calc COE Calc'!$C$28)</f>
        <v/>
      </c>
      <c r="W3106" t="str">
        <f>IF(L3106="","",R3106/'[1]LOCH Calc COE Calc'!$C$28)</f>
        <v/>
      </c>
    </row>
    <row r="3107" spans="12:23" x14ac:dyDescent="0.25">
      <c r="L3107" s="4" t="str">
        <f>IF('[1]All Data '!BE3112="","",'[1]All Data '!BE3112)</f>
        <v/>
      </c>
      <c r="M3107" t="str">
        <f>IF('[1]All Data '!BF3112="","",'[1]All Data '!BF3112)</f>
        <v/>
      </c>
      <c r="N3107" s="5" t="str">
        <f>IF('[1]All Data '!BB3112="","",'[1]All Data '!BC3112/'[1]All Data '!BH3112)</f>
        <v/>
      </c>
      <c r="O3107" s="5" t="str">
        <f t="shared" ref="O3107:O3147" si="51">IF(N3107="","",M3107*N3107)</f>
        <v/>
      </c>
      <c r="P3107" s="5" t="str">
        <f>IF(M3107="","",$C$2*(1-L3107)*907.2/0.621371*N3107*[1]Transportation!$M$40)</f>
        <v/>
      </c>
      <c r="Q3107" s="5" t="str">
        <f>IF(L3107="","",IF([1]Inputs_Outputs!$B$5="Herbaceous",(LCA!$E$29*'[1]LOCH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7" s="5" t="str">
        <f>IF(M3107="","",$E$2*1000*'[1]LOCH Calc COE Calc'!$C$44)</f>
        <v/>
      </c>
      <c r="S3107" s="6" t="str">
        <f>IF(N3107="","",SUM(O3107:R3107)/('[1]LOCH Calc COE Calc'!$C$28))</f>
        <v/>
      </c>
      <c r="T3107" t="str">
        <f>IF(L3107="","",O3107/'[1]LOCH Calc COE Calc'!$C$28)</f>
        <v/>
      </c>
      <c r="U3107" t="str">
        <f>IF(L3107="","",P3107/'[1]LOCH Calc COE Calc'!$C$28)</f>
        <v/>
      </c>
      <c r="V3107" t="str">
        <f>IF(L3107="","",Q3107/'[1]LOCH Calc COE Calc'!$C$28)</f>
        <v/>
      </c>
      <c r="W3107" t="str">
        <f>IF(L3107="","",R3107/'[1]LOCH Calc COE Calc'!$C$28)</f>
        <v/>
      </c>
    </row>
    <row r="3108" spans="12:23" x14ac:dyDescent="0.25">
      <c r="L3108" s="4" t="str">
        <f>IF('[1]All Data '!BE3113="","",'[1]All Data '!BE3113)</f>
        <v/>
      </c>
      <c r="M3108" t="str">
        <f>IF('[1]All Data '!BF3113="","",'[1]All Data '!BF3113)</f>
        <v/>
      </c>
      <c r="N3108" s="5" t="str">
        <f>IF('[1]All Data '!BB3113="","",'[1]All Data '!BC3113/'[1]All Data '!BH3113)</f>
        <v/>
      </c>
      <c r="O3108" s="5" t="str">
        <f t="shared" si="51"/>
        <v/>
      </c>
      <c r="P3108" s="5" t="str">
        <f>IF(M3108="","",$C$2*(1-L3108)*907.2/0.621371*N3108*[1]Transportation!$M$40)</f>
        <v/>
      </c>
      <c r="Q3108" s="5" t="str">
        <f>IF(L3108="","",IF([1]Inputs_Outputs!$B$5="Herbaceous",(LCA!$E$29*'[1]LOCH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8" s="5" t="str">
        <f>IF(M3108="","",$E$2*1000*'[1]LOCH Calc COE Calc'!$C$44)</f>
        <v/>
      </c>
      <c r="S3108" s="6" t="str">
        <f>IF(N3108="","",SUM(O3108:R3108)/('[1]LOCH Calc COE Calc'!$C$28))</f>
        <v/>
      </c>
      <c r="T3108" t="str">
        <f>IF(L3108="","",O3108/'[1]LOCH Calc COE Calc'!$C$28)</f>
        <v/>
      </c>
      <c r="U3108" t="str">
        <f>IF(L3108="","",P3108/'[1]LOCH Calc COE Calc'!$C$28)</f>
        <v/>
      </c>
      <c r="V3108" t="str">
        <f>IF(L3108="","",Q3108/'[1]LOCH Calc COE Calc'!$C$28)</f>
        <v/>
      </c>
      <c r="W3108" t="str">
        <f>IF(L3108="","",R3108/'[1]LOCH Calc COE Calc'!$C$28)</f>
        <v/>
      </c>
    </row>
    <row r="3109" spans="12:23" x14ac:dyDescent="0.25">
      <c r="L3109" s="4" t="str">
        <f>IF('[1]All Data '!BE3114="","",'[1]All Data '!BE3114)</f>
        <v/>
      </c>
      <c r="M3109" t="str">
        <f>IF('[1]All Data '!BF3114="","",'[1]All Data '!BF3114)</f>
        <v/>
      </c>
      <c r="N3109" s="5" t="str">
        <f>IF('[1]All Data '!BB3114="","",'[1]All Data '!BC3114/'[1]All Data '!BH3114)</f>
        <v/>
      </c>
      <c r="O3109" s="5" t="str">
        <f t="shared" si="51"/>
        <v/>
      </c>
      <c r="P3109" s="5" t="str">
        <f>IF(M3109="","",$C$2*(1-L3109)*907.2/0.621371*N3109*[1]Transportation!$M$40)</f>
        <v/>
      </c>
      <c r="Q3109" s="5" t="str">
        <f>IF(L3109="","",IF([1]Inputs_Outputs!$B$5="Herbaceous",(LCA!$E$29*'[1]LOCH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09" s="5" t="str">
        <f>IF(M3109="","",$E$2*1000*'[1]LOCH Calc COE Calc'!$C$44)</f>
        <v/>
      </c>
      <c r="S3109" s="6" t="str">
        <f>IF(N3109="","",SUM(O3109:R3109)/('[1]LOCH Calc COE Calc'!$C$28))</f>
        <v/>
      </c>
      <c r="T3109" t="str">
        <f>IF(L3109="","",O3109/'[1]LOCH Calc COE Calc'!$C$28)</f>
        <v/>
      </c>
      <c r="U3109" t="str">
        <f>IF(L3109="","",P3109/'[1]LOCH Calc COE Calc'!$C$28)</f>
        <v/>
      </c>
      <c r="V3109" t="str">
        <f>IF(L3109="","",Q3109/'[1]LOCH Calc COE Calc'!$C$28)</f>
        <v/>
      </c>
      <c r="W3109" t="str">
        <f>IF(L3109="","",R3109/'[1]LOCH Calc COE Calc'!$C$28)</f>
        <v/>
      </c>
    </row>
    <row r="3110" spans="12:23" x14ac:dyDescent="0.25">
      <c r="L3110" s="4" t="str">
        <f>IF('[1]All Data '!BE3115="","",'[1]All Data '!BE3115)</f>
        <v/>
      </c>
      <c r="M3110" t="str">
        <f>IF('[1]All Data '!BF3115="","",'[1]All Data '!BF3115)</f>
        <v/>
      </c>
      <c r="N3110" s="5" t="str">
        <f>IF('[1]All Data '!BB3115="","",'[1]All Data '!BC3115/'[1]All Data '!BH3115)</f>
        <v/>
      </c>
      <c r="O3110" s="5" t="str">
        <f t="shared" si="51"/>
        <v/>
      </c>
      <c r="P3110" s="5" t="str">
        <f>IF(M3110="","",$C$2*(1-L3110)*907.2/0.621371*N3110*[1]Transportation!$M$40)</f>
        <v/>
      </c>
      <c r="Q3110" s="5" t="str">
        <f>IF(L3110="","",IF([1]Inputs_Outputs!$B$5="Herbaceous",(LCA!$E$29*'[1]LOCH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0" s="5" t="str">
        <f>IF(M3110="","",$E$2*1000*'[1]LOCH Calc COE Calc'!$C$44)</f>
        <v/>
      </c>
      <c r="S3110" s="6" t="str">
        <f>IF(N3110="","",SUM(O3110:R3110)/('[1]LOCH Calc COE Calc'!$C$28))</f>
        <v/>
      </c>
      <c r="T3110" t="str">
        <f>IF(L3110="","",O3110/'[1]LOCH Calc COE Calc'!$C$28)</f>
        <v/>
      </c>
      <c r="U3110" t="str">
        <f>IF(L3110="","",P3110/'[1]LOCH Calc COE Calc'!$C$28)</f>
        <v/>
      </c>
      <c r="V3110" t="str">
        <f>IF(L3110="","",Q3110/'[1]LOCH Calc COE Calc'!$C$28)</f>
        <v/>
      </c>
      <c r="W3110" t="str">
        <f>IF(L3110="","",R3110/'[1]LOCH Calc COE Calc'!$C$28)</f>
        <v/>
      </c>
    </row>
    <row r="3111" spans="12:23" x14ac:dyDescent="0.25">
      <c r="L3111" s="4" t="str">
        <f>IF('[1]All Data '!BE3116="","",'[1]All Data '!BE3116)</f>
        <v/>
      </c>
      <c r="M3111" t="str">
        <f>IF('[1]All Data '!BF3116="","",'[1]All Data '!BF3116)</f>
        <v/>
      </c>
      <c r="N3111" s="5" t="str">
        <f>IF('[1]All Data '!BB3116="","",'[1]All Data '!BC3116/'[1]All Data '!BH3116)</f>
        <v/>
      </c>
      <c r="O3111" s="5" t="str">
        <f t="shared" si="51"/>
        <v/>
      </c>
      <c r="P3111" s="5" t="str">
        <f>IF(M3111="","",$C$2*(1-L3111)*907.2/0.621371*N3111*[1]Transportation!$M$40)</f>
        <v/>
      </c>
      <c r="Q3111" s="5" t="str">
        <f>IF(L3111="","",IF([1]Inputs_Outputs!$B$5="Herbaceous",(LCA!$E$29*'[1]LOCH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1" s="5" t="str">
        <f>IF(M3111="","",$E$2*1000*'[1]LOCH Calc COE Calc'!$C$44)</f>
        <v/>
      </c>
      <c r="S3111" s="6" t="str">
        <f>IF(N3111="","",SUM(O3111:R3111)/('[1]LOCH Calc COE Calc'!$C$28))</f>
        <v/>
      </c>
      <c r="T3111" t="str">
        <f>IF(L3111="","",O3111/'[1]LOCH Calc COE Calc'!$C$28)</f>
        <v/>
      </c>
      <c r="U3111" t="str">
        <f>IF(L3111="","",P3111/'[1]LOCH Calc COE Calc'!$C$28)</f>
        <v/>
      </c>
      <c r="V3111" t="str">
        <f>IF(L3111="","",Q3111/'[1]LOCH Calc COE Calc'!$C$28)</f>
        <v/>
      </c>
      <c r="W3111" t="str">
        <f>IF(L3111="","",R3111/'[1]LOCH Calc COE Calc'!$C$28)</f>
        <v/>
      </c>
    </row>
    <row r="3112" spans="12:23" x14ac:dyDescent="0.25">
      <c r="L3112" s="4" t="str">
        <f>IF('[1]All Data '!BE3117="","",'[1]All Data '!BE3117)</f>
        <v/>
      </c>
      <c r="M3112" t="str">
        <f>IF('[1]All Data '!BF3117="","",'[1]All Data '!BF3117)</f>
        <v/>
      </c>
      <c r="N3112" s="5" t="str">
        <f>IF('[1]All Data '!BB3117="","",'[1]All Data '!BC3117/'[1]All Data '!BH3117)</f>
        <v/>
      </c>
      <c r="O3112" s="5" t="str">
        <f t="shared" si="51"/>
        <v/>
      </c>
      <c r="P3112" s="5" t="str">
        <f>IF(M3112="","",$C$2*(1-L3112)*907.2/0.621371*N3112*[1]Transportation!$M$40)</f>
        <v/>
      </c>
      <c r="Q3112" s="5" t="str">
        <f>IF(L3112="","",IF([1]Inputs_Outputs!$B$5="Herbaceous",(LCA!$E$29*'[1]LOCH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2" s="5" t="str">
        <f>IF(M3112="","",$E$2*1000*'[1]LOCH Calc COE Calc'!$C$44)</f>
        <v/>
      </c>
      <c r="S3112" s="6" t="str">
        <f>IF(N3112="","",SUM(O3112:R3112)/('[1]LOCH Calc COE Calc'!$C$28))</f>
        <v/>
      </c>
      <c r="T3112" t="str">
        <f>IF(L3112="","",O3112/'[1]LOCH Calc COE Calc'!$C$28)</f>
        <v/>
      </c>
      <c r="U3112" t="str">
        <f>IF(L3112="","",P3112/'[1]LOCH Calc COE Calc'!$C$28)</f>
        <v/>
      </c>
      <c r="V3112" t="str">
        <f>IF(L3112="","",Q3112/'[1]LOCH Calc COE Calc'!$C$28)</f>
        <v/>
      </c>
      <c r="W3112" t="str">
        <f>IF(L3112="","",R3112/'[1]LOCH Calc COE Calc'!$C$28)</f>
        <v/>
      </c>
    </row>
    <row r="3113" spans="12:23" x14ac:dyDescent="0.25">
      <c r="L3113" s="4" t="str">
        <f>IF('[1]All Data '!BE3118="","",'[1]All Data '!BE3118)</f>
        <v/>
      </c>
      <c r="M3113" t="str">
        <f>IF('[1]All Data '!BF3118="","",'[1]All Data '!BF3118)</f>
        <v/>
      </c>
      <c r="N3113" s="5" t="str">
        <f>IF('[1]All Data '!BB3118="","",'[1]All Data '!BC3118/'[1]All Data '!BH3118)</f>
        <v/>
      </c>
      <c r="O3113" s="5" t="str">
        <f t="shared" si="51"/>
        <v/>
      </c>
      <c r="P3113" s="5" t="str">
        <f>IF(M3113="","",$C$2*(1-L3113)*907.2/0.621371*N3113*[1]Transportation!$M$40)</f>
        <v/>
      </c>
      <c r="Q3113" s="5" t="str">
        <f>IF(L3113="","",IF([1]Inputs_Outputs!$B$5="Herbaceous",(LCA!$E$29*'[1]LOCH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3" s="5" t="str">
        <f>IF(M3113="","",$E$2*1000*'[1]LOCH Calc COE Calc'!$C$44)</f>
        <v/>
      </c>
      <c r="S3113" s="6" t="str">
        <f>IF(N3113="","",SUM(O3113:R3113)/('[1]LOCH Calc COE Calc'!$C$28))</f>
        <v/>
      </c>
      <c r="T3113" t="str">
        <f>IF(L3113="","",O3113/'[1]LOCH Calc COE Calc'!$C$28)</f>
        <v/>
      </c>
      <c r="U3113" t="str">
        <f>IF(L3113="","",P3113/'[1]LOCH Calc COE Calc'!$C$28)</f>
        <v/>
      </c>
      <c r="V3113" t="str">
        <f>IF(L3113="","",Q3113/'[1]LOCH Calc COE Calc'!$C$28)</f>
        <v/>
      </c>
      <c r="W3113" t="str">
        <f>IF(L3113="","",R3113/'[1]LOCH Calc COE Calc'!$C$28)</f>
        <v/>
      </c>
    </row>
    <row r="3114" spans="12:23" x14ac:dyDescent="0.25">
      <c r="L3114" s="4" t="str">
        <f>IF('[1]All Data '!BE3119="","",'[1]All Data '!BE3119)</f>
        <v/>
      </c>
      <c r="M3114" t="str">
        <f>IF('[1]All Data '!BF3119="","",'[1]All Data '!BF3119)</f>
        <v/>
      </c>
      <c r="N3114" s="5" t="str">
        <f>IF('[1]All Data '!BB3119="","",'[1]All Data '!BC3119/'[1]All Data '!BH3119)</f>
        <v/>
      </c>
      <c r="O3114" s="5" t="str">
        <f t="shared" si="51"/>
        <v/>
      </c>
      <c r="P3114" s="5" t="str">
        <f>IF(M3114="","",$C$2*(1-L3114)*907.2/0.621371*N3114*[1]Transportation!$M$40)</f>
        <v/>
      </c>
      <c r="Q3114" s="5" t="str">
        <f>IF(L3114="","",IF([1]Inputs_Outputs!$B$5="Herbaceous",(LCA!$E$29*'[1]LOCH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4" s="5" t="str">
        <f>IF(M3114="","",$E$2*1000*'[1]LOCH Calc COE Calc'!$C$44)</f>
        <v/>
      </c>
      <c r="S3114" s="6" t="str">
        <f>IF(N3114="","",SUM(O3114:R3114)/('[1]LOCH Calc COE Calc'!$C$28))</f>
        <v/>
      </c>
      <c r="T3114" t="str">
        <f>IF(L3114="","",O3114/'[1]LOCH Calc COE Calc'!$C$28)</f>
        <v/>
      </c>
      <c r="U3114" t="str">
        <f>IF(L3114="","",P3114/'[1]LOCH Calc COE Calc'!$C$28)</f>
        <v/>
      </c>
      <c r="V3114" t="str">
        <f>IF(L3114="","",Q3114/'[1]LOCH Calc COE Calc'!$C$28)</f>
        <v/>
      </c>
      <c r="W3114" t="str">
        <f>IF(L3114="","",R3114/'[1]LOCH Calc COE Calc'!$C$28)</f>
        <v/>
      </c>
    </row>
    <row r="3115" spans="12:23" x14ac:dyDescent="0.25">
      <c r="L3115" s="4" t="str">
        <f>IF('[1]All Data '!BE3120="","",'[1]All Data '!BE3120)</f>
        <v/>
      </c>
      <c r="M3115" t="str">
        <f>IF('[1]All Data '!BF3120="","",'[1]All Data '!BF3120)</f>
        <v/>
      </c>
      <c r="N3115" s="5" t="str">
        <f>IF('[1]All Data '!BB3120="","",'[1]All Data '!BC3120/'[1]All Data '!BH3120)</f>
        <v/>
      </c>
      <c r="O3115" s="5" t="str">
        <f t="shared" si="51"/>
        <v/>
      </c>
      <c r="P3115" s="5" t="str">
        <f>IF(M3115="","",$C$2*(1-L3115)*907.2/0.621371*N3115*[1]Transportation!$M$40)</f>
        <v/>
      </c>
      <c r="Q3115" s="5" t="str">
        <f>IF(L3115="","",IF([1]Inputs_Outputs!$B$5="Herbaceous",(LCA!$E$29*'[1]LOCH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5" s="5" t="str">
        <f>IF(M3115="","",$E$2*1000*'[1]LOCH Calc COE Calc'!$C$44)</f>
        <v/>
      </c>
      <c r="S3115" s="6" t="str">
        <f>IF(N3115="","",SUM(O3115:R3115)/('[1]LOCH Calc COE Calc'!$C$28))</f>
        <v/>
      </c>
      <c r="T3115" t="str">
        <f>IF(L3115="","",O3115/'[1]LOCH Calc COE Calc'!$C$28)</f>
        <v/>
      </c>
      <c r="U3115" t="str">
        <f>IF(L3115="","",P3115/'[1]LOCH Calc COE Calc'!$C$28)</f>
        <v/>
      </c>
      <c r="V3115" t="str">
        <f>IF(L3115="","",Q3115/'[1]LOCH Calc COE Calc'!$C$28)</f>
        <v/>
      </c>
      <c r="W3115" t="str">
        <f>IF(L3115="","",R3115/'[1]LOCH Calc COE Calc'!$C$28)</f>
        <v/>
      </c>
    </row>
    <row r="3116" spans="12:23" x14ac:dyDescent="0.25">
      <c r="L3116" s="4" t="str">
        <f>IF('[1]All Data '!BE3121="","",'[1]All Data '!BE3121)</f>
        <v/>
      </c>
      <c r="M3116" t="str">
        <f>IF('[1]All Data '!BF3121="","",'[1]All Data '!BF3121)</f>
        <v/>
      </c>
      <c r="N3116" s="5" t="str">
        <f>IF('[1]All Data '!BB3121="","",'[1]All Data '!BC3121/'[1]All Data '!BH3121)</f>
        <v/>
      </c>
      <c r="O3116" s="5" t="str">
        <f t="shared" si="51"/>
        <v/>
      </c>
      <c r="P3116" s="5" t="str">
        <f>IF(M3116="","",$C$2*(1-L3116)*907.2/0.621371*N3116*[1]Transportation!$M$40)</f>
        <v/>
      </c>
      <c r="Q3116" s="5" t="str">
        <f>IF(L3116="","",IF([1]Inputs_Outputs!$B$5="Herbaceous",(LCA!$E$29*'[1]LOCH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6" s="5" t="str">
        <f>IF(M3116="","",$E$2*1000*'[1]LOCH Calc COE Calc'!$C$44)</f>
        <v/>
      </c>
      <c r="S3116" s="6" t="str">
        <f>IF(N3116="","",SUM(O3116:R3116)/('[1]LOCH Calc COE Calc'!$C$28))</f>
        <v/>
      </c>
      <c r="T3116" t="str">
        <f>IF(L3116="","",O3116/'[1]LOCH Calc COE Calc'!$C$28)</f>
        <v/>
      </c>
      <c r="U3116" t="str">
        <f>IF(L3116="","",P3116/'[1]LOCH Calc COE Calc'!$C$28)</f>
        <v/>
      </c>
      <c r="V3116" t="str">
        <f>IF(L3116="","",Q3116/'[1]LOCH Calc COE Calc'!$C$28)</f>
        <v/>
      </c>
      <c r="W3116" t="str">
        <f>IF(L3116="","",R3116/'[1]LOCH Calc COE Calc'!$C$28)</f>
        <v/>
      </c>
    </row>
    <row r="3117" spans="12:23" x14ac:dyDescent="0.25">
      <c r="L3117" s="4" t="str">
        <f>IF('[1]All Data '!BE3122="","",'[1]All Data '!BE3122)</f>
        <v/>
      </c>
      <c r="M3117" t="str">
        <f>IF('[1]All Data '!BF3122="","",'[1]All Data '!BF3122)</f>
        <v/>
      </c>
      <c r="N3117" s="5" t="str">
        <f>IF('[1]All Data '!BB3122="","",'[1]All Data '!BC3122/'[1]All Data '!BH3122)</f>
        <v/>
      </c>
      <c r="O3117" s="5" t="str">
        <f t="shared" si="51"/>
        <v/>
      </c>
      <c r="P3117" s="5" t="str">
        <f>IF(M3117="","",$C$2*(1-L3117)*907.2/0.621371*N3117*[1]Transportation!$M$40)</f>
        <v/>
      </c>
      <c r="Q3117" s="5" t="str">
        <f>IF(L3117="","",IF([1]Inputs_Outputs!$B$5="Herbaceous",(LCA!$E$29*'[1]LOCH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7" s="5" t="str">
        <f>IF(M3117="","",$E$2*1000*'[1]LOCH Calc COE Calc'!$C$44)</f>
        <v/>
      </c>
      <c r="S3117" s="6" t="str">
        <f>IF(N3117="","",SUM(O3117:R3117)/('[1]LOCH Calc COE Calc'!$C$28))</f>
        <v/>
      </c>
      <c r="T3117" t="str">
        <f>IF(L3117="","",O3117/'[1]LOCH Calc COE Calc'!$C$28)</f>
        <v/>
      </c>
      <c r="U3117" t="str">
        <f>IF(L3117="","",P3117/'[1]LOCH Calc COE Calc'!$C$28)</f>
        <v/>
      </c>
      <c r="V3117" t="str">
        <f>IF(L3117="","",Q3117/'[1]LOCH Calc COE Calc'!$C$28)</f>
        <v/>
      </c>
      <c r="W3117" t="str">
        <f>IF(L3117="","",R3117/'[1]LOCH Calc COE Calc'!$C$28)</f>
        <v/>
      </c>
    </row>
    <row r="3118" spans="12:23" x14ac:dyDescent="0.25">
      <c r="L3118" s="4" t="str">
        <f>IF('[1]All Data '!BE3123="","",'[1]All Data '!BE3123)</f>
        <v/>
      </c>
      <c r="M3118" t="str">
        <f>IF('[1]All Data '!BF3123="","",'[1]All Data '!BF3123)</f>
        <v/>
      </c>
      <c r="N3118" s="5" t="str">
        <f>IF('[1]All Data '!BB3123="","",'[1]All Data '!BC3123/'[1]All Data '!BH3123)</f>
        <v/>
      </c>
      <c r="O3118" s="5" t="str">
        <f t="shared" si="51"/>
        <v/>
      </c>
      <c r="P3118" s="5" t="str">
        <f>IF(M3118="","",$C$2*(1-L3118)*907.2/0.621371*N3118*[1]Transportation!$M$40)</f>
        <v/>
      </c>
      <c r="Q3118" s="5" t="str">
        <f>IF(L3118="","",IF([1]Inputs_Outputs!$B$5="Herbaceous",(LCA!$E$29*'[1]LOCH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8" s="5" t="str">
        <f>IF(M3118="","",$E$2*1000*'[1]LOCH Calc COE Calc'!$C$44)</f>
        <v/>
      </c>
      <c r="S3118" s="6" t="str">
        <f>IF(N3118="","",SUM(O3118:R3118)/('[1]LOCH Calc COE Calc'!$C$28))</f>
        <v/>
      </c>
      <c r="T3118" t="str">
        <f>IF(L3118="","",O3118/'[1]LOCH Calc COE Calc'!$C$28)</f>
        <v/>
      </c>
      <c r="U3118" t="str">
        <f>IF(L3118="","",P3118/'[1]LOCH Calc COE Calc'!$C$28)</f>
        <v/>
      </c>
      <c r="V3118" t="str">
        <f>IF(L3118="","",Q3118/'[1]LOCH Calc COE Calc'!$C$28)</f>
        <v/>
      </c>
      <c r="W3118" t="str">
        <f>IF(L3118="","",R3118/'[1]LOCH Calc COE Calc'!$C$28)</f>
        <v/>
      </c>
    </row>
    <row r="3119" spans="12:23" x14ac:dyDescent="0.25">
      <c r="L3119" s="4" t="str">
        <f>IF('[1]All Data '!BE3124="","",'[1]All Data '!BE3124)</f>
        <v/>
      </c>
      <c r="M3119" t="str">
        <f>IF('[1]All Data '!BF3124="","",'[1]All Data '!BF3124)</f>
        <v/>
      </c>
      <c r="N3119" s="5" t="str">
        <f>IF('[1]All Data '!BB3124="","",'[1]All Data '!BC3124/'[1]All Data '!BH3124)</f>
        <v/>
      </c>
      <c r="O3119" s="5" t="str">
        <f t="shared" si="51"/>
        <v/>
      </c>
      <c r="P3119" s="5" t="str">
        <f>IF(M3119="","",$C$2*(1-L3119)*907.2/0.621371*N3119*[1]Transportation!$M$40)</f>
        <v/>
      </c>
      <c r="Q3119" s="5" t="str">
        <f>IF(L3119="","",IF([1]Inputs_Outputs!$B$5="Herbaceous",(LCA!$E$29*'[1]LOCH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19" s="5" t="str">
        <f>IF(M3119="","",$E$2*1000*'[1]LOCH Calc COE Calc'!$C$44)</f>
        <v/>
      </c>
      <c r="S3119" s="6" t="str">
        <f>IF(N3119="","",SUM(O3119:R3119)/('[1]LOCH Calc COE Calc'!$C$28))</f>
        <v/>
      </c>
      <c r="T3119" t="str">
        <f>IF(L3119="","",O3119/'[1]LOCH Calc COE Calc'!$C$28)</f>
        <v/>
      </c>
      <c r="U3119" t="str">
        <f>IF(L3119="","",P3119/'[1]LOCH Calc COE Calc'!$C$28)</f>
        <v/>
      </c>
      <c r="V3119" t="str">
        <f>IF(L3119="","",Q3119/'[1]LOCH Calc COE Calc'!$C$28)</f>
        <v/>
      </c>
      <c r="W3119" t="str">
        <f>IF(L3119="","",R3119/'[1]LOCH Calc COE Calc'!$C$28)</f>
        <v/>
      </c>
    </row>
    <row r="3120" spans="12:23" x14ac:dyDescent="0.25">
      <c r="L3120" s="4" t="str">
        <f>IF('[1]All Data '!BE3125="","",'[1]All Data '!BE3125)</f>
        <v/>
      </c>
      <c r="M3120" t="str">
        <f>IF('[1]All Data '!BF3125="","",'[1]All Data '!BF3125)</f>
        <v/>
      </c>
      <c r="N3120" s="5" t="str">
        <f>IF('[1]All Data '!BB3125="","",'[1]All Data '!BC3125/'[1]All Data '!BH3125)</f>
        <v/>
      </c>
      <c r="O3120" s="5" t="str">
        <f t="shared" si="51"/>
        <v/>
      </c>
      <c r="P3120" s="5" t="str">
        <f>IF(M3120="","",$C$2*(1-L3120)*907.2/0.621371*N3120*[1]Transportation!$M$40)</f>
        <v/>
      </c>
      <c r="Q3120" s="5" t="str">
        <f>IF(L3120="","",IF([1]Inputs_Outputs!$B$5="Herbaceous",(LCA!$E$29*'[1]LOCH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0" s="5" t="str">
        <f>IF(M3120="","",$E$2*1000*'[1]LOCH Calc COE Calc'!$C$44)</f>
        <v/>
      </c>
      <c r="S3120" s="6" t="str">
        <f>IF(N3120="","",SUM(O3120:R3120)/('[1]LOCH Calc COE Calc'!$C$28))</f>
        <v/>
      </c>
      <c r="T3120" t="str">
        <f>IF(L3120="","",O3120/'[1]LOCH Calc COE Calc'!$C$28)</f>
        <v/>
      </c>
      <c r="U3120" t="str">
        <f>IF(L3120="","",P3120/'[1]LOCH Calc COE Calc'!$C$28)</f>
        <v/>
      </c>
      <c r="V3120" t="str">
        <f>IF(L3120="","",Q3120/'[1]LOCH Calc COE Calc'!$C$28)</f>
        <v/>
      </c>
      <c r="W3120" t="str">
        <f>IF(L3120="","",R3120/'[1]LOCH Calc COE Calc'!$C$28)</f>
        <v/>
      </c>
    </row>
    <row r="3121" spans="12:23" x14ac:dyDescent="0.25">
      <c r="L3121" s="4" t="str">
        <f>IF('[1]All Data '!BE3126="","",'[1]All Data '!BE3126)</f>
        <v/>
      </c>
      <c r="M3121" t="str">
        <f>IF('[1]All Data '!BF3126="","",'[1]All Data '!BF3126)</f>
        <v/>
      </c>
      <c r="N3121" s="5" t="str">
        <f>IF('[1]All Data '!BB3126="","",'[1]All Data '!BC3126/'[1]All Data '!BH3126)</f>
        <v/>
      </c>
      <c r="O3121" s="5" t="str">
        <f t="shared" si="51"/>
        <v/>
      </c>
      <c r="P3121" s="5" t="str">
        <f>IF(M3121="","",$C$2*(1-L3121)*907.2/0.621371*N3121*[1]Transportation!$M$40)</f>
        <v/>
      </c>
      <c r="Q3121" s="5" t="str">
        <f>IF(L3121="","",IF([1]Inputs_Outputs!$B$5="Herbaceous",(LCA!$E$29*'[1]LOCH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1" s="5" t="str">
        <f>IF(M3121="","",$E$2*1000*'[1]LOCH Calc COE Calc'!$C$44)</f>
        <v/>
      </c>
      <c r="S3121" s="6" t="str">
        <f>IF(N3121="","",SUM(O3121:R3121)/('[1]LOCH Calc COE Calc'!$C$28))</f>
        <v/>
      </c>
      <c r="T3121" t="str">
        <f>IF(L3121="","",O3121/'[1]LOCH Calc COE Calc'!$C$28)</f>
        <v/>
      </c>
      <c r="U3121" t="str">
        <f>IF(L3121="","",P3121/'[1]LOCH Calc COE Calc'!$C$28)</f>
        <v/>
      </c>
      <c r="V3121" t="str">
        <f>IF(L3121="","",Q3121/'[1]LOCH Calc COE Calc'!$C$28)</f>
        <v/>
      </c>
      <c r="W3121" t="str">
        <f>IF(L3121="","",R3121/'[1]LOCH Calc COE Calc'!$C$28)</f>
        <v/>
      </c>
    </row>
    <row r="3122" spans="12:23" x14ac:dyDescent="0.25">
      <c r="L3122" s="4" t="str">
        <f>IF('[1]All Data '!BE3127="","",'[1]All Data '!BE3127)</f>
        <v/>
      </c>
      <c r="M3122" t="str">
        <f>IF('[1]All Data '!BF3127="","",'[1]All Data '!BF3127)</f>
        <v/>
      </c>
      <c r="N3122" s="5" t="str">
        <f>IF('[1]All Data '!BB3127="","",'[1]All Data '!BC3127/'[1]All Data '!BH3127)</f>
        <v/>
      </c>
      <c r="O3122" s="5" t="str">
        <f t="shared" si="51"/>
        <v/>
      </c>
      <c r="P3122" s="5" t="str">
        <f>IF(M3122="","",$C$2*(1-L3122)*907.2/0.621371*N3122*[1]Transportation!$M$40)</f>
        <v/>
      </c>
      <c r="Q3122" s="5" t="str">
        <f>IF(L3122="","",IF([1]Inputs_Outputs!$B$5="Herbaceous",(LCA!$E$29*'[1]LOCH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2" s="5" t="str">
        <f>IF(M3122="","",$E$2*1000*'[1]LOCH Calc COE Calc'!$C$44)</f>
        <v/>
      </c>
      <c r="S3122" s="6" t="str">
        <f>IF(N3122="","",SUM(O3122:R3122)/('[1]LOCH Calc COE Calc'!$C$28))</f>
        <v/>
      </c>
      <c r="T3122" t="str">
        <f>IF(L3122="","",O3122/'[1]LOCH Calc COE Calc'!$C$28)</f>
        <v/>
      </c>
      <c r="U3122" t="str">
        <f>IF(L3122="","",P3122/'[1]LOCH Calc COE Calc'!$C$28)</f>
        <v/>
      </c>
      <c r="V3122" t="str">
        <f>IF(L3122="","",Q3122/'[1]LOCH Calc COE Calc'!$C$28)</f>
        <v/>
      </c>
      <c r="W3122" t="str">
        <f>IF(L3122="","",R3122/'[1]LOCH Calc COE Calc'!$C$28)</f>
        <v/>
      </c>
    </row>
    <row r="3123" spans="12:23" x14ac:dyDescent="0.25">
      <c r="L3123" s="4" t="str">
        <f>IF('[1]All Data '!BE3128="","",'[1]All Data '!BE3128)</f>
        <v/>
      </c>
      <c r="M3123" t="str">
        <f>IF('[1]All Data '!BF3128="","",'[1]All Data '!BF3128)</f>
        <v/>
      </c>
      <c r="N3123" s="5" t="str">
        <f>IF('[1]All Data '!BB3128="","",'[1]All Data '!BC3128/'[1]All Data '!BH3128)</f>
        <v/>
      </c>
      <c r="O3123" s="5" t="str">
        <f t="shared" si="51"/>
        <v/>
      </c>
      <c r="P3123" s="5" t="str">
        <f>IF(M3123="","",$C$2*(1-L3123)*907.2/0.621371*N3123*[1]Transportation!$M$40)</f>
        <v/>
      </c>
      <c r="Q3123" s="5" t="str">
        <f>IF(L3123="","",IF([1]Inputs_Outputs!$B$5="Herbaceous",(LCA!$E$29*'[1]LOCH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3" s="5" t="str">
        <f>IF(M3123="","",$E$2*1000*'[1]LOCH Calc COE Calc'!$C$44)</f>
        <v/>
      </c>
      <c r="S3123" s="6" t="str">
        <f>IF(N3123="","",SUM(O3123:R3123)/('[1]LOCH Calc COE Calc'!$C$28))</f>
        <v/>
      </c>
      <c r="T3123" t="str">
        <f>IF(L3123="","",O3123/'[1]LOCH Calc COE Calc'!$C$28)</f>
        <v/>
      </c>
      <c r="U3123" t="str">
        <f>IF(L3123="","",P3123/'[1]LOCH Calc COE Calc'!$C$28)</f>
        <v/>
      </c>
      <c r="V3123" t="str">
        <f>IF(L3123="","",Q3123/'[1]LOCH Calc COE Calc'!$C$28)</f>
        <v/>
      </c>
      <c r="W3123" t="str">
        <f>IF(L3123="","",R3123/'[1]LOCH Calc COE Calc'!$C$28)</f>
        <v/>
      </c>
    </row>
    <row r="3124" spans="12:23" x14ac:dyDescent="0.25">
      <c r="L3124" s="4" t="str">
        <f>IF('[1]All Data '!BE3129="","",'[1]All Data '!BE3129)</f>
        <v/>
      </c>
      <c r="M3124" t="str">
        <f>IF('[1]All Data '!BF3129="","",'[1]All Data '!BF3129)</f>
        <v/>
      </c>
      <c r="N3124" s="5" t="str">
        <f>IF('[1]All Data '!BB3129="","",'[1]All Data '!BC3129/'[1]All Data '!BH3129)</f>
        <v/>
      </c>
      <c r="O3124" s="5" t="str">
        <f t="shared" si="51"/>
        <v/>
      </c>
      <c r="P3124" s="5" t="str">
        <f>IF(M3124="","",$C$2*(1-L3124)*907.2/0.621371*N3124*[1]Transportation!$M$40)</f>
        <v/>
      </c>
      <c r="Q3124" s="5" t="str">
        <f>IF(L3124="","",IF([1]Inputs_Outputs!$B$5="Herbaceous",(LCA!$E$29*'[1]LOCH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4" s="5" t="str">
        <f>IF(M3124="","",$E$2*1000*'[1]LOCH Calc COE Calc'!$C$44)</f>
        <v/>
      </c>
      <c r="S3124" s="6" t="str">
        <f>IF(N3124="","",SUM(O3124:R3124)/('[1]LOCH Calc COE Calc'!$C$28))</f>
        <v/>
      </c>
      <c r="T3124" t="str">
        <f>IF(L3124="","",O3124/'[1]LOCH Calc COE Calc'!$C$28)</f>
        <v/>
      </c>
      <c r="U3124" t="str">
        <f>IF(L3124="","",P3124/'[1]LOCH Calc COE Calc'!$C$28)</f>
        <v/>
      </c>
      <c r="V3124" t="str">
        <f>IF(L3124="","",Q3124/'[1]LOCH Calc COE Calc'!$C$28)</f>
        <v/>
      </c>
      <c r="W3124" t="str">
        <f>IF(L3124="","",R3124/'[1]LOCH Calc COE Calc'!$C$28)</f>
        <v/>
      </c>
    </row>
    <row r="3125" spans="12:23" x14ac:dyDescent="0.25">
      <c r="L3125" s="4" t="str">
        <f>IF('[1]All Data '!BE3130="","",'[1]All Data '!BE3130)</f>
        <v/>
      </c>
      <c r="M3125" t="str">
        <f>IF('[1]All Data '!BF3130="","",'[1]All Data '!BF3130)</f>
        <v/>
      </c>
      <c r="N3125" s="5" t="str">
        <f>IF('[1]All Data '!BB3130="","",'[1]All Data '!BC3130/'[1]All Data '!BH3130)</f>
        <v/>
      </c>
      <c r="O3125" s="5" t="str">
        <f t="shared" si="51"/>
        <v/>
      </c>
      <c r="P3125" s="5" t="str">
        <f>IF(M3125="","",$C$2*(1-L3125)*907.2/0.621371*N3125*[1]Transportation!$M$40)</f>
        <v/>
      </c>
      <c r="Q3125" s="5" t="str">
        <f>IF(L3125="","",IF([1]Inputs_Outputs!$B$5="Herbaceous",(LCA!$E$29*'[1]LOCH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5" s="5" t="str">
        <f>IF(M3125="","",$E$2*1000*'[1]LOCH Calc COE Calc'!$C$44)</f>
        <v/>
      </c>
      <c r="S3125" s="6" t="str">
        <f>IF(N3125="","",SUM(O3125:R3125)/('[1]LOCH Calc COE Calc'!$C$28))</f>
        <v/>
      </c>
      <c r="T3125" t="str">
        <f>IF(L3125="","",O3125/'[1]LOCH Calc COE Calc'!$C$28)</f>
        <v/>
      </c>
      <c r="U3125" t="str">
        <f>IF(L3125="","",P3125/'[1]LOCH Calc COE Calc'!$C$28)</f>
        <v/>
      </c>
      <c r="V3125" t="str">
        <f>IF(L3125="","",Q3125/'[1]LOCH Calc COE Calc'!$C$28)</f>
        <v/>
      </c>
      <c r="W3125" t="str">
        <f>IF(L3125="","",R3125/'[1]LOCH Calc COE Calc'!$C$28)</f>
        <v/>
      </c>
    </row>
    <row r="3126" spans="12:23" x14ac:dyDescent="0.25">
      <c r="L3126" s="4" t="str">
        <f>IF('[1]All Data '!BE3131="","",'[1]All Data '!BE3131)</f>
        <v/>
      </c>
      <c r="M3126" t="str">
        <f>IF('[1]All Data '!BF3131="","",'[1]All Data '!BF3131)</f>
        <v/>
      </c>
      <c r="N3126" s="5" t="str">
        <f>IF('[1]All Data '!BB3131="","",'[1]All Data '!BC3131/'[1]All Data '!BH3131)</f>
        <v/>
      </c>
      <c r="O3126" s="5" t="str">
        <f t="shared" si="51"/>
        <v/>
      </c>
      <c r="P3126" s="5" t="str">
        <f>IF(M3126="","",$C$2*(1-L3126)*907.2/0.621371*N3126*[1]Transportation!$M$40)</f>
        <v/>
      </c>
      <c r="Q3126" s="5" t="str">
        <f>IF(L3126="","",IF([1]Inputs_Outputs!$B$5="Herbaceous",(LCA!$E$29*'[1]LOCH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6" s="5" t="str">
        <f>IF(M3126="","",$E$2*1000*'[1]LOCH Calc COE Calc'!$C$44)</f>
        <v/>
      </c>
      <c r="S3126" s="6" t="str">
        <f>IF(N3126="","",SUM(O3126:R3126)/('[1]LOCH Calc COE Calc'!$C$28))</f>
        <v/>
      </c>
      <c r="T3126" t="str">
        <f>IF(L3126="","",O3126/'[1]LOCH Calc COE Calc'!$C$28)</f>
        <v/>
      </c>
      <c r="U3126" t="str">
        <f>IF(L3126="","",P3126/'[1]LOCH Calc COE Calc'!$C$28)</f>
        <v/>
      </c>
      <c r="V3126" t="str">
        <f>IF(L3126="","",Q3126/'[1]LOCH Calc COE Calc'!$C$28)</f>
        <v/>
      </c>
      <c r="W3126" t="str">
        <f>IF(L3126="","",R3126/'[1]LOCH Calc COE Calc'!$C$28)</f>
        <v/>
      </c>
    </row>
    <row r="3127" spans="12:23" x14ac:dyDescent="0.25">
      <c r="L3127" s="4" t="str">
        <f>IF('[1]All Data '!BE3132="","",'[1]All Data '!BE3132)</f>
        <v/>
      </c>
      <c r="M3127" t="str">
        <f>IF('[1]All Data '!BF3132="","",'[1]All Data '!BF3132)</f>
        <v/>
      </c>
      <c r="N3127" s="5" t="str">
        <f>IF('[1]All Data '!BB3132="","",'[1]All Data '!BC3132/'[1]All Data '!BH3132)</f>
        <v/>
      </c>
      <c r="O3127" s="5" t="str">
        <f t="shared" si="51"/>
        <v/>
      </c>
      <c r="P3127" s="5" t="str">
        <f>IF(M3127="","",$C$2*(1-L3127)*907.2/0.621371*N3127*[1]Transportation!$M$40)</f>
        <v/>
      </c>
      <c r="Q3127" s="5" t="str">
        <f>IF(L3127="","",IF([1]Inputs_Outputs!$B$5="Herbaceous",(LCA!$E$29*'[1]LOCH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7" s="5" t="str">
        <f>IF(M3127="","",$E$2*1000*'[1]LOCH Calc COE Calc'!$C$44)</f>
        <v/>
      </c>
      <c r="S3127" s="6" t="str">
        <f>IF(N3127="","",SUM(O3127:R3127)/('[1]LOCH Calc COE Calc'!$C$28))</f>
        <v/>
      </c>
      <c r="T3127" t="str">
        <f>IF(L3127="","",O3127/'[1]LOCH Calc COE Calc'!$C$28)</f>
        <v/>
      </c>
      <c r="U3127" t="str">
        <f>IF(L3127="","",P3127/'[1]LOCH Calc COE Calc'!$C$28)</f>
        <v/>
      </c>
      <c r="V3127" t="str">
        <f>IF(L3127="","",Q3127/'[1]LOCH Calc COE Calc'!$C$28)</f>
        <v/>
      </c>
      <c r="W3127" t="str">
        <f>IF(L3127="","",R3127/'[1]LOCH Calc COE Calc'!$C$28)</f>
        <v/>
      </c>
    </row>
    <row r="3128" spans="12:23" x14ac:dyDescent="0.25">
      <c r="L3128" s="4" t="str">
        <f>IF('[1]All Data '!BE3133="","",'[1]All Data '!BE3133)</f>
        <v/>
      </c>
      <c r="M3128" t="str">
        <f>IF('[1]All Data '!BF3133="","",'[1]All Data '!BF3133)</f>
        <v/>
      </c>
      <c r="N3128" s="5" t="str">
        <f>IF('[1]All Data '!BB3133="","",'[1]All Data '!BC3133/'[1]All Data '!BH3133)</f>
        <v/>
      </c>
      <c r="O3128" s="5" t="str">
        <f t="shared" si="51"/>
        <v/>
      </c>
      <c r="P3128" s="5" t="str">
        <f>IF(M3128="","",$C$2*(1-L3128)*907.2/0.621371*N3128*[1]Transportation!$M$40)</f>
        <v/>
      </c>
      <c r="Q3128" s="5" t="str">
        <f>IF(L3128="","",IF([1]Inputs_Outputs!$B$5="Herbaceous",(LCA!$E$29*'[1]LOCH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8" s="5" t="str">
        <f>IF(M3128="","",$E$2*1000*'[1]LOCH Calc COE Calc'!$C$44)</f>
        <v/>
      </c>
      <c r="S3128" s="6" t="str">
        <f>IF(N3128="","",SUM(O3128:R3128)/('[1]LOCH Calc COE Calc'!$C$28))</f>
        <v/>
      </c>
      <c r="T3128" t="str">
        <f>IF(L3128="","",O3128/'[1]LOCH Calc COE Calc'!$C$28)</f>
        <v/>
      </c>
      <c r="U3128" t="str">
        <f>IF(L3128="","",P3128/'[1]LOCH Calc COE Calc'!$C$28)</f>
        <v/>
      </c>
      <c r="V3128" t="str">
        <f>IF(L3128="","",Q3128/'[1]LOCH Calc COE Calc'!$C$28)</f>
        <v/>
      </c>
      <c r="W3128" t="str">
        <f>IF(L3128="","",R3128/'[1]LOCH Calc COE Calc'!$C$28)</f>
        <v/>
      </c>
    </row>
    <row r="3129" spans="12:23" x14ac:dyDescent="0.25">
      <c r="L3129" s="4" t="str">
        <f>IF('[1]All Data '!BE3134="","",'[1]All Data '!BE3134)</f>
        <v/>
      </c>
      <c r="M3129" t="str">
        <f>IF('[1]All Data '!BF3134="","",'[1]All Data '!BF3134)</f>
        <v/>
      </c>
      <c r="N3129" s="5" t="str">
        <f>IF('[1]All Data '!BB3134="","",'[1]All Data '!BC3134/'[1]All Data '!BH3134)</f>
        <v/>
      </c>
      <c r="O3129" s="5" t="str">
        <f t="shared" si="51"/>
        <v/>
      </c>
      <c r="P3129" s="5" t="str">
        <f>IF(M3129="","",$C$2*(1-L3129)*907.2/0.621371*N3129*[1]Transportation!$M$40)</f>
        <v/>
      </c>
      <c r="Q3129" s="5" t="str">
        <f>IF(L3129="","",IF([1]Inputs_Outputs!$B$5="Herbaceous",(LCA!$E$29*'[1]LOCH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29" s="5" t="str">
        <f>IF(M3129="","",$E$2*1000*'[1]LOCH Calc COE Calc'!$C$44)</f>
        <v/>
      </c>
      <c r="S3129" s="6" t="str">
        <f>IF(N3129="","",SUM(O3129:R3129)/('[1]LOCH Calc COE Calc'!$C$28))</f>
        <v/>
      </c>
      <c r="T3129" t="str">
        <f>IF(L3129="","",O3129/'[1]LOCH Calc COE Calc'!$C$28)</f>
        <v/>
      </c>
      <c r="U3129" t="str">
        <f>IF(L3129="","",P3129/'[1]LOCH Calc COE Calc'!$C$28)</f>
        <v/>
      </c>
      <c r="V3129" t="str">
        <f>IF(L3129="","",Q3129/'[1]LOCH Calc COE Calc'!$C$28)</f>
        <v/>
      </c>
      <c r="W3129" t="str">
        <f>IF(L3129="","",R3129/'[1]LOCH Calc COE Calc'!$C$28)</f>
        <v/>
      </c>
    </row>
    <row r="3130" spans="12:23" x14ac:dyDescent="0.25">
      <c r="L3130" s="4" t="str">
        <f>IF('[1]All Data '!BE3135="","",'[1]All Data '!BE3135)</f>
        <v/>
      </c>
      <c r="M3130" t="str">
        <f>IF('[1]All Data '!BF3135="","",'[1]All Data '!BF3135)</f>
        <v/>
      </c>
      <c r="N3130" s="5" t="str">
        <f>IF('[1]All Data '!BB3135="","",'[1]All Data '!BC3135/'[1]All Data '!BH3135)</f>
        <v/>
      </c>
      <c r="O3130" s="5" t="str">
        <f t="shared" si="51"/>
        <v/>
      </c>
      <c r="P3130" s="5" t="str">
        <f>IF(M3130="","",$C$2*(1-L3130)*907.2/0.621371*N3130*[1]Transportation!$M$40)</f>
        <v/>
      </c>
      <c r="Q3130" s="5" t="str">
        <f>IF(L3130="","",IF([1]Inputs_Outputs!$B$5="Herbaceous",(LCA!$E$29*'[1]LOCH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0" s="5" t="str">
        <f>IF(M3130="","",$E$2*1000*'[1]LOCH Calc COE Calc'!$C$44)</f>
        <v/>
      </c>
      <c r="S3130" s="6" t="str">
        <f>IF(N3130="","",SUM(O3130:R3130)/('[1]LOCH Calc COE Calc'!$C$28))</f>
        <v/>
      </c>
      <c r="T3130" t="str">
        <f>IF(L3130="","",O3130/'[1]LOCH Calc COE Calc'!$C$28)</f>
        <v/>
      </c>
      <c r="U3130" t="str">
        <f>IF(L3130="","",P3130/'[1]LOCH Calc COE Calc'!$C$28)</f>
        <v/>
      </c>
      <c r="V3130" t="str">
        <f>IF(L3130="","",Q3130/'[1]LOCH Calc COE Calc'!$C$28)</f>
        <v/>
      </c>
      <c r="W3130" t="str">
        <f>IF(L3130="","",R3130/'[1]LOCH Calc COE Calc'!$C$28)</f>
        <v/>
      </c>
    </row>
    <row r="3131" spans="12:23" x14ac:dyDescent="0.25">
      <c r="L3131" s="4" t="str">
        <f>IF('[1]All Data '!BE3136="","",'[1]All Data '!BE3136)</f>
        <v/>
      </c>
      <c r="M3131" t="str">
        <f>IF('[1]All Data '!BF3136="","",'[1]All Data '!BF3136)</f>
        <v/>
      </c>
      <c r="N3131" s="5" t="str">
        <f>IF('[1]All Data '!BB3136="","",'[1]All Data '!BC3136/'[1]All Data '!BH3136)</f>
        <v/>
      </c>
      <c r="O3131" s="5" t="str">
        <f t="shared" si="51"/>
        <v/>
      </c>
      <c r="P3131" s="5" t="str">
        <f>IF(M3131="","",$C$2*(1-L3131)*907.2/0.621371*N3131*[1]Transportation!$M$40)</f>
        <v/>
      </c>
      <c r="Q3131" s="5" t="str">
        <f>IF(L3131="","",IF([1]Inputs_Outputs!$B$5="Herbaceous",(LCA!$E$29*'[1]LOCH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1" s="5" t="str">
        <f>IF(M3131="","",$E$2*1000*'[1]LOCH Calc COE Calc'!$C$44)</f>
        <v/>
      </c>
      <c r="S3131" s="6" t="str">
        <f>IF(N3131="","",SUM(O3131:R3131)/('[1]LOCH Calc COE Calc'!$C$28))</f>
        <v/>
      </c>
      <c r="T3131" t="str">
        <f>IF(L3131="","",O3131/'[1]LOCH Calc COE Calc'!$C$28)</f>
        <v/>
      </c>
      <c r="U3131" t="str">
        <f>IF(L3131="","",P3131/'[1]LOCH Calc COE Calc'!$C$28)</f>
        <v/>
      </c>
      <c r="V3131" t="str">
        <f>IF(L3131="","",Q3131/'[1]LOCH Calc COE Calc'!$C$28)</f>
        <v/>
      </c>
      <c r="W3131" t="str">
        <f>IF(L3131="","",R3131/'[1]LOCH Calc COE Calc'!$C$28)</f>
        <v/>
      </c>
    </row>
    <row r="3132" spans="12:23" x14ac:dyDescent="0.25">
      <c r="L3132" s="4" t="str">
        <f>IF('[1]All Data '!BE3137="","",'[1]All Data '!BE3137)</f>
        <v/>
      </c>
      <c r="M3132" t="str">
        <f>IF('[1]All Data '!BF3137="","",'[1]All Data '!BF3137)</f>
        <v/>
      </c>
      <c r="N3132" s="5" t="str">
        <f>IF('[1]All Data '!BB3137="","",'[1]All Data '!BC3137/'[1]All Data '!BH3137)</f>
        <v/>
      </c>
      <c r="O3132" s="5" t="str">
        <f t="shared" si="51"/>
        <v/>
      </c>
      <c r="P3132" s="5" t="str">
        <f>IF(M3132="","",$C$2*(1-L3132)*907.2/0.621371*N3132*[1]Transportation!$M$40)</f>
        <v/>
      </c>
      <c r="Q3132" s="5" t="str">
        <f>IF(L3132="","",IF([1]Inputs_Outputs!$B$5="Herbaceous",(LCA!$E$29*'[1]LOCH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2" s="5" t="str">
        <f>IF(M3132="","",$E$2*1000*'[1]LOCH Calc COE Calc'!$C$44)</f>
        <v/>
      </c>
      <c r="S3132" s="6" t="str">
        <f>IF(N3132="","",SUM(O3132:R3132)/('[1]LOCH Calc COE Calc'!$C$28))</f>
        <v/>
      </c>
      <c r="T3132" t="str">
        <f>IF(L3132="","",O3132/'[1]LOCH Calc COE Calc'!$C$28)</f>
        <v/>
      </c>
      <c r="U3132" t="str">
        <f>IF(L3132="","",P3132/'[1]LOCH Calc COE Calc'!$C$28)</f>
        <v/>
      </c>
      <c r="V3132" t="str">
        <f>IF(L3132="","",Q3132/'[1]LOCH Calc COE Calc'!$C$28)</f>
        <v/>
      </c>
      <c r="W3132" t="str">
        <f>IF(L3132="","",R3132/'[1]LOCH Calc COE Calc'!$C$28)</f>
        <v/>
      </c>
    </row>
    <row r="3133" spans="12:23" x14ac:dyDescent="0.25">
      <c r="L3133" s="4" t="str">
        <f>IF('[1]All Data '!BE3138="","",'[1]All Data '!BE3138)</f>
        <v/>
      </c>
      <c r="M3133" t="str">
        <f>IF('[1]All Data '!BF3138="","",'[1]All Data '!BF3138)</f>
        <v/>
      </c>
      <c r="N3133" s="5" t="str">
        <f>IF('[1]All Data '!BB3138="","",'[1]All Data '!BC3138/'[1]All Data '!BH3138)</f>
        <v/>
      </c>
      <c r="O3133" s="5" t="str">
        <f t="shared" si="51"/>
        <v/>
      </c>
      <c r="P3133" s="5" t="str">
        <f>IF(M3133="","",$C$2*(1-L3133)*907.2/0.621371*N3133*[1]Transportation!$M$40)</f>
        <v/>
      </c>
      <c r="Q3133" s="5" t="str">
        <f>IF(L3133="","",IF([1]Inputs_Outputs!$B$5="Herbaceous",(LCA!$E$29*'[1]LOCH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3" s="5" t="str">
        <f>IF(M3133="","",$E$2*1000*'[1]LOCH Calc COE Calc'!$C$44)</f>
        <v/>
      </c>
      <c r="S3133" s="6" t="str">
        <f>IF(N3133="","",SUM(O3133:R3133)/('[1]LOCH Calc COE Calc'!$C$28))</f>
        <v/>
      </c>
      <c r="T3133" t="str">
        <f>IF(L3133="","",O3133/'[1]LOCH Calc COE Calc'!$C$28)</f>
        <v/>
      </c>
      <c r="U3133" t="str">
        <f>IF(L3133="","",P3133/'[1]LOCH Calc COE Calc'!$C$28)</f>
        <v/>
      </c>
      <c r="V3133" t="str">
        <f>IF(L3133="","",Q3133/'[1]LOCH Calc COE Calc'!$C$28)</f>
        <v/>
      </c>
      <c r="W3133" t="str">
        <f>IF(L3133="","",R3133/'[1]LOCH Calc COE Calc'!$C$28)</f>
        <v/>
      </c>
    </row>
    <row r="3134" spans="12:23" x14ac:dyDescent="0.25">
      <c r="L3134" s="4" t="str">
        <f>IF('[1]All Data '!BE3139="","",'[1]All Data '!BE3139)</f>
        <v/>
      </c>
      <c r="M3134" t="str">
        <f>IF('[1]All Data '!BF3139="","",'[1]All Data '!BF3139)</f>
        <v/>
      </c>
      <c r="N3134" s="5" t="str">
        <f>IF('[1]All Data '!BB3139="","",'[1]All Data '!BC3139/'[1]All Data '!BH3139)</f>
        <v/>
      </c>
      <c r="O3134" s="5" t="str">
        <f t="shared" si="51"/>
        <v/>
      </c>
      <c r="P3134" s="5" t="str">
        <f>IF(M3134="","",$C$2*(1-L3134)*907.2/0.621371*N3134*[1]Transportation!$M$40)</f>
        <v/>
      </c>
      <c r="Q3134" s="5" t="str">
        <f>IF(L3134="","",IF([1]Inputs_Outputs!$B$5="Herbaceous",(LCA!$E$29*'[1]LOCH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4" s="5" t="str">
        <f>IF(M3134="","",$E$2*1000*'[1]LOCH Calc COE Calc'!$C$44)</f>
        <v/>
      </c>
      <c r="S3134" s="6" t="str">
        <f>IF(N3134="","",SUM(O3134:R3134)/('[1]LOCH Calc COE Calc'!$C$28))</f>
        <v/>
      </c>
      <c r="T3134" t="str">
        <f>IF(L3134="","",O3134/'[1]LOCH Calc COE Calc'!$C$28)</f>
        <v/>
      </c>
      <c r="U3134" t="str">
        <f>IF(L3134="","",P3134/'[1]LOCH Calc COE Calc'!$C$28)</f>
        <v/>
      </c>
      <c r="V3134" t="str">
        <f>IF(L3134="","",Q3134/'[1]LOCH Calc COE Calc'!$C$28)</f>
        <v/>
      </c>
      <c r="W3134" t="str">
        <f>IF(L3134="","",R3134/'[1]LOCH Calc COE Calc'!$C$28)</f>
        <v/>
      </c>
    </row>
    <row r="3135" spans="12:23" x14ac:dyDescent="0.25">
      <c r="L3135" s="4" t="str">
        <f>IF('[1]All Data '!BE3140="","",'[1]All Data '!BE3140)</f>
        <v/>
      </c>
      <c r="M3135" t="str">
        <f>IF('[1]All Data '!BF3140="","",'[1]All Data '!BF3140)</f>
        <v/>
      </c>
      <c r="N3135" s="5" t="str">
        <f>IF('[1]All Data '!BB3140="","",'[1]All Data '!BC3140/'[1]All Data '!BH3140)</f>
        <v/>
      </c>
      <c r="O3135" s="5" t="str">
        <f t="shared" si="51"/>
        <v/>
      </c>
      <c r="P3135" s="5" t="str">
        <f>IF(M3135="","",$C$2*(1-L3135)*907.2/0.621371*N3135*[1]Transportation!$M$40)</f>
        <v/>
      </c>
      <c r="Q3135" s="5" t="str">
        <f>IF(L3135="","",IF([1]Inputs_Outputs!$B$5="Herbaceous",(LCA!$E$29*'[1]LOCH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5" s="5" t="str">
        <f>IF(M3135="","",$E$2*1000*'[1]LOCH Calc COE Calc'!$C$44)</f>
        <v/>
      </c>
      <c r="S3135" s="6" t="str">
        <f>IF(N3135="","",SUM(O3135:R3135)/('[1]LOCH Calc COE Calc'!$C$28))</f>
        <v/>
      </c>
      <c r="T3135" t="str">
        <f>IF(L3135="","",O3135/'[1]LOCH Calc COE Calc'!$C$28)</f>
        <v/>
      </c>
      <c r="U3135" t="str">
        <f>IF(L3135="","",P3135/'[1]LOCH Calc COE Calc'!$C$28)</f>
        <v/>
      </c>
      <c r="V3135" t="str">
        <f>IF(L3135="","",Q3135/'[1]LOCH Calc COE Calc'!$C$28)</f>
        <v/>
      </c>
      <c r="W3135" t="str">
        <f>IF(L3135="","",R3135/'[1]LOCH Calc COE Calc'!$C$28)</f>
        <v/>
      </c>
    </row>
    <row r="3136" spans="12:23" x14ac:dyDescent="0.25">
      <c r="L3136" s="4" t="str">
        <f>IF('[1]All Data '!BE3141="","",'[1]All Data '!BE3141)</f>
        <v/>
      </c>
      <c r="M3136" t="str">
        <f>IF('[1]All Data '!BF3141="","",'[1]All Data '!BF3141)</f>
        <v/>
      </c>
      <c r="N3136" s="5" t="str">
        <f>IF('[1]All Data '!BB3141="","",'[1]All Data '!BC3141/'[1]All Data '!BH3141)</f>
        <v/>
      </c>
      <c r="O3136" s="5" t="str">
        <f t="shared" si="51"/>
        <v/>
      </c>
      <c r="P3136" s="5" t="str">
        <f>IF(M3136="","",$C$2*(1-L3136)*907.2/0.621371*N3136*[1]Transportation!$M$40)</f>
        <v/>
      </c>
      <c r="Q3136" s="5" t="str">
        <f>IF(L3136="","",IF([1]Inputs_Outputs!$B$5="Herbaceous",(LCA!$E$29*'[1]LOCH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6" s="5" t="str">
        <f>IF(M3136="","",$E$2*1000*'[1]LOCH Calc COE Calc'!$C$44)</f>
        <v/>
      </c>
      <c r="S3136" s="6" t="str">
        <f>IF(N3136="","",SUM(O3136:R3136)/('[1]LOCH Calc COE Calc'!$C$28))</f>
        <v/>
      </c>
      <c r="T3136" t="str">
        <f>IF(L3136="","",O3136/'[1]LOCH Calc COE Calc'!$C$28)</f>
        <v/>
      </c>
      <c r="U3136" t="str">
        <f>IF(L3136="","",P3136/'[1]LOCH Calc COE Calc'!$C$28)</f>
        <v/>
      </c>
      <c r="V3136" t="str">
        <f>IF(L3136="","",Q3136/'[1]LOCH Calc COE Calc'!$C$28)</f>
        <v/>
      </c>
      <c r="W3136" t="str">
        <f>IF(L3136="","",R3136/'[1]LOCH Calc COE Calc'!$C$28)</f>
        <v/>
      </c>
    </row>
    <row r="3137" spans="12:23" x14ac:dyDescent="0.25">
      <c r="L3137" s="4" t="str">
        <f>IF('[1]All Data '!BE3142="","",'[1]All Data '!BE3142)</f>
        <v/>
      </c>
      <c r="M3137" t="str">
        <f>IF('[1]All Data '!BF3142="","",'[1]All Data '!BF3142)</f>
        <v/>
      </c>
      <c r="N3137" s="5" t="str">
        <f>IF('[1]All Data '!BB3142="","",'[1]All Data '!BC3142/'[1]All Data '!BH3142)</f>
        <v/>
      </c>
      <c r="O3137" s="5" t="str">
        <f t="shared" si="51"/>
        <v/>
      </c>
      <c r="P3137" s="5" t="str">
        <f>IF(M3137="","",$C$2*(1-L3137)*907.2/0.621371*N3137*[1]Transportation!$M$40)</f>
        <v/>
      </c>
      <c r="Q3137" s="5" t="str">
        <f>IF(L3137="","",IF([1]Inputs_Outputs!$B$5="Herbaceous",(LCA!$E$29*'[1]LOCH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7" s="5" t="str">
        <f>IF(M3137="","",$E$2*1000*'[1]LOCH Calc COE Calc'!$C$44)</f>
        <v/>
      </c>
      <c r="S3137" s="6" t="str">
        <f>IF(N3137="","",SUM(O3137:R3137)/('[1]LOCH Calc COE Calc'!$C$28))</f>
        <v/>
      </c>
      <c r="T3137" t="str">
        <f>IF(L3137="","",O3137/'[1]LOCH Calc COE Calc'!$C$28)</f>
        <v/>
      </c>
      <c r="U3137" t="str">
        <f>IF(L3137="","",P3137/'[1]LOCH Calc COE Calc'!$C$28)</f>
        <v/>
      </c>
      <c r="V3137" t="str">
        <f>IF(L3137="","",Q3137/'[1]LOCH Calc COE Calc'!$C$28)</f>
        <v/>
      </c>
      <c r="W3137" t="str">
        <f>IF(L3137="","",R3137/'[1]LOCH Calc COE Calc'!$C$28)</f>
        <v/>
      </c>
    </row>
    <row r="3138" spans="12:23" x14ac:dyDescent="0.25">
      <c r="L3138" s="4" t="str">
        <f>IF('[1]All Data '!BE3143="","",'[1]All Data '!BE3143)</f>
        <v/>
      </c>
      <c r="M3138" t="str">
        <f>IF('[1]All Data '!BF3143="","",'[1]All Data '!BF3143)</f>
        <v/>
      </c>
      <c r="N3138" s="5" t="str">
        <f>IF('[1]All Data '!BB3143="","",'[1]All Data '!BC3143/'[1]All Data '!BH3143)</f>
        <v/>
      </c>
      <c r="O3138" s="5" t="str">
        <f t="shared" si="51"/>
        <v/>
      </c>
      <c r="P3138" s="5" t="str">
        <f>IF(M3138="","",$C$2*(1-L3138)*907.2/0.621371*N3138*[1]Transportation!$M$40)</f>
        <v/>
      </c>
      <c r="Q3138" s="5" t="str">
        <f>IF(L3138="","",IF([1]Inputs_Outputs!$B$5="Herbaceous",(LCA!$E$29*'[1]LOCH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8" s="5" t="str">
        <f>IF(M3138="","",$E$2*1000*'[1]LOCH Calc COE Calc'!$C$44)</f>
        <v/>
      </c>
      <c r="S3138" s="6" t="str">
        <f>IF(N3138="","",SUM(O3138:R3138)/('[1]LOCH Calc COE Calc'!$C$28))</f>
        <v/>
      </c>
      <c r="T3138" t="str">
        <f>IF(L3138="","",O3138/'[1]LOCH Calc COE Calc'!$C$28)</f>
        <v/>
      </c>
      <c r="U3138" t="str">
        <f>IF(L3138="","",P3138/'[1]LOCH Calc COE Calc'!$C$28)</f>
        <v/>
      </c>
      <c r="V3138" t="str">
        <f>IF(L3138="","",Q3138/'[1]LOCH Calc COE Calc'!$C$28)</f>
        <v/>
      </c>
      <c r="W3138" t="str">
        <f>IF(L3138="","",R3138/'[1]LOCH Calc COE Calc'!$C$28)</f>
        <v/>
      </c>
    </row>
    <row r="3139" spans="12:23" x14ac:dyDescent="0.25">
      <c r="L3139" s="4" t="str">
        <f>IF('[1]All Data '!BE3144="","",'[1]All Data '!BE3144)</f>
        <v/>
      </c>
      <c r="M3139" t="str">
        <f>IF('[1]All Data '!BF3144="","",'[1]All Data '!BF3144)</f>
        <v/>
      </c>
      <c r="N3139" s="5" t="str">
        <f>IF('[1]All Data '!BB3144="","",'[1]All Data '!BC3144/'[1]All Data '!BH3144)</f>
        <v/>
      </c>
      <c r="O3139" s="5" t="str">
        <f t="shared" si="51"/>
        <v/>
      </c>
      <c r="P3139" s="5" t="str">
        <f>IF(M3139="","",$C$2*(1-L3139)*907.2/0.621371*N3139*[1]Transportation!$M$40)</f>
        <v/>
      </c>
      <c r="Q3139" s="5" t="str">
        <f>IF(L3139="","",IF([1]Inputs_Outputs!$B$5="Herbaceous",(LCA!$E$29*'[1]LOCH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39" s="5" t="str">
        <f>IF(M3139="","",$E$2*1000*'[1]LOCH Calc COE Calc'!$C$44)</f>
        <v/>
      </c>
      <c r="S3139" s="6" t="str">
        <f>IF(N3139="","",SUM(O3139:R3139)/('[1]LOCH Calc COE Calc'!$C$28))</f>
        <v/>
      </c>
      <c r="T3139" t="str">
        <f>IF(L3139="","",O3139/'[1]LOCH Calc COE Calc'!$C$28)</f>
        <v/>
      </c>
      <c r="U3139" t="str">
        <f>IF(L3139="","",P3139/'[1]LOCH Calc COE Calc'!$C$28)</f>
        <v/>
      </c>
      <c r="V3139" t="str">
        <f>IF(L3139="","",Q3139/'[1]LOCH Calc COE Calc'!$C$28)</f>
        <v/>
      </c>
      <c r="W3139" t="str">
        <f>IF(L3139="","",R3139/'[1]LOCH Calc COE Calc'!$C$28)</f>
        <v/>
      </c>
    </row>
    <row r="3140" spans="12:23" x14ac:dyDescent="0.25">
      <c r="L3140" s="4" t="str">
        <f>IF('[1]All Data '!BE3145="","",'[1]All Data '!BE3145)</f>
        <v/>
      </c>
      <c r="M3140" t="str">
        <f>IF('[1]All Data '!BF3145="","",'[1]All Data '!BF3145)</f>
        <v/>
      </c>
      <c r="N3140" s="5" t="str">
        <f>IF('[1]All Data '!BB3145="","",'[1]All Data '!BC3145/'[1]All Data '!BH3145)</f>
        <v/>
      </c>
      <c r="O3140" s="5" t="str">
        <f t="shared" si="51"/>
        <v/>
      </c>
      <c r="P3140" s="5" t="str">
        <f>IF(M3140="","",$C$2*(1-L3140)*907.2/0.621371*N3140*[1]Transportation!$M$40)</f>
        <v/>
      </c>
      <c r="Q3140" s="5" t="str">
        <f>IF(L3140="","",IF([1]Inputs_Outputs!$B$5="Herbaceous",(LCA!$E$29*'[1]LOCH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0" s="5" t="str">
        <f>IF(M3140="","",$E$2*1000*'[1]LOCH Calc COE Calc'!$C$44)</f>
        <v/>
      </c>
      <c r="S3140" s="6" t="str">
        <f>IF(N3140="","",SUM(O3140:R3140)/('[1]LOCH Calc COE Calc'!$C$28))</f>
        <v/>
      </c>
      <c r="T3140" t="str">
        <f>IF(L3140="","",O3140/'[1]LOCH Calc COE Calc'!$C$28)</f>
        <v/>
      </c>
      <c r="U3140" t="str">
        <f>IF(L3140="","",P3140/'[1]LOCH Calc COE Calc'!$C$28)</f>
        <v/>
      </c>
      <c r="V3140" t="str">
        <f>IF(L3140="","",Q3140/'[1]LOCH Calc COE Calc'!$C$28)</f>
        <v/>
      </c>
      <c r="W3140" t="str">
        <f>IF(L3140="","",R3140/'[1]LOCH Calc COE Calc'!$C$28)</f>
        <v/>
      </c>
    </row>
    <row r="3141" spans="12:23" x14ac:dyDescent="0.25">
      <c r="L3141" s="4" t="str">
        <f>IF('[1]All Data '!BE3146="","",'[1]All Data '!BE3146)</f>
        <v/>
      </c>
      <c r="M3141" t="str">
        <f>IF('[1]All Data '!BF3146="","",'[1]All Data '!BF3146)</f>
        <v/>
      </c>
      <c r="N3141" s="5" t="str">
        <f>IF('[1]All Data '!BB3146="","",'[1]All Data '!BC3146/'[1]All Data '!BH3146)</f>
        <v/>
      </c>
      <c r="O3141" s="5" t="str">
        <f t="shared" si="51"/>
        <v/>
      </c>
      <c r="P3141" s="5" t="str">
        <f>IF(M3141="","",$C$2*(1-L3141)*907.2/0.621371*N3141*[1]Transportation!$M$40)</f>
        <v/>
      </c>
      <c r="Q3141" s="5" t="str">
        <f>IF(L3141="","",IF([1]Inputs_Outputs!$B$5="Herbaceous",(LCA!$E$29*'[1]LOCH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1" s="5" t="str">
        <f>IF(M3141="","",$E$2*1000*'[1]LOCH Calc COE Calc'!$C$44)</f>
        <v/>
      </c>
      <c r="S3141" s="6" t="str">
        <f>IF(N3141="","",SUM(O3141:R3141)/('[1]LOCH Calc COE Calc'!$C$28))</f>
        <v/>
      </c>
      <c r="T3141" t="str">
        <f>IF(L3141="","",O3141/'[1]LOCH Calc COE Calc'!$C$28)</f>
        <v/>
      </c>
      <c r="U3141" t="str">
        <f>IF(L3141="","",P3141/'[1]LOCH Calc COE Calc'!$C$28)</f>
        <v/>
      </c>
      <c r="V3141" t="str">
        <f>IF(L3141="","",Q3141/'[1]LOCH Calc COE Calc'!$C$28)</f>
        <v/>
      </c>
      <c r="W3141" t="str">
        <f>IF(L3141="","",R3141/'[1]LOCH Calc COE Calc'!$C$28)</f>
        <v/>
      </c>
    </row>
    <row r="3142" spans="12:23" x14ac:dyDescent="0.25">
      <c r="L3142" s="4" t="str">
        <f>IF('[1]All Data '!BE3147="","",'[1]All Data '!BE3147)</f>
        <v/>
      </c>
      <c r="M3142" t="str">
        <f>IF('[1]All Data '!BF3147="","",'[1]All Data '!BF3147)</f>
        <v/>
      </c>
      <c r="N3142" s="5" t="str">
        <f>IF('[1]All Data '!BB3147="","",'[1]All Data '!BC3147/'[1]All Data '!BH3147)</f>
        <v/>
      </c>
      <c r="O3142" s="5" t="str">
        <f t="shared" si="51"/>
        <v/>
      </c>
      <c r="P3142" s="5" t="str">
        <f>IF(M3142="","",$C$2*(1-L3142)*907.2/0.621371*N3142*[1]Transportation!$M$40)</f>
        <v/>
      </c>
      <c r="Q3142" s="5" t="str">
        <f>IF(L3142="","",IF([1]Inputs_Outputs!$B$5="Herbaceous",(LCA!$E$29*'[1]LOCH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2" s="5" t="str">
        <f>IF(M3142="","",$E$2*1000*'[1]LOCH Calc COE Calc'!$C$44)</f>
        <v/>
      </c>
      <c r="S3142" s="6" t="str">
        <f>IF(N3142="","",SUM(O3142:R3142)/('[1]LOCH Calc COE Calc'!$C$28))</f>
        <v/>
      </c>
      <c r="T3142" t="str">
        <f>IF(L3142="","",O3142/'[1]LOCH Calc COE Calc'!$C$28)</f>
        <v/>
      </c>
      <c r="U3142" t="str">
        <f>IF(L3142="","",P3142/'[1]LOCH Calc COE Calc'!$C$28)</f>
        <v/>
      </c>
      <c r="V3142" t="str">
        <f>IF(L3142="","",Q3142/'[1]LOCH Calc COE Calc'!$C$28)</f>
        <v/>
      </c>
      <c r="W3142" t="str">
        <f>IF(L3142="","",R3142/'[1]LOCH Calc COE Calc'!$C$28)</f>
        <v/>
      </c>
    </row>
    <row r="3143" spans="12:23" x14ac:dyDescent="0.25">
      <c r="L3143" s="4" t="str">
        <f>IF('[1]All Data '!BE3148="","",'[1]All Data '!BE3148)</f>
        <v/>
      </c>
      <c r="M3143" t="str">
        <f>IF('[1]All Data '!BF3148="","",'[1]All Data '!BF3148)</f>
        <v/>
      </c>
      <c r="N3143" s="5" t="str">
        <f>IF('[1]All Data '!BB3148="","",'[1]All Data '!BC3148/'[1]All Data '!BH3148)</f>
        <v/>
      </c>
      <c r="O3143" s="5" t="str">
        <f t="shared" si="51"/>
        <v/>
      </c>
      <c r="P3143" s="5" t="str">
        <f>IF(M3143="","",$C$2*(1-L3143)*907.2/0.621371*N3143*[1]Transportation!$M$40)</f>
        <v/>
      </c>
      <c r="Q3143" s="5" t="str">
        <f>IF(L3143="","",IF([1]Inputs_Outputs!$B$5="Herbaceous",(LCA!$E$29*'[1]LOCH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3" s="5" t="str">
        <f>IF(M3143="","",$E$2*1000*'[1]LOCH Calc COE Calc'!$C$44)</f>
        <v/>
      </c>
      <c r="S3143" s="6" t="str">
        <f>IF(N3143="","",SUM(O3143:R3143)/('[1]LOCH Calc COE Calc'!$C$28))</f>
        <v/>
      </c>
      <c r="T3143" t="str">
        <f>IF(L3143="","",O3143/'[1]LOCH Calc COE Calc'!$C$28)</f>
        <v/>
      </c>
      <c r="U3143" t="str">
        <f>IF(L3143="","",P3143/'[1]LOCH Calc COE Calc'!$C$28)</f>
        <v/>
      </c>
      <c r="V3143" t="str">
        <f>IF(L3143="","",Q3143/'[1]LOCH Calc COE Calc'!$C$28)</f>
        <v/>
      </c>
      <c r="W3143" t="str">
        <f>IF(L3143="","",R3143/'[1]LOCH Calc COE Calc'!$C$28)</f>
        <v/>
      </c>
    </row>
    <row r="3144" spans="12:23" x14ac:dyDescent="0.25">
      <c r="L3144" s="4" t="str">
        <f>IF('[1]All Data '!BE3149="","",'[1]All Data '!BE3149)</f>
        <v/>
      </c>
      <c r="M3144" t="str">
        <f>IF('[1]All Data '!BF3149="","",'[1]All Data '!BF3149)</f>
        <v/>
      </c>
      <c r="N3144" s="5" t="str">
        <f>IF('[1]All Data '!BB3149="","",'[1]All Data '!BC3149/'[1]All Data '!BH3149)</f>
        <v/>
      </c>
      <c r="O3144" s="5" t="str">
        <f t="shared" si="51"/>
        <v/>
      </c>
      <c r="P3144" s="5" t="str">
        <f>IF(M3144="","",$C$2*(1-L3144)*907.2/0.621371*N3144*[1]Transportation!$M$40)</f>
        <v/>
      </c>
      <c r="Q3144" s="5" t="str">
        <f>IF(L3144="","",IF([1]Inputs_Outputs!$B$5="Herbaceous",(LCA!$E$29*'[1]LOCH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4" s="5" t="str">
        <f>IF(M3144="","",$E$2*1000*'[1]LOCH Calc COE Calc'!$C$44)</f>
        <v/>
      </c>
      <c r="S3144" s="6" t="str">
        <f>IF(N3144="","",SUM(O3144:R3144)/('[1]LOCH Calc COE Calc'!$C$28))</f>
        <v/>
      </c>
      <c r="T3144" t="str">
        <f>IF(L3144="","",O3144/'[1]LOCH Calc COE Calc'!$C$28)</f>
        <v/>
      </c>
      <c r="U3144" t="str">
        <f>IF(L3144="","",P3144/'[1]LOCH Calc COE Calc'!$C$28)</f>
        <v/>
      </c>
      <c r="V3144" t="str">
        <f>IF(L3144="","",Q3144/'[1]LOCH Calc COE Calc'!$C$28)</f>
        <v/>
      </c>
      <c r="W3144" t="str">
        <f>IF(L3144="","",R3144/'[1]LOCH Calc COE Calc'!$C$28)</f>
        <v/>
      </c>
    </row>
    <row r="3145" spans="12:23" x14ac:dyDescent="0.25">
      <c r="L3145" s="4" t="str">
        <f>IF('[1]All Data '!BE3150="","",'[1]All Data '!BE3150)</f>
        <v/>
      </c>
      <c r="M3145" t="str">
        <f>IF('[1]All Data '!BF3150="","",'[1]All Data '!BF3150)</f>
        <v/>
      </c>
      <c r="N3145" s="5" t="str">
        <f>IF('[1]All Data '!BB3150="","",'[1]All Data '!BC3150/'[1]All Data '!BH3150)</f>
        <v/>
      </c>
      <c r="O3145" s="5" t="str">
        <f t="shared" si="51"/>
        <v/>
      </c>
      <c r="P3145" s="5" t="str">
        <f>IF(M3145="","",$C$2*(1-L3145)*907.2/0.621371*N3145*[1]Transportation!$M$40)</f>
        <v/>
      </c>
      <c r="Q3145" s="5" t="str">
        <f>IF(L3145="","",IF([1]Inputs_Outputs!$B$5="Herbaceous",(LCA!$E$29*'[1]LOCH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5" s="5" t="str">
        <f>IF(M3145="","",$E$2*1000*'[1]LOCH Calc COE Calc'!$C$44)</f>
        <v/>
      </c>
      <c r="S3145" s="6" t="str">
        <f>IF(N3145="","",SUM(O3145:R3145)/('[1]LOCH Calc COE Calc'!$C$28))</f>
        <v/>
      </c>
      <c r="T3145" t="str">
        <f>IF(L3145="","",O3145/'[1]LOCH Calc COE Calc'!$C$28)</f>
        <v/>
      </c>
      <c r="U3145" t="str">
        <f>IF(L3145="","",P3145/'[1]LOCH Calc COE Calc'!$C$28)</f>
        <v/>
      </c>
      <c r="V3145" t="str">
        <f>IF(L3145="","",Q3145/'[1]LOCH Calc COE Calc'!$C$28)</f>
        <v/>
      </c>
      <c r="W3145" t="str">
        <f>IF(L3145="","",R3145/'[1]LOCH Calc COE Calc'!$C$28)</f>
        <v/>
      </c>
    </row>
    <row r="3146" spans="12:23" x14ac:dyDescent="0.25">
      <c r="L3146" s="4" t="str">
        <f>IF('[1]All Data '!BE3151="","",'[1]All Data '!BE3151)</f>
        <v/>
      </c>
      <c r="M3146" t="str">
        <f>IF('[1]All Data '!BF3151="","",'[1]All Data '!BF3151)</f>
        <v/>
      </c>
      <c r="N3146" s="5" t="str">
        <f>IF('[1]All Data '!BB3151="","",'[1]All Data '!BC3151/'[1]All Data '!BH3151)</f>
        <v/>
      </c>
      <c r="O3146" s="5" t="str">
        <f t="shared" si="51"/>
        <v/>
      </c>
      <c r="P3146" s="5" t="str">
        <f>IF(M3146="","",$C$2*(1-L3146)*907.2/0.621371*N3146*[1]Transportation!$M$40)</f>
        <v/>
      </c>
      <c r="Q3146" s="5" t="str">
        <f>IF(L3146="","",IF([1]Inputs_Outputs!$B$5="Herbaceous",(LCA!$E$29*'[1]LOCH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6" s="5" t="str">
        <f>IF(M3146="","",$E$2*1000*'[1]LOCH Calc COE Calc'!$C$44)</f>
        <v/>
      </c>
      <c r="S3146" s="6" t="str">
        <f>IF(N3146="","",SUM(O3146:R3146)/('[1]LOCH Calc COE Calc'!$C$28))</f>
        <v/>
      </c>
      <c r="T3146" t="str">
        <f>IF(L3146="","",O3146/'[1]LOCH Calc COE Calc'!$C$28)</f>
        <v/>
      </c>
      <c r="U3146" t="str">
        <f>IF(L3146="","",P3146/'[1]LOCH Calc COE Calc'!$C$28)</f>
        <v/>
      </c>
      <c r="V3146" t="str">
        <f>IF(L3146="","",Q3146/'[1]LOCH Calc COE Calc'!$C$28)</f>
        <v/>
      </c>
      <c r="W3146" t="str">
        <f>IF(L3146="","",R3146/'[1]LOCH Calc COE Calc'!$C$28)</f>
        <v/>
      </c>
    </row>
    <row r="3147" spans="12:23" x14ac:dyDescent="0.25">
      <c r="L3147" s="4" t="str">
        <f>IF('[1]All Data '!BE3152="","",'[1]All Data '!BE3152)</f>
        <v/>
      </c>
      <c r="M3147" t="str">
        <f>IF('[1]All Data '!BF3152="","",'[1]All Data '!BF3152)</f>
        <v/>
      </c>
      <c r="N3147" s="5" t="str">
        <f>IF('[1]All Data '!BB3152="","",'[1]All Data '!BC3152/'[1]All Data '!BH3152)</f>
        <v/>
      </c>
      <c r="O3147" s="5" t="str">
        <f t="shared" si="51"/>
        <v/>
      </c>
      <c r="P3147" s="5" t="str">
        <f>IF(M3147="","",$C$2*(1-L3147)*907.2/0.621371*N3147*[1]Transportation!$M$40)</f>
        <v/>
      </c>
      <c r="Q3147" s="5" t="str">
        <f>IF(L3147="","",IF([1]Inputs_Outputs!$B$5="Herbaceous",(LCA!$E$29*'[1]LOCH Calc COE Calc'!$C$28),IF([1]Inputs_Outputs!$B$5="Woody",$E$28*'[1]LOCH Calc COE Calc'!$C$28,IF([1]Inputs_Outputs!$B$5="Paper",(LCA!$E$30*'[1]LOCH Calc COE Calc'!$C$28),IF([1]Inputs_Outputs!$B$5="Forest",LCA!$E$31*'[1]LOCH Calc COE Calc'!$C$28)))))</f>
        <v/>
      </c>
      <c r="R3147" s="5" t="str">
        <f>IF(M3147="","",$E$2*1000*'[1]LOCH Calc COE Calc'!$C$44)</f>
        <v/>
      </c>
      <c r="S3147" s="6" t="str">
        <f>IF(N3147="","",SUM(O3147:R3147)/('[1]LOCH Calc COE Calc'!$C$28))</f>
        <v/>
      </c>
      <c r="T3147" t="str">
        <f>IF(L3147="","",O3147/'[1]LOCH Calc COE Calc'!$C$28)</f>
        <v/>
      </c>
      <c r="U3147" t="str">
        <f>IF(L3147="","",P3147/'[1]LOCH Calc COE Calc'!$C$28)</f>
        <v/>
      </c>
      <c r="V3147" t="str">
        <f>IF(L3147="","",Q3147/'[1]LOCH Calc COE Calc'!$C$28)</f>
        <v/>
      </c>
      <c r="W3147" t="str">
        <f>IF(L3147="","",R3147/'[1]LOCH Calc COE Calc'!$C$28)</f>
        <v/>
      </c>
    </row>
    <row r="3148" spans="12:23" x14ac:dyDescent="0.25">
      <c r="S3148" s="5"/>
    </row>
    <row r="3149" spans="12:23" x14ac:dyDescent="0.25">
      <c r="S3149" s="5"/>
    </row>
    <row r="3150" spans="12:23" x14ac:dyDescent="0.25">
      <c r="S3150" s="5"/>
    </row>
    <row r="3151" spans="12:23" x14ac:dyDescent="0.25">
      <c r="S3151" s="5"/>
    </row>
    <row r="3152" spans="12:23" x14ac:dyDescent="0.25">
      <c r="S3152" s="5"/>
    </row>
    <row r="3153" spans="19:19" x14ac:dyDescent="0.25">
      <c r="S3153" s="5"/>
    </row>
    <row r="3154" spans="19:19" x14ac:dyDescent="0.25">
      <c r="S3154" s="5"/>
    </row>
    <row r="3155" spans="19:19" x14ac:dyDescent="0.25">
      <c r="S3155" s="5"/>
    </row>
    <row r="3156" spans="19:19" x14ac:dyDescent="0.25">
      <c r="S3156" s="5"/>
    </row>
    <row r="3157" spans="19:19" x14ac:dyDescent="0.25">
      <c r="S3157" s="5"/>
    </row>
    <row r="3158" spans="19:19" x14ac:dyDescent="0.25">
      <c r="S3158" s="5"/>
    </row>
    <row r="3159" spans="19:19" x14ac:dyDescent="0.25">
      <c r="S3159" s="5"/>
    </row>
    <row r="3160" spans="19:19" x14ac:dyDescent="0.25">
      <c r="S3160" s="5"/>
    </row>
    <row r="3161" spans="19:19" x14ac:dyDescent="0.25">
      <c r="S3161" s="5"/>
    </row>
    <row r="3162" spans="19:19" x14ac:dyDescent="0.25">
      <c r="S3162" s="5"/>
    </row>
    <row r="3163" spans="19:19" x14ac:dyDescent="0.25">
      <c r="S3163" s="5"/>
    </row>
    <row r="3164" spans="19:19" x14ac:dyDescent="0.25">
      <c r="S3164" s="5"/>
    </row>
    <row r="3165" spans="19:19" x14ac:dyDescent="0.25">
      <c r="S3165" s="5"/>
    </row>
    <row r="3166" spans="19:19" x14ac:dyDescent="0.25">
      <c r="S3166" s="5"/>
    </row>
    <row r="3167" spans="19:19" x14ac:dyDescent="0.25">
      <c r="S3167" s="5"/>
    </row>
    <row r="3168" spans="19:19" x14ac:dyDescent="0.25">
      <c r="S3168" s="5"/>
    </row>
    <row r="3169" spans="19:19" x14ac:dyDescent="0.25">
      <c r="S3169" s="5"/>
    </row>
    <row r="3170" spans="19:19" x14ac:dyDescent="0.25">
      <c r="S3170" s="5"/>
    </row>
    <row r="3171" spans="19:19" x14ac:dyDescent="0.25">
      <c r="S3171" s="5"/>
    </row>
    <row r="3172" spans="19:19" x14ac:dyDescent="0.25">
      <c r="S3172" s="5"/>
    </row>
    <row r="3173" spans="19:19" x14ac:dyDescent="0.25">
      <c r="S3173" s="5"/>
    </row>
    <row r="3174" spans="19:19" x14ac:dyDescent="0.25">
      <c r="S3174" s="5"/>
    </row>
    <row r="3175" spans="19:19" x14ac:dyDescent="0.25">
      <c r="S3175" s="5"/>
    </row>
    <row r="3176" spans="19:19" x14ac:dyDescent="0.25">
      <c r="S3176" s="5"/>
    </row>
    <row r="3177" spans="19:19" x14ac:dyDescent="0.25">
      <c r="S3177" s="5"/>
    </row>
    <row r="3178" spans="19:19" x14ac:dyDescent="0.25">
      <c r="S3178" s="5"/>
    </row>
    <row r="3179" spans="19:19" x14ac:dyDescent="0.25">
      <c r="S3179" s="5"/>
    </row>
    <row r="3180" spans="19:19" x14ac:dyDescent="0.25">
      <c r="S3180" s="5"/>
    </row>
    <row r="3181" spans="19:19" x14ac:dyDescent="0.25">
      <c r="S3181" s="5"/>
    </row>
    <row r="3182" spans="19:19" x14ac:dyDescent="0.25">
      <c r="S3182" s="5"/>
    </row>
    <row r="3183" spans="19:19" x14ac:dyDescent="0.25">
      <c r="S3183" s="5"/>
    </row>
    <row r="3184" spans="19:19" x14ac:dyDescent="0.25">
      <c r="S3184" s="5"/>
    </row>
    <row r="3185" spans="19:19" x14ac:dyDescent="0.25">
      <c r="S3185" s="5"/>
    </row>
    <row r="3186" spans="19:19" x14ac:dyDescent="0.25">
      <c r="S3186" s="5"/>
    </row>
    <row r="3187" spans="19:19" x14ac:dyDescent="0.25">
      <c r="S3187" s="5"/>
    </row>
    <row r="3188" spans="19:19" x14ac:dyDescent="0.25">
      <c r="S3188" s="5"/>
    </row>
    <row r="3189" spans="19:19" x14ac:dyDescent="0.25">
      <c r="S3189" s="5"/>
    </row>
    <row r="3190" spans="19:19" x14ac:dyDescent="0.25">
      <c r="S3190" s="5"/>
    </row>
    <row r="3191" spans="19:19" x14ac:dyDescent="0.25">
      <c r="S3191" s="5"/>
    </row>
    <row r="3192" spans="19:19" x14ac:dyDescent="0.25">
      <c r="S3192" s="5"/>
    </row>
    <row r="3193" spans="19:19" x14ac:dyDescent="0.25">
      <c r="S3193" s="5"/>
    </row>
    <row r="3194" spans="19:19" x14ac:dyDescent="0.25">
      <c r="S3194" s="5"/>
    </row>
    <row r="3195" spans="19:19" x14ac:dyDescent="0.25">
      <c r="S3195" s="5"/>
    </row>
    <row r="3196" spans="19:19" x14ac:dyDescent="0.25">
      <c r="S3196" s="5"/>
    </row>
    <row r="3197" spans="19:19" x14ac:dyDescent="0.25">
      <c r="S3197" s="5"/>
    </row>
    <row r="3198" spans="19:19" x14ac:dyDescent="0.25">
      <c r="S3198" s="5"/>
    </row>
    <row r="3199" spans="19:19" x14ac:dyDescent="0.25">
      <c r="S3199" s="5"/>
    </row>
    <row r="3200" spans="19:19" x14ac:dyDescent="0.25">
      <c r="S3200" s="5"/>
    </row>
    <row r="3201" spans="19:19" x14ac:dyDescent="0.25">
      <c r="S3201" s="5"/>
    </row>
    <row r="3202" spans="19:19" x14ac:dyDescent="0.25">
      <c r="S3202" s="5"/>
    </row>
    <row r="3203" spans="19:19" x14ac:dyDescent="0.25">
      <c r="S3203" s="5"/>
    </row>
    <row r="3204" spans="19:19" x14ac:dyDescent="0.25">
      <c r="S3204" s="5"/>
    </row>
    <row r="3205" spans="19:19" x14ac:dyDescent="0.25">
      <c r="S3205" s="5"/>
    </row>
    <row r="3206" spans="19:19" x14ac:dyDescent="0.25">
      <c r="S3206" s="5"/>
    </row>
    <row r="3207" spans="19:19" x14ac:dyDescent="0.25">
      <c r="S3207" s="5"/>
    </row>
    <row r="3208" spans="19:19" x14ac:dyDescent="0.25">
      <c r="S3208" s="5"/>
    </row>
    <row r="3209" spans="19:19" x14ac:dyDescent="0.25">
      <c r="S3209" s="5"/>
    </row>
    <row r="3210" spans="19:19" x14ac:dyDescent="0.25">
      <c r="S3210" s="5"/>
    </row>
    <row r="3211" spans="19:19" x14ac:dyDescent="0.25">
      <c r="S3211" s="5"/>
    </row>
    <row r="3212" spans="19:19" x14ac:dyDescent="0.25">
      <c r="S3212" s="5"/>
    </row>
    <row r="3213" spans="19:19" x14ac:dyDescent="0.25">
      <c r="S3213" s="5"/>
    </row>
    <row r="3214" spans="19:19" x14ac:dyDescent="0.25">
      <c r="S3214" s="5"/>
    </row>
    <row r="3215" spans="19:19" x14ac:dyDescent="0.25">
      <c r="S3215" s="5"/>
    </row>
    <row r="3216" spans="19:19" x14ac:dyDescent="0.25">
      <c r="S3216" s="5"/>
    </row>
    <row r="3217" spans="19:19" x14ac:dyDescent="0.25">
      <c r="S3217" s="5"/>
    </row>
    <row r="3218" spans="19:19" x14ac:dyDescent="0.25">
      <c r="S3218" s="5"/>
    </row>
    <row r="3219" spans="19:19" x14ac:dyDescent="0.25">
      <c r="S3219" s="5"/>
    </row>
    <row r="3220" spans="19:19" x14ac:dyDescent="0.25">
      <c r="S3220" s="5"/>
    </row>
    <row r="3221" spans="19:19" x14ac:dyDescent="0.25">
      <c r="S3221" s="5"/>
    </row>
    <row r="3222" spans="19:19" x14ac:dyDescent="0.25">
      <c r="S3222" s="5"/>
    </row>
    <row r="3223" spans="19:19" x14ac:dyDescent="0.25">
      <c r="S3223" s="5"/>
    </row>
    <row r="3224" spans="19:19" x14ac:dyDescent="0.25">
      <c r="S3224" s="5"/>
    </row>
    <row r="3225" spans="19:19" x14ac:dyDescent="0.25">
      <c r="S3225" s="5"/>
    </row>
    <row r="3226" spans="19:19" x14ac:dyDescent="0.25">
      <c r="S3226" s="5"/>
    </row>
    <row r="3227" spans="19:19" x14ac:dyDescent="0.25">
      <c r="S3227" s="5"/>
    </row>
    <row r="3228" spans="19:19" x14ac:dyDescent="0.25">
      <c r="S3228" s="5"/>
    </row>
    <row r="3229" spans="19:19" x14ac:dyDescent="0.25">
      <c r="S3229" s="5"/>
    </row>
    <row r="3230" spans="19:19" x14ac:dyDescent="0.25">
      <c r="S3230" s="5"/>
    </row>
    <row r="3231" spans="19:19" x14ac:dyDescent="0.25">
      <c r="S3231" s="5"/>
    </row>
    <row r="3232" spans="19:19" x14ac:dyDescent="0.25">
      <c r="S3232" s="5"/>
    </row>
    <row r="3233" spans="19:19" x14ac:dyDescent="0.25">
      <c r="S3233" s="5"/>
    </row>
    <row r="3234" spans="19:19" x14ac:dyDescent="0.25">
      <c r="S3234" s="5"/>
    </row>
    <row r="3235" spans="19:19" x14ac:dyDescent="0.25">
      <c r="S3235" s="5"/>
    </row>
    <row r="3236" spans="19:19" x14ac:dyDescent="0.25">
      <c r="S3236" s="5"/>
    </row>
    <row r="3237" spans="19:19" x14ac:dyDescent="0.25">
      <c r="S3237" s="5"/>
    </row>
    <row r="3238" spans="19:19" x14ac:dyDescent="0.25">
      <c r="S3238" s="5"/>
    </row>
    <row r="3239" spans="19:19" x14ac:dyDescent="0.25">
      <c r="S3239" s="5"/>
    </row>
    <row r="3240" spans="19:19" x14ac:dyDescent="0.25">
      <c r="S3240" s="5"/>
    </row>
    <row r="3241" spans="19:19" x14ac:dyDescent="0.25">
      <c r="S3241" s="5"/>
    </row>
    <row r="3242" spans="19:19" x14ac:dyDescent="0.25">
      <c r="S3242" s="5"/>
    </row>
    <row r="3243" spans="19:19" x14ac:dyDescent="0.25">
      <c r="S3243" s="5"/>
    </row>
    <row r="3244" spans="19:19" x14ac:dyDescent="0.25">
      <c r="S3244" s="5"/>
    </row>
    <row r="3245" spans="19:19" x14ac:dyDescent="0.25">
      <c r="S3245" s="5"/>
    </row>
    <row r="3246" spans="19:19" x14ac:dyDescent="0.25">
      <c r="S3246" s="5"/>
    </row>
    <row r="3247" spans="19:19" x14ac:dyDescent="0.25">
      <c r="S3247" s="5"/>
    </row>
    <row r="3248" spans="19:19" x14ac:dyDescent="0.25">
      <c r="S3248" s="5"/>
    </row>
    <row r="3249" spans="19:19" x14ac:dyDescent="0.25">
      <c r="S3249" s="5"/>
    </row>
    <row r="3250" spans="19:19" x14ac:dyDescent="0.25">
      <c r="S3250" s="5"/>
    </row>
    <row r="3251" spans="19:19" x14ac:dyDescent="0.25">
      <c r="S3251" s="5"/>
    </row>
    <row r="3252" spans="19:19" x14ac:dyDescent="0.25">
      <c r="S3252" s="5"/>
    </row>
    <row r="3253" spans="19:19" x14ac:dyDescent="0.25">
      <c r="S3253" s="5"/>
    </row>
    <row r="3254" spans="19:19" x14ac:dyDescent="0.25">
      <c r="S3254" s="5"/>
    </row>
    <row r="3255" spans="19:19" x14ac:dyDescent="0.25">
      <c r="S3255" s="5"/>
    </row>
    <row r="3256" spans="19:19" x14ac:dyDescent="0.25">
      <c r="S3256" s="5"/>
    </row>
    <row r="3257" spans="19:19" x14ac:dyDescent="0.25">
      <c r="S3257" s="5"/>
    </row>
    <row r="3258" spans="19:19" x14ac:dyDescent="0.25">
      <c r="S3258" s="5"/>
    </row>
    <row r="3259" spans="19:19" x14ac:dyDescent="0.25">
      <c r="S3259" s="5"/>
    </row>
    <row r="3260" spans="19:19" x14ac:dyDescent="0.25">
      <c r="S3260" s="5"/>
    </row>
    <row r="3261" spans="19:19" x14ac:dyDescent="0.25">
      <c r="S3261" s="5"/>
    </row>
    <row r="3262" spans="19:19" x14ac:dyDescent="0.25">
      <c r="S3262" s="5"/>
    </row>
    <row r="3263" spans="19:19" x14ac:dyDescent="0.25">
      <c r="S3263" s="5"/>
    </row>
    <row r="3264" spans="19:19" x14ac:dyDescent="0.25">
      <c r="S3264" s="5"/>
    </row>
    <row r="3265" spans="19:19" x14ac:dyDescent="0.25">
      <c r="S3265" s="5"/>
    </row>
    <row r="3266" spans="19:19" x14ac:dyDescent="0.25">
      <c r="S3266" s="5"/>
    </row>
    <row r="3267" spans="19:19" x14ac:dyDescent="0.25">
      <c r="S3267" s="5"/>
    </row>
    <row r="3268" spans="19:19" x14ac:dyDescent="0.25">
      <c r="S3268" s="5"/>
    </row>
    <row r="3269" spans="19:19" x14ac:dyDescent="0.25">
      <c r="S3269" s="5"/>
    </row>
    <row r="3270" spans="19:19" x14ac:dyDescent="0.25">
      <c r="S3270" s="5"/>
    </row>
    <row r="3271" spans="19:19" x14ac:dyDescent="0.25">
      <c r="S3271" s="5"/>
    </row>
    <row r="3272" spans="19:19" x14ac:dyDescent="0.25">
      <c r="S3272" s="5"/>
    </row>
    <row r="3273" spans="19:19" x14ac:dyDescent="0.25">
      <c r="S3273" s="5"/>
    </row>
    <row r="3274" spans="19:19" x14ac:dyDescent="0.25">
      <c r="S3274" s="5"/>
    </row>
    <row r="3275" spans="19:19" x14ac:dyDescent="0.25">
      <c r="S3275" s="5"/>
    </row>
    <row r="3276" spans="19:19" x14ac:dyDescent="0.25">
      <c r="S3276" s="5"/>
    </row>
    <row r="3277" spans="19:19" x14ac:dyDescent="0.25">
      <c r="S3277" s="5"/>
    </row>
    <row r="3278" spans="19:19" x14ac:dyDescent="0.25">
      <c r="S3278" s="5"/>
    </row>
    <row r="3279" spans="19:19" x14ac:dyDescent="0.25">
      <c r="S3279" s="5"/>
    </row>
    <row r="3280" spans="19:19" x14ac:dyDescent="0.25">
      <c r="S3280" s="5"/>
    </row>
    <row r="3281" spans="19:19" x14ac:dyDescent="0.25">
      <c r="S3281" s="5"/>
    </row>
    <row r="3282" spans="19:19" x14ac:dyDescent="0.25">
      <c r="S3282" s="5"/>
    </row>
    <row r="3283" spans="19:19" x14ac:dyDescent="0.25">
      <c r="S3283" s="5"/>
    </row>
    <row r="3284" spans="19:19" x14ac:dyDescent="0.25">
      <c r="S3284" s="5"/>
    </row>
    <row r="3285" spans="19:19" x14ac:dyDescent="0.25">
      <c r="S3285" s="5"/>
    </row>
    <row r="3286" spans="19:19" x14ac:dyDescent="0.25">
      <c r="S3286" s="5"/>
    </row>
    <row r="3287" spans="19:19" x14ac:dyDescent="0.25">
      <c r="S3287" s="5"/>
    </row>
    <row r="3288" spans="19:19" x14ac:dyDescent="0.25">
      <c r="S3288" s="5"/>
    </row>
    <row r="3289" spans="19:19" x14ac:dyDescent="0.25">
      <c r="S3289" s="5"/>
    </row>
    <row r="3290" spans="19:19" x14ac:dyDescent="0.25">
      <c r="S3290" s="5"/>
    </row>
    <row r="3291" spans="19:19" x14ac:dyDescent="0.25">
      <c r="S3291" s="5"/>
    </row>
    <row r="3292" spans="19:19" x14ac:dyDescent="0.25">
      <c r="S3292" s="5"/>
    </row>
    <row r="3293" spans="19:19" x14ac:dyDescent="0.25">
      <c r="S3293" s="5"/>
    </row>
    <row r="3294" spans="19:19" x14ac:dyDescent="0.25">
      <c r="S3294" s="5"/>
    </row>
    <row r="3295" spans="19:19" x14ac:dyDescent="0.25">
      <c r="S3295" s="5"/>
    </row>
    <row r="3296" spans="19:19" x14ac:dyDescent="0.25">
      <c r="S3296" s="5"/>
    </row>
    <row r="3297" spans="19:19" x14ac:dyDescent="0.25">
      <c r="S3297" s="5"/>
    </row>
    <row r="3298" spans="19:19" x14ac:dyDescent="0.25">
      <c r="S3298" s="5"/>
    </row>
    <row r="3299" spans="19:19" x14ac:dyDescent="0.25">
      <c r="S3299" s="5"/>
    </row>
    <row r="3300" spans="19:19" x14ac:dyDescent="0.25">
      <c r="S3300" s="5"/>
    </row>
    <row r="3301" spans="19:19" x14ac:dyDescent="0.25">
      <c r="S3301" s="5"/>
    </row>
    <row r="3302" spans="19:19" x14ac:dyDescent="0.25">
      <c r="S3302" s="5"/>
    </row>
    <row r="3303" spans="19:19" x14ac:dyDescent="0.25">
      <c r="S3303" s="5"/>
    </row>
    <row r="3304" spans="19:19" x14ac:dyDescent="0.25">
      <c r="S3304" s="5"/>
    </row>
    <row r="3305" spans="19:19" x14ac:dyDescent="0.25">
      <c r="S3305" s="5"/>
    </row>
    <row r="3306" spans="19:19" x14ac:dyDescent="0.25">
      <c r="S3306" s="5"/>
    </row>
    <row r="3307" spans="19:19" x14ac:dyDescent="0.25">
      <c r="S3307" s="5"/>
    </row>
    <row r="3308" spans="19:19" x14ac:dyDescent="0.25">
      <c r="S3308" s="5"/>
    </row>
    <row r="3309" spans="19:19" x14ac:dyDescent="0.25">
      <c r="S3309" s="5"/>
    </row>
    <row r="3310" spans="19:19" x14ac:dyDescent="0.25">
      <c r="S3310" s="5"/>
    </row>
    <row r="3311" spans="19:19" x14ac:dyDescent="0.25">
      <c r="S3311" s="5"/>
    </row>
    <row r="3312" spans="19:19" x14ac:dyDescent="0.25">
      <c r="S3312" s="5"/>
    </row>
    <row r="3313" spans="19:19" x14ac:dyDescent="0.25">
      <c r="S3313" s="5"/>
    </row>
    <row r="3314" spans="19:19" x14ac:dyDescent="0.25">
      <c r="S3314" s="5"/>
    </row>
    <row r="3315" spans="19:19" x14ac:dyDescent="0.25">
      <c r="S3315" s="5"/>
    </row>
    <row r="3316" spans="19:19" x14ac:dyDescent="0.25">
      <c r="S3316" s="5"/>
    </row>
    <row r="3317" spans="19:19" x14ac:dyDescent="0.25">
      <c r="S3317" s="5"/>
    </row>
    <row r="3318" spans="19:19" x14ac:dyDescent="0.25">
      <c r="S3318" s="5"/>
    </row>
    <row r="3319" spans="19:19" x14ac:dyDescent="0.25">
      <c r="S3319" s="5"/>
    </row>
    <row r="3320" spans="19:19" x14ac:dyDescent="0.25">
      <c r="S3320" s="5"/>
    </row>
    <row r="3321" spans="19:19" x14ac:dyDescent="0.25">
      <c r="S3321" s="5"/>
    </row>
    <row r="3322" spans="19:19" x14ac:dyDescent="0.25">
      <c r="S3322" s="5"/>
    </row>
    <row r="3323" spans="19:19" x14ac:dyDescent="0.25">
      <c r="S3323" s="5"/>
    </row>
    <row r="3324" spans="19:19" x14ac:dyDescent="0.25">
      <c r="S3324" s="5"/>
    </row>
    <row r="3325" spans="19:19" x14ac:dyDescent="0.25">
      <c r="S3325" s="5"/>
    </row>
    <row r="3326" spans="19:19" x14ac:dyDescent="0.25">
      <c r="S3326" s="5"/>
    </row>
    <row r="3327" spans="19:19" x14ac:dyDescent="0.25">
      <c r="S3327" s="5"/>
    </row>
    <row r="3328" spans="19:19" x14ac:dyDescent="0.25">
      <c r="S3328" s="5"/>
    </row>
    <row r="3329" spans="19:19" x14ac:dyDescent="0.25">
      <c r="S3329" s="5"/>
    </row>
    <row r="3330" spans="19:19" x14ac:dyDescent="0.25">
      <c r="S3330" s="5"/>
    </row>
    <row r="3331" spans="19:19" x14ac:dyDescent="0.25">
      <c r="S3331" s="5"/>
    </row>
    <row r="3332" spans="19:19" x14ac:dyDescent="0.25">
      <c r="S3332" s="5"/>
    </row>
    <row r="3333" spans="19:19" x14ac:dyDescent="0.25">
      <c r="S3333" s="5"/>
    </row>
    <row r="3334" spans="19:19" x14ac:dyDescent="0.25">
      <c r="S3334" s="5"/>
    </row>
    <row r="3335" spans="19:19" x14ac:dyDescent="0.25">
      <c r="S3335" s="5"/>
    </row>
    <row r="3336" spans="19:19" x14ac:dyDescent="0.25">
      <c r="S3336" s="5"/>
    </row>
    <row r="3337" spans="19:19" x14ac:dyDescent="0.25">
      <c r="S3337" s="5"/>
    </row>
    <row r="3338" spans="19:19" x14ac:dyDescent="0.25">
      <c r="S3338" s="5"/>
    </row>
    <row r="3339" spans="19:19" x14ac:dyDescent="0.25">
      <c r="S3339" s="5"/>
    </row>
    <row r="3340" spans="19:19" x14ac:dyDescent="0.25">
      <c r="S3340" s="5"/>
    </row>
    <row r="3341" spans="19:19" x14ac:dyDescent="0.25">
      <c r="S3341" s="5"/>
    </row>
    <row r="3342" spans="19:19" x14ac:dyDescent="0.25">
      <c r="S3342" s="5"/>
    </row>
    <row r="3343" spans="19:19" x14ac:dyDescent="0.25">
      <c r="S3343" s="5"/>
    </row>
    <row r="3344" spans="19:19" x14ac:dyDescent="0.25">
      <c r="S3344" s="5"/>
    </row>
    <row r="3345" spans="19:19" x14ac:dyDescent="0.25">
      <c r="S3345" s="5"/>
    </row>
    <row r="3346" spans="19:19" x14ac:dyDescent="0.25">
      <c r="S3346" s="5"/>
    </row>
    <row r="3347" spans="19:19" x14ac:dyDescent="0.25">
      <c r="S3347" s="5"/>
    </row>
    <row r="3348" spans="19:19" x14ac:dyDescent="0.25">
      <c r="S3348" s="5"/>
    </row>
    <row r="3349" spans="19:19" x14ac:dyDescent="0.25">
      <c r="S3349" s="5"/>
    </row>
    <row r="3350" spans="19:19" x14ac:dyDescent="0.25">
      <c r="S3350" s="5"/>
    </row>
    <row r="3351" spans="19:19" x14ac:dyDescent="0.25">
      <c r="S3351" s="5"/>
    </row>
    <row r="3352" spans="19:19" x14ac:dyDescent="0.25">
      <c r="S3352" s="5"/>
    </row>
    <row r="3353" spans="19:19" x14ac:dyDescent="0.25">
      <c r="S3353" s="5"/>
    </row>
    <row r="3354" spans="19:19" x14ac:dyDescent="0.25">
      <c r="S3354" s="5"/>
    </row>
    <row r="3355" spans="19:19" x14ac:dyDescent="0.25">
      <c r="S3355" s="5"/>
    </row>
    <row r="3356" spans="19:19" x14ac:dyDescent="0.25">
      <c r="S3356" s="5"/>
    </row>
    <row r="3357" spans="19:19" x14ac:dyDescent="0.25">
      <c r="S3357" s="5"/>
    </row>
    <row r="3358" spans="19:19" x14ac:dyDescent="0.25">
      <c r="S3358" s="5"/>
    </row>
    <row r="3359" spans="19:19" x14ac:dyDescent="0.25">
      <c r="S3359" s="5"/>
    </row>
    <row r="3360" spans="19:19" x14ac:dyDescent="0.25">
      <c r="S3360" s="5"/>
    </row>
    <row r="3361" spans="19:19" x14ac:dyDescent="0.25">
      <c r="S3361" s="5"/>
    </row>
    <row r="3362" spans="19:19" x14ac:dyDescent="0.25">
      <c r="S3362" s="5"/>
    </row>
    <row r="3363" spans="19:19" x14ac:dyDescent="0.25">
      <c r="S3363" s="5"/>
    </row>
    <row r="3364" spans="19:19" x14ac:dyDescent="0.25">
      <c r="S3364" s="5"/>
    </row>
    <row r="3365" spans="19:19" x14ac:dyDescent="0.25">
      <c r="S3365" s="5"/>
    </row>
    <row r="3366" spans="19:19" x14ac:dyDescent="0.25">
      <c r="S3366" s="5"/>
    </row>
    <row r="3367" spans="19:19" x14ac:dyDescent="0.25">
      <c r="S3367" s="5"/>
    </row>
    <row r="3368" spans="19:19" x14ac:dyDescent="0.25">
      <c r="S3368" s="5"/>
    </row>
    <row r="3369" spans="19:19" x14ac:dyDescent="0.25">
      <c r="S3369" s="5"/>
    </row>
    <row r="3370" spans="19:19" x14ac:dyDescent="0.25">
      <c r="S3370" s="5"/>
    </row>
    <row r="3371" spans="19:19" x14ac:dyDescent="0.25">
      <c r="S3371" s="5"/>
    </row>
    <row r="3372" spans="19:19" x14ac:dyDescent="0.25">
      <c r="S3372" s="5"/>
    </row>
    <row r="3373" spans="19:19" x14ac:dyDescent="0.25">
      <c r="S3373" s="5"/>
    </row>
    <row r="3374" spans="19:19" x14ac:dyDescent="0.25">
      <c r="S3374" s="5"/>
    </row>
    <row r="3375" spans="19:19" x14ac:dyDescent="0.25">
      <c r="S3375" s="5"/>
    </row>
    <row r="3376" spans="19:19" x14ac:dyDescent="0.25">
      <c r="S3376" s="5"/>
    </row>
    <row r="3377" spans="19:19" x14ac:dyDescent="0.25">
      <c r="S3377" s="5"/>
    </row>
    <row r="3378" spans="19:19" x14ac:dyDescent="0.25">
      <c r="S3378" s="5"/>
    </row>
    <row r="3379" spans="19:19" x14ac:dyDescent="0.25">
      <c r="S3379" s="5"/>
    </row>
    <row r="3380" spans="19:19" x14ac:dyDescent="0.25">
      <c r="S3380" s="5"/>
    </row>
    <row r="3381" spans="19:19" x14ac:dyDescent="0.25">
      <c r="S3381" s="5"/>
    </row>
    <row r="3382" spans="19:19" x14ac:dyDescent="0.25">
      <c r="S3382" s="5"/>
    </row>
    <row r="3383" spans="19:19" x14ac:dyDescent="0.25">
      <c r="S3383" s="5"/>
    </row>
    <row r="3384" spans="19:19" x14ac:dyDescent="0.25">
      <c r="S3384" s="5"/>
    </row>
    <row r="3385" spans="19:19" x14ac:dyDescent="0.25">
      <c r="S3385" s="5"/>
    </row>
    <row r="3386" spans="19:19" x14ac:dyDescent="0.25">
      <c r="S3386" s="5"/>
    </row>
    <row r="3387" spans="19:19" x14ac:dyDescent="0.25">
      <c r="S3387" s="5"/>
    </row>
    <row r="3388" spans="19:19" x14ac:dyDescent="0.25">
      <c r="S3388" s="5"/>
    </row>
    <row r="3389" spans="19:19" x14ac:dyDescent="0.25">
      <c r="S3389" s="5"/>
    </row>
    <row r="3390" spans="19:19" x14ac:dyDescent="0.25">
      <c r="S3390" s="5"/>
    </row>
    <row r="3391" spans="19:19" x14ac:dyDescent="0.25">
      <c r="S3391" s="5"/>
    </row>
    <row r="3392" spans="19:19" x14ac:dyDescent="0.25">
      <c r="S3392" s="5"/>
    </row>
    <row r="3393" spans="19:19" x14ac:dyDescent="0.25">
      <c r="S3393" s="5"/>
    </row>
    <row r="3394" spans="19:19" x14ac:dyDescent="0.25">
      <c r="S3394" s="5"/>
    </row>
    <row r="3395" spans="19:19" x14ac:dyDescent="0.25">
      <c r="S3395" s="5"/>
    </row>
    <row r="3396" spans="19:19" x14ac:dyDescent="0.25">
      <c r="S3396" s="5"/>
    </row>
    <row r="3397" spans="19:19" x14ac:dyDescent="0.25">
      <c r="S3397" s="5"/>
    </row>
    <row r="3398" spans="19:19" x14ac:dyDescent="0.25">
      <c r="S3398" s="5"/>
    </row>
    <row r="3399" spans="19:19" x14ac:dyDescent="0.25">
      <c r="S3399" s="5"/>
    </row>
    <row r="3400" spans="19:19" x14ac:dyDescent="0.25">
      <c r="S3400" s="5"/>
    </row>
    <row r="3401" spans="19:19" x14ac:dyDescent="0.25">
      <c r="S3401" s="5"/>
    </row>
    <row r="3402" spans="19:19" x14ac:dyDescent="0.25">
      <c r="S3402" s="5"/>
    </row>
    <row r="3403" spans="19:19" x14ac:dyDescent="0.25">
      <c r="S3403" s="5"/>
    </row>
    <row r="3404" spans="19:19" x14ac:dyDescent="0.25">
      <c r="S3404" s="5"/>
    </row>
    <row r="3405" spans="19:19" x14ac:dyDescent="0.25">
      <c r="S3405" s="5"/>
    </row>
    <row r="3406" spans="19:19" x14ac:dyDescent="0.25">
      <c r="S3406" s="5"/>
    </row>
    <row r="3407" spans="19:19" x14ac:dyDescent="0.25">
      <c r="S3407" s="5"/>
    </row>
    <row r="3408" spans="19:19" x14ac:dyDescent="0.25">
      <c r="S3408" s="5"/>
    </row>
    <row r="3409" spans="19:19" x14ac:dyDescent="0.25">
      <c r="S3409" s="5"/>
    </row>
    <row r="3410" spans="19:19" x14ac:dyDescent="0.25">
      <c r="S3410" s="5"/>
    </row>
    <row r="3411" spans="19:19" x14ac:dyDescent="0.25">
      <c r="S3411" s="5"/>
    </row>
    <row r="3412" spans="19:19" x14ac:dyDescent="0.25">
      <c r="S3412" s="5"/>
    </row>
    <row r="3413" spans="19:19" x14ac:dyDescent="0.25">
      <c r="S3413" s="5"/>
    </row>
    <row r="3414" spans="19:19" x14ac:dyDescent="0.25">
      <c r="S3414" s="5"/>
    </row>
    <row r="3415" spans="19:19" x14ac:dyDescent="0.25">
      <c r="S3415" s="5"/>
    </row>
    <row r="3416" spans="19:19" x14ac:dyDescent="0.25">
      <c r="S3416" s="5"/>
    </row>
    <row r="3417" spans="19:19" x14ac:dyDescent="0.25">
      <c r="S3417" s="5"/>
    </row>
    <row r="3418" spans="19:19" x14ac:dyDescent="0.25">
      <c r="S3418" s="5"/>
    </row>
    <row r="3419" spans="19:19" x14ac:dyDescent="0.25">
      <c r="S3419" s="5"/>
    </row>
    <row r="3420" spans="19:19" x14ac:dyDescent="0.25">
      <c r="S3420" s="5"/>
    </row>
    <row r="3421" spans="19:19" x14ac:dyDescent="0.25">
      <c r="S3421" s="5"/>
    </row>
    <row r="3422" spans="19:19" x14ac:dyDescent="0.25">
      <c r="S3422" s="5"/>
    </row>
    <row r="3423" spans="19:19" x14ac:dyDescent="0.25">
      <c r="S3423" s="5"/>
    </row>
    <row r="3424" spans="19:19" x14ac:dyDescent="0.25">
      <c r="S3424" s="5"/>
    </row>
    <row r="3425" spans="19:19" x14ac:dyDescent="0.25">
      <c r="S3425" s="5"/>
    </row>
    <row r="3426" spans="19:19" x14ac:dyDescent="0.25">
      <c r="S3426" s="5"/>
    </row>
    <row r="3427" spans="19:19" x14ac:dyDescent="0.25">
      <c r="S3427" s="5"/>
    </row>
    <row r="3428" spans="19:19" x14ac:dyDescent="0.25">
      <c r="S3428" s="5"/>
    </row>
    <row r="3429" spans="19:19" x14ac:dyDescent="0.25">
      <c r="S3429" s="5"/>
    </row>
    <row r="3430" spans="19:19" x14ac:dyDescent="0.25">
      <c r="S3430" s="5"/>
    </row>
    <row r="3431" spans="19:19" x14ac:dyDescent="0.25">
      <c r="S3431" s="5"/>
    </row>
    <row r="3432" spans="19:19" x14ac:dyDescent="0.25">
      <c r="S3432" s="5"/>
    </row>
    <row r="3433" spans="19:19" x14ac:dyDescent="0.25">
      <c r="S3433" s="5"/>
    </row>
    <row r="3434" spans="19:19" x14ac:dyDescent="0.25">
      <c r="S3434" s="5"/>
    </row>
    <row r="3435" spans="19:19" x14ac:dyDescent="0.25">
      <c r="S3435" s="5"/>
    </row>
    <row r="3436" spans="19:19" x14ac:dyDescent="0.25">
      <c r="S3436" s="5"/>
    </row>
    <row r="3437" spans="19:19" x14ac:dyDescent="0.25">
      <c r="S3437" s="5"/>
    </row>
    <row r="3438" spans="19:19" x14ac:dyDescent="0.25">
      <c r="S3438" s="5"/>
    </row>
    <row r="3439" spans="19:19" x14ac:dyDescent="0.25">
      <c r="S3439" s="5"/>
    </row>
    <row r="3440" spans="19:19" x14ac:dyDescent="0.25">
      <c r="S3440" s="5"/>
    </row>
    <row r="3441" spans="19:19" x14ac:dyDescent="0.25">
      <c r="S3441" s="5"/>
    </row>
    <row r="3442" spans="19:19" x14ac:dyDescent="0.25">
      <c r="S3442" s="5"/>
    </row>
    <row r="3443" spans="19:19" x14ac:dyDescent="0.25">
      <c r="S3443" s="5"/>
    </row>
    <row r="3444" spans="19:19" x14ac:dyDescent="0.25">
      <c r="S3444" s="5"/>
    </row>
    <row r="3445" spans="19:19" x14ac:dyDescent="0.25">
      <c r="S3445" s="5"/>
    </row>
    <row r="3446" spans="19:19" x14ac:dyDescent="0.25">
      <c r="S3446" s="5"/>
    </row>
    <row r="3447" spans="19:19" x14ac:dyDescent="0.25">
      <c r="S3447" s="5"/>
    </row>
    <row r="3448" spans="19:19" x14ac:dyDescent="0.25">
      <c r="S3448" s="5"/>
    </row>
    <row r="3449" spans="19:19" x14ac:dyDescent="0.25">
      <c r="S3449" s="5"/>
    </row>
    <row r="3450" spans="19:19" x14ac:dyDescent="0.25">
      <c r="S3450" s="5"/>
    </row>
    <row r="3451" spans="19:19" x14ac:dyDescent="0.25">
      <c r="S3451" s="5"/>
    </row>
    <row r="3452" spans="19:19" x14ac:dyDescent="0.25">
      <c r="S3452" s="5"/>
    </row>
    <row r="3453" spans="19:19" x14ac:dyDescent="0.25">
      <c r="S3453" s="5"/>
    </row>
    <row r="3454" spans="19:19" x14ac:dyDescent="0.25">
      <c r="S3454" s="5"/>
    </row>
    <row r="3455" spans="19:19" x14ac:dyDescent="0.25">
      <c r="S3455" s="5"/>
    </row>
    <row r="3456" spans="19:19" x14ac:dyDescent="0.25">
      <c r="S3456" s="5"/>
    </row>
    <row r="3457" spans="19:19" x14ac:dyDescent="0.25">
      <c r="S3457" s="5"/>
    </row>
    <row r="3458" spans="19:19" x14ac:dyDescent="0.25">
      <c r="S3458" s="5"/>
    </row>
    <row r="3459" spans="19:19" x14ac:dyDescent="0.25">
      <c r="S3459" s="5"/>
    </row>
    <row r="3460" spans="19:19" x14ac:dyDescent="0.25">
      <c r="S3460" s="5"/>
    </row>
    <row r="3461" spans="19:19" x14ac:dyDescent="0.25">
      <c r="S3461" s="5"/>
    </row>
    <row r="3462" spans="19:19" x14ac:dyDescent="0.25">
      <c r="S3462" s="5"/>
    </row>
    <row r="3463" spans="19:19" x14ac:dyDescent="0.25">
      <c r="S3463" s="5"/>
    </row>
    <row r="3464" spans="19:19" x14ac:dyDescent="0.25">
      <c r="S3464" s="5"/>
    </row>
    <row r="3465" spans="19:19" x14ac:dyDescent="0.25">
      <c r="S3465" s="5"/>
    </row>
    <row r="3466" spans="19:19" x14ac:dyDescent="0.25">
      <c r="S3466" s="5"/>
    </row>
    <row r="3467" spans="19:19" x14ac:dyDescent="0.25">
      <c r="S3467" s="5"/>
    </row>
    <row r="3468" spans="19:19" x14ac:dyDescent="0.25">
      <c r="S3468" s="5"/>
    </row>
    <row r="3469" spans="19:19" x14ac:dyDescent="0.25">
      <c r="S3469" s="5"/>
    </row>
    <row r="3470" spans="19:19" x14ac:dyDescent="0.25">
      <c r="S3470" s="5"/>
    </row>
    <row r="3471" spans="19:19" x14ac:dyDescent="0.25">
      <c r="S3471" s="5"/>
    </row>
    <row r="3472" spans="19:19" x14ac:dyDescent="0.25">
      <c r="S3472" s="5"/>
    </row>
    <row r="3473" spans="19:19" x14ac:dyDescent="0.25">
      <c r="S3473" s="5"/>
    </row>
    <row r="3474" spans="19:19" x14ac:dyDescent="0.25">
      <c r="S3474" s="5"/>
    </row>
    <row r="3475" spans="19:19" x14ac:dyDescent="0.25">
      <c r="S3475" s="5"/>
    </row>
    <row r="3476" spans="19:19" x14ac:dyDescent="0.25">
      <c r="S3476" s="5"/>
    </row>
    <row r="3477" spans="19:19" x14ac:dyDescent="0.25">
      <c r="S3477" s="5"/>
    </row>
    <row r="3478" spans="19:19" x14ac:dyDescent="0.25">
      <c r="S3478" s="5"/>
    </row>
    <row r="3479" spans="19:19" x14ac:dyDescent="0.25">
      <c r="S3479" s="5"/>
    </row>
    <row r="3480" spans="19:19" x14ac:dyDescent="0.25">
      <c r="S3480" s="5"/>
    </row>
    <row r="3481" spans="19:19" x14ac:dyDescent="0.25">
      <c r="S3481" s="5"/>
    </row>
    <row r="3482" spans="19:19" x14ac:dyDescent="0.25">
      <c r="S3482" s="5"/>
    </row>
    <row r="3483" spans="19:19" x14ac:dyDescent="0.25">
      <c r="S3483" s="5"/>
    </row>
    <row r="3484" spans="19:19" x14ac:dyDescent="0.25">
      <c r="S3484" s="5"/>
    </row>
    <row r="3485" spans="19:19" x14ac:dyDescent="0.25">
      <c r="S3485" s="5"/>
    </row>
    <row r="3486" spans="19:19" x14ac:dyDescent="0.25">
      <c r="S3486" s="5"/>
    </row>
    <row r="3487" spans="19:19" x14ac:dyDescent="0.25">
      <c r="S3487" s="5"/>
    </row>
    <row r="3488" spans="19:19" x14ac:dyDescent="0.25">
      <c r="S3488" s="5"/>
    </row>
    <row r="3489" spans="19:19" x14ac:dyDescent="0.25">
      <c r="S3489" s="5"/>
    </row>
    <row r="3490" spans="19:19" x14ac:dyDescent="0.25">
      <c r="S3490" s="5"/>
    </row>
    <row r="3491" spans="19:19" x14ac:dyDescent="0.25">
      <c r="S3491" s="5"/>
    </row>
    <row r="3492" spans="19:19" x14ac:dyDescent="0.25">
      <c r="S3492" s="5"/>
    </row>
    <row r="3493" spans="19:19" x14ac:dyDescent="0.25">
      <c r="S3493" s="5"/>
    </row>
    <row r="3494" spans="19:19" x14ac:dyDescent="0.25">
      <c r="S3494" s="5"/>
    </row>
    <row r="3495" spans="19:19" x14ac:dyDescent="0.25">
      <c r="S3495" s="5"/>
    </row>
    <row r="3496" spans="19:19" x14ac:dyDescent="0.25">
      <c r="S3496" s="5"/>
    </row>
    <row r="3497" spans="19:19" x14ac:dyDescent="0.25">
      <c r="S3497" s="5"/>
    </row>
    <row r="3498" spans="19:19" x14ac:dyDescent="0.25">
      <c r="S3498" s="5"/>
    </row>
    <row r="3499" spans="19:19" x14ac:dyDescent="0.25">
      <c r="S3499" s="5"/>
    </row>
    <row r="3500" spans="19:19" x14ac:dyDescent="0.25">
      <c r="S3500" s="5"/>
    </row>
    <row r="3501" spans="19:19" x14ac:dyDescent="0.25">
      <c r="S3501" s="5"/>
    </row>
    <row r="3502" spans="19:19" x14ac:dyDescent="0.25">
      <c r="S3502" s="5"/>
    </row>
    <row r="3503" spans="19:19" x14ac:dyDescent="0.25">
      <c r="S3503" s="5"/>
    </row>
    <row r="3504" spans="19:19" x14ac:dyDescent="0.25">
      <c r="S3504" s="5"/>
    </row>
    <row r="3505" spans="19:19" x14ac:dyDescent="0.25">
      <c r="S3505" s="5"/>
    </row>
    <row r="3506" spans="19:19" x14ac:dyDescent="0.25">
      <c r="S3506" s="5"/>
    </row>
    <row r="3507" spans="19:19" x14ac:dyDescent="0.25">
      <c r="S3507" s="5"/>
    </row>
    <row r="3508" spans="19:19" x14ac:dyDescent="0.25">
      <c r="S3508" s="5"/>
    </row>
    <row r="3509" spans="19:19" x14ac:dyDescent="0.25">
      <c r="S3509" s="5"/>
    </row>
    <row r="3510" spans="19:19" x14ac:dyDescent="0.25">
      <c r="S3510" s="5"/>
    </row>
    <row r="3511" spans="19:19" x14ac:dyDescent="0.25">
      <c r="S3511" s="5"/>
    </row>
    <row r="3512" spans="19:19" x14ac:dyDescent="0.25">
      <c r="S3512" s="5"/>
    </row>
    <row r="3513" spans="19:19" x14ac:dyDescent="0.25">
      <c r="S3513" s="5"/>
    </row>
    <row r="3514" spans="19:19" x14ac:dyDescent="0.25">
      <c r="S3514" s="5"/>
    </row>
    <row r="3515" spans="19:19" x14ac:dyDescent="0.25">
      <c r="S3515" s="5"/>
    </row>
    <row r="3516" spans="19:19" x14ac:dyDescent="0.25">
      <c r="S3516" s="5"/>
    </row>
    <row r="3517" spans="19:19" x14ac:dyDescent="0.25">
      <c r="S3517" s="5"/>
    </row>
    <row r="3518" spans="19:19" x14ac:dyDescent="0.25">
      <c r="S3518" s="5"/>
    </row>
    <row r="3519" spans="19:19" x14ac:dyDescent="0.25">
      <c r="S3519" s="5"/>
    </row>
    <row r="3520" spans="19:19" x14ac:dyDescent="0.25">
      <c r="S3520" s="5"/>
    </row>
    <row r="3521" spans="19:19" x14ac:dyDescent="0.25">
      <c r="S3521" s="5"/>
    </row>
    <row r="3522" spans="19:19" x14ac:dyDescent="0.25">
      <c r="S3522" s="5"/>
    </row>
    <row r="3523" spans="19:19" x14ac:dyDescent="0.25">
      <c r="S3523" s="5"/>
    </row>
    <row r="3524" spans="19:19" x14ac:dyDescent="0.25">
      <c r="S3524" s="5"/>
    </row>
    <row r="3525" spans="19:19" x14ac:dyDescent="0.25">
      <c r="S3525" s="5"/>
    </row>
    <row r="3526" spans="19:19" x14ac:dyDescent="0.25">
      <c r="S3526" s="5"/>
    </row>
    <row r="3527" spans="19:19" x14ac:dyDescent="0.25">
      <c r="S3527" s="5"/>
    </row>
    <row r="3528" spans="19:19" x14ac:dyDescent="0.25">
      <c r="S3528" s="5"/>
    </row>
    <row r="3529" spans="19:19" x14ac:dyDescent="0.25">
      <c r="S3529" s="5"/>
    </row>
    <row r="3530" spans="19:19" x14ac:dyDescent="0.25">
      <c r="S3530" s="5"/>
    </row>
    <row r="3531" spans="19:19" x14ac:dyDescent="0.25">
      <c r="S3531" s="5"/>
    </row>
    <row r="3532" spans="19:19" x14ac:dyDescent="0.25">
      <c r="S3532" s="5"/>
    </row>
    <row r="3533" spans="19:19" x14ac:dyDescent="0.25">
      <c r="S3533" s="5"/>
    </row>
    <row r="3534" spans="19:19" x14ac:dyDescent="0.25">
      <c r="S3534" s="5"/>
    </row>
    <row r="3535" spans="19:19" x14ac:dyDescent="0.25">
      <c r="S3535" s="5"/>
    </row>
    <row r="3536" spans="19:19" x14ac:dyDescent="0.25">
      <c r="S3536" s="5"/>
    </row>
    <row r="3537" spans="19:19" x14ac:dyDescent="0.25">
      <c r="S3537" s="5"/>
    </row>
    <row r="3538" spans="19:19" x14ac:dyDescent="0.25">
      <c r="S3538" s="5"/>
    </row>
    <row r="3539" spans="19:19" x14ac:dyDescent="0.25">
      <c r="S3539" s="5"/>
    </row>
    <row r="3540" spans="19:19" x14ac:dyDescent="0.25">
      <c r="S3540" s="5"/>
    </row>
    <row r="3541" spans="19:19" x14ac:dyDescent="0.25">
      <c r="S3541" s="5"/>
    </row>
    <row r="3542" spans="19:19" x14ac:dyDescent="0.25">
      <c r="S3542" s="5"/>
    </row>
    <row r="3543" spans="19:19" x14ac:dyDescent="0.25">
      <c r="S3543" s="5"/>
    </row>
    <row r="3544" spans="19:19" x14ac:dyDescent="0.25">
      <c r="S3544" s="5"/>
    </row>
    <row r="3545" spans="19:19" x14ac:dyDescent="0.25">
      <c r="S3545" s="5"/>
    </row>
    <row r="3546" spans="19:19" x14ac:dyDescent="0.25">
      <c r="S3546" s="5"/>
    </row>
    <row r="3547" spans="19:19" x14ac:dyDescent="0.25">
      <c r="S3547" s="5"/>
    </row>
    <row r="3548" spans="19:19" x14ac:dyDescent="0.25">
      <c r="S3548" s="5"/>
    </row>
    <row r="3549" spans="19:19" x14ac:dyDescent="0.25">
      <c r="S3549" s="5"/>
    </row>
    <row r="3550" spans="19:19" x14ac:dyDescent="0.25">
      <c r="S3550" s="5"/>
    </row>
    <row r="3551" spans="19:19" x14ac:dyDescent="0.25">
      <c r="S3551" s="5"/>
    </row>
    <row r="3552" spans="19:19" x14ac:dyDescent="0.25">
      <c r="S3552" s="5"/>
    </row>
    <row r="3553" spans="19:19" x14ac:dyDescent="0.25">
      <c r="S3553" s="5"/>
    </row>
    <row r="3554" spans="19:19" x14ac:dyDescent="0.25">
      <c r="S3554" s="5"/>
    </row>
    <row r="3555" spans="19:19" x14ac:dyDescent="0.25">
      <c r="S3555" s="5"/>
    </row>
    <row r="3556" spans="19:19" x14ac:dyDescent="0.25">
      <c r="S3556" s="5"/>
    </row>
    <row r="3557" spans="19:19" x14ac:dyDescent="0.25">
      <c r="S3557" s="5"/>
    </row>
    <row r="3558" spans="19:19" x14ac:dyDescent="0.25">
      <c r="S3558" s="5"/>
    </row>
    <row r="3559" spans="19:19" x14ac:dyDescent="0.25">
      <c r="S3559" s="5"/>
    </row>
    <row r="3560" spans="19:19" x14ac:dyDescent="0.25">
      <c r="S3560" s="5"/>
    </row>
    <row r="3561" spans="19:19" x14ac:dyDescent="0.25">
      <c r="S3561" s="5"/>
    </row>
    <row r="3562" spans="19:19" x14ac:dyDescent="0.25">
      <c r="S3562" s="5"/>
    </row>
    <row r="3563" spans="19:19" x14ac:dyDescent="0.25">
      <c r="S3563" s="5"/>
    </row>
    <row r="3564" spans="19:19" x14ac:dyDescent="0.25">
      <c r="S3564" s="5"/>
    </row>
    <row r="3565" spans="19:19" x14ac:dyDescent="0.25">
      <c r="S3565" s="5"/>
    </row>
    <row r="3566" spans="19:19" x14ac:dyDescent="0.25">
      <c r="S3566" s="5"/>
    </row>
    <row r="3567" spans="19:19" x14ac:dyDescent="0.25">
      <c r="S3567" s="5"/>
    </row>
    <row r="3568" spans="19:19" x14ac:dyDescent="0.25">
      <c r="S3568" s="5"/>
    </row>
    <row r="3569" spans="19:19" x14ac:dyDescent="0.25">
      <c r="S3569" s="5"/>
    </row>
    <row r="3570" spans="19:19" x14ac:dyDescent="0.25">
      <c r="S3570" s="5"/>
    </row>
    <row r="3571" spans="19:19" x14ac:dyDescent="0.25">
      <c r="S3571" s="5"/>
    </row>
    <row r="3572" spans="19:19" x14ac:dyDescent="0.25">
      <c r="S3572" s="5"/>
    </row>
    <row r="3573" spans="19:19" x14ac:dyDescent="0.25">
      <c r="S3573" s="5"/>
    </row>
    <row r="3574" spans="19:19" x14ac:dyDescent="0.25">
      <c r="S3574" s="5"/>
    </row>
    <row r="3575" spans="19:19" x14ac:dyDescent="0.25">
      <c r="S3575" s="5"/>
    </row>
    <row r="3576" spans="19:19" x14ac:dyDescent="0.25">
      <c r="S3576" s="5"/>
    </row>
    <row r="3577" spans="19:19" x14ac:dyDescent="0.25">
      <c r="S3577" s="5"/>
    </row>
    <row r="3578" spans="19:19" x14ac:dyDescent="0.25">
      <c r="S3578" s="5"/>
    </row>
    <row r="3579" spans="19:19" x14ac:dyDescent="0.25">
      <c r="S3579" s="5"/>
    </row>
    <row r="3580" spans="19:19" x14ac:dyDescent="0.25">
      <c r="S3580" s="5"/>
    </row>
    <row r="3581" spans="19:19" x14ac:dyDescent="0.25">
      <c r="S3581" s="5"/>
    </row>
    <row r="3582" spans="19:19" x14ac:dyDescent="0.25">
      <c r="S3582" s="5"/>
    </row>
    <row r="3583" spans="19:19" x14ac:dyDescent="0.25">
      <c r="S3583" s="5"/>
    </row>
    <row r="3584" spans="19:19" x14ac:dyDescent="0.25">
      <c r="S3584" s="5"/>
    </row>
    <row r="3585" spans="19:19" x14ac:dyDescent="0.25">
      <c r="S3585" s="5"/>
    </row>
    <row r="3586" spans="19:19" x14ac:dyDescent="0.25">
      <c r="S3586" s="5"/>
    </row>
    <row r="3587" spans="19:19" x14ac:dyDescent="0.25">
      <c r="S3587" s="5"/>
    </row>
    <row r="3588" spans="19:19" x14ac:dyDescent="0.25">
      <c r="S3588" s="5"/>
    </row>
    <row r="3589" spans="19:19" x14ac:dyDescent="0.25">
      <c r="S3589" s="5"/>
    </row>
    <row r="3590" spans="19:19" x14ac:dyDescent="0.25">
      <c r="S3590" s="5"/>
    </row>
    <row r="3591" spans="19:19" x14ac:dyDescent="0.25">
      <c r="S3591" s="5"/>
    </row>
    <row r="3592" spans="19:19" x14ac:dyDescent="0.25">
      <c r="S3592" s="5"/>
    </row>
    <row r="3593" spans="19:19" x14ac:dyDescent="0.25">
      <c r="S3593" s="5"/>
    </row>
    <row r="3594" spans="19:19" x14ac:dyDescent="0.25">
      <c r="S3594" s="5"/>
    </row>
    <row r="3595" spans="19:19" x14ac:dyDescent="0.25">
      <c r="S3595" s="5"/>
    </row>
    <row r="3596" spans="19:19" x14ac:dyDescent="0.25">
      <c r="S3596" s="5"/>
    </row>
    <row r="3597" spans="19:19" x14ac:dyDescent="0.25">
      <c r="S3597" s="5"/>
    </row>
    <row r="3598" spans="19:19" x14ac:dyDescent="0.25">
      <c r="S3598" s="5"/>
    </row>
    <row r="3599" spans="19:19" x14ac:dyDescent="0.25">
      <c r="S3599" s="5"/>
    </row>
    <row r="3600" spans="19:19" x14ac:dyDescent="0.25">
      <c r="S3600" s="5"/>
    </row>
    <row r="3601" spans="19:19" x14ac:dyDescent="0.25">
      <c r="S3601" s="5"/>
    </row>
    <row r="3602" spans="19:19" x14ac:dyDescent="0.25">
      <c r="S3602" s="5"/>
    </row>
    <row r="3603" spans="19:19" x14ac:dyDescent="0.25">
      <c r="S3603" s="5"/>
    </row>
    <row r="3604" spans="19:19" x14ac:dyDescent="0.25">
      <c r="S3604" s="5"/>
    </row>
    <row r="3605" spans="19:19" x14ac:dyDescent="0.25">
      <c r="S3605" s="5"/>
    </row>
    <row r="3606" spans="19:19" x14ac:dyDescent="0.25">
      <c r="S3606" s="5"/>
    </row>
    <row r="3607" spans="19:19" x14ac:dyDescent="0.25">
      <c r="S3607" s="5"/>
    </row>
    <row r="3608" spans="19:19" x14ac:dyDescent="0.25">
      <c r="S3608" s="5"/>
    </row>
    <row r="3609" spans="19:19" x14ac:dyDescent="0.25">
      <c r="S3609" s="5"/>
    </row>
    <row r="3610" spans="19:19" x14ac:dyDescent="0.25">
      <c r="S3610" s="5"/>
    </row>
    <row r="3611" spans="19:19" x14ac:dyDescent="0.25">
      <c r="S3611" s="5"/>
    </row>
    <row r="3612" spans="19:19" x14ac:dyDescent="0.25">
      <c r="S3612" s="5"/>
    </row>
    <row r="3613" spans="19:19" x14ac:dyDescent="0.25">
      <c r="S3613" s="5"/>
    </row>
    <row r="3614" spans="19:19" x14ac:dyDescent="0.25">
      <c r="S3614" s="5"/>
    </row>
    <row r="3615" spans="19:19" x14ac:dyDescent="0.25">
      <c r="S3615" s="5"/>
    </row>
    <row r="3616" spans="19:19" x14ac:dyDescent="0.25">
      <c r="S3616" s="5"/>
    </row>
    <row r="3617" spans="19:19" x14ac:dyDescent="0.25">
      <c r="S3617" s="5"/>
    </row>
    <row r="3618" spans="19:19" x14ac:dyDescent="0.25">
      <c r="S3618" s="5"/>
    </row>
    <row r="3619" spans="19:19" x14ac:dyDescent="0.25">
      <c r="S3619" s="5"/>
    </row>
    <row r="3620" spans="19:19" x14ac:dyDescent="0.25">
      <c r="S3620" s="5"/>
    </row>
    <row r="3621" spans="19:19" x14ac:dyDescent="0.25">
      <c r="S3621" s="5"/>
    </row>
    <row r="3622" spans="19:19" x14ac:dyDescent="0.25">
      <c r="S3622" s="5"/>
    </row>
    <row r="3623" spans="19:19" x14ac:dyDescent="0.25">
      <c r="S3623" s="5"/>
    </row>
    <row r="3624" spans="19:19" x14ac:dyDescent="0.25">
      <c r="S3624" s="5"/>
    </row>
    <row r="3625" spans="19:19" x14ac:dyDescent="0.25">
      <c r="S3625" s="5"/>
    </row>
    <row r="3626" spans="19:19" x14ac:dyDescent="0.25">
      <c r="S3626" s="5"/>
    </row>
    <row r="3627" spans="19:19" x14ac:dyDescent="0.25">
      <c r="S3627" s="5"/>
    </row>
    <row r="3628" spans="19:19" x14ac:dyDescent="0.25">
      <c r="S3628" s="5"/>
    </row>
    <row r="3629" spans="19:19" x14ac:dyDescent="0.25">
      <c r="S3629" s="5"/>
    </row>
    <row r="3630" spans="19:19" x14ac:dyDescent="0.25">
      <c r="S3630" s="5"/>
    </row>
    <row r="3631" spans="19:19" x14ac:dyDescent="0.25">
      <c r="S3631" s="5"/>
    </row>
    <row r="3632" spans="19:19" x14ac:dyDescent="0.25">
      <c r="S3632" s="5"/>
    </row>
    <row r="3633" spans="19:19" x14ac:dyDescent="0.25">
      <c r="S3633" s="5"/>
    </row>
    <row r="3634" spans="19:19" x14ac:dyDescent="0.25">
      <c r="S3634" s="5"/>
    </row>
    <row r="3635" spans="19:19" x14ac:dyDescent="0.25">
      <c r="S3635" s="5"/>
    </row>
    <row r="3636" spans="19:19" x14ac:dyDescent="0.25">
      <c r="S3636" s="5"/>
    </row>
    <row r="3637" spans="19:19" x14ac:dyDescent="0.25">
      <c r="S3637" s="5"/>
    </row>
    <row r="3638" spans="19:19" x14ac:dyDescent="0.25">
      <c r="S3638" s="5"/>
    </row>
    <row r="3639" spans="19:19" x14ac:dyDescent="0.25">
      <c r="S3639" s="5"/>
    </row>
    <row r="3640" spans="19:19" x14ac:dyDescent="0.25">
      <c r="S3640" s="5"/>
    </row>
    <row r="3641" spans="19:19" x14ac:dyDescent="0.25">
      <c r="S3641" s="5"/>
    </row>
    <row r="3642" spans="19:19" x14ac:dyDescent="0.25">
      <c r="S3642" s="5"/>
    </row>
    <row r="3643" spans="19:19" x14ac:dyDescent="0.25">
      <c r="S3643" s="5"/>
    </row>
    <row r="3644" spans="19:19" x14ac:dyDescent="0.25">
      <c r="S3644" s="5"/>
    </row>
    <row r="3645" spans="19:19" x14ac:dyDescent="0.25">
      <c r="S3645" s="5"/>
    </row>
    <row r="3646" spans="19:19" x14ac:dyDescent="0.25">
      <c r="S3646" s="5"/>
    </row>
    <row r="3647" spans="19:19" x14ac:dyDescent="0.25">
      <c r="S3647" s="5"/>
    </row>
    <row r="3648" spans="19:19" x14ac:dyDescent="0.25">
      <c r="S3648" s="5"/>
    </row>
    <row r="3649" spans="19:19" x14ac:dyDescent="0.25">
      <c r="S3649" s="5"/>
    </row>
    <row r="3650" spans="19:19" x14ac:dyDescent="0.25">
      <c r="S3650" s="5"/>
    </row>
    <row r="3651" spans="19:19" x14ac:dyDescent="0.25">
      <c r="S3651" s="5"/>
    </row>
    <row r="3652" spans="19:19" x14ac:dyDescent="0.25">
      <c r="S3652" s="5"/>
    </row>
    <row r="3653" spans="19:19" x14ac:dyDescent="0.25">
      <c r="S3653" s="5"/>
    </row>
    <row r="3654" spans="19:19" x14ac:dyDescent="0.25">
      <c r="S3654" s="5"/>
    </row>
    <row r="3655" spans="19:19" x14ac:dyDescent="0.25">
      <c r="S3655" s="5"/>
    </row>
    <row r="3656" spans="19:19" x14ac:dyDescent="0.25">
      <c r="S3656" s="5"/>
    </row>
    <row r="3657" spans="19:19" x14ac:dyDescent="0.25">
      <c r="S3657" s="5"/>
    </row>
    <row r="3658" spans="19:19" x14ac:dyDescent="0.25">
      <c r="S3658" s="5"/>
    </row>
    <row r="3659" spans="19:19" x14ac:dyDescent="0.25">
      <c r="S3659" s="5"/>
    </row>
    <row r="3660" spans="19:19" x14ac:dyDescent="0.25">
      <c r="S3660" s="5"/>
    </row>
    <row r="3661" spans="19:19" x14ac:dyDescent="0.25">
      <c r="S3661" s="5"/>
    </row>
    <row r="3662" spans="19:19" x14ac:dyDescent="0.25">
      <c r="S3662" s="5"/>
    </row>
    <row r="3663" spans="19:19" x14ac:dyDescent="0.25">
      <c r="S3663" s="5"/>
    </row>
    <row r="3664" spans="19:19" x14ac:dyDescent="0.25">
      <c r="S3664" s="5"/>
    </row>
    <row r="3665" spans="19:19" x14ac:dyDescent="0.25">
      <c r="S3665" s="5"/>
    </row>
    <row r="3666" spans="19:19" x14ac:dyDescent="0.25">
      <c r="S3666" s="5"/>
    </row>
    <row r="3667" spans="19:19" x14ac:dyDescent="0.25">
      <c r="S3667" s="5"/>
    </row>
    <row r="3668" spans="19:19" x14ac:dyDescent="0.25">
      <c r="S3668" s="5"/>
    </row>
    <row r="3669" spans="19:19" x14ac:dyDescent="0.25">
      <c r="S3669" s="5"/>
    </row>
    <row r="3670" spans="19:19" x14ac:dyDescent="0.25">
      <c r="S3670" s="5"/>
    </row>
    <row r="3671" spans="19:19" x14ac:dyDescent="0.25">
      <c r="S3671" s="5"/>
    </row>
    <row r="3672" spans="19:19" x14ac:dyDescent="0.25">
      <c r="S3672" s="5"/>
    </row>
    <row r="3673" spans="19:19" x14ac:dyDescent="0.25">
      <c r="S3673" s="5"/>
    </row>
    <row r="3674" spans="19:19" x14ac:dyDescent="0.25">
      <c r="S3674" s="5"/>
    </row>
    <row r="3675" spans="19:19" x14ac:dyDescent="0.25">
      <c r="S3675" s="5"/>
    </row>
    <row r="3676" spans="19:19" x14ac:dyDescent="0.25">
      <c r="S3676" s="5"/>
    </row>
    <row r="3677" spans="19:19" x14ac:dyDescent="0.25">
      <c r="S3677" s="5"/>
    </row>
    <row r="3678" spans="19:19" x14ac:dyDescent="0.25">
      <c r="S3678" s="5"/>
    </row>
    <row r="3679" spans="19:19" x14ac:dyDescent="0.25">
      <c r="S3679" s="5"/>
    </row>
    <row r="3680" spans="19:19" x14ac:dyDescent="0.25">
      <c r="S3680" s="5"/>
    </row>
    <row r="3681" spans="19:19" x14ac:dyDescent="0.25">
      <c r="S3681" s="5"/>
    </row>
    <row r="3682" spans="19:19" x14ac:dyDescent="0.25">
      <c r="S3682" s="5"/>
    </row>
    <row r="3683" spans="19:19" x14ac:dyDescent="0.25">
      <c r="S3683" s="5"/>
    </row>
    <row r="3684" spans="19:19" x14ac:dyDescent="0.25">
      <c r="S3684" s="5"/>
    </row>
    <row r="3685" spans="19:19" x14ac:dyDescent="0.25">
      <c r="S3685" s="5"/>
    </row>
    <row r="3686" spans="19:19" x14ac:dyDescent="0.25">
      <c r="S3686" s="5"/>
    </row>
    <row r="3687" spans="19:19" x14ac:dyDescent="0.25">
      <c r="S3687" s="5"/>
    </row>
    <row r="3688" spans="19:19" x14ac:dyDescent="0.25">
      <c r="S3688" s="5"/>
    </row>
    <row r="3689" spans="19:19" x14ac:dyDescent="0.25">
      <c r="S3689" s="5"/>
    </row>
    <row r="3690" spans="19:19" x14ac:dyDescent="0.25">
      <c r="S3690" s="5"/>
    </row>
    <row r="3691" spans="19:19" x14ac:dyDescent="0.25">
      <c r="S3691" s="5"/>
    </row>
    <row r="3692" spans="19:19" x14ac:dyDescent="0.25">
      <c r="S3692" s="5"/>
    </row>
    <row r="3693" spans="19:19" x14ac:dyDescent="0.25">
      <c r="S3693" s="5"/>
    </row>
    <row r="3694" spans="19:19" x14ac:dyDescent="0.25">
      <c r="S3694" s="5"/>
    </row>
    <row r="3695" spans="19:19" x14ac:dyDescent="0.25">
      <c r="S3695" s="5"/>
    </row>
    <row r="3696" spans="19:19" x14ac:dyDescent="0.25">
      <c r="S3696" s="5"/>
    </row>
    <row r="3697" spans="19:19" x14ac:dyDescent="0.25">
      <c r="S3697" s="5"/>
    </row>
    <row r="3698" spans="19:19" x14ac:dyDescent="0.25">
      <c r="S3698" s="5"/>
    </row>
    <row r="3699" spans="19:19" x14ac:dyDescent="0.25">
      <c r="S3699" s="5"/>
    </row>
    <row r="3700" spans="19:19" x14ac:dyDescent="0.25">
      <c r="S3700" s="5"/>
    </row>
    <row r="3701" spans="19:19" x14ac:dyDescent="0.25">
      <c r="S3701" s="5"/>
    </row>
    <row r="3702" spans="19:19" x14ac:dyDescent="0.25">
      <c r="S3702" s="5"/>
    </row>
    <row r="3703" spans="19:19" x14ac:dyDescent="0.25">
      <c r="S3703" s="5"/>
    </row>
    <row r="3704" spans="19:19" x14ac:dyDescent="0.25">
      <c r="S3704" s="5"/>
    </row>
    <row r="3705" spans="19:19" x14ac:dyDescent="0.25">
      <c r="S3705" s="5"/>
    </row>
    <row r="3706" spans="19:19" x14ac:dyDescent="0.25">
      <c r="S3706" s="5"/>
    </row>
    <row r="3707" spans="19:19" x14ac:dyDescent="0.25">
      <c r="S3707" s="5"/>
    </row>
    <row r="3708" spans="19:19" x14ac:dyDescent="0.25">
      <c r="S3708" s="5"/>
    </row>
    <row r="3709" spans="19:19" x14ac:dyDescent="0.25">
      <c r="S3709" s="5"/>
    </row>
    <row r="3710" spans="19:19" x14ac:dyDescent="0.25">
      <c r="S3710" s="5"/>
    </row>
    <row r="3711" spans="19:19" x14ac:dyDescent="0.25">
      <c r="S3711" s="5"/>
    </row>
    <row r="3712" spans="19:19" x14ac:dyDescent="0.25">
      <c r="S3712" s="5"/>
    </row>
    <row r="3713" spans="19:19" x14ac:dyDescent="0.25">
      <c r="S3713" s="5"/>
    </row>
    <row r="3714" spans="19:19" x14ac:dyDescent="0.25">
      <c r="S3714" s="5"/>
    </row>
    <row r="3715" spans="19:19" x14ac:dyDescent="0.25">
      <c r="S3715" s="5"/>
    </row>
    <row r="3716" spans="19:19" x14ac:dyDescent="0.25">
      <c r="S3716" s="5"/>
    </row>
    <row r="3717" spans="19:19" x14ac:dyDescent="0.25">
      <c r="S3717" s="5"/>
    </row>
    <row r="3718" spans="19:19" x14ac:dyDescent="0.25">
      <c r="S3718" s="5"/>
    </row>
    <row r="3719" spans="19:19" x14ac:dyDescent="0.25">
      <c r="S3719" s="5"/>
    </row>
    <row r="3720" spans="19:19" x14ac:dyDescent="0.25">
      <c r="S3720" s="5"/>
    </row>
    <row r="3721" spans="19:19" x14ac:dyDescent="0.25">
      <c r="S3721" s="5"/>
    </row>
    <row r="3722" spans="19:19" x14ac:dyDescent="0.25">
      <c r="S3722" s="5"/>
    </row>
    <row r="3723" spans="19:19" x14ac:dyDescent="0.25">
      <c r="S3723" s="5"/>
    </row>
    <row r="3724" spans="19:19" x14ac:dyDescent="0.25">
      <c r="S3724" s="5"/>
    </row>
    <row r="3725" spans="19:19" x14ac:dyDescent="0.25">
      <c r="S3725" s="5"/>
    </row>
    <row r="3726" spans="19:19" x14ac:dyDescent="0.25">
      <c r="S3726" s="5"/>
    </row>
    <row r="3727" spans="19:19" x14ac:dyDescent="0.25">
      <c r="S3727" s="5"/>
    </row>
    <row r="3728" spans="19:19" x14ac:dyDescent="0.25">
      <c r="S3728" s="5"/>
    </row>
    <row r="3729" spans="19:19" x14ac:dyDescent="0.25">
      <c r="S3729" s="5"/>
    </row>
    <row r="3730" spans="19:19" x14ac:dyDescent="0.25">
      <c r="S3730" s="5"/>
    </row>
    <row r="3731" spans="19:19" x14ac:dyDescent="0.25">
      <c r="S3731" s="5"/>
    </row>
    <row r="3732" spans="19:19" x14ac:dyDescent="0.25">
      <c r="S3732" s="5"/>
    </row>
    <row r="3733" spans="19:19" x14ac:dyDescent="0.25">
      <c r="S3733" s="5"/>
    </row>
    <row r="3734" spans="19:19" x14ac:dyDescent="0.25">
      <c r="S3734" s="5"/>
    </row>
    <row r="3735" spans="19:19" x14ac:dyDescent="0.25">
      <c r="S3735" s="5"/>
    </row>
    <row r="3736" spans="19:19" x14ac:dyDescent="0.25">
      <c r="S3736" s="5"/>
    </row>
    <row r="3737" spans="19:19" x14ac:dyDescent="0.25">
      <c r="S3737" s="5"/>
    </row>
    <row r="3738" spans="19:19" x14ac:dyDescent="0.25">
      <c r="S3738" s="5"/>
    </row>
    <row r="3739" spans="19:19" x14ac:dyDescent="0.25">
      <c r="S3739" s="5"/>
    </row>
    <row r="3740" spans="19:19" x14ac:dyDescent="0.25">
      <c r="S3740" s="5"/>
    </row>
    <row r="3741" spans="19:19" x14ac:dyDescent="0.25">
      <c r="S3741" s="5"/>
    </row>
    <row r="3742" spans="19:19" x14ac:dyDescent="0.25">
      <c r="S3742" s="5"/>
    </row>
    <row r="3743" spans="19:19" x14ac:dyDescent="0.25">
      <c r="S3743" s="5"/>
    </row>
    <row r="3744" spans="19:19" x14ac:dyDescent="0.25">
      <c r="S3744" s="5"/>
    </row>
    <row r="3745" spans="19:19" x14ac:dyDescent="0.25">
      <c r="S3745" s="5"/>
    </row>
    <row r="3746" spans="19:19" x14ac:dyDescent="0.25">
      <c r="S3746" s="5"/>
    </row>
    <row r="3747" spans="19:19" x14ac:dyDescent="0.25">
      <c r="S3747" s="5"/>
    </row>
    <row r="3748" spans="19:19" x14ac:dyDescent="0.25">
      <c r="S3748" s="5"/>
    </row>
    <row r="3749" spans="19:19" x14ac:dyDescent="0.25">
      <c r="S3749" s="5"/>
    </row>
    <row r="3750" spans="19:19" x14ac:dyDescent="0.25">
      <c r="S3750" s="5"/>
    </row>
    <row r="3751" spans="19:19" x14ac:dyDescent="0.25">
      <c r="S3751" s="5"/>
    </row>
    <row r="3752" spans="19:19" x14ac:dyDescent="0.25">
      <c r="S3752" s="5"/>
    </row>
    <row r="3753" spans="19:19" x14ac:dyDescent="0.25">
      <c r="S3753" s="5"/>
    </row>
    <row r="3754" spans="19:19" x14ac:dyDescent="0.25">
      <c r="S3754" s="5"/>
    </row>
    <row r="3755" spans="19:19" x14ac:dyDescent="0.25">
      <c r="S3755" s="5"/>
    </row>
    <row r="3756" spans="19:19" x14ac:dyDescent="0.25">
      <c r="S3756" s="5"/>
    </row>
    <row r="3757" spans="19:19" x14ac:dyDescent="0.25">
      <c r="S3757" s="5"/>
    </row>
    <row r="3758" spans="19:19" x14ac:dyDescent="0.25">
      <c r="S3758" s="5"/>
    </row>
    <row r="3759" spans="19:19" x14ac:dyDescent="0.25">
      <c r="S3759" s="5"/>
    </row>
    <row r="3760" spans="19:19" x14ac:dyDescent="0.25">
      <c r="S3760" s="5"/>
    </row>
    <row r="3761" spans="19:19" x14ac:dyDescent="0.25">
      <c r="S3761" s="5"/>
    </row>
    <row r="3762" spans="19:19" x14ac:dyDescent="0.25">
      <c r="S3762" s="5"/>
    </row>
    <row r="3763" spans="19:19" x14ac:dyDescent="0.25">
      <c r="S3763" s="5"/>
    </row>
    <row r="3764" spans="19:19" x14ac:dyDescent="0.25">
      <c r="S3764" s="5"/>
    </row>
    <row r="3765" spans="19:19" x14ac:dyDescent="0.25">
      <c r="S3765" s="5"/>
    </row>
    <row r="3766" spans="19:19" x14ac:dyDescent="0.25">
      <c r="S3766" s="5"/>
    </row>
    <row r="3767" spans="19:19" x14ac:dyDescent="0.25">
      <c r="S3767" s="5"/>
    </row>
    <row r="3768" spans="19:19" x14ac:dyDescent="0.25">
      <c r="S3768" s="5"/>
    </row>
    <row r="3769" spans="19:19" x14ac:dyDescent="0.25">
      <c r="S3769" s="5"/>
    </row>
    <row r="3770" spans="19:19" x14ac:dyDescent="0.25">
      <c r="S3770" s="5"/>
    </row>
    <row r="3771" spans="19:19" x14ac:dyDescent="0.25">
      <c r="S3771" s="5"/>
    </row>
    <row r="3772" spans="19:19" x14ac:dyDescent="0.25">
      <c r="S3772" s="5"/>
    </row>
    <row r="3773" spans="19:19" x14ac:dyDescent="0.25">
      <c r="S3773" s="5"/>
    </row>
    <row r="3774" spans="19:19" x14ac:dyDescent="0.25">
      <c r="S3774" s="5"/>
    </row>
    <row r="3775" spans="19:19" x14ac:dyDescent="0.25">
      <c r="S3775" s="5"/>
    </row>
    <row r="3776" spans="19:19" x14ac:dyDescent="0.25">
      <c r="S3776" s="5"/>
    </row>
    <row r="3777" spans="19:19" x14ac:dyDescent="0.25">
      <c r="S3777" s="5"/>
    </row>
    <row r="3778" spans="19:19" x14ac:dyDescent="0.25">
      <c r="S3778" s="5"/>
    </row>
    <row r="3779" spans="19:19" x14ac:dyDescent="0.25">
      <c r="S3779" s="5"/>
    </row>
    <row r="3780" spans="19:19" x14ac:dyDescent="0.25">
      <c r="S3780" s="5"/>
    </row>
    <row r="3781" spans="19:19" x14ac:dyDescent="0.25">
      <c r="S3781" s="5"/>
    </row>
    <row r="3782" spans="19:19" x14ac:dyDescent="0.25">
      <c r="S3782" s="5"/>
    </row>
    <row r="3783" spans="19:19" x14ac:dyDescent="0.25">
      <c r="S3783" s="5"/>
    </row>
    <row r="3784" spans="19:19" x14ac:dyDescent="0.25">
      <c r="S3784" s="5"/>
    </row>
    <row r="3785" spans="19:19" x14ac:dyDescent="0.25">
      <c r="S3785" s="5"/>
    </row>
    <row r="3786" spans="19:19" x14ac:dyDescent="0.25">
      <c r="S3786" s="5"/>
    </row>
    <row r="3787" spans="19:19" x14ac:dyDescent="0.25">
      <c r="S3787" s="5"/>
    </row>
    <row r="3788" spans="19:19" x14ac:dyDescent="0.25">
      <c r="S3788" s="5"/>
    </row>
    <row r="3789" spans="19:19" x14ac:dyDescent="0.25">
      <c r="S3789" s="5"/>
    </row>
    <row r="3790" spans="19:19" x14ac:dyDescent="0.25">
      <c r="S3790" s="5"/>
    </row>
    <row r="3791" spans="19:19" x14ac:dyDescent="0.25">
      <c r="S3791" s="5"/>
    </row>
    <row r="3792" spans="19:19" x14ac:dyDescent="0.25">
      <c r="S3792" s="5"/>
    </row>
    <row r="3793" spans="19:19" x14ac:dyDescent="0.25">
      <c r="S3793" s="5"/>
    </row>
    <row r="3794" spans="19:19" x14ac:dyDescent="0.25">
      <c r="S3794" s="5"/>
    </row>
    <row r="3795" spans="19:19" x14ac:dyDescent="0.25">
      <c r="S3795" s="5"/>
    </row>
    <row r="3796" spans="19:19" x14ac:dyDescent="0.25">
      <c r="S3796" s="5"/>
    </row>
    <row r="3797" spans="19:19" x14ac:dyDescent="0.25">
      <c r="S3797" s="5"/>
    </row>
    <row r="3798" spans="19:19" x14ac:dyDescent="0.25">
      <c r="S3798" s="5"/>
    </row>
    <row r="3799" spans="19:19" x14ac:dyDescent="0.25">
      <c r="S3799" s="5"/>
    </row>
    <row r="3800" spans="19:19" x14ac:dyDescent="0.25">
      <c r="S3800" s="5"/>
    </row>
    <row r="3801" spans="19:19" x14ac:dyDescent="0.25">
      <c r="S3801" s="5"/>
    </row>
    <row r="3802" spans="19:19" x14ac:dyDescent="0.25">
      <c r="S3802" s="5"/>
    </row>
    <row r="3803" spans="19:19" x14ac:dyDescent="0.25">
      <c r="S3803" s="5"/>
    </row>
    <row r="3804" spans="19:19" x14ac:dyDescent="0.25">
      <c r="S3804" s="5"/>
    </row>
    <row r="3805" spans="19:19" x14ac:dyDescent="0.25">
      <c r="S3805" s="5"/>
    </row>
    <row r="3806" spans="19:19" x14ac:dyDescent="0.25">
      <c r="S3806" s="5"/>
    </row>
    <row r="3807" spans="19:19" x14ac:dyDescent="0.25">
      <c r="S3807" s="5"/>
    </row>
    <row r="3808" spans="19:19" x14ac:dyDescent="0.25">
      <c r="S3808" s="5"/>
    </row>
    <row r="3809" spans="19:19" x14ac:dyDescent="0.25">
      <c r="S3809" s="5"/>
    </row>
    <row r="3810" spans="19:19" x14ac:dyDescent="0.25">
      <c r="S3810" s="5"/>
    </row>
    <row r="3811" spans="19:19" x14ac:dyDescent="0.25">
      <c r="S3811" s="5"/>
    </row>
    <row r="3812" spans="19:19" x14ac:dyDescent="0.25">
      <c r="S3812" s="5"/>
    </row>
    <row r="3813" spans="19:19" x14ac:dyDescent="0.25">
      <c r="S3813" s="5"/>
    </row>
    <row r="3814" spans="19:19" x14ac:dyDescent="0.25">
      <c r="S3814" s="5"/>
    </row>
    <row r="3815" spans="19:19" x14ac:dyDescent="0.25">
      <c r="S3815" s="5"/>
    </row>
    <row r="3816" spans="19:19" x14ac:dyDescent="0.25">
      <c r="S3816" s="5"/>
    </row>
    <row r="3817" spans="19:19" x14ac:dyDescent="0.25">
      <c r="S3817" s="5"/>
    </row>
    <row r="3818" spans="19:19" x14ac:dyDescent="0.25">
      <c r="S3818" s="5"/>
    </row>
    <row r="3819" spans="19:19" x14ac:dyDescent="0.25">
      <c r="S3819" s="5"/>
    </row>
    <row r="3820" spans="19:19" x14ac:dyDescent="0.25">
      <c r="S3820" s="5"/>
    </row>
    <row r="3821" spans="19:19" x14ac:dyDescent="0.25">
      <c r="S3821" s="5"/>
    </row>
    <row r="3822" spans="19:19" x14ac:dyDescent="0.25">
      <c r="S3822" s="5"/>
    </row>
    <row r="3823" spans="19:19" x14ac:dyDescent="0.25">
      <c r="S3823" s="5"/>
    </row>
    <row r="3824" spans="19:19" x14ac:dyDescent="0.25">
      <c r="S3824" s="5"/>
    </row>
    <row r="3825" spans="19:19" x14ac:dyDescent="0.25">
      <c r="S3825" s="5"/>
    </row>
    <row r="3826" spans="19:19" x14ac:dyDescent="0.25">
      <c r="S3826" s="5"/>
    </row>
    <row r="3827" spans="19:19" x14ac:dyDescent="0.25">
      <c r="S3827" s="5"/>
    </row>
    <row r="3828" spans="19:19" x14ac:dyDescent="0.25">
      <c r="S3828" s="5"/>
    </row>
    <row r="3829" spans="19:19" x14ac:dyDescent="0.25">
      <c r="S3829" s="5"/>
    </row>
    <row r="3830" spans="19:19" x14ac:dyDescent="0.25">
      <c r="S3830" s="5"/>
    </row>
    <row r="3831" spans="19:19" x14ac:dyDescent="0.25">
      <c r="S3831" s="5"/>
    </row>
    <row r="3832" spans="19:19" x14ac:dyDescent="0.25">
      <c r="S3832" s="5"/>
    </row>
    <row r="3833" spans="19:19" x14ac:dyDescent="0.25">
      <c r="S3833" s="5"/>
    </row>
    <row r="3834" spans="19:19" x14ac:dyDescent="0.25">
      <c r="S3834" s="5"/>
    </row>
    <row r="3835" spans="19:19" x14ac:dyDescent="0.25">
      <c r="S3835" s="5"/>
    </row>
    <row r="3836" spans="19:19" x14ac:dyDescent="0.25">
      <c r="S3836" s="5"/>
    </row>
    <row r="3837" spans="19:19" x14ac:dyDescent="0.25">
      <c r="S3837" s="5"/>
    </row>
    <row r="3838" spans="19:19" x14ac:dyDescent="0.25">
      <c r="S3838" s="5"/>
    </row>
    <row r="3839" spans="19:19" x14ac:dyDescent="0.25">
      <c r="S3839" s="5"/>
    </row>
    <row r="3840" spans="19:19" x14ac:dyDescent="0.25">
      <c r="S3840" s="5"/>
    </row>
    <row r="3841" spans="19:19" x14ac:dyDescent="0.25">
      <c r="S3841" s="5"/>
    </row>
    <row r="3842" spans="19:19" x14ac:dyDescent="0.25">
      <c r="S3842" s="5"/>
    </row>
    <row r="3843" spans="19:19" x14ac:dyDescent="0.25">
      <c r="S3843" s="5"/>
    </row>
    <row r="3844" spans="19:19" x14ac:dyDescent="0.25">
      <c r="S3844" s="5"/>
    </row>
    <row r="3845" spans="19:19" x14ac:dyDescent="0.25">
      <c r="S3845" s="5"/>
    </row>
    <row r="3846" spans="19:19" x14ac:dyDescent="0.25">
      <c r="S3846" s="5"/>
    </row>
    <row r="3847" spans="19:19" x14ac:dyDescent="0.25">
      <c r="S3847" s="5"/>
    </row>
    <row r="3848" spans="19:19" x14ac:dyDescent="0.25">
      <c r="S3848" s="5"/>
    </row>
    <row r="3849" spans="19:19" x14ac:dyDescent="0.25">
      <c r="S3849" s="5"/>
    </row>
    <row r="3850" spans="19:19" x14ac:dyDescent="0.25">
      <c r="S3850" s="5"/>
    </row>
    <row r="3851" spans="19:19" x14ac:dyDescent="0.25">
      <c r="S3851" s="5"/>
    </row>
    <row r="3852" spans="19:19" x14ac:dyDescent="0.25">
      <c r="S3852" s="5"/>
    </row>
    <row r="3853" spans="19:19" x14ac:dyDescent="0.25">
      <c r="S3853" s="5"/>
    </row>
    <row r="3854" spans="19:19" x14ac:dyDescent="0.25">
      <c r="S3854" s="5"/>
    </row>
    <row r="3855" spans="19:19" x14ac:dyDescent="0.25">
      <c r="S3855" s="5"/>
    </row>
    <row r="3856" spans="19:19" x14ac:dyDescent="0.25">
      <c r="S3856" s="5"/>
    </row>
    <row r="3857" spans="19:19" x14ac:dyDescent="0.25">
      <c r="S3857" s="5"/>
    </row>
    <row r="3858" spans="19:19" x14ac:dyDescent="0.25">
      <c r="S3858" s="5"/>
    </row>
    <row r="3859" spans="19:19" x14ac:dyDescent="0.25">
      <c r="S3859" s="5"/>
    </row>
    <row r="3860" spans="19:19" x14ac:dyDescent="0.25">
      <c r="S3860" s="5"/>
    </row>
    <row r="3861" spans="19:19" x14ac:dyDescent="0.25">
      <c r="S3861" s="5"/>
    </row>
    <row r="3862" spans="19:19" x14ac:dyDescent="0.25">
      <c r="S3862" s="5"/>
    </row>
    <row r="3863" spans="19:19" x14ac:dyDescent="0.25">
      <c r="S3863" s="5"/>
    </row>
    <row r="3864" spans="19:19" x14ac:dyDescent="0.25">
      <c r="S3864" s="5"/>
    </row>
    <row r="3865" spans="19:19" x14ac:dyDescent="0.25">
      <c r="S3865" s="5"/>
    </row>
    <row r="3866" spans="19:19" x14ac:dyDescent="0.25">
      <c r="S3866" s="5"/>
    </row>
    <row r="3867" spans="19:19" x14ac:dyDescent="0.25">
      <c r="S3867" s="5"/>
    </row>
    <row r="3868" spans="19:19" x14ac:dyDescent="0.25">
      <c r="S3868" s="5"/>
    </row>
    <row r="3869" spans="19:19" x14ac:dyDescent="0.25">
      <c r="S3869" s="5"/>
    </row>
    <row r="3870" spans="19:19" x14ac:dyDescent="0.25">
      <c r="S3870" s="5"/>
    </row>
    <row r="3871" spans="19:19" x14ac:dyDescent="0.25">
      <c r="S3871" s="5"/>
    </row>
    <row r="3872" spans="19:19" x14ac:dyDescent="0.25">
      <c r="S3872" s="5"/>
    </row>
    <row r="3873" spans="19:19" x14ac:dyDescent="0.25">
      <c r="S3873" s="5"/>
    </row>
    <row r="3874" spans="19:19" x14ac:dyDescent="0.25">
      <c r="S3874" s="5"/>
    </row>
    <row r="3875" spans="19:19" x14ac:dyDescent="0.25">
      <c r="S3875" s="5"/>
    </row>
    <row r="3876" spans="19:19" x14ac:dyDescent="0.25">
      <c r="S3876" s="5"/>
    </row>
    <row r="3877" spans="19:19" x14ac:dyDescent="0.25">
      <c r="S3877" s="5"/>
    </row>
    <row r="3878" spans="19:19" x14ac:dyDescent="0.25">
      <c r="S3878" s="5"/>
    </row>
    <row r="3879" spans="19:19" x14ac:dyDescent="0.25">
      <c r="S3879" s="5"/>
    </row>
    <row r="3880" spans="19:19" x14ac:dyDescent="0.25">
      <c r="S3880" s="5"/>
    </row>
    <row r="3881" spans="19:19" x14ac:dyDescent="0.25">
      <c r="S3881" s="5"/>
    </row>
    <row r="3882" spans="19:19" x14ac:dyDescent="0.25">
      <c r="S3882" s="5"/>
    </row>
    <row r="3883" spans="19:19" x14ac:dyDescent="0.25">
      <c r="S3883" s="5"/>
    </row>
    <row r="3884" spans="19:19" x14ac:dyDescent="0.25">
      <c r="S3884" s="5"/>
    </row>
    <row r="3885" spans="19:19" x14ac:dyDescent="0.25">
      <c r="S3885" s="5"/>
    </row>
    <row r="3886" spans="19:19" x14ac:dyDescent="0.25">
      <c r="S3886" s="5"/>
    </row>
    <row r="3887" spans="19:19" x14ac:dyDescent="0.25">
      <c r="S3887" s="5"/>
    </row>
    <row r="3888" spans="19:19" x14ac:dyDescent="0.25">
      <c r="S3888" s="5"/>
    </row>
    <row r="3889" spans="19:19" x14ac:dyDescent="0.25">
      <c r="S3889" s="5"/>
    </row>
    <row r="3890" spans="19:19" x14ac:dyDescent="0.25">
      <c r="S3890" s="5"/>
    </row>
    <row r="3891" spans="19:19" x14ac:dyDescent="0.25">
      <c r="S3891" s="5"/>
    </row>
    <row r="3892" spans="19:19" x14ac:dyDescent="0.25">
      <c r="S3892" s="5"/>
    </row>
    <row r="3893" spans="19:19" x14ac:dyDescent="0.25">
      <c r="S3893" s="5"/>
    </row>
    <row r="3894" spans="19:19" x14ac:dyDescent="0.25">
      <c r="S3894" s="5"/>
    </row>
    <row r="3895" spans="19:19" x14ac:dyDescent="0.25">
      <c r="S3895" s="5"/>
    </row>
    <row r="3896" spans="19:19" x14ac:dyDescent="0.25">
      <c r="S3896" s="5"/>
    </row>
    <row r="3897" spans="19:19" x14ac:dyDescent="0.25">
      <c r="S3897" s="5"/>
    </row>
    <row r="3898" spans="19:19" x14ac:dyDescent="0.25">
      <c r="S3898" s="5"/>
    </row>
    <row r="3899" spans="19:19" x14ac:dyDescent="0.25">
      <c r="S3899" s="5"/>
    </row>
    <row r="3900" spans="19:19" x14ac:dyDescent="0.25">
      <c r="S3900" s="5"/>
    </row>
    <row r="3901" spans="19:19" x14ac:dyDescent="0.25">
      <c r="S3901" s="5"/>
    </row>
    <row r="3902" spans="19:19" x14ac:dyDescent="0.25">
      <c r="S3902" s="5"/>
    </row>
    <row r="3903" spans="19:19" x14ac:dyDescent="0.25">
      <c r="S3903" s="5"/>
    </row>
    <row r="3904" spans="19:19" x14ac:dyDescent="0.25">
      <c r="S3904" s="5"/>
    </row>
    <row r="3905" spans="19:19" x14ac:dyDescent="0.25">
      <c r="S3905" s="5"/>
    </row>
    <row r="3906" spans="19:19" x14ac:dyDescent="0.25">
      <c r="S3906" s="5"/>
    </row>
    <row r="3907" spans="19:19" x14ac:dyDescent="0.25">
      <c r="S3907" s="5"/>
    </row>
    <row r="3908" spans="19:19" x14ac:dyDescent="0.25">
      <c r="S3908" s="5"/>
    </row>
    <row r="3909" spans="19:19" x14ac:dyDescent="0.25">
      <c r="S3909" s="5"/>
    </row>
    <row r="3910" spans="19:19" x14ac:dyDescent="0.25">
      <c r="S3910" s="5"/>
    </row>
    <row r="3911" spans="19:19" x14ac:dyDescent="0.25">
      <c r="S3911" s="5"/>
    </row>
    <row r="3912" spans="19:19" x14ac:dyDescent="0.25">
      <c r="S3912" s="5"/>
    </row>
    <row r="3913" spans="19:19" x14ac:dyDescent="0.25">
      <c r="S3913" s="5"/>
    </row>
    <row r="3914" spans="19:19" x14ac:dyDescent="0.25">
      <c r="S3914" s="5"/>
    </row>
    <row r="3915" spans="19:19" x14ac:dyDescent="0.25">
      <c r="S3915" s="5"/>
    </row>
    <row r="3916" spans="19:19" x14ac:dyDescent="0.25">
      <c r="S3916" s="5"/>
    </row>
    <row r="3917" spans="19:19" x14ac:dyDescent="0.25">
      <c r="S3917" s="5"/>
    </row>
    <row r="3918" spans="19:19" x14ac:dyDescent="0.25">
      <c r="S3918" s="5"/>
    </row>
    <row r="3919" spans="19:19" x14ac:dyDescent="0.25">
      <c r="S3919" s="5"/>
    </row>
    <row r="3920" spans="19:19" x14ac:dyDescent="0.25">
      <c r="S3920" s="5"/>
    </row>
    <row r="3921" spans="19:19" x14ac:dyDescent="0.25">
      <c r="S3921" s="5"/>
    </row>
    <row r="3922" spans="19:19" x14ac:dyDescent="0.25">
      <c r="S3922" s="5"/>
    </row>
    <row r="3923" spans="19:19" x14ac:dyDescent="0.25">
      <c r="S3923" s="5"/>
    </row>
    <row r="3924" spans="19:19" x14ac:dyDescent="0.25">
      <c r="S3924" s="5"/>
    </row>
    <row r="3925" spans="19:19" x14ac:dyDescent="0.25">
      <c r="S3925" s="5"/>
    </row>
    <row r="3926" spans="19:19" x14ac:dyDescent="0.25">
      <c r="S3926" s="5"/>
    </row>
    <row r="3927" spans="19:19" x14ac:dyDescent="0.25">
      <c r="S3927" s="5"/>
    </row>
    <row r="3928" spans="19:19" x14ac:dyDescent="0.25">
      <c r="S3928" s="5"/>
    </row>
    <row r="3929" spans="19:19" x14ac:dyDescent="0.25">
      <c r="S3929" s="5"/>
    </row>
    <row r="3930" spans="19:19" x14ac:dyDescent="0.25">
      <c r="S3930" s="5"/>
    </row>
    <row r="3931" spans="19:19" x14ac:dyDescent="0.25">
      <c r="S3931" s="5"/>
    </row>
    <row r="3932" spans="19:19" x14ac:dyDescent="0.25">
      <c r="S3932" s="5"/>
    </row>
    <row r="3933" spans="19:19" x14ac:dyDescent="0.25">
      <c r="S3933" s="5"/>
    </row>
    <row r="3934" spans="19:19" x14ac:dyDescent="0.25">
      <c r="S3934" s="5"/>
    </row>
    <row r="3935" spans="19:19" x14ac:dyDescent="0.25">
      <c r="S3935" s="5"/>
    </row>
    <row r="3936" spans="19:19" x14ac:dyDescent="0.25">
      <c r="S3936" s="5"/>
    </row>
    <row r="3937" spans="19:19" x14ac:dyDescent="0.25">
      <c r="S39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McCandless</dc:creator>
  <cp:lastModifiedBy>Tyler McCandless</cp:lastModifiedBy>
  <dcterms:created xsi:type="dcterms:W3CDTF">2026-04-23T16:08:14Z</dcterms:created>
  <dcterms:modified xsi:type="dcterms:W3CDTF">2026-04-23T16:08:38Z</dcterms:modified>
</cp:coreProperties>
</file>